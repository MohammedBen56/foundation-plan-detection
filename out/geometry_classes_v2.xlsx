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 by building" sheetId="2" state="visible" r:id="rId2"/>
    <sheet name="Clusters" sheetId="3" state="visible" r:id="rId3"/>
    <sheet name="Objects" sheetId="4" state="visible" r:id="rId4"/>
    <sheet name="Labels" sheetId="5" state="visible" r:id="rId5"/>
    <sheet name="Conflicts" sheetId="6" state="visible" r:id="rId6"/>
    <sheet name="Validation" sheetId="7" state="visible" r:id="rId7"/>
  </sheets>
  <definedNames>
    <definedName name="_xlnm._FilterDatabase" localSheetId="1" hidden="1">'Summary by building'!$A$1:$K$244</definedName>
    <definedName name="_xlnm._FilterDatabase" localSheetId="3" hidden="1">'Objects'!$A$1:$AD$1089</definedName>
    <definedName name="_xlnm._FilterDatabase" localSheetId="4" hidden="1">'Labels'!$A$1:$N$591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9" fontId="2" fillId="0" borderId="0" pivotButton="0" quotePrefix="0" xfId="0"/>
    <xf numFmtId="2" fontId="2" fillId="0" borderId="0" pivotButton="0" quotePrefix="0" xfId="0"/>
    <xf numFmtId="0" fontId="1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Geometry-first classification</t>
        </is>
      </c>
    </row>
    <row r="2">
      <c r="A2" s="2" t="inlineStr"/>
    </row>
    <row r="3">
      <c r="A3" s="3" t="inlineStr">
        <is>
          <t>How each element got its class</t>
        </is>
      </c>
    </row>
    <row r="4">
      <c r="A4" s="2" t="inlineStr">
        <is>
          <t>1. Objects were found from geometry only: solid fills (pieces grouped by the order they are drawn in), cross-hatched regions, closed outlines, bands (pairs of parallel lines; the widths come from the drawing itself) and circle stamps with corner rays. No colour, no layer, no text.</t>
        </is>
      </c>
    </row>
    <row r="5">
      <c r="A5" s="2" t="inlineStr">
        <is>
          <t>2. Objects of the same drawing kind were clustered on geometric features only: size, shape (including the EN 1992-1-1 5.3.1(7) section test, long side &lt;= 4 x short side), and what they touch, contain or stand in. Deliberately more clusters than classes.</t>
        </is>
      </c>
    </row>
    <row r="6">
      <c r="A6" s="2" t="inlineStr">
        <is>
          <t>3. Every label was matched to one object by distance and text alignment, in one global assignment that ignores what the label says; a label may stay unmatched.</t>
        </is>
      </c>
    </row>
    <row r="7">
      <c r="A7" s="2" t="inlineStr">
        <is>
          <t>4. A cluster takes the class that most of its matched labels name (&gt;= 5 votes for it, at least 1.5 x the runner-up, with labels on &gt;= 10% of its members, or a small clear vote of 2 or more with labels on 30% of its members). A cluster without enough labels takes the name of the most similar named cluster of the same drawing kind (feature distance &lt;= 1.6), else stays unnamed. Unlabelled members inherit their cluster's class - that is how unlabelled walls became walls.</t>
        </is>
      </c>
    </row>
    <row r="8">
      <c r="A8" s="2" t="inlineStr">
        <is>
          <t>5. Labels were matched again, now only to objects of the class they name (or unnamed ones, at a cost), penalising an object whose size differs from the size its type has where a label sits right on its element, or that lies between expansion joints of another building. That gives the type keys (P1/124, V3/120, S7...).</t>
        </is>
      </c>
    </row>
    <row r="9">
      <c r="A9" s="2" t="inlineStr">
        <is>
          <t>6. An unlabelled member of a class takes the type of its class (and building, where sizes vary per building) that has its size: '~P1/124' when one type fits, '~V2/123|V4/123' when several share the size (nearest first). When none fits, the type source says so: for a 'column' that is a sign it is not a column.</t>
        </is>
      </c>
    </row>
    <row r="10">
      <c r="A10" s="2" t="inlineStr">
        <is>
          <t>7. Buildings: the footprint is cut along the expansion joints (pairs of long lines a few cm apart); a region whose labels agree is one building. Elsewhere the nearest building-numbered labels within the region decide.</t>
        </is>
      </c>
    </row>
    <row r="11">
      <c r="A11" s="2" t="inlineStr"/>
    </row>
    <row r="12">
      <c r="A12" s="3" t="inlineStr">
        <is>
          <t>What labels do and do not decide</t>
        </is>
      </c>
    </row>
    <row r="13">
      <c r="A13" s="2" t="inlineStr">
        <is>
          <t>A single label never decides an object's class: it votes for its cluster, and its object keeps the cluster's class even if the label disagrees. Disagreeing labels are listed on 'Conflicts' - each is a wrong label, a wrongly placed label, or a geometry mistake worth a look.</t>
        </is>
      </c>
    </row>
    <row r="14">
      <c r="A14" s="2" t="inlineStr">
        <is>
          <t>Clusters no label votes for (cross-hatched walls, small stippled squares, several band widths) keep a descriptive geometric name; naming them is an interpretation, not something the plan states.</t>
        </is>
      </c>
    </row>
    <row r="15">
      <c r="A15" s="2" t="inlineStr"/>
    </row>
    <row r="16">
      <c r="A16" s="3" t="inlineStr">
        <is>
          <t>Sheets</t>
        </is>
      </c>
    </row>
    <row r="17">
      <c r="A17" s="2" t="inlineStr">
        <is>
          <t>Summary by building - counts and sizes per building, class and type (formulas over 'Objects').</t>
        </is>
      </c>
    </row>
    <row r="18">
      <c r="A18" s="2" t="inlineStr">
        <is>
          <t>Clusters - every geometric cluster, its size ranges, the label votes it received and the name it took.</t>
        </is>
      </c>
    </row>
    <row r="19">
      <c r="A19" s="2" t="inlineStr">
        <is>
          <t>Objects - every object with its class, type, measurements, features and pixel box (page at 150 dpi).</t>
        </is>
      </c>
    </row>
    <row r="20">
      <c r="A20" s="2" t="inlineStr">
        <is>
          <t>Labels - every label: what it names, where the first (neutral) pass put it, whether that agreed, and the second-pass match.</t>
        </is>
      </c>
    </row>
    <row r="21">
      <c r="A21" s="2" t="inlineStr">
        <is>
          <t>Conflicts - labels that disagreed with their object's cluster, and labels left unmatched.</t>
        </is>
      </c>
    </row>
    <row r="22">
      <c r="A22" s="2" t="inlineStr">
        <is>
          <t>Validation - geometric classes against the verified, colour-based detections.</t>
        </is>
      </c>
    </row>
    <row r="23">
      <c r="A23" s="2" t="inlineStr"/>
    </row>
    <row r="24">
      <c r="A24" s="2" t="inlineStr">
        <is>
          <t>Scale 1/200.0, from 222 dimension texts (median error 0.24 cm). Formulas recalculate on opening; they were checked with the Python 'formulas' engine.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0" customWidth="1" min="10" max="10"/>
    <col width="11" customWidth="1" min="11" max="11"/>
  </cols>
  <sheetData>
    <row r="1" ht="30" customHeight="1">
      <c r="A1" s="4" t="inlineStr">
        <is>
          <t>Building</t>
        </is>
      </c>
      <c r="B1" s="4" t="inlineStr">
        <is>
          <t>Class</t>
        </is>
      </c>
      <c r="C1" s="4" t="inlineStr">
        <is>
          <t>Type key</t>
        </is>
      </c>
      <c r="D1" s="4" t="inlineStr">
        <is>
          <t>Count</t>
        </is>
      </c>
      <c r="E1" s="4" t="inlineStr">
        <is>
          <t>Length min (cm)</t>
        </is>
      </c>
      <c r="F1" s="4" t="inlineStr">
        <is>
          <t>Length max (cm)</t>
        </is>
      </c>
      <c r="G1" s="4" t="inlineStr">
        <is>
          <t>Width min (cm)</t>
        </is>
      </c>
      <c r="H1" s="4" t="inlineStr">
        <is>
          <t>Width max (cm)</t>
        </is>
      </c>
      <c r="I1" s="4" t="inlineStr">
        <is>
          <t>Same section?</t>
        </is>
      </c>
      <c r="J1" s="4" t="inlineStr">
        <is>
          <t>Total length (m)</t>
        </is>
      </c>
      <c r="K1" s="4" t="inlineStr">
        <is>
          <t>Of which typed by inference</t>
        </is>
      </c>
    </row>
    <row r="2">
      <c r="A2" s="5" t="inlineStr">
        <is>
          <t>120</t>
        </is>
      </c>
      <c r="B2" s="5" t="inlineStr">
        <is>
          <t>column</t>
        </is>
      </c>
      <c r="C2" s="5" t="inlineStr">
        <is>
          <t>(none)</t>
        </is>
      </c>
      <c r="D2" s="5">
        <f>COUNTIFS(Objects!$B$2:$B$1089,$A2,Objects!$F$2:$F$1089,$B2,Objects!$H$2:$H$1089,$C2)</f>
        <v/>
      </c>
      <c r="E2" s="5">
        <f>_xlfn.MINIFS(Objects!$K$2:$K$1089,Objects!$B$2:$B$1089,$A2,Objects!$F$2:$F$1089,$B2,Objects!$H$2:$H$1089,$C2)</f>
        <v/>
      </c>
      <c r="F2" s="5">
        <f>_xlfn.MAXIFS(Objects!$K$2:$K$1089,Objects!$B$2:$B$1089,$A2,Objects!$F$2:$F$1089,$B2,Objects!$H$2:$H$1089,$C2)</f>
        <v/>
      </c>
      <c r="G2" s="5">
        <f>_xlfn.MINIFS(Objects!$L$2:$L$1089,Objects!$B$2:$B$1089,$A2,Objects!$F$2:$F$1089,$B2,Objects!$H$2:$H$1089,$C2)</f>
        <v/>
      </c>
      <c r="H2" s="5">
        <f>_xlfn.MAXIFS(Objects!$L$2:$L$1089,Objects!$B$2:$B$1089,$A2,Objects!$F$2:$F$1089,$B2,Objects!$H$2:$H$1089,$C2)</f>
        <v/>
      </c>
      <c r="I2" s="5">
        <f>IF(OR(C2="(none)",B2="raft",B2="sump_pit"),"n/a",IF(OR(B2="column",B2="shear_wall",B2="isolated_footing",B2="combined_footing"),IF(AND(F2-E2&lt;=3,H2-G2&lt;=3),"yes","no"),IF(H2-G2&lt;=3,"yes (thickness)","no (thickness)")))</f>
        <v/>
      </c>
      <c r="J2" s="6">
        <f>SUMIFS(Objects!$K$2:$K$1089,Objects!$B$2:$B$1089,$A2,Objects!$F$2:$F$1089,$B2,Objects!$H$2:$H$1089,$C2)/100</f>
        <v/>
      </c>
      <c r="K2" s="5">
        <f>COUNTIFS(Objects!$B$2:$B$1089,$A2,Objects!$F$2:$F$1089,$B2,Objects!$H$2:$H$1089,$C2,Objects!$I$2:$I$1089,"inferred*")</f>
        <v/>
      </c>
    </row>
    <row r="3">
      <c r="A3" s="5" t="inlineStr">
        <is>
          <t>120</t>
        </is>
      </c>
      <c r="B3" s="5" t="inlineStr">
        <is>
          <t>column</t>
        </is>
      </c>
      <c r="C3" s="5" t="inlineStr">
        <is>
          <t>P1/120</t>
        </is>
      </c>
      <c r="D3" s="5">
        <f>COUNTIFS(Objects!$B$2:$B$1089,$A3,Objects!$F$2:$F$1089,$B3,Objects!$H$2:$H$1089,$C3)</f>
        <v/>
      </c>
      <c r="E3" s="5">
        <f>_xlfn.MINIFS(Objects!$K$2:$K$1089,Objects!$B$2:$B$1089,$A3,Objects!$F$2:$F$1089,$B3,Objects!$H$2:$H$1089,$C3)</f>
        <v/>
      </c>
      <c r="F3" s="5">
        <f>_xlfn.MAXIFS(Objects!$K$2:$K$1089,Objects!$B$2:$B$1089,$A3,Objects!$F$2:$F$1089,$B3,Objects!$H$2:$H$1089,$C3)</f>
        <v/>
      </c>
      <c r="G3" s="5">
        <f>_xlfn.MINIFS(Objects!$L$2:$L$1089,Objects!$B$2:$B$1089,$A3,Objects!$F$2:$F$1089,$B3,Objects!$H$2:$H$1089,$C3)</f>
        <v/>
      </c>
      <c r="H3" s="5">
        <f>_xlfn.MAXIFS(Objects!$L$2:$L$1089,Objects!$B$2:$B$1089,$A3,Objects!$F$2:$F$1089,$B3,Objects!$H$2:$H$1089,$C3)</f>
        <v/>
      </c>
      <c r="I3" s="5">
        <f>IF(OR(C3="(none)",B3="raft",B3="sump_pit"),"n/a",IF(OR(B3="column",B3="shear_wall",B3="isolated_footing",B3="combined_footing"),IF(AND(F3-E3&lt;=3,H3-G3&lt;=3),"yes","no"),IF(H3-G3&lt;=3,"yes (thickness)","no (thickness)")))</f>
        <v/>
      </c>
      <c r="J3" s="6">
        <f>SUMIFS(Objects!$K$2:$K$1089,Objects!$B$2:$B$1089,$A3,Objects!$F$2:$F$1089,$B3,Objects!$H$2:$H$1089,$C3)/100</f>
        <v/>
      </c>
      <c r="K3" s="5">
        <f>COUNTIFS(Objects!$B$2:$B$1089,$A3,Objects!$F$2:$F$1089,$B3,Objects!$H$2:$H$1089,$C3,Objects!$I$2:$I$1089,"inferred*")</f>
        <v/>
      </c>
    </row>
    <row r="4">
      <c r="A4" s="5" t="inlineStr">
        <is>
          <t>120</t>
        </is>
      </c>
      <c r="B4" s="5" t="inlineStr">
        <is>
          <t>shear_wall</t>
        </is>
      </c>
      <c r="C4" s="5" t="inlineStr">
        <is>
          <t>(none)</t>
        </is>
      </c>
      <c r="D4" s="5">
        <f>COUNTIFS(Objects!$B$2:$B$1089,$A4,Objects!$F$2:$F$1089,$B4,Objects!$H$2:$H$1089,$C4)</f>
        <v/>
      </c>
      <c r="E4" s="5">
        <f>_xlfn.MINIFS(Objects!$K$2:$K$1089,Objects!$B$2:$B$1089,$A4,Objects!$F$2:$F$1089,$B4,Objects!$H$2:$H$1089,$C4)</f>
        <v/>
      </c>
      <c r="F4" s="5">
        <f>_xlfn.MAXIFS(Objects!$K$2:$K$1089,Objects!$B$2:$B$1089,$A4,Objects!$F$2:$F$1089,$B4,Objects!$H$2:$H$1089,$C4)</f>
        <v/>
      </c>
      <c r="G4" s="5">
        <f>_xlfn.MINIFS(Objects!$L$2:$L$1089,Objects!$B$2:$B$1089,$A4,Objects!$F$2:$F$1089,$B4,Objects!$H$2:$H$1089,$C4)</f>
        <v/>
      </c>
      <c r="H4" s="5">
        <f>_xlfn.MAXIFS(Objects!$L$2:$L$1089,Objects!$B$2:$B$1089,$A4,Objects!$F$2:$F$1089,$B4,Objects!$H$2:$H$1089,$C4)</f>
        <v/>
      </c>
      <c r="I4" s="5">
        <f>IF(OR(C4="(none)",B4="raft",B4="sump_pit"),"n/a",IF(OR(B4="column",B4="shear_wall",B4="isolated_footing",B4="combined_footing"),IF(AND(F4-E4&lt;=3,H4-G4&lt;=3),"yes","no"),IF(H4-G4&lt;=3,"yes (thickness)","no (thickness)")))</f>
        <v/>
      </c>
      <c r="J4" s="6">
        <f>SUMIFS(Objects!$K$2:$K$1089,Objects!$B$2:$B$1089,$A4,Objects!$F$2:$F$1089,$B4,Objects!$H$2:$H$1089,$C4)/100</f>
        <v/>
      </c>
      <c r="K4" s="5">
        <f>COUNTIFS(Objects!$B$2:$B$1089,$A4,Objects!$F$2:$F$1089,$B4,Objects!$H$2:$H$1089,$C4,Objects!$I$2:$I$1089,"inferred*")</f>
        <v/>
      </c>
    </row>
    <row r="5">
      <c r="A5" s="5" t="inlineStr">
        <is>
          <t>120</t>
        </is>
      </c>
      <c r="B5" s="5" t="inlineStr">
        <is>
          <t>shear_wall</t>
        </is>
      </c>
      <c r="C5" s="5" t="inlineStr">
        <is>
          <t>V1/120</t>
        </is>
      </c>
      <c r="D5" s="5">
        <f>COUNTIFS(Objects!$B$2:$B$1089,$A5,Objects!$F$2:$F$1089,$B5,Objects!$H$2:$H$1089,$C5)</f>
        <v/>
      </c>
      <c r="E5" s="5">
        <f>_xlfn.MINIFS(Objects!$K$2:$K$1089,Objects!$B$2:$B$1089,$A5,Objects!$F$2:$F$1089,$B5,Objects!$H$2:$H$1089,$C5)</f>
        <v/>
      </c>
      <c r="F5" s="5">
        <f>_xlfn.MAXIFS(Objects!$K$2:$K$1089,Objects!$B$2:$B$1089,$A5,Objects!$F$2:$F$1089,$B5,Objects!$H$2:$H$1089,$C5)</f>
        <v/>
      </c>
      <c r="G5" s="5">
        <f>_xlfn.MINIFS(Objects!$L$2:$L$1089,Objects!$B$2:$B$1089,$A5,Objects!$F$2:$F$1089,$B5,Objects!$H$2:$H$1089,$C5)</f>
        <v/>
      </c>
      <c r="H5" s="5">
        <f>_xlfn.MAXIFS(Objects!$L$2:$L$1089,Objects!$B$2:$B$1089,$A5,Objects!$F$2:$F$1089,$B5,Objects!$H$2:$H$1089,$C5)</f>
        <v/>
      </c>
      <c r="I5" s="5">
        <f>IF(OR(C5="(none)",B5="raft",B5="sump_pit"),"n/a",IF(OR(B5="column",B5="shear_wall",B5="isolated_footing",B5="combined_footing"),IF(AND(F5-E5&lt;=3,H5-G5&lt;=3),"yes","no"),IF(H5-G5&lt;=3,"yes (thickness)","no (thickness)")))</f>
        <v/>
      </c>
      <c r="J5" s="6">
        <f>SUMIFS(Objects!$K$2:$K$1089,Objects!$B$2:$B$1089,$A5,Objects!$F$2:$F$1089,$B5,Objects!$H$2:$H$1089,$C5)/100</f>
        <v/>
      </c>
      <c r="K5" s="5">
        <f>COUNTIFS(Objects!$B$2:$B$1089,$A5,Objects!$F$2:$F$1089,$B5,Objects!$H$2:$H$1089,$C5,Objects!$I$2:$I$1089,"inferred*")</f>
        <v/>
      </c>
    </row>
    <row r="6">
      <c r="A6" s="5" t="inlineStr">
        <is>
          <t>120</t>
        </is>
      </c>
      <c r="B6" s="5" t="inlineStr">
        <is>
          <t>shear_wall</t>
        </is>
      </c>
      <c r="C6" s="5" t="inlineStr">
        <is>
          <t>V2/120</t>
        </is>
      </c>
      <c r="D6" s="5">
        <f>COUNTIFS(Objects!$B$2:$B$1089,$A6,Objects!$F$2:$F$1089,$B6,Objects!$H$2:$H$1089,$C6)</f>
        <v/>
      </c>
      <c r="E6" s="5">
        <f>_xlfn.MINIFS(Objects!$K$2:$K$1089,Objects!$B$2:$B$1089,$A6,Objects!$F$2:$F$1089,$B6,Objects!$H$2:$H$1089,$C6)</f>
        <v/>
      </c>
      <c r="F6" s="5">
        <f>_xlfn.MAXIFS(Objects!$K$2:$K$1089,Objects!$B$2:$B$1089,$A6,Objects!$F$2:$F$1089,$B6,Objects!$H$2:$H$1089,$C6)</f>
        <v/>
      </c>
      <c r="G6" s="5">
        <f>_xlfn.MINIFS(Objects!$L$2:$L$1089,Objects!$B$2:$B$1089,$A6,Objects!$F$2:$F$1089,$B6,Objects!$H$2:$H$1089,$C6)</f>
        <v/>
      </c>
      <c r="H6" s="5">
        <f>_xlfn.MAXIFS(Objects!$L$2:$L$1089,Objects!$B$2:$B$1089,$A6,Objects!$F$2:$F$1089,$B6,Objects!$H$2:$H$1089,$C6)</f>
        <v/>
      </c>
      <c r="I6" s="5">
        <f>IF(OR(C6="(none)",B6="raft",B6="sump_pit"),"n/a",IF(OR(B6="column",B6="shear_wall",B6="isolated_footing",B6="combined_footing"),IF(AND(F6-E6&lt;=3,H6-G6&lt;=3),"yes","no"),IF(H6-G6&lt;=3,"yes (thickness)","no (thickness)")))</f>
        <v/>
      </c>
      <c r="J6" s="6">
        <f>SUMIFS(Objects!$K$2:$K$1089,Objects!$B$2:$B$1089,$A6,Objects!$F$2:$F$1089,$B6,Objects!$H$2:$H$1089,$C6)/100</f>
        <v/>
      </c>
      <c r="K6" s="5">
        <f>COUNTIFS(Objects!$B$2:$B$1089,$A6,Objects!$F$2:$F$1089,$B6,Objects!$H$2:$H$1089,$C6,Objects!$I$2:$I$1089,"inferred*")</f>
        <v/>
      </c>
    </row>
    <row r="7">
      <c r="A7" s="5" t="inlineStr">
        <is>
          <t>120</t>
        </is>
      </c>
      <c r="B7" s="5" t="inlineStr">
        <is>
          <t>shear_wall</t>
        </is>
      </c>
      <c r="C7" s="5" t="inlineStr">
        <is>
          <t>V3/120</t>
        </is>
      </c>
      <c r="D7" s="5">
        <f>COUNTIFS(Objects!$B$2:$B$1089,$A7,Objects!$F$2:$F$1089,$B7,Objects!$H$2:$H$1089,$C7)</f>
        <v/>
      </c>
      <c r="E7" s="5">
        <f>_xlfn.MINIFS(Objects!$K$2:$K$1089,Objects!$B$2:$B$1089,$A7,Objects!$F$2:$F$1089,$B7,Objects!$H$2:$H$1089,$C7)</f>
        <v/>
      </c>
      <c r="F7" s="5">
        <f>_xlfn.MAXIFS(Objects!$K$2:$K$1089,Objects!$B$2:$B$1089,$A7,Objects!$F$2:$F$1089,$B7,Objects!$H$2:$H$1089,$C7)</f>
        <v/>
      </c>
      <c r="G7" s="5">
        <f>_xlfn.MINIFS(Objects!$L$2:$L$1089,Objects!$B$2:$B$1089,$A7,Objects!$F$2:$F$1089,$B7,Objects!$H$2:$H$1089,$C7)</f>
        <v/>
      </c>
      <c r="H7" s="5">
        <f>_xlfn.MAXIFS(Objects!$L$2:$L$1089,Objects!$B$2:$B$1089,$A7,Objects!$F$2:$F$1089,$B7,Objects!$H$2:$H$1089,$C7)</f>
        <v/>
      </c>
      <c r="I7" s="5">
        <f>IF(OR(C7="(none)",B7="raft",B7="sump_pit"),"n/a",IF(OR(B7="column",B7="shear_wall",B7="isolated_footing",B7="combined_footing"),IF(AND(F7-E7&lt;=3,H7-G7&lt;=3),"yes","no"),IF(H7-G7&lt;=3,"yes (thickness)","no (thickness)")))</f>
        <v/>
      </c>
      <c r="J7" s="6">
        <f>SUMIFS(Objects!$K$2:$K$1089,Objects!$B$2:$B$1089,$A7,Objects!$F$2:$F$1089,$B7,Objects!$H$2:$H$1089,$C7)/100</f>
        <v/>
      </c>
      <c r="K7" s="5">
        <f>COUNTIFS(Objects!$B$2:$B$1089,$A7,Objects!$F$2:$F$1089,$B7,Objects!$H$2:$H$1089,$C7,Objects!$I$2:$I$1089,"inferred*")</f>
        <v/>
      </c>
    </row>
    <row r="8">
      <c r="A8" s="5" t="inlineStr">
        <is>
          <t>120</t>
        </is>
      </c>
      <c r="B8" s="5" t="inlineStr">
        <is>
          <t>shear_wall</t>
        </is>
      </c>
      <c r="C8" s="5" t="inlineStr">
        <is>
          <t>V4/120</t>
        </is>
      </c>
      <c r="D8" s="5">
        <f>COUNTIFS(Objects!$B$2:$B$1089,$A8,Objects!$F$2:$F$1089,$B8,Objects!$H$2:$H$1089,$C8)</f>
        <v/>
      </c>
      <c r="E8" s="5">
        <f>_xlfn.MINIFS(Objects!$K$2:$K$1089,Objects!$B$2:$B$1089,$A8,Objects!$F$2:$F$1089,$B8,Objects!$H$2:$H$1089,$C8)</f>
        <v/>
      </c>
      <c r="F8" s="5">
        <f>_xlfn.MAXIFS(Objects!$K$2:$K$1089,Objects!$B$2:$B$1089,$A8,Objects!$F$2:$F$1089,$B8,Objects!$H$2:$H$1089,$C8)</f>
        <v/>
      </c>
      <c r="G8" s="5">
        <f>_xlfn.MINIFS(Objects!$L$2:$L$1089,Objects!$B$2:$B$1089,$A8,Objects!$F$2:$F$1089,$B8,Objects!$H$2:$H$1089,$C8)</f>
        <v/>
      </c>
      <c r="H8" s="5">
        <f>_xlfn.MAXIFS(Objects!$L$2:$L$1089,Objects!$B$2:$B$1089,$A8,Objects!$F$2:$F$1089,$B8,Objects!$H$2:$H$1089,$C8)</f>
        <v/>
      </c>
      <c r="I8" s="5">
        <f>IF(OR(C8="(none)",B8="raft",B8="sump_pit"),"n/a",IF(OR(B8="column",B8="shear_wall",B8="isolated_footing",B8="combined_footing"),IF(AND(F8-E8&lt;=3,H8-G8&lt;=3),"yes","no"),IF(H8-G8&lt;=3,"yes (thickness)","no (thickness)")))</f>
        <v/>
      </c>
      <c r="J8" s="6">
        <f>SUMIFS(Objects!$K$2:$K$1089,Objects!$B$2:$B$1089,$A8,Objects!$F$2:$F$1089,$B8,Objects!$H$2:$H$1089,$C8)/100</f>
        <v/>
      </c>
      <c r="K8" s="5">
        <f>COUNTIFS(Objects!$B$2:$B$1089,$A8,Objects!$F$2:$F$1089,$B8,Objects!$H$2:$H$1089,$C8,Objects!$I$2:$I$1089,"inferred*")</f>
        <v/>
      </c>
    </row>
    <row r="9">
      <c r="A9" s="5" t="inlineStr">
        <is>
          <t>120</t>
        </is>
      </c>
      <c r="B9" s="5" t="inlineStr">
        <is>
          <t>shear_wall</t>
        </is>
      </c>
      <c r="C9" s="5" t="inlineStr">
        <is>
          <t>V5/120</t>
        </is>
      </c>
      <c r="D9" s="5">
        <f>COUNTIFS(Objects!$B$2:$B$1089,$A9,Objects!$F$2:$F$1089,$B9,Objects!$H$2:$H$1089,$C9)</f>
        <v/>
      </c>
      <c r="E9" s="5">
        <f>_xlfn.MINIFS(Objects!$K$2:$K$1089,Objects!$B$2:$B$1089,$A9,Objects!$F$2:$F$1089,$B9,Objects!$H$2:$H$1089,$C9)</f>
        <v/>
      </c>
      <c r="F9" s="5">
        <f>_xlfn.MAXIFS(Objects!$K$2:$K$1089,Objects!$B$2:$B$1089,$A9,Objects!$F$2:$F$1089,$B9,Objects!$H$2:$H$1089,$C9)</f>
        <v/>
      </c>
      <c r="G9" s="5">
        <f>_xlfn.MINIFS(Objects!$L$2:$L$1089,Objects!$B$2:$B$1089,$A9,Objects!$F$2:$F$1089,$B9,Objects!$H$2:$H$1089,$C9)</f>
        <v/>
      </c>
      <c r="H9" s="5">
        <f>_xlfn.MAXIFS(Objects!$L$2:$L$1089,Objects!$B$2:$B$1089,$A9,Objects!$F$2:$F$1089,$B9,Objects!$H$2:$H$1089,$C9)</f>
        <v/>
      </c>
      <c r="I9" s="5">
        <f>IF(OR(C9="(none)",B9="raft",B9="sump_pit"),"n/a",IF(OR(B9="column",B9="shear_wall",B9="isolated_footing",B9="combined_footing"),IF(AND(F9-E9&lt;=3,H9-G9&lt;=3),"yes","no"),IF(H9-G9&lt;=3,"yes (thickness)","no (thickness)")))</f>
        <v/>
      </c>
      <c r="J9" s="6">
        <f>SUMIFS(Objects!$K$2:$K$1089,Objects!$B$2:$B$1089,$A9,Objects!$F$2:$F$1089,$B9,Objects!$H$2:$H$1089,$C9)/100</f>
        <v/>
      </c>
      <c r="K9" s="5">
        <f>COUNTIFS(Objects!$B$2:$B$1089,$A9,Objects!$F$2:$F$1089,$B9,Objects!$H$2:$H$1089,$C9,Objects!$I$2:$I$1089,"inferred*")</f>
        <v/>
      </c>
    </row>
    <row r="10">
      <c r="A10" s="5" t="inlineStr">
        <is>
          <t>120</t>
        </is>
      </c>
      <c r="B10" s="5" t="inlineStr">
        <is>
          <t>shear_wall</t>
        </is>
      </c>
      <c r="C10" s="5" t="inlineStr">
        <is>
          <t>V8/120</t>
        </is>
      </c>
      <c r="D10" s="5">
        <f>COUNTIFS(Objects!$B$2:$B$1089,$A10,Objects!$F$2:$F$1089,$B10,Objects!$H$2:$H$1089,$C10)</f>
        <v/>
      </c>
      <c r="E10" s="5">
        <f>_xlfn.MINIFS(Objects!$K$2:$K$1089,Objects!$B$2:$B$1089,$A10,Objects!$F$2:$F$1089,$B10,Objects!$H$2:$H$1089,$C10)</f>
        <v/>
      </c>
      <c r="F10" s="5">
        <f>_xlfn.MAXIFS(Objects!$K$2:$K$1089,Objects!$B$2:$B$1089,$A10,Objects!$F$2:$F$1089,$B10,Objects!$H$2:$H$1089,$C10)</f>
        <v/>
      </c>
      <c r="G10" s="5">
        <f>_xlfn.MINIFS(Objects!$L$2:$L$1089,Objects!$B$2:$B$1089,$A10,Objects!$F$2:$F$1089,$B10,Objects!$H$2:$H$1089,$C10)</f>
        <v/>
      </c>
      <c r="H10" s="5">
        <f>_xlfn.MAXIFS(Objects!$L$2:$L$1089,Objects!$B$2:$B$1089,$A10,Objects!$F$2:$F$1089,$B10,Objects!$H$2:$H$1089,$C10)</f>
        <v/>
      </c>
      <c r="I10" s="5">
        <f>IF(OR(C10="(none)",B10="raft",B10="sump_pit"),"n/a",IF(OR(B10="column",B10="shear_wall",B10="isolated_footing",B10="combined_footing"),IF(AND(F10-E10&lt;=3,H10-G10&lt;=3),"yes","no"),IF(H10-G10&lt;=3,"yes (thickness)","no (thickness)")))</f>
        <v/>
      </c>
      <c r="J10" s="6">
        <f>SUMIFS(Objects!$K$2:$K$1089,Objects!$B$2:$B$1089,$A10,Objects!$F$2:$F$1089,$B10,Objects!$H$2:$H$1089,$C10)/100</f>
        <v/>
      </c>
      <c r="K10" s="5">
        <f>COUNTIFS(Objects!$B$2:$B$1089,$A10,Objects!$F$2:$F$1089,$B10,Objects!$H$2:$H$1089,$C10,Objects!$I$2:$I$1089,"inferred*")</f>
        <v/>
      </c>
    </row>
    <row r="11">
      <c r="A11" s="5" t="inlineStr">
        <is>
          <t>120</t>
        </is>
      </c>
      <c r="B11" s="5" t="inlineStr">
        <is>
          <t>shear_wall</t>
        </is>
      </c>
      <c r="C11" s="5" t="inlineStr">
        <is>
          <t>V9/120</t>
        </is>
      </c>
      <c r="D11" s="5">
        <f>COUNTIFS(Objects!$B$2:$B$1089,$A11,Objects!$F$2:$F$1089,$B11,Objects!$H$2:$H$1089,$C11)</f>
        <v/>
      </c>
      <c r="E11" s="5">
        <f>_xlfn.MINIFS(Objects!$K$2:$K$1089,Objects!$B$2:$B$1089,$A11,Objects!$F$2:$F$1089,$B11,Objects!$H$2:$H$1089,$C11)</f>
        <v/>
      </c>
      <c r="F11" s="5">
        <f>_xlfn.MAXIFS(Objects!$K$2:$K$1089,Objects!$B$2:$B$1089,$A11,Objects!$F$2:$F$1089,$B11,Objects!$H$2:$H$1089,$C11)</f>
        <v/>
      </c>
      <c r="G11" s="5">
        <f>_xlfn.MINIFS(Objects!$L$2:$L$1089,Objects!$B$2:$B$1089,$A11,Objects!$F$2:$F$1089,$B11,Objects!$H$2:$H$1089,$C11)</f>
        <v/>
      </c>
      <c r="H11" s="5">
        <f>_xlfn.MAXIFS(Objects!$L$2:$L$1089,Objects!$B$2:$B$1089,$A11,Objects!$F$2:$F$1089,$B11,Objects!$H$2:$H$1089,$C11)</f>
        <v/>
      </c>
      <c r="I11" s="5">
        <f>IF(OR(C11="(none)",B11="raft",B11="sump_pit"),"n/a",IF(OR(B11="column",B11="shear_wall",B11="isolated_footing",B11="combined_footing"),IF(AND(F11-E11&lt;=3,H11-G11&lt;=3),"yes","no"),IF(H11-G11&lt;=3,"yes (thickness)","no (thickness)")))</f>
        <v/>
      </c>
      <c r="J11" s="6">
        <f>SUMIFS(Objects!$K$2:$K$1089,Objects!$B$2:$B$1089,$A11,Objects!$F$2:$F$1089,$B11,Objects!$H$2:$H$1089,$C11)/100</f>
        <v/>
      </c>
      <c r="K11" s="5">
        <f>COUNTIFS(Objects!$B$2:$B$1089,$A11,Objects!$F$2:$F$1089,$B11,Objects!$H$2:$H$1089,$C11,Objects!$I$2:$I$1089,"inferred*")</f>
        <v/>
      </c>
    </row>
    <row r="12">
      <c r="A12" s="5" t="inlineStr">
        <is>
          <t>120</t>
        </is>
      </c>
      <c r="B12" s="5" t="inlineStr">
        <is>
          <t>retaining_wall</t>
        </is>
      </c>
      <c r="C12" s="5" t="inlineStr">
        <is>
          <t>VP20</t>
        </is>
      </c>
      <c r="D12" s="5">
        <f>COUNTIFS(Objects!$B$2:$B$1089,$A12,Objects!$F$2:$F$1089,$B12,Objects!$H$2:$H$1089,$C12)</f>
        <v/>
      </c>
      <c r="E12" s="5">
        <f>_xlfn.MINIFS(Objects!$K$2:$K$1089,Objects!$B$2:$B$1089,$A12,Objects!$F$2:$F$1089,$B12,Objects!$H$2:$H$1089,$C12)</f>
        <v/>
      </c>
      <c r="F12" s="5">
        <f>_xlfn.MAXIFS(Objects!$K$2:$K$1089,Objects!$B$2:$B$1089,$A12,Objects!$F$2:$F$1089,$B12,Objects!$H$2:$H$1089,$C12)</f>
        <v/>
      </c>
      <c r="G12" s="5">
        <f>_xlfn.MINIFS(Objects!$L$2:$L$1089,Objects!$B$2:$B$1089,$A12,Objects!$F$2:$F$1089,$B12,Objects!$H$2:$H$1089,$C12)</f>
        <v/>
      </c>
      <c r="H12" s="5">
        <f>_xlfn.MAXIFS(Objects!$L$2:$L$1089,Objects!$B$2:$B$1089,$A12,Objects!$F$2:$F$1089,$B12,Objects!$H$2:$H$1089,$C12)</f>
        <v/>
      </c>
      <c r="I12" s="5">
        <f>IF(OR(C12="(none)",B12="raft",B12="sump_pit"),"n/a",IF(OR(B12="column",B12="shear_wall",B12="isolated_footing",B12="combined_footing"),IF(AND(F12-E12&lt;=3,H12-G12&lt;=3),"yes","no"),IF(H12-G12&lt;=3,"yes (thickness)","no (thickness)")))</f>
        <v/>
      </c>
      <c r="J12" s="6">
        <f>SUMIFS(Objects!$K$2:$K$1089,Objects!$B$2:$B$1089,$A12,Objects!$F$2:$F$1089,$B12,Objects!$H$2:$H$1089,$C12)/100</f>
        <v/>
      </c>
      <c r="K12" s="5">
        <f>COUNTIFS(Objects!$B$2:$B$1089,$A12,Objects!$F$2:$F$1089,$B12,Objects!$H$2:$H$1089,$C12,Objects!$I$2:$I$1089,"inferred*")</f>
        <v/>
      </c>
    </row>
    <row r="13">
      <c r="A13" s="5" t="inlineStr">
        <is>
          <t>120</t>
        </is>
      </c>
      <c r="B13" s="5" t="inlineStr">
        <is>
          <t>isolated_footing</t>
        </is>
      </c>
      <c r="C13" s="5" t="inlineStr">
        <is>
          <t>S1</t>
        </is>
      </c>
      <c r="D13" s="5">
        <f>COUNTIFS(Objects!$B$2:$B$1089,$A13,Objects!$F$2:$F$1089,$B13,Objects!$H$2:$H$1089,$C13)</f>
        <v/>
      </c>
      <c r="E13" s="5">
        <f>_xlfn.MINIFS(Objects!$K$2:$K$1089,Objects!$B$2:$B$1089,$A13,Objects!$F$2:$F$1089,$B13,Objects!$H$2:$H$1089,$C13)</f>
        <v/>
      </c>
      <c r="F13" s="5">
        <f>_xlfn.MAXIFS(Objects!$K$2:$K$1089,Objects!$B$2:$B$1089,$A13,Objects!$F$2:$F$1089,$B13,Objects!$H$2:$H$1089,$C13)</f>
        <v/>
      </c>
      <c r="G13" s="5">
        <f>_xlfn.MINIFS(Objects!$L$2:$L$1089,Objects!$B$2:$B$1089,$A13,Objects!$F$2:$F$1089,$B13,Objects!$H$2:$H$1089,$C13)</f>
        <v/>
      </c>
      <c r="H13" s="5">
        <f>_xlfn.MAXIFS(Objects!$L$2:$L$1089,Objects!$B$2:$B$1089,$A13,Objects!$F$2:$F$1089,$B13,Objects!$H$2:$H$1089,$C13)</f>
        <v/>
      </c>
      <c r="I13" s="5">
        <f>IF(OR(C13="(none)",B13="raft",B13="sump_pit"),"n/a",IF(OR(B13="column",B13="shear_wall",B13="isolated_footing",B13="combined_footing"),IF(AND(F13-E13&lt;=3,H13-G13&lt;=3),"yes","no"),IF(H13-G13&lt;=3,"yes (thickness)","no (thickness)")))</f>
        <v/>
      </c>
      <c r="J13" s="6">
        <f>SUMIFS(Objects!$K$2:$K$1089,Objects!$B$2:$B$1089,$A13,Objects!$F$2:$F$1089,$B13,Objects!$H$2:$H$1089,$C13)/100</f>
        <v/>
      </c>
      <c r="K13" s="5">
        <f>COUNTIFS(Objects!$B$2:$B$1089,$A13,Objects!$F$2:$F$1089,$B13,Objects!$H$2:$H$1089,$C13,Objects!$I$2:$I$1089,"inferred*")</f>
        <v/>
      </c>
    </row>
    <row r="14">
      <c r="A14" s="5" t="inlineStr">
        <is>
          <t>120</t>
        </is>
      </c>
      <c r="B14" s="5" t="inlineStr">
        <is>
          <t>isolated_footing</t>
        </is>
      </c>
      <c r="C14" s="5" t="inlineStr">
        <is>
          <t>S2</t>
        </is>
      </c>
      <c r="D14" s="5">
        <f>COUNTIFS(Objects!$B$2:$B$1089,$A14,Objects!$F$2:$F$1089,$B14,Objects!$H$2:$H$1089,$C14)</f>
        <v/>
      </c>
      <c r="E14" s="5">
        <f>_xlfn.MINIFS(Objects!$K$2:$K$1089,Objects!$B$2:$B$1089,$A14,Objects!$F$2:$F$1089,$B14,Objects!$H$2:$H$1089,$C14)</f>
        <v/>
      </c>
      <c r="F14" s="5">
        <f>_xlfn.MAXIFS(Objects!$K$2:$K$1089,Objects!$B$2:$B$1089,$A14,Objects!$F$2:$F$1089,$B14,Objects!$H$2:$H$1089,$C14)</f>
        <v/>
      </c>
      <c r="G14" s="5">
        <f>_xlfn.MINIFS(Objects!$L$2:$L$1089,Objects!$B$2:$B$1089,$A14,Objects!$F$2:$F$1089,$B14,Objects!$H$2:$H$1089,$C14)</f>
        <v/>
      </c>
      <c r="H14" s="5">
        <f>_xlfn.MAXIFS(Objects!$L$2:$L$1089,Objects!$B$2:$B$1089,$A14,Objects!$F$2:$F$1089,$B14,Objects!$H$2:$H$1089,$C14)</f>
        <v/>
      </c>
      <c r="I14" s="5">
        <f>IF(OR(C14="(none)",B14="raft",B14="sump_pit"),"n/a",IF(OR(B14="column",B14="shear_wall",B14="isolated_footing",B14="combined_footing"),IF(AND(F14-E14&lt;=3,H14-G14&lt;=3),"yes","no"),IF(H14-G14&lt;=3,"yes (thickness)","no (thickness)")))</f>
        <v/>
      </c>
      <c r="J14" s="6">
        <f>SUMIFS(Objects!$K$2:$K$1089,Objects!$B$2:$B$1089,$A14,Objects!$F$2:$F$1089,$B14,Objects!$H$2:$H$1089,$C14)/100</f>
        <v/>
      </c>
      <c r="K14" s="5">
        <f>COUNTIFS(Objects!$B$2:$B$1089,$A14,Objects!$F$2:$F$1089,$B14,Objects!$H$2:$H$1089,$C14,Objects!$I$2:$I$1089,"inferred*")</f>
        <v/>
      </c>
    </row>
    <row r="15">
      <c r="A15" s="5" t="inlineStr">
        <is>
          <t>120</t>
        </is>
      </c>
      <c r="B15" s="5" t="inlineStr">
        <is>
          <t>isolated_footing</t>
        </is>
      </c>
      <c r="C15" s="5" t="inlineStr">
        <is>
          <t>S3</t>
        </is>
      </c>
      <c r="D15" s="5">
        <f>COUNTIFS(Objects!$B$2:$B$1089,$A15,Objects!$F$2:$F$1089,$B15,Objects!$H$2:$H$1089,$C15)</f>
        <v/>
      </c>
      <c r="E15" s="5">
        <f>_xlfn.MINIFS(Objects!$K$2:$K$1089,Objects!$B$2:$B$1089,$A15,Objects!$F$2:$F$1089,$B15,Objects!$H$2:$H$1089,$C15)</f>
        <v/>
      </c>
      <c r="F15" s="5">
        <f>_xlfn.MAXIFS(Objects!$K$2:$K$1089,Objects!$B$2:$B$1089,$A15,Objects!$F$2:$F$1089,$B15,Objects!$H$2:$H$1089,$C15)</f>
        <v/>
      </c>
      <c r="G15" s="5">
        <f>_xlfn.MINIFS(Objects!$L$2:$L$1089,Objects!$B$2:$B$1089,$A15,Objects!$F$2:$F$1089,$B15,Objects!$H$2:$H$1089,$C15)</f>
        <v/>
      </c>
      <c r="H15" s="5">
        <f>_xlfn.MAXIFS(Objects!$L$2:$L$1089,Objects!$B$2:$B$1089,$A15,Objects!$F$2:$F$1089,$B15,Objects!$H$2:$H$1089,$C15)</f>
        <v/>
      </c>
      <c r="I15" s="5">
        <f>IF(OR(C15="(none)",B15="raft",B15="sump_pit"),"n/a",IF(OR(B15="column",B15="shear_wall",B15="isolated_footing",B15="combined_footing"),IF(AND(F15-E15&lt;=3,H15-G15&lt;=3),"yes","no"),IF(H15-G15&lt;=3,"yes (thickness)","no (thickness)")))</f>
        <v/>
      </c>
      <c r="J15" s="6">
        <f>SUMIFS(Objects!$K$2:$K$1089,Objects!$B$2:$B$1089,$A15,Objects!$F$2:$F$1089,$B15,Objects!$H$2:$H$1089,$C15)/100</f>
        <v/>
      </c>
      <c r="K15" s="5">
        <f>COUNTIFS(Objects!$B$2:$B$1089,$A15,Objects!$F$2:$F$1089,$B15,Objects!$H$2:$H$1089,$C15,Objects!$I$2:$I$1089,"inferred*")</f>
        <v/>
      </c>
    </row>
    <row r="16">
      <c r="A16" s="5" t="inlineStr">
        <is>
          <t>120</t>
        </is>
      </c>
      <c r="B16" s="5" t="inlineStr">
        <is>
          <t>isolated_footing</t>
        </is>
      </c>
      <c r="C16" s="5" t="inlineStr">
        <is>
          <t>S5</t>
        </is>
      </c>
      <c r="D16" s="5">
        <f>COUNTIFS(Objects!$B$2:$B$1089,$A16,Objects!$F$2:$F$1089,$B16,Objects!$H$2:$H$1089,$C16)</f>
        <v/>
      </c>
      <c r="E16" s="5">
        <f>_xlfn.MINIFS(Objects!$K$2:$K$1089,Objects!$B$2:$B$1089,$A16,Objects!$F$2:$F$1089,$B16,Objects!$H$2:$H$1089,$C16)</f>
        <v/>
      </c>
      <c r="F16" s="5">
        <f>_xlfn.MAXIFS(Objects!$K$2:$K$1089,Objects!$B$2:$B$1089,$A16,Objects!$F$2:$F$1089,$B16,Objects!$H$2:$H$1089,$C16)</f>
        <v/>
      </c>
      <c r="G16" s="5">
        <f>_xlfn.MINIFS(Objects!$L$2:$L$1089,Objects!$B$2:$B$1089,$A16,Objects!$F$2:$F$1089,$B16,Objects!$H$2:$H$1089,$C16)</f>
        <v/>
      </c>
      <c r="H16" s="5">
        <f>_xlfn.MAXIFS(Objects!$L$2:$L$1089,Objects!$B$2:$B$1089,$A16,Objects!$F$2:$F$1089,$B16,Objects!$H$2:$H$1089,$C16)</f>
        <v/>
      </c>
      <c r="I16" s="5">
        <f>IF(OR(C16="(none)",B16="raft",B16="sump_pit"),"n/a",IF(OR(B16="column",B16="shear_wall",B16="isolated_footing",B16="combined_footing"),IF(AND(F16-E16&lt;=3,H16-G16&lt;=3),"yes","no"),IF(H16-G16&lt;=3,"yes (thickness)","no (thickness)")))</f>
        <v/>
      </c>
      <c r="J16" s="6">
        <f>SUMIFS(Objects!$K$2:$K$1089,Objects!$B$2:$B$1089,$A16,Objects!$F$2:$F$1089,$B16,Objects!$H$2:$H$1089,$C16)/100</f>
        <v/>
      </c>
      <c r="K16" s="5">
        <f>COUNTIFS(Objects!$B$2:$B$1089,$A16,Objects!$F$2:$F$1089,$B16,Objects!$H$2:$H$1089,$C16,Objects!$I$2:$I$1089,"inferred*")</f>
        <v/>
      </c>
    </row>
    <row r="17">
      <c r="A17" s="5" t="inlineStr">
        <is>
          <t>120</t>
        </is>
      </c>
      <c r="B17" s="5" t="inlineStr">
        <is>
          <t>isolated_footing</t>
        </is>
      </c>
      <c r="C17" s="5" t="inlineStr">
        <is>
          <t>S6</t>
        </is>
      </c>
      <c r="D17" s="5">
        <f>COUNTIFS(Objects!$B$2:$B$1089,$A17,Objects!$F$2:$F$1089,$B17,Objects!$H$2:$H$1089,$C17)</f>
        <v/>
      </c>
      <c r="E17" s="5">
        <f>_xlfn.MINIFS(Objects!$K$2:$K$1089,Objects!$B$2:$B$1089,$A17,Objects!$F$2:$F$1089,$B17,Objects!$H$2:$H$1089,$C17)</f>
        <v/>
      </c>
      <c r="F17" s="5">
        <f>_xlfn.MAXIFS(Objects!$K$2:$K$1089,Objects!$B$2:$B$1089,$A17,Objects!$F$2:$F$1089,$B17,Objects!$H$2:$H$1089,$C17)</f>
        <v/>
      </c>
      <c r="G17" s="5">
        <f>_xlfn.MINIFS(Objects!$L$2:$L$1089,Objects!$B$2:$B$1089,$A17,Objects!$F$2:$F$1089,$B17,Objects!$H$2:$H$1089,$C17)</f>
        <v/>
      </c>
      <c r="H17" s="5">
        <f>_xlfn.MAXIFS(Objects!$L$2:$L$1089,Objects!$B$2:$B$1089,$A17,Objects!$F$2:$F$1089,$B17,Objects!$H$2:$H$1089,$C17)</f>
        <v/>
      </c>
      <c r="I17" s="5">
        <f>IF(OR(C17="(none)",B17="raft",B17="sump_pit"),"n/a",IF(OR(B17="column",B17="shear_wall",B17="isolated_footing",B17="combined_footing"),IF(AND(F17-E17&lt;=3,H17-G17&lt;=3),"yes","no"),IF(H17-G17&lt;=3,"yes (thickness)","no (thickness)")))</f>
        <v/>
      </c>
      <c r="J17" s="6">
        <f>SUMIFS(Objects!$K$2:$K$1089,Objects!$B$2:$B$1089,$A17,Objects!$F$2:$F$1089,$B17,Objects!$H$2:$H$1089,$C17)/100</f>
        <v/>
      </c>
      <c r="K17" s="5">
        <f>COUNTIFS(Objects!$B$2:$B$1089,$A17,Objects!$F$2:$F$1089,$B17,Objects!$H$2:$H$1089,$C17,Objects!$I$2:$I$1089,"inferred*")</f>
        <v/>
      </c>
    </row>
    <row r="18">
      <c r="A18" s="5" t="inlineStr">
        <is>
          <t>120</t>
        </is>
      </c>
      <c r="B18" s="5" t="inlineStr">
        <is>
          <t>isolated_footing</t>
        </is>
      </c>
      <c r="C18" s="5" t="inlineStr">
        <is>
          <t>S7</t>
        </is>
      </c>
      <c r="D18" s="5">
        <f>COUNTIFS(Objects!$B$2:$B$1089,$A18,Objects!$F$2:$F$1089,$B18,Objects!$H$2:$H$1089,$C18)</f>
        <v/>
      </c>
      <c r="E18" s="5">
        <f>_xlfn.MINIFS(Objects!$K$2:$K$1089,Objects!$B$2:$B$1089,$A18,Objects!$F$2:$F$1089,$B18,Objects!$H$2:$H$1089,$C18)</f>
        <v/>
      </c>
      <c r="F18" s="5">
        <f>_xlfn.MAXIFS(Objects!$K$2:$K$1089,Objects!$B$2:$B$1089,$A18,Objects!$F$2:$F$1089,$B18,Objects!$H$2:$H$1089,$C18)</f>
        <v/>
      </c>
      <c r="G18" s="5">
        <f>_xlfn.MINIFS(Objects!$L$2:$L$1089,Objects!$B$2:$B$1089,$A18,Objects!$F$2:$F$1089,$B18,Objects!$H$2:$H$1089,$C18)</f>
        <v/>
      </c>
      <c r="H18" s="5">
        <f>_xlfn.MAXIFS(Objects!$L$2:$L$1089,Objects!$B$2:$B$1089,$A18,Objects!$F$2:$F$1089,$B18,Objects!$H$2:$H$1089,$C18)</f>
        <v/>
      </c>
      <c r="I18" s="5">
        <f>IF(OR(C18="(none)",B18="raft",B18="sump_pit"),"n/a",IF(OR(B18="column",B18="shear_wall",B18="isolated_footing",B18="combined_footing"),IF(AND(F18-E18&lt;=3,H18-G18&lt;=3),"yes","no"),IF(H18-G18&lt;=3,"yes (thickness)","no (thickness)")))</f>
        <v/>
      </c>
      <c r="J18" s="6">
        <f>SUMIFS(Objects!$K$2:$K$1089,Objects!$B$2:$B$1089,$A18,Objects!$F$2:$F$1089,$B18,Objects!$H$2:$H$1089,$C18)/100</f>
        <v/>
      </c>
      <c r="K18" s="5">
        <f>COUNTIFS(Objects!$B$2:$B$1089,$A18,Objects!$F$2:$F$1089,$B18,Objects!$H$2:$H$1089,$C18,Objects!$I$2:$I$1089,"inferred*")</f>
        <v/>
      </c>
    </row>
    <row r="19">
      <c r="A19" s="5" t="inlineStr">
        <is>
          <t>120</t>
        </is>
      </c>
      <c r="B19" s="5" t="inlineStr">
        <is>
          <t>combined_footing</t>
        </is>
      </c>
      <c r="C19" s="5" t="inlineStr">
        <is>
          <t>SC3</t>
        </is>
      </c>
      <c r="D19" s="5">
        <f>COUNTIFS(Objects!$B$2:$B$1089,$A19,Objects!$F$2:$F$1089,$B19,Objects!$H$2:$H$1089,$C19)</f>
        <v/>
      </c>
      <c r="E19" s="5">
        <f>_xlfn.MINIFS(Objects!$K$2:$K$1089,Objects!$B$2:$B$1089,$A19,Objects!$F$2:$F$1089,$B19,Objects!$H$2:$H$1089,$C19)</f>
        <v/>
      </c>
      <c r="F19" s="5">
        <f>_xlfn.MAXIFS(Objects!$K$2:$K$1089,Objects!$B$2:$B$1089,$A19,Objects!$F$2:$F$1089,$B19,Objects!$H$2:$H$1089,$C19)</f>
        <v/>
      </c>
      <c r="G19" s="5">
        <f>_xlfn.MINIFS(Objects!$L$2:$L$1089,Objects!$B$2:$B$1089,$A19,Objects!$F$2:$F$1089,$B19,Objects!$H$2:$H$1089,$C19)</f>
        <v/>
      </c>
      <c r="H19" s="5">
        <f>_xlfn.MAXIFS(Objects!$L$2:$L$1089,Objects!$B$2:$B$1089,$A19,Objects!$F$2:$F$1089,$B19,Objects!$H$2:$H$1089,$C19)</f>
        <v/>
      </c>
      <c r="I19" s="5">
        <f>IF(OR(C19="(none)",B19="raft",B19="sump_pit"),"n/a",IF(OR(B19="column",B19="shear_wall",B19="isolated_footing",B19="combined_footing"),IF(AND(F19-E19&lt;=3,H19-G19&lt;=3),"yes","no"),IF(H19-G19&lt;=3,"yes (thickness)","no (thickness)")))</f>
        <v/>
      </c>
      <c r="J19" s="6">
        <f>SUMIFS(Objects!$K$2:$K$1089,Objects!$B$2:$B$1089,$A19,Objects!$F$2:$F$1089,$B19,Objects!$H$2:$H$1089,$C19)/100</f>
        <v/>
      </c>
      <c r="K19" s="5">
        <f>COUNTIFS(Objects!$B$2:$B$1089,$A19,Objects!$F$2:$F$1089,$B19,Objects!$H$2:$H$1089,$C19,Objects!$I$2:$I$1089,"inferred*")</f>
        <v/>
      </c>
    </row>
    <row r="20">
      <c r="A20" s="5" t="inlineStr">
        <is>
          <t>120</t>
        </is>
      </c>
      <c r="B20" s="5" t="inlineStr">
        <is>
          <t>strip_footing</t>
        </is>
      </c>
      <c r="C20" s="5" t="inlineStr">
        <is>
          <t>(none)</t>
        </is>
      </c>
      <c r="D20" s="5">
        <f>COUNTIFS(Objects!$B$2:$B$1089,$A20,Objects!$F$2:$F$1089,$B20,Objects!$H$2:$H$1089,$C20)</f>
        <v/>
      </c>
      <c r="E20" s="5">
        <f>_xlfn.MINIFS(Objects!$K$2:$K$1089,Objects!$B$2:$B$1089,$A20,Objects!$F$2:$F$1089,$B20,Objects!$H$2:$H$1089,$C20)</f>
        <v/>
      </c>
      <c r="F20" s="5">
        <f>_xlfn.MAXIFS(Objects!$K$2:$K$1089,Objects!$B$2:$B$1089,$A20,Objects!$F$2:$F$1089,$B20,Objects!$H$2:$H$1089,$C20)</f>
        <v/>
      </c>
      <c r="G20" s="5">
        <f>_xlfn.MINIFS(Objects!$L$2:$L$1089,Objects!$B$2:$B$1089,$A20,Objects!$F$2:$F$1089,$B20,Objects!$H$2:$H$1089,$C20)</f>
        <v/>
      </c>
      <c r="H20" s="5">
        <f>_xlfn.MAXIFS(Objects!$L$2:$L$1089,Objects!$B$2:$B$1089,$A20,Objects!$F$2:$F$1089,$B20,Objects!$H$2:$H$1089,$C20)</f>
        <v/>
      </c>
      <c r="I20" s="5">
        <f>IF(OR(C20="(none)",B20="raft",B20="sump_pit"),"n/a",IF(OR(B20="column",B20="shear_wall",B20="isolated_footing",B20="combined_footing"),IF(AND(F20-E20&lt;=3,H20-G20&lt;=3),"yes","no"),IF(H20-G20&lt;=3,"yes (thickness)","no (thickness)")))</f>
        <v/>
      </c>
      <c r="J20" s="6">
        <f>SUMIFS(Objects!$K$2:$K$1089,Objects!$B$2:$B$1089,$A20,Objects!$F$2:$F$1089,$B20,Objects!$H$2:$H$1089,$C20)/100</f>
        <v/>
      </c>
      <c r="K20" s="5">
        <f>COUNTIFS(Objects!$B$2:$B$1089,$A20,Objects!$F$2:$F$1089,$B20,Objects!$H$2:$H$1089,$C20,Objects!$I$2:$I$1089,"inferred*")</f>
        <v/>
      </c>
    </row>
    <row r="21">
      <c r="A21" s="5" t="inlineStr">
        <is>
          <t>120</t>
        </is>
      </c>
      <c r="B21" s="5" t="inlineStr">
        <is>
          <t>strip_footing</t>
        </is>
      </c>
      <c r="C21" s="5" t="inlineStr">
        <is>
          <t>SF1</t>
        </is>
      </c>
      <c r="D21" s="5">
        <f>COUNTIFS(Objects!$B$2:$B$1089,$A21,Objects!$F$2:$F$1089,$B21,Objects!$H$2:$H$1089,$C21)</f>
        <v/>
      </c>
      <c r="E21" s="5">
        <f>_xlfn.MINIFS(Objects!$K$2:$K$1089,Objects!$B$2:$B$1089,$A21,Objects!$F$2:$F$1089,$B21,Objects!$H$2:$H$1089,$C21)</f>
        <v/>
      </c>
      <c r="F21" s="5">
        <f>_xlfn.MAXIFS(Objects!$K$2:$K$1089,Objects!$B$2:$B$1089,$A21,Objects!$F$2:$F$1089,$B21,Objects!$H$2:$H$1089,$C21)</f>
        <v/>
      </c>
      <c r="G21" s="5">
        <f>_xlfn.MINIFS(Objects!$L$2:$L$1089,Objects!$B$2:$B$1089,$A21,Objects!$F$2:$F$1089,$B21,Objects!$H$2:$H$1089,$C21)</f>
        <v/>
      </c>
      <c r="H21" s="5">
        <f>_xlfn.MAXIFS(Objects!$L$2:$L$1089,Objects!$B$2:$B$1089,$A21,Objects!$F$2:$F$1089,$B21,Objects!$H$2:$H$1089,$C21)</f>
        <v/>
      </c>
      <c r="I21" s="5">
        <f>IF(OR(C21="(none)",B21="raft",B21="sump_pit"),"n/a",IF(OR(B21="column",B21="shear_wall",B21="isolated_footing",B21="combined_footing"),IF(AND(F21-E21&lt;=3,H21-G21&lt;=3),"yes","no"),IF(H21-G21&lt;=3,"yes (thickness)","no (thickness)")))</f>
        <v/>
      </c>
      <c r="J21" s="6">
        <f>SUMIFS(Objects!$K$2:$K$1089,Objects!$B$2:$B$1089,$A21,Objects!$F$2:$F$1089,$B21,Objects!$H$2:$H$1089,$C21)/100</f>
        <v/>
      </c>
      <c r="K21" s="5">
        <f>COUNTIFS(Objects!$B$2:$B$1089,$A21,Objects!$F$2:$F$1089,$B21,Objects!$H$2:$H$1089,$C21,Objects!$I$2:$I$1089,"inferred*")</f>
        <v/>
      </c>
    </row>
    <row r="22">
      <c r="A22" s="5" t="inlineStr">
        <is>
          <t>120</t>
        </is>
      </c>
      <c r="B22" s="5" t="inlineStr">
        <is>
          <t>grade_beam</t>
        </is>
      </c>
      <c r="C22" s="5" t="inlineStr">
        <is>
          <t>LG40x15</t>
        </is>
      </c>
      <c r="D22" s="5">
        <f>COUNTIFS(Objects!$B$2:$B$1089,$A22,Objects!$F$2:$F$1089,$B22,Objects!$H$2:$H$1089,$C22)</f>
        <v/>
      </c>
      <c r="E22" s="5">
        <f>_xlfn.MINIFS(Objects!$K$2:$K$1089,Objects!$B$2:$B$1089,$A22,Objects!$F$2:$F$1089,$B22,Objects!$H$2:$H$1089,$C22)</f>
        <v/>
      </c>
      <c r="F22" s="5">
        <f>_xlfn.MAXIFS(Objects!$K$2:$K$1089,Objects!$B$2:$B$1089,$A22,Objects!$F$2:$F$1089,$B22,Objects!$H$2:$H$1089,$C22)</f>
        <v/>
      </c>
      <c r="G22" s="5">
        <f>_xlfn.MINIFS(Objects!$L$2:$L$1089,Objects!$B$2:$B$1089,$A22,Objects!$F$2:$F$1089,$B22,Objects!$H$2:$H$1089,$C22)</f>
        <v/>
      </c>
      <c r="H22" s="5">
        <f>_xlfn.MAXIFS(Objects!$L$2:$L$1089,Objects!$B$2:$B$1089,$A22,Objects!$F$2:$F$1089,$B22,Objects!$H$2:$H$1089,$C22)</f>
        <v/>
      </c>
      <c r="I22" s="5">
        <f>IF(OR(C22="(none)",B22="raft",B22="sump_pit"),"n/a",IF(OR(B22="column",B22="shear_wall",B22="isolated_footing",B22="combined_footing"),IF(AND(F22-E22&lt;=3,H22-G22&lt;=3),"yes","no"),IF(H22-G22&lt;=3,"yes (thickness)","no (thickness)")))</f>
        <v/>
      </c>
      <c r="J22" s="6">
        <f>SUMIFS(Objects!$K$2:$K$1089,Objects!$B$2:$B$1089,$A22,Objects!$F$2:$F$1089,$B22,Objects!$H$2:$H$1089,$C22)/100</f>
        <v/>
      </c>
      <c r="K22" s="5">
        <f>COUNTIFS(Objects!$B$2:$B$1089,$A22,Objects!$F$2:$F$1089,$B22,Objects!$H$2:$H$1089,$C22,Objects!$I$2:$I$1089,"inferred*")</f>
        <v/>
      </c>
    </row>
    <row r="23">
      <c r="A23" s="5" t="inlineStr">
        <is>
          <t>120</t>
        </is>
      </c>
      <c r="B23" s="5" t="inlineStr">
        <is>
          <t>raft</t>
        </is>
      </c>
      <c r="C23" s="5" t="inlineStr">
        <is>
          <t>Radier 110</t>
        </is>
      </c>
      <c r="D23" s="5">
        <f>COUNTIFS(Objects!$B$2:$B$1089,$A23,Objects!$F$2:$F$1089,$B23,Objects!$H$2:$H$1089,$C23)</f>
        <v/>
      </c>
      <c r="E23" s="5">
        <f>_xlfn.MINIFS(Objects!$K$2:$K$1089,Objects!$B$2:$B$1089,$A23,Objects!$F$2:$F$1089,$B23,Objects!$H$2:$H$1089,$C23)</f>
        <v/>
      </c>
      <c r="F23" s="5">
        <f>_xlfn.MAXIFS(Objects!$K$2:$K$1089,Objects!$B$2:$B$1089,$A23,Objects!$F$2:$F$1089,$B23,Objects!$H$2:$H$1089,$C23)</f>
        <v/>
      </c>
      <c r="G23" s="5">
        <f>_xlfn.MINIFS(Objects!$L$2:$L$1089,Objects!$B$2:$B$1089,$A23,Objects!$F$2:$F$1089,$B23,Objects!$H$2:$H$1089,$C23)</f>
        <v/>
      </c>
      <c r="H23" s="5">
        <f>_xlfn.MAXIFS(Objects!$L$2:$L$1089,Objects!$B$2:$B$1089,$A23,Objects!$F$2:$F$1089,$B23,Objects!$H$2:$H$1089,$C23)</f>
        <v/>
      </c>
      <c r="I23" s="5">
        <f>IF(OR(C23="(none)",B23="raft",B23="sump_pit"),"n/a",IF(OR(B23="column",B23="shear_wall",B23="isolated_footing",B23="combined_footing"),IF(AND(F23-E23&lt;=3,H23-G23&lt;=3),"yes","no"),IF(H23-G23&lt;=3,"yes (thickness)","no (thickness)")))</f>
        <v/>
      </c>
      <c r="J23" s="6">
        <f>SUMIFS(Objects!$K$2:$K$1089,Objects!$B$2:$B$1089,$A23,Objects!$F$2:$F$1089,$B23,Objects!$H$2:$H$1089,$C23)/100</f>
        <v/>
      </c>
      <c r="K23" s="5">
        <f>COUNTIFS(Objects!$B$2:$B$1089,$A23,Objects!$F$2:$F$1089,$B23,Objects!$H$2:$H$1089,$C23,Objects!$I$2:$I$1089,"inferred*")</f>
        <v/>
      </c>
    </row>
    <row r="24">
      <c r="A24" s="5" t="inlineStr">
        <is>
          <t>120</t>
        </is>
      </c>
      <c r="B24" s="5" t="inlineStr">
        <is>
          <t>raft</t>
        </is>
      </c>
      <c r="C24" s="5" t="inlineStr">
        <is>
          <t>Radier 90</t>
        </is>
      </c>
      <c r="D24" s="5">
        <f>COUNTIFS(Objects!$B$2:$B$1089,$A24,Objects!$F$2:$F$1089,$B24,Objects!$H$2:$H$1089,$C24)</f>
        <v/>
      </c>
      <c r="E24" s="5">
        <f>_xlfn.MINIFS(Objects!$K$2:$K$1089,Objects!$B$2:$B$1089,$A24,Objects!$F$2:$F$1089,$B24,Objects!$H$2:$H$1089,$C24)</f>
        <v/>
      </c>
      <c r="F24" s="5">
        <f>_xlfn.MAXIFS(Objects!$K$2:$K$1089,Objects!$B$2:$B$1089,$A24,Objects!$F$2:$F$1089,$B24,Objects!$H$2:$H$1089,$C24)</f>
        <v/>
      </c>
      <c r="G24" s="5">
        <f>_xlfn.MINIFS(Objects!$L$2:$L$1089,Objects!$B$2:$B$1089,$A24,Objects!$F$2:$F$1089,$B24,Objects!$H$2:$H$1089,$C24)</f>
        <v/>
      </c>
      <c r="H24" s="5">
        <f>_xlfn.MAXIFS(Objects!$L$2:$L$1089,Objects!$B$2:$B$1089,$A24,Objects!$F$2:$F$1089,$B24,Objects!$H$2:$H$1089,$C24)</f>
        <v/>
      </c>
      <c r="I24" s="5">
        <f>IF(OR(C24="(none)",B24="raft",B24="sump_pit"),"n/a",IF(OR(B24="column",B24="shear_wall",B24="isolated_footing",B24="combined_footing"),IF(AND(F24-E24&lt;=3,H24-G24&lt;=3),"yes","no"),IF(H24-G24&lt;=3,"yes (thickness)","no (thickness)")))</f>
        <v/>
      </c>
      <c r="J24" s="6">
        <f>SUMIFS(Objects!$K$2:$K$1089,Objects!$B$2:$B$1089,$A24,Objects!$F$2:$F$1089,$B24,Objects!$H$2:$H$1089,$C24)/100</f>
        <v/>
      </c>
      <c r="K24" s="5">
        <f>COUNTIFS(Objects!$B$2:$B$1089,$A24,Objects!$F$2:$F$1089,$B24,Objects!$H$2:$H$1089,$C24,Objects!$I$2:$I$1089,"inferred*")</f>
        <v/>
      </c>
    </row>
    <row r="25">
      <c r="A25" s="5" t="inlineStr">
        <is>
          <t>121</t>
        </is>
      </c>
      <c r="B25" s="5" t="inlineStr">
        <is>
          <t>column</t>
        </is>
      </c>
      <c r="C25" s="5" t="inlineStr">
        <is>
          <t>P2/121</t>
        </is>
      </c>
      <c r="D25" s="5">
        <f>COUNTIFS(Objects!$B$2:$B$1089,$A25,Objects!$F$2:$F$1089,$B25,Objects!$H$2:$H$1089,$C25)</f>
        <v/>
      </c>
      <c r="E25" s="5">
        <f>_xlfn.MINIFS(Objects!$K$2:$K$1089,Objects!$B$2:$B$1089,$A25,Objects!$F$2:$F$1089,$B25,Objects!$H$2:$H$1089,$C25)</f>
        <v/>
      </c>
      <c r="F25" s="5">
        <f>_xlfn.MAXIFS(Objects!$K$2:$K$1089,Objects!$B$2:$B$1089,$A25,Objects!$F$2:$F$1089,$B25,Objects!$H$2:$H$1089,$C25)</f>
        <v/>
      </c>
      <c r="G25" s="5">
        <f>_xlfn.MINIFS(Objects!$L$2:$L$1089,Objects!$B$2:$B$1089,$A25,Objects!$F$2:$F$1089,$B25,Objects!$H$2:$H$1089,$C25)</f>
        <v/>
      </c>
      <c r="H25" s="5">
        <f>_xlfn.MAXIFS(Objects!$L$2:$L$1089,Objects!$B$2:$B$1089,$A25,Objects!$F$2:$F$1089,$B25,Objects!$H$2:$H$1089,$C25)</f>
        <v/>
      </c>
      <c r="I25" s="5">
        <f>IF(OR(C25="(none)",B25="raft",B25="sump_pit"),"n/a",IF(OR(B25="column",B25="shear_wall",B25="isolated_footing",B25="combined_footing"),IF(AND(F25-E25&lt;=3,H25-G25&lt;=3),"yes","no"),IF(H25-G25&lt;=3,"yes (thickness)","no (thickness)")))</f>
        <v/>
      </c>
      <c r="J25" s="6">
        <f>SUMIFS(Objects!$K$2:$K$1089,Objects!$B$2:$B$1089,$A25,Objects!$F$2:$F$1089,$B25,Objects!$H$2:$H$1089,$C25)/100</f>
        <v/>
      </c>
      <c r="K25" s="5">
        <f>COUNTIFS(Objects!$B$2:$B$1089,$A25,Objects!$F$2:$F$1089,$B25,Objects!$H$2:$H$1089,$C25,Objects!$I$2:$I$1089,"inferred*")</f>
        <v/>
      </c>
    </row>
    <row r="26">
      <c r="A26" s="5" t="inlineStr">
        <is>
          <t>121</t>
        </is>
      </c>
      <c r="B26" s="5" t="inlineStr">
        <is>
          <t>shear_wall</t>
        </is>
      </c>
      <c r="C26" s="5" t="inlineStr">
        <is>
          <t>(none)</t>
        </is>
      </c>
      <c r="D26" s="5">
        <f>COUNTIFS(Objects!$B$2:$B$1089,$A26,Objects!$F$2:$F$1089,$B26,Objects!$H$2:$H$1089,$C26)</f>
        <v/>
      </c>
      <c r="E26" s="5">
        <f>_xlfn.MINIFS(Objects!$K$2:$K$1089,Objects!$B$2:$B$1089,$A26,Objects!$F$2:$F$1089,$B26,Objects!$H$2:$H$1089,$C26)</f>
        <v/>
      </c>
      <c r="F26" s="5">
        <f>_xlfn.MAXIFS(Objects!$K$2:$K$1089,Objects!$B$2:$B$1089,$A26,Objects!$F$2:$F$1089,$B26,Objects!$H$2:$H$1089,$C26)</f>
        <v/>
      </c>
      <c r="G26" s="5">
        <f>_xlfn.MINIFS(Objects!$L$2:$L$1089,Objects!$B$2:$B$1089,$A26,Objects!$F$2:$F$1089,$B26,Objects!$H$2:$H$1089,$C26)</f>
        <v/>
      </c>
      <c r="H26" s="5">
        <f>_xlfn.MAXIFS(Objects!$L$2:$L$1089,Objects!$B$2:$B$1089,$A26,Objects!$F$2:$F$1089,$B26,Objects!$H$2:$H$1089,$C26)</f>
        <v/>
      </c>
      <c r="I26" s="5">
        <f>IF(OR(C26="(none)",B26="raft",B26="sump_pit"),"n/a",IF(OR(B26="column",B26="shear_wall",B26="isolated_footing",B26="combined_footing"),IF(AND(F26-E26&lt;=3,H26-G26&lt;=3),"yes","no"),IF(H26-G26&lt;=3,"yes (thickness)","no (thickness)")))</f>
        <v/>
      </c>
      <c r="J26" s="6">
        <f>SUMIFS(Objects!$K$2:$K$1089,Objects!$B$2:$B$1089,$A26,Objects!$F$2:$F$1089,$B26,Objects!$H$2:$H$1089,$C26)/100</f>
        <v/>
      </c>
      <c r="K26" s="5">
        <f>COUNTIFS(Objects!$B$2:$B$1089,$A26,Objects!$F$2:$F$1089,$B26,Objects!$H$2:$H$1089,$C26,Objects!$I$2:$I$1089,"inferred*")</f>
        <v/>
      </c>
    </row>
    <row r="27">
      <c r="A27" s="5" t="inlineStr">
        <is>
          <t>121</t>
        </is>
      </c>
      <c r="B27" s="5" t="inlineStr">
        <is>
          <t>shear_wall</t>
        </is>
      </c>
      <c r="C27" s="5" t="inlineStr">
        <is>
          <t>V1/121</t>
        </is>
      </c>
      <c r="D27" s="5">
        <f>COUNTIFS(Objects!$B$2:$B$1089,$A27,Objects!$F$2:$F$1089,$B27,Objects!$H$2:$H$1089,$C27)</f>
        <v/>
      </c>
      <c r="E27" s="5">
        <f>_xlfn.MINIFS(Objects!$K$2:$K$1089,Objects!$B$2:$B$1089,$A27,Objects!$F$2:$F$1089,$B27,Objects!$H$2:$H$1089,$C27)</f>
        <v/>
      </c>
      <c r="F27" s="5">
        <f>_xlfn.MAXIFS(Objects!$K$2:$K$1089,Objects!$B$2:$B$1089,$A27,Objects!$F$2:$F$1089,$B27,Objects!$H$2:$H$1089,$C27)</f>
        <v/>
      </c>
      <c r="G27" s="5">
        <f>_xlfn.MINIFS(Objects!$L$2:$L$1089,Objects!$B$2:$B$1089,$A27,Objects!$F$2:$F$1089,$B27,Objects!$H$2:$H$1089,$C27)</f>
        <v/>
      </c>
      <c r="H27" s="5">
        <f>_xlfn.MAXIFS(Objects!$L$2:$L$1089,Objects!$B$2:$B$1089,$A27,Objects!$F$2:$F$1089,$B27,Objects!$H$2:$H$1089,$C27)</f>
        <v/>
      </c>
      <c r="I27" s="5">
        <f>IF(OR(C27="(none)",B27="raft",B27="sump_pit"),"n/a",IF(OR(B27="column",B27="shear_wall",B27="isolated_footing",B27="combined_footing"),IF(AND(F27-E27&lt;=3,H27-G27&lt;=3),"yes","no"),IF(H27-G27&lt;=3,"yes (thickness)","no (thickness)")))</f>
        <v/>
      </c>
      <c r="J27" s="6">
        <f>SUMIFS(Objects!$K$2:$K$1089,Objects!$B$2:$B$1089,$A27,Objects!$F$2:$F$1089,$B27,Objects!$H$2:$H$1089,$C27)/100</f>
        <v/>
      </c>
      <c r="K27" s="5">
        <f>COUNTIFS(Objects!$B$2:$B$1089,$A27,Objects!$F$2:$F$1089,$B27,Objects!$H$2:$H$1089,$C27,Objects!$I$2:$I$1089,"inferred*")</f>
        <v/>
      </c>
    </row>
    <row r="28">
      <c r="A28" s="5" t="inlineStr">
        <is>
          <t>121</t>
        </is>
      </c>
      <c r="B28" s="5" t="inlineStr">
        <is>
          <t>shear_wall</t>
        </is>
      </c>
      <c r="C28" s="5" t="inlineStr">
        <is>
          <t>V2/121</t>
        </is>
      </c>
      <c r="D28" s="5">
        <f>COUNTIFS(Objects!$B$2:$B$1089,$A28,Objects!$F$2:$F$1089,$B28,Objects!$H$2:$H$1089,$C28)</f>
        <v/>
      </c>
      <c r="E28" s="5">
        <f>_xlfn.MINIFS(Objects!$K$2:$K$1089,Objects!$B$2:$B$1089,$A28,Objects!$F$2:$F$1089,$B28,Objects!$H$2:$H$1089,$C28)</f>
        <v/>
      </c>
      <c r="F28" s="5">
        <f>_xlfn.MAXIFS(Objects!$K$2:$K$1089,Objects!$B$2:$B$1089,$A28,Objects!$F$2:$F$1089,$B28,Objects!$H$2:$H$1089,$C28)</f>
        <v/>
      </c>
      <c r="G28" s="5">
        <f>_xlfn.MINIFS(Objects!$L$2:$L$1089,Objects!$B$2:$B$1089,$A28,Objects!$F$2:$F$1089,$B28,Objects!$H$2:$H$1089,$C28)</f>
        <v/>
      </c>
      <c r="H28" s="5">
        <f>_xlfn.MAXIFS(Objects!$L$2:$L$1089,Objects!$B$2:$B$1089,$A28,Objects!$F$2:$F$1089,$B28,Objects!$H$2:$H$1089,$C28)</f>
        <v/>
      </c>
      <c r="I28" s="5">
        <f>IF(OR(C28="(none)",B28="raft",B28="sump_pit"),"n/a",IF(OR(B28="column",B28="shear_wall",B28="isolated_footing",B28="combined_footing"),IF(AND(F28-E28&lt;=3,H28-G28&lt;=3),"yes","no"),IF(H28-G28&lt;=3,"yes (thickness)","no (thickness)")))</f>
        <v/>
      </c>
      <c r="J28" s="6">
        <f>SUMIFS(Objects!$K$2:$K$1089,Objects!$B$2:$B$1089,$A28,Objects!$F$2:$F$1089,$B28,Objects!$H$2:$H$1089,$C28)/100</f>
        <v/>
      </c>
      <c r="K28" s="5">
        <f>COUNTIFS(Objects!$B$2:$B$1089,$A28,Objects!$F$2:$F$1089,$B28,Objects!$H$2:$H$1089,$C28,Objects!$I$2:$I$1089,"inferred*")</f>
        <v/>
      </c>
    </row>
    <row r="29">
      <c r="A29" s="5" t="inlineStr">
        <is>
          <t>121</t>
        </is>
      </c>
      <c r="B29" s="5" t="inlineStr">
        <is>
          <t>shear_wall</t>
        </is>
      </c>
      <c r="C29" s="5" t="inlineStr">
        <is>
          <t>V3/121</t>
        </is>
      </c>
      <c r="D29" s="5">
        <f>COUNTIFS(Objects!$B$2:$B$1089,$A29,Objects!$F$2:$F$1089,$B29,Objects!$H$2:$H$1089,$C29)</f>
        <v/>
      </c>
      <c r="E29" s="5">
        <f>_xlfn.MINIFS(Objects!$K$2:$K$1089,Objects!$B$2:$B$1089,$A29,Objects!$F$2:$F$1089,$B29,Objects!$H$2:$H$1089,$C29)</f>
        <v/>
      </c>
      <c r="F29" s="5">
        <f>_xlfn.MAXIFS(Objects!$K$2:$K$1089,Objects!$B$2:$B$1089,$A29,Objects!$F$2:$F$1089,$B29,Objects!$H$2:$H$1089,$C29)</f>
        <v/>
      </c>
      <c r="G29" s="5">
        <f>_xlfn.MINIFS(Objects!$L$2:$L$1089,Objects!$B$2:$B$1089,$A29,Objects!$F$2:$F$1089,$B29,Objects!$H$2:$H$1089,$C29)</f>
        <v/>
      </c>
      <c r="H29" s="5">
        <f>_xlfn.MAXIFS(Objects!$L$2:$L$1089,Objects!$B$2:$B$1089,$A29,Objects!$F$2:$F$1089,$B29,Objects!$H$2:$H$1089,$C29)</f>
        <v/>
      </c>
      <c r="I29" s="5">
        <f>IF(OR(C29="(none)",B29="raft",B29="sump_pit"),"n/a",IF(OR(B29="column",B29="shear_wall",B29="isolated_footing",B29="combined_footing"),IF(AND(F29-E29&lt;=3,H29-G29&lt;=3),"yes","no"),IF(H29-G29&lt;=3,"yes (thickness)","no (thickness)")))</f>
        <v/>
      </c>
      <c r="J29" s="6">
        <f>SUMIFS(Objects!$K$2:$K$1089,Objects!$B$2:$B$1089,$A29,Objects!$F$2:$F$1089,$B29,Objects!$H$2:$H$1089,$C29)/100</f>
        <v/>
      </c>
      <c r="K29" s="5">
        <f>COUNTIFS(Objects!$B$2:$B$1089,$A29,Objects!$F$2:$F$1089,$B29,Objects!$H$2:$H$1089,$C29,Objects!$I$2:$I$1089,"inferred*")</f>
        <v/>
      </c>
    </row>
    <row r="30">
      <c r="A30" s="5" t="inlineStr">
        <is>
          <t>121</t>
        </is>
      </c>
      <c r="B30" s="5" t="inlineStr">
        <is>
          <t>shear_wall</t>
        </is>
      </c>
      <c r="C30" s="5" t="inlineStr">
        <is>
          <t>V6/121</t>
        </is>
      </c>
      <c r="D30" s="5">
        <f>COUNTIFS(Objects!$B$2:$B$1089,$A30,Objects!$F$2:$F$1089,$B30,Objects!$H$2:$H$1089,$C30)</f>
        <v/>
      </c>
      <c r="E30" s="5">
        <f>_xlfn.MINIFS(Objects!$K$2:$K$1089,Objects!$B$2:$B$1089,$A30,Objects!$F$2:$F$1089,$B30,Objects!$H$2:$H$1089,$C30)</f>
        <v/>
      </c>
      <c r="F30" s="5">
        <f>_xlfn.MAXIFS(Objects!$K$2:$K$1089,Objects!$B$2:$B$1089,$A30,Objects!$F$2:$F$1089,$B30,Objects!$H$2:$H$1089,$C30)</f>
        <v/>
      </c>
      <c r="G30" s="5">
        <f>_xlfn.MINIFS(Objects!$L$2:$L$1089,Objects!$B$2:$B$1089,$A30,Objects!$F$2:$F$1089,$B30,Objects!$H$2:$H$1089,$C30)</f>
        <v/>
      </c>
      <c r="H30" s="5">
        <f>_xlfn.MAXIFS(Objects!$L$2:$L$1089,Objects!$B$2:$B$1089,$A30,Objects!$F$2:$F$1089,$B30,Objects!$H$2:$H$1089,$C30)</f>
        <v/>
      </c>
      <c r="I30" s="5">
        <f>IF(OR(C30="(none)",B30="raft",B30="sump_pit"),"n/a",IF(OR(B30="column",B30="shear_wall",B30="isolated_footing",B30="combined_footing"),IF(AND(F30-E30&lt;=3,H30-G30&lt;=3),"yes","no"),IF(H30-G30&lt;=3,"yes (thickness)","no (thickness)")))</f>
        <v/>
      </c>
      <c r="J30" s="6">
        <f>SUMIFS(Objects!$K$2:$K$1089,Objects!$B$2:$B$1089,$A30,Objects!$F$2:$F$1089,$B30,Objects!$H$2:$H$1089,$C30)/100</f>
        <v/>
      </c>
      <c r="K30" s="5">
        <f>COUNTIFS(Objects!$B$2:$B$1089,$A30,Objects!$F$2:$F$1089,$B30,Objects!$H$2:$H$1089,$C30,Objects!$I$2:$I$1089,"inferred*")</f>
        <v/>
      </c>
    </row>
    <row r="31">
      <c r="A31" s="5" t="inlineStr">
        <is>
          <t>121</t>
        </is>
      </c>
      <c r="B31" s="5" t="inlineStr">
        <is>
          <t>shear_wall</t>
        </is>
      </c>
      <c r="C31" s="5" t="inlineStr">
        <is>
          <t>V8/121</t>
        </is>
      </c>
      <c r="D31" s="5">
        <f>COUNTIFS(Objects!$B$2:$B$1089,$A31,Objects!$F$2:$F$1089,$B31,Objects!$H$2:$H$1089,$C31)</f>
        <v/>
      </c>
      <c r="E31" s="5">
        <f>_xlfn.MINIFS(Objects!$K$2:$K$1089,Objects!$B$2:$B$1089,$A31,Objects!$F$2:$F$1089,$B31,Objects!$H$2:$H$1089,$C31)</f>
        <v/>
      </c>
      <c r="F31" s="5">
        <f>_xlfn.MAXIFS(Objects!$K$2:$K$1089,Objects!$B$2:$B$1089,$A31,Objects!$F$2:$F$1089,$B31,Objects!$H$2:$H$1089,$C31)</f>
        <v/>
      </c>
      <c r="G31" s="5">
        <f>_xlfn.MINIFS(Objects!$L$2:$L$1089,Objects!$B$2:$B$1089,$A31,Objects!$F$2:$F$1089,$B31,Objects!$H$2:$H$1089,$C31)</f>
        <v/>
      </c>
      <c r="H31" s="5">
        <f>_xlfn.MAXIFS(Objects!$L$2:$L$1089,Objects!$B$2:$B$1089,$A31,Objects!$F$2:$F$1089,$B31,Objects!$H$2:$H$1089,$C31)</f>
        <v/>
      </c>
      <c r="I31" s="5">
        <f>IF(OR(C31="(none)",B31="raft",B31="sump_pit"),"n/a",IF(OR(B31="column",B31="shear_wall",B31="isolated_footing",B31="combined_footing"),IF(AND(F31-E31&lt;=3,H31-G31&lt;=3),"yes","no"),IF(H31-G31&lt;=3,"yes (thickness)","no (thickness)")))</f>
        <v/>
      </c>
      <c r="J31" s="6">
        <f>SUMIFS(Objects!$K$2:$K$1089,Objects!$B$2:$B$1089,$A31,Objects!$F$2:$F$1089,$B31,Objects!$H$2:$H$1089,$C31)/100</f>
        <v/>
      </c>
      <c r="K31" s="5">
        <f>COUNTIFS(Objects!$B$2:$B$1089,$A31,Objects!$F$2:$F$1089,$B31,Objects!$H$2:$H$1089,$C31,Objects!$I$2:$I$1089,"inferred*")</f>
        <v/>
      </c>
    </row>
    <row r="32">
      <c r="A32" s="5" t="inlineStr">
        <is>
          <t>121</t>
        </is>
      </c>
      <c r="B32" s="5" t="inlineStr">
        <is>
          <t>shear_wall</t>
        </is>
      </c>
      <c r="C32" s="5" t="inlineStr">
        <is>
          <t>V9/121</t>
        </is>
      </c>
      <c r="D32" s="5">
        <f>COUNTIFS(Objects!$B$2:$B$1089,$A32,Objects!$F$2:$F$1089,$B32,Objects!$H$2:$H$1089,$C32)</f>
        <v/>
      </c>
      <c r="E32" s="5">
        <f>_xlfn.MINIFS(Objects!$K$2:$K$1089,Objects!$B$2:$B$1089,$A32,Objects!$F$2:$F$1089,$B32,Objects!$H$2:$H$1089,$C32)</f>
        <v/>
      </c>
      <c r="F32" s="5">
        <f>_xlfn.MAXIFS(Objects!$K$2:$K$1089,Objects!$B$2:$B$1089,$A32,Objects!$F$2:$F$1089,$B32,Objects!$H$2:$H$1089,$C32)</f>
        <v/>
      </c>
      <c r="G32" s="5">
        <f>_xlfn.MINIFS(Objects!$L$2:$L$1089,Objects!$B$2:$B$1089,$A32,Objects!$F$2:$F$1089,$B32,Objects!$H$2:$H$1089,$C32)</f>
        <v/>
      </c>
      <c r="H32" s="5">
        <f>_xlfn.MAXIFS(Objects!$L$2:$L$1089,Objects!$B$2:$B$1089,$A32,Objects!$F$2:$F$1089,$B32,Objects!$H$2:$H$1089,$C32)</f>
        <v/>
      </c>
      <c r="I32" s="5">
        <f>IF(OR(C32="(none)",B32="raft",B32="sump_pit"),"n/a",IF(OR(B32="column",B32="shear_wall",B32="isolated_footing",B32="combined_footing"),IF(AND(F32-E32&lt;=3,H32-G32&lt;=3),"yes","no"),IF(H32-G32&lt;=3,"yes (thickness)","no (thickness)")))</f>
        <v/>
      </c>
      <c r="J32" s="6">
        <f>SUMIFS(Objects!$K$2:$K$1089,Objects!$B$2:$B$1089,$A32,Objects!$F$2:$F$1089,$B32,Objects!$H$2:$H$1089,$C32)/100</f>
        <v/>
      </c>
      <c r="K32" s="5">
        <f>COUNTIFS(Objects!$B$2:$B$1089,$A32,Objects!$F$2:$F$1089,$B32,Objects!$H$2:$H$1089,$C32,Objects!$I$2:$I$1089,"inferred*")</f>
        <v/>
      </c>
    </row>
    <row r="33">
      <c r="A33" s="5" t="inlineStr">
        <is>
          <t>121</t>
        </is>
      </c>
      <c r="B33" s="5" t="inlineStr">
        <is>
          <t>retaining_wall</t>
        </is>
      </c>
      <c r="C33" s="5" t="inlineStr">
        <is>
          <t>VP20</t>
        </is>
      </c>
      <c r="D33" s="5">
        <f>COUNTIFS(Objects!$B$2:$B$1089,$A33,Objects!$F$2:$F$1089,$B33,Objects!$H$2:$H$1089,$C33)</f>
        <v/>
      </c>
      <c r="E33" s="5">
        <f>_xlfn.MINIFS(Objects!$K$2:$K$1089,Objects!$B$2:$B$1089,$A33,Objects!$F$2:$F$1089,$B33,Objects!$H$2:$H$1089,$C33)</f>
        <v/>
      </c>
      <c r="F33" s="5">
        <f>_xlfn.MAXIFS(Objects!$K$2:$K$1089,Objects!$B$2:$B$1089,$A33,Objects!$F$2:$F$1089,$B33,Objects!$H$2:$H$1089,$C33)</f>
        <v/>
      </c>
      <c r="G33" s="5">
        <f>_xlfn.MINIFS(Objects!$L$2:$L$1089,Objects!$B$2:$B$1089,$A33,Objects!$F$2:$F$1089,$B33,Objects!$H$2:$H$1089,$C33)</f>
        <v/>
      </c>
      <c r="H33" s="5">
        <f>_xlfn.MAXIFS(Objects!$L$2:$L$1089,Objects!$B$2:$B$1089,$A33,Objects!$F$2:$F$1089,$B33,Objects!$H$2:$H$1089,$C33)</f>
        <v/>
      </c>
      <c r="I33" s="5">
        <f>IF(OR(C33="(none)",B33="raft",B33="sump_pit"),"n/a",IF(OR(B33="column",B33="shear_wall",B33="isolated_footing",B33="combined_footing"),IF(AND(F33-E33&lt;=3,H33-G33&lt;=3),"yes","no"),IF(H33-G33&lt;=3,"yes (thickness)","no (thickness)")))</f>
        <v/>
      </c>
      <c r="J33" s="6">
        <f>SUMIFS(Objects!$K$2:$K$1089,Objects!$B$2:$B$1089,$A33,Objects!$F$2:$F$1089,$B33,Objects!$H$2:$H$1089,$C33)/100</f>
        <v/>
      </c>
      <c r="K33" s="5">
        <f>COUNTIFS(Objects!$B$2:$B$1089,$A33,Objects!$F$2:$F$1089,$B33,Objects!$H$2:$H$1089,$C33,Objects!$I$2:$I$1089,"inferred*")</f>
        <v/>
      </c>
    </row>
    <row r="34">
      <c r="A34" s="5" t="inlineStr">
        <is>
          <t>121</t>
        </is>
      </c>
      <c r="B34" s="5" t="inlineStr">
        <is>
          <t>isolated_footing</t>
        </is>
      </c>
      <c r="C34" s="5" t="inlineStr">
        <is>
          <t>(none)</t>
        </is>
      </c>
      <c r="D34" s="5">
        <f>COUNTIFS(Objects!$B$2:$B$1089,$A34,Objects!$F$2:$F$1089,$B34,Objects!$H$2:$H$1089,$C34)</f>
        <v/>
      </c>
      <c r="E34" s="5">
        <f>_xlfn.MINIFS(Objects!$K$2:$K$1089,Objects!$B$2:$B$1089,$A34,Objects!$F$2:$F$1089,$B34,Objects!$H$2:$H$1089,$C34)</f>
        <v/>
      </c>
      <c r="F34" s="5">
        <f>_xlfn.MAXIFS(Objects!$K$2:$K$1089,Objects!$B$2:$B$1089,$A34,Objects!$F$2:$F$1089,$B34,Objects!$H$2:$H$1089,$C34)</f>
        <v/>
      </c>
      <c r="G34" s="5">
        <f>_xlfn.MINIFS(Objects!$L$2:$L$1089,Objects!$B$2:$B$1089,$A34,Objects!$F$2:$F$1089,$B34,Objects!$H$2:$H$1089,$C34)</f>
        <v/>
      </c>
      <c r="H34" s="5">
        <f>_xlfn.MAXIFS(Objects!$L$2:$L$1089,Objects!$B$2:$B$1089,$A34,Objects!$F$2:$F$1089,$B34,Objects!$H$2:$H$1089,$C34)</f>
        <v/>
      </c>
      <c r="I34" s="5">
        <f>IF(OR(C34="(none)",B34="raft",B34="sump_pit"),"n/a",IF(OR(B34="column",B34="shear_wall",B34="isolated_footing",B34="combined_footing"),IF(AND(F34-E34&lt;=3,H34-G34&lt;=3),"yes","no"),IF(H34-G34&lt;=3,"yes (thickness)","no (thickness)")))</f>
        <v/>
      </c>
      <c r="J34" s="6">
        <f>SUMIFS(Objects!$K$2:$K$1089,Objects!$B$2:$B$1089,$A34,Objects!$F$2:$F$1089,$B34,Objects!$H$2:$H$1089,$C34)/100</f>
        <v/>
      </c>
      <c r="K34" s="5">
        <f>COUNTIFS(Objects!$B$2:$B$1089,$A34,Objects!$F$2:$F$1089,$B34,Objects!$H$2:$H$1089,$C34,Objects!$I$2:$I$1089,"inferred*")</f>
        <v/>
      </c>
    </row>
    <row r="35">
      <c r="A35" s="5" t="inlineStr">
        <is>
          <t>121</t>
        </is>
      </c>
      <c r="B35" s="5" t="inlineStr">
        <is>
          <t>isolated_footing</t>
        </is>
      </c>
      <c r="C35" s="5" t="inlineStr">
        <is>
          <t>S0</t>
        </is>
      </c>
      <c r="D35" s="5">
        <f>COUNTIFS(Objects!$B$2:$B$1089,$A35,Objects!$F$2:$F$1089,$B35,Objects!$H$2:$H$1089,$C35)</f>
        <v/>
      </c>
      <c r="E35" s="5">
        <f>_xlfn.MINIFS(Objects!$K$2:$K$1089,Objects!$B$2:$B$1089,$A35,Objects!$F$2:$F$1089,$B35,Objects!$H$2:$H$1089,$C35)</f>
        <v/>
      </c>
      <c r="F35" s="5">
        <f>_xlfn.MAXIFS(Objects!$K$2:$K$1089,Objects!$B$2:$B$1089,$A35,Objects!$F$2:$F$1089,$B35,Objects!$H$2:$H$1089,$C35)</f>
        <v/>
      </c>
      <c r="G35" s="5">
        <f>_xlfn.MINIFS(Objects!$L$2:$L$1089,Objects!$B$2:$B$1089,$A35,Objects!$F$2:$F$1089,$B35,Objects!$H$2:$H$1089,$C35)</f>
        <v/>
      </c>
      <c r="H35" s="5">
        <f>_xlfn.MAXIFS(Objects!$L$2:$L$1089,Objects!$B$2:$B$1089,$A35,Objects!$F$2:$F$1089,$B35,Objects!$H$2:$H$1089,$C35)</f>
        <v/>
      </c>
      <c r="I35" s="5">
        <f>IF(OR(C35="(none)",B35="raft",B35="sump_pit"),"n/a",IF(OR(B35="column",B35="shear_wall",B35="isolated_footing",B35="combined_footing"),IF(AND(F35-E35&lt;=3,H35-G35&lt;=3),"yes","no"),IF(H35-G35&lt;=3,"yes (thickness)","no (thickness)")))</f>
        <v/>
      </c>
      <c r="J35" s="6">
        <f>SUMIFS(Objects!$K$2:$K$1089,Objects!$B$2:$B$1089,$A35,Objects!$F$2:$F$1089,$B35,Objects!$H$2:$H$1089,$C35)/100</f>
        <v/>
      </c>
      <c r="K35" s="5">
        <f>COUNTIFS(Objects!$B$2:$B$1089,$A35,Objects!$F$2:$F$1089,$B35,Objects!$H$2:$H$1089,$C35,Objects!$I$2:$I$1089,"inferred*")</f>
        <v/>
      </c>
    </row>
    <row r="36">
      <c r="A36" s="5" t="inlineStr">
        <is>
          <t>121</t>
        </is>
      </c>
      <c r="B36" s="5" t="inlineStr">
        <is>
          <t>isolated_footing</t>
        </is>
      </c>
      <c r="C36" s="5" t="inlineStr">
        <is>
          <t>S2</t>
        </is>
      </c>
      <c r="D36" s="5">
        <f>COUNTIFS(Objects!$B$2:$B$1089,$A36,Objects!$F$2:$F$1089,$B36,Objects!$H$2:$H$1089,$C36)</f>
        <v/>
      </c>
      <c r="E36" s="5">
        <f>_xlfn.MINIFS(Objects!$K$2:$K$1089,Objects!$B$2:$B$1089,$A36,Objects!$F$2:$F$1089,$B36,Objects!$H$2:$H$1089,$C36)</f>
        <v/>
      </c>
      <c r="F36" s="5">
        <f>_xlfn.MAXIFS(Objects!$K$2:$K$1089,Objects!$B$2:$B$1089,$A36,Objects!$F$2:$F$1089,$B36,Objects!$H$2:$H$1089,$C36)</f>
        <v/>
      </c>
      <c r="G36" s="5">
        <f>_xlfn.MINIFS(Objects!$L$2:$L$1089,Objects!$B$2:$B$1089,$A36,Objects!$F$2:$F$1089,$B36,Objects!$H$2:$H$1089,$C36)</f>
        <v/>
      </c>
      <c r="H36" s="5">
        <f>_xlfn.MAXIFS(Objects!$L$2:$L$1089,Objects!$B$2:$B$1089,$A36,Objects!$F$2:$F$1089,$B36,Objects!$H$2:$H$1089,$C36)</f>
        <v/>
      </c>
      <c r="I36" s="5">
        <f>IF(OR(C36="(none)",B36="raft",B36="sump_pit"),"n/a",IF(OR(B36="column",B36="shear_wall",B36="isolated_footing",B36="combined_footing"),IF(AND(F36-E36&lt;=3,H36-G36&lt;=3),"yes","no"),IF(H36-G36&lt;=3,"yes (thickness)","no (thickness)")))</f>
        <v/>
      </c>
      <c r="J36" s="6">
        <f>SUMIFS(Objects!$K$2:$K$1089,Objects!$B$2:$B$1089,$A36,Objects!$F$2:$F$1089,$B36,Objects!$H$2:$H$1089,$C36)/100</f>
        <v/>
      </c>
      <c r="K36" s="5">
        <f>COUNTIFS(Objects!$B$2:$B$1089,$A36,Objects!$F$2:$F$1089,$B36,Objects!$H$2:$H$1089,$C36,Objects!$I$2:$I$1089,"inferred*")</f>
        <v/>
      </c>
    </row>
    <row r="37">
      <c r="A37" s="5" t="inlineStr">
        <is>
          <t>121</t>
        </is>
      </c>
      <c r="B37" s="5" t="inlineStr">
        <is>
          <t>isolated_footing</t>
        </is>
      </c>
      <c r="C37" s="5" t="inlineStr">
        <is>
          <t>S5</t>
        </is>
      </c>
      <c r="D37" s="5">
        <f>COUNTIFS(Objects!$B$2:$B$1089,$A37,Objects!$F$2:$F$1089,$B37,Objects!$H$2:$H$1089,$C37)</f>
        <v/>
      </c>
      <c r="E37" s="5">
        <f>_xlfn.MINIFS(Objects!$K$2:$K$1089,Objects!$B$2:$B$1089,$A37,Objects!$F$2:$F$1089,$B37,Objects!$H$2:$H$1089,$C37)</f>
        <v/>
      </c>
      <c r="F37" s="5">
        <f>_xlfn.MAXIFS(Objects!$K$2:$K$1089,Objects!$B$2:$B$1089,$A37,Objects!$F$2:$F$1089,$B37,Objects!$H$2:$H$1089,$C37)</f>
        <v/>
      </c>
      <c r="G37" s="5">
        <f>_xlfn.MINIFS(Objects!$L$2:$L$1089,Objects!$B$2:$B$1089,$A37,Objects!$F$2:$F$1089,$B37,Objects!$H$2:$H$1089,$C37)</f>
        <v/>
      </c>
      <c r="H37" s="5">
        <f>_xlfn.MAXIFS(Objects!$L$2:$L$1089,Objects!$B$2:$B$1089,$A37,Objects!$F$2:$F$1089,$B37,Objects!$H$2:$H$1089,$C37)</f>
        <v/>
      </c>
      <c r="I37" s="5">
        <f>IF(OR(C37="(none)",B37="raft",B37="sump_pit"),"n/a",IF(OR(B37="column",B37="shear_wall",B37="isolated_footing",B37="combined_footing"),IF(AND(F37-E37&lt;=3,H37-G37&lt;=3),"yes","no"),IF(H37-G37&lt;=3,"yes (thickness)","no (thickness)")))</f>
        <v/>
      </c>
      <c r="J37" s="6">
        <f>SUMIFS(Objects!$K$2:$K$1089,Objects!$B$2:$B$1089,$A37,Objects!$F$2:$F$1089,$B37,Objects!$H$2:$H$1089,$C37)/100</f>
        <v/>
      </c>
      <c r="K37" s="5">
        <f>COUNTIFS(Objects!$B$2:$B$1089,$A37,Objects!$F$2:$F$1089,$B37,Objects!$H$2:$H$1089,$C37,Objects!$I$2:$I$1089,"inferred*")</f>
        <v/>
      </c>
    </row>
    <row r="38">
      <c r="A38" s="5" t="inlineStr">
        <is>
          <t>121</t>
        </is>
      </c>
      <c r="B38" s="5" t="inlineStr">
        <is>
          <t>isolated_footing</t>
        </is>
      </c>
      <c r="C38" s="5" t="inlineStr">
        <is>
          <t>S7</t>
        </is>
      </c>
      <c r="D38" s="5">
        <f>COUNTIFS(Objects!$B$2:$B$1089,$A38,Objects!$F$2:$F$1089,$B38,Objects!$H$2:$H$1089,$C38)</f>
        <v/>
      </c>
      <c r="E38" s="5">
        <f>_xlfn.MINIFS(Objects!$K$2:$K$1089,Objects!$B$2:$B$1089,$A38,Objects!$F$2:$F$1089,$B38,Objects!$H$2:$H$1089,$C38)</f>
        <v/>
      </c>
      <c r="F38" s="5">
        <f>_xlfn.MAXIFS(Objects!$K$2:$K$1089,Objects!$B$2:$B$1089,$A38,Objects!$F$2:$F$1089,$B38,Objects!$H$2:$H$1089,$C38)</f>
        <v/>
      </c>
      <c r="G38" s="5">
        <f>_xlfn.MINIFS(Objects!$L$2:$L$1089,Objects!$B$2:$B$1089,$A38,Objects!$F$2:$F$1089,$B38,Objects!$H$2:$H$1089,$C38)</f>
        <v/>
      </c>
      <c r="H38" s="5">
        <f>_xlfn.MAXIFS(Objects!$L$2:$L$1089,Objects!$B$2:$B$1089,$A38,Objects!$F$2:$F$1089,$B38,Objects!$H$2:$H$1089,$C38)</f>
        <v/>
      </c>
      <c r="I38" s="5">
        <f>IF(OR(C38="(none)",B38="raft",B38="sump_pit"),"n/a",IF(OR(B38="column",B38="shear_wall",B38="isolated_footing",B38="combined_footing"),IF(AND(F38-E38&lt;=3,H38-G38&lt;=3),"yes","no"),IF(H38-G38&lt;=3,"yes (thickness)","no (thickness)")))</f>
        <v/>
      </c>
      <c r="J38" s="6">
        <f>SUMIFS(Objects!$K$2:$K$1089,Objects!$B$2:$B$1089,$A38,Objects!$F$2:$F$1089,$B38,Objects!$H$2:$H$1089,$C38)/100</f>
        <v/>
      </c>
      <c r="K38" s="5">
        <f>COUNTIFS(Objects!$B$2:$B$1089,$A38,Objects!$F$2:$F$1089,$B38,Objects!$H$2:$H$1089,$C38,Objects!$I$2:$I$1089,"inferred*")</f>
        <v/>
      </c>
    </row>
    <row r="39">
      <c r="A39" s="5" t="inlineStr">
        <is>
          <t>121</t>
        </is>
      </c>
      <c r="B39" s="5" t="inlineStr">
        <is>
          <t>combined_footing</t>
        </is>
      </c>
      <c r="C39" s="5" t="inlineStr">
        <is>
          <t>SC1</t>
        </is>
      </c>
      <c r="D39" s="5">
        <f>COUNTIFS(Objects!$B$2:$B$1089,$A39,Objects!$F$2:$F$1089,$B39,Objects!$H$2:$H$1089,$C39)</f>
        <v/>
      </c>
      <c r="E39" s="5">
        <f>_xlfn.MINIFS(Objects!$K$2:$K$1089,Objects!$B$2:$B$1089,$A39,Objects!$F$2:$F$1089,$B39,Objects!$H$2:$H$1089,$C39)</f>
        <v/>
      </c>
      <c r="F39" s="5">
        <f>_xlfn.MAXIFS(Objects!$K$2:$K$1089,Objects!$B$2:$B$1089,$A39,Objects!$F$2:$F$1089,$B39,Objects!$H$2:$H$1089,$C39)</f>
        <v/>
      </c>
      <c r="G39" s="5">
        <f>_xlfn.MINIFS(Objects!$L$2:$L$1089,Objects!$B$2:$B$1089,$A39,Objects!$F$2:$F$1089,$B39,Objects!$H$2:$H$1089,$C39)</f>
        <v/>
      </c>
      <c r="H39" s="5">
        <f>_xlfn.MAXIFS(Objects!$L$2:$L$1089,Objects!$B$2:$B$1089,$A39,Objects!$F$2:$F$1089,$B39,Objects!$H$2:$H$1089,$C39)</f>
        <v/>
      </c>
      <c r="I39" s="5">
        <f>IF(OR(C39="(none)",B39="raft",B39="sump_pit"),"n/a",IF(OR(B39="column",B39="shear_wall",B39="isolated_footing",B39="combined_footing"),IF(AND(F39-E39&lt;=3,H39-G39&lt;=3),"yes","no"),IF(H39-G39&lt;=3,"yes (thickness)","no (thickness)")))</f>
        <v/>
      </c>
      <c r="J39" s="6">
        <f>SUMIFS(Objects!$K$2:$K$1089,Objects!$B$2:$B$1089,$A39,Objects!$F$2:$F$1089,$B39,Objects!$H$2:$H$1089,$C39)/100</f>
        <v/>
      </c>
      <c r="K39" s="5">
        <f>COUNTIFS(Objects!$B$2:$B$1089,$A39,Objects!$F$2:$F$1089,$B39,Objects!$H$2:$H$1089,$C39,Objects!$I$2:$I$1089,"inferred*")</f>
        <v/>
      </c>
    </row>
    <row r="40">
      <c r="A40" s="5" t="inlineStr">
        <is>
          <t>121</t>
        </is>
      </c>
      <c r="B40" s="5" t="inlineStr">
        <is>
          <t>combined_footing</t>
        </is>
      </c>
      <c r="C40" s="5" t="inlineStr">
        <is>
          <t>SC4</t>
        </is>
      </c>
      <c r="D40" s="5">
        <f>COUNTIFS(Objects!$B$2:$B$1089,$A40,Objects!$F$2:$F$1089,$B40,Objects!$H$2:$H$1089,$C40)</f>
        <v/>
      </c>
      <c r="E40" s="5">
        <f>_xlfn.MINIFS(Objects!$K$2:$K$1089,Objects!$B$2:$B$1089,$A40,Objects!$F$2:$F$1089,$B40,Objects!$H$2:$H$1089,$C40)</f>
        <v/>
      </c>
      <c r="F40" s="5">
        <f>_xlfn.MAXIFS(Objects!$K$2:$K$1089,Objects!$B$2:$B$1089,$A40,Objects!$F$2:$F$1089,$B40,Objects!$H$2:$H$1089,$C40)</f>
        <v/>
      </c>
      <c r="G40" s="5">
        <f>_xlfn.MINIFS(Objects!$L$2:$L$1089,Objects!$B$2:$B$1089,$A40,Objects!$F$2:$F$1089,$B40,Objects!$H$2:$H$1089,$C40)</f>
        <v/>
      </c>
      <c r="H40" s="5">
        <f>_xlfn.MAXIFS(Objects!$L$2:$L$1089,Objects!$B$2:$B$1089,$A40,Objects!$F$2:$F$1089,$B40,Objects!$H$2:$H$1089,$C40)</f>
        <v/>
      </c>
      <c r="I40" s="5">
        <f>IF(OR(C40="(none)",B40="raft",B40="sump_pit"),"n/a",IF(OR(B40="column",B40="shear_wall",B40="isolated_footing",B40="combined_footing"),IF(AND(F40-E40&lt;=3,H40-G40&lt;=3),"yes","no"),IF(H40-G40&lt;=3,"yes (thickness)","no (thickness)")))</f>
        <v/>
      </c>
      <c r="J40" s="6">
        <f>SUMIFS(Objects!$K$2:$K$1089,Objects!$B$2:$B$1089,$A40,Objects!$F$2:$F$1089,$B40,Objects!$H$2:$H$1089,$C40)/100</f>
        <v/>
      </c>
      <c r="K40" s="5">
        <f>COUNTIFS(Objects!$B$2:$B$1089,$A40,Objects!$F$2:$F$1089,$B40,Objects!$H$2:$H$1089,$C40,Objects!$I$2:$I$1089,"inferred*")</f>
        <v/>
      </c>
    </row>
    <row r="41">
      <c r="A41" s="5" t="inlineStr">
        <is>
          <t>121</t>
        </is>
      </c>
      <c r="B41" s="5" t="inlineStr">
        <is>
          <t>strip_footing</t>
        </is>
      </c>
      <c r="C41" s="5" t="inlineStr">
        <is>
          <t>SF1</t>
        </is>
      </c>
      <c r="D41" s="5">
        <f>COUNTIFS(Objects!$B$2:$B$1089,$A41,Objects!$F$2:$F$1089,$B41,Objects!$H$2:$H$1089,$C41)</f>
        <v/>
      </c>
      <c r="E41" s="5">
        <f>_xlfn.MINIFS(Objects!$K$2:$K$1089,Objects!$B$2:$B$1089,$A41,Objects!$F$2:$F$1089,$B41,Objects!$H$2:$H$1089,$C41)</f>
        <v/>
      </c>
      <c r="F41" s="5">
        <f>_xlfn.MAXIFS(Objects!$K$2:$K$1089,Objects!$B$2:$B$1089,$A41,Objects!$F$2:$F$1089,$B41,Objects!$H$2:$H$1089,$C41)</f>
        <v/>
      </c>
      <c r="G41" s="5">
        <f>_xlfn.MINIFS(Objects!$L$2:$L$1089,Objects!$B$2:$B$1089,$A41,Objects!$F$2:$F$1089,$B41,Objects!$H$2:$H$1089,$C41)</f>
        <v/>
      </c>
      <c r="H41" s="5">
        <f>_xlfn.MAXIFS(Objects!$L$2:$L$1089,Objects!$B$2:$B$1089,$A41,Objects!$F$2:$F$1089,$B41,Objects!$H$2:$H$1089,$C41)</f>
        <v/>
      </c>
      <c r="I41" s="5">
        <f>IF(OR(C41="(none)",B41="raft",B41="sump_pit"),"n/a",IF(OR(B41="column",B41="shear_wall",B41="isolated_footing",B41="combined_footing"),IF(AND(F41-E41&lt;=3,H41-G41&lt;=3),"yes","no"),IF(H41-G41&lt;=3,"yes (thickness)","no (thickness)")))</f>
        <v/>
      </c>
      <c r="J41" s="6">
        <f>SUMIFS(Objects!$K$2:$K$1089,Objects!$B$2:$B$1089,$A41,Objects!$F$2:$F$1089,$B41,Objects!$H$2:$H$1089,$C41)/100</f>
        <v/>
      </c>
      <c r="K41" s="5">
        <f>COUNTIFS(Objects!$B$2:$B$1089,$A41,Objects!$F$2:$F$1089,$B41,Objects!$H$2:$H$1089,$C41,Objects!$I$2:$I$1089,"inferred*")</f>
        <v/>
      </c>
    </row>
    <row r="42">
      <c r="A42" s="5" t="inlineStr">
        <is>
          <t>121</t>
        </is>
      </c>
      <c r="B42" s="5" t="inlineStr">
        <is>
          <t>grade_beam</t>
        </is>
      </c>
      <c r="C42" s="5" t="inlineStr">
        <is>
          <t>(none)</t>
        </is>
      </c>
      <c r="D42" s="5">
        <f>COUNTIFS(Objects!$B$2:$B$1089,$A42,Objects!$F$2:$F$1089,$B42,Objects!$H$2:$H$1089,$C42)</f>
        <v/>
      </c>
      <c r="E42" s="5">
        <f>_xlfn.MINIFS(Objects!$K$2:$K$1089,Objects!$B$2:$B$1089,$A42,Objects!$F$2:$F$1089,$B42,Objects!$H$2:$H$1089,$C42)</f>
        <v/>
      </c>
      <c r="F42" s="5">
        <f>_xlfn.MAXIFS(Objects!$K$2:$K$1089,Objects!$B$2:$B$1089,$A42,Objects!$F$2:$F$1089,$B42,Objects!$H$2:$H$1089,$C42)</f>
        <v/>
      </c>
      <c r="G42" s="5">
        <f>_xlfn.MINIFS(Objects!$L$2:$L$1089,Objects!$B$2:$B$1089,$A42,Objects!$F$2:$F$1089,$B42,Objects!$H$2:$H$1089,$C42)</f>
        <v/>
      </c>
      <c r="H42" s="5">
        <f>_xlfn.MAXIFS(Objects!$L$2:$L$1089,Objects!$B$2:$B$1089,$A42,Objects!$F$2:$F$1089,$B42,Objects!$H$2:$H$1089,$C42)</f>
        <v/>
      </c>
      <c r="I42" s="5">
        <f>IF(OR(C42="(none)",B42="raft",B42="sump_pit"),"n/a",IF(OR(B42="column",B42="shear_wall",B42="isolated_footing",B42="combined_footing"),IF(AND(F42-E42&lt;=3,H42-G42&lt;=3),"yes","no"),IF(H42-G42&lt;=3,"yes (thickness)","no (thickness)")))</f>
        <v/>
      </c>
      <c r="J42" s="6">
        <f>SUMIFS(Objects!$K$2:$K$1089,Objects!$B$2:$B$1089,$A42,Objects!$F$2:$F$1089,$B42,Objects!$H$2:$H$1089,$C42)/100</f>
        <v/>
      </c>
      <c r="K42" s="5">
        <f>COUNTIFS(Objects!$B$2:$B$1089,$A42,Objects!$F$2:$F$1089,$B42,Objects!$H$2:$H$1089,$C42,Objects!$I$2:$I$1089,"inferred*")</f>
        <v/>
      </c>
    </row>
    <row r="43">
      <c r="A43" s="5" t="inlineStr">
        <is>
          <t>121</t>
        </is>
      </c>
      <c r="B43" s="5" t="inlineStr">
        <is>
          <t>grade_beam</t>
        </is>
      </c>
      <c r="C43" s="5" t="inlineStr">
        <is>
          <t>LG25x40</t>
        </is>
      </c>
      <c r="D43" s="5">
        <f>COUNTIFS(Objects!$B$2:$B$1089,$A43,Objects!$F$2:$F$1089,$B43,Objects!$H$2:$H$1089,$C43)</f>
        <v/>
      </c>
      <c r="E43" s="5">
        <f>_xlfn.MINIFS(Objects!$K$2:$K$1089,Objects!$B$2:$B$1089,$A43,Objects!$F$2:$F$1089,$B43,Objects!$H$2:$H$1089,$C43)</f>
        <v/>
      </c>
      <c r="F43" s="5">
        <f>_xlfn.MAXIFS(Objects!$K$2:$K$1089,Objects!$B$2:$B$1089,$A43,Objects!$F$2:$F$1089,$B43,Objects!$H$2:$H$1089,$C43)</f>
        <v/>
      </c>
      <c r="G43" s="5">
        <f>_xlfn.MINIFS(Objects!$L$2:$L$1089,Objects!$B$2:$B$1089,$A43,Objects!$F$2:$F$1089,$B43,Objects!$H$2:$H$1089,$C43)</f>
        <v/>
      </c>
      <c r="H43" s="5">
        <f>_xlfn.MAXIFS(Objects!$L$2:$L$1089,Objects!$B$2:$B$1089,$A43,Objects!$F$2:$F$1089,$B43,Objects!$H$2:$H$1089,$C43)</f>
        <v/>
      </c>
      <c r="I43" s="5">
        <f>IF(OR(C43="(none)",B43="raft",B43="sump_pit"),"n/a",IF(OR(B43="column",B43="shear_wall",B43="isolated_footing",B43="combined_footing"),IF(AND(F43-E43&lt;=3,H43-G43&lt;=3),"yes","no"),IF(H43-G43&lt;=3,"yes (thickness)","no (thickness)")))</f>
        <v/>
      </c>
      <c r="J43" s="6">
        <f>SUMIFS(Objects!$K$2:$K$1089,Objects!$B$2:$B$1089,$A43,Objects!$F$2:$F$1089,$B43,Objects!$H$2:$H$1089,$C43)/100</f>
        <v/>
      </c>
      <c r="K43" s="5">
        <f>COUNTIFS(Objects!$B$2:$B$1089,$A43,Objects!$F$2:$F$1089,$B43,Objects!$H$2:$H$1089,$C43,Objects!$I$2:$I$1089,"inferred*")</f>
        <v/>
      </c>
    </row>
    <row r="44">
      <c r="A44" s="5" t="inlineStr">
        <is>
          <t>121</t>
        </is>
      </c>
      <c r="B44" s="5" t="inlineStr">
        <is>
          <t>grade_beam</t>
        </is>
      </c>
      <c r="C44" s="5" t="inlineStr">
        <is>
          <t>LG40x15</t>
        </is>
      </c>
      <c r="D44" s="5">
        <f>COUNTIFS(Objects!$B$2:$B$1089,$A44,Objects!$F$2:$F$1089,$B44,Objects!$H$2:$H$1089,$C44)</f>
        <v/>
      </c>
      <c r="E44" s="5">
        <f>_xlfn.MINIFS(Objects!$K$2:$K$1089,Objects!$B$2:$B$1089,$A44,Objects!$F$2:$F$1089,$B44,Objects!$H$2:$H$1089,$C44)</f>
        <v/>
      </c>
      <c r="F44" s="5">
        <f>_xlfn.MAXIFS(Objects!$K$2:$K$1089,Objects!$B$2:$B$1089,$A44,Objects!$F$2:$F$1089,$B44,Objects!$H$2:$H$1089,$C44)</f>
        <v/>
      </c>
      <c r="G44" s="5">
        <f>_xlfn.MINIFS(Objects!$L$2:$L$1089,Objects!$B$2:$B$1089,$A44,Objects!$F$2:$F$1089,$B44,Objects!$H$2:$H$1089,$C44)</f>
        <v/>
      </c>
      <c r="H44" s="5">
        <f>_xlfn.MAXIFS(Objects!$L$2:$L$1089,Objects!$B$2:$B$1089,$A44,Objects!$F$2:$F$1089,$B44,Objects!$H$2:$H$1089,$C44)</f>
        <v/>
      </c>
      <c r="I44" s="5">
        <f>IF(OR(C44="(none)",B44="raft",B44="sump_pit"),"n/a",IF(OR(B44="column",B44="shear_wall",B44="isolated_footing",B44="combined_footing"),IF(AND(F44-E44&lt;=3,H44-G44&lt;=3),"yes","no"),IF(H44-G44&lt;=3,"yes (thickness)","no (thickness)")))</f>
        <v/>
      </c>
      <c r="J44" s="6">
        <f>SUMIFS(Objects!$K$2:$K$1089,Objects!$B$2:$B$1089,$A44,Objects!$F$2:$F$1089,$B44,Objects!$H$2:$H$1089,$C44)/100</f>
        <v/>
      </c>
      <c r="K44" s="5">
        <f>COUNTIFS(Objects!$B$2:$B$1089,$A44,Objects!$F$2:$F$1089,$B44,Objects!$H$2:$H$1089,$C44,Objects!$I$2:$I$1089,"inferred*")</f>
        <v/>
      </c>
    </row>
    <row r="45">
      <c r="A45" s="5" t="inlineStr">
        <is>
          <t>121</t>
        </is>
      </c>
      <c r="B45" s="5" t="inlineStr">
        <is>
          <t>raft</t>
        </is>
      </c>
      <c r="C45" s="5" t="inlineStr">
        <is>
          <t>Radier 190</t>
        </is>
      </c>
      <c r="D45" s="5">
        <f>COUNTIFS(Objects!$B$2:$B$1089,$A45,Objects!$F$2:$F$1089,$B45,Objects!$H$2:$H$1089,$C45)</f>
        <v/>
      </c>
      <c r="E45" s="5">
        <f>_xlfn.MINIFS(Objects!$K$2:$K$1089,Objects!$B$2:$B$1089,$A45,Objects!$F$2:$F$1089,$B45,Objects!$H$2:$H$1089,$C45)</f>
        <v/>
      </c>
      <c r="F45" s="5">
        <f>_xlfn.MAXIFS(Objects!$K$2:$K$1089,Objects!$B$2:$B$1089,$A45,Objects!$F$2:$F$1089,$B45,Objects!$H$2:$H$1089,$C45)</f>
        <v/>
      </c>
      <c r="G45" s="5">
        <f>_xlfn.MINIFS(Objects!$L$2:$L$1089,Objects!$B$2:$B$1089,$A45,Objects!$F$2:$F$1089,$B45,Objects!$H$2:$H$1089,$C45)</f>
        <v/>
      </c>
      <c r="H45" s="5">
        <f>_xlfn.MAXIFS(Objects!$L$2:$L$1089,Objects!$B$2:$B$1089,$A45,Objects!$F$2:$F$1089,$B45,Objects!$H$2:$H$1089,$C45)</f>
        <v/>
      </c>
      <c r="I45" s="5">
        <f>IF(OR(C45="(none)",B45="raft",B45="sump_pit"),"n/a",IF(OR(B45="column",B45="shear_wall",B45="isolated_footing",B45="combined_footing"),IF(AND(F45-E45&lt;=3,H45-G45&lt;=3),"yes","no"),IF(H45-G45&lt;=3,"yes (thickness)","no (thickness)")))</f>
        <v/>
      </c>
      <c r="J45" s="6">
        <f>SUMIFS(Objects!$K$2:$K$1089,Objects!$B$2:$B$1089,$A45,Objects!$F$2:$F$1089,$B45,Objects!$H$2:$H$1089,$C45)/100</f>
        <v/>
      </c>
      <c r="K45" s="5">
        <f>COUNTIFS(Objects!$B$2:$B$1089,$A45,Objects!$F$2:$F$1089,$B45,Objects!$H$2:$H$1089,$C45,Objects!$I$2:$I$1089,"inferred*")</f>
        <v/>
      </c>
    </row>
    <row r="46">
      <c r="A46" s="5" t="inlineStr">
        <is>
          <t>121</t>
        </is>
      </c>
      <c r="B46" s="5" t="inlineStr">
        <is>
          <t>raft</t>
        </is>
      </c>
      <c r="C46" s="5" t="inlineStr">
        <is>
          <t>Radier 90</t>
        </is>
      </c>
      <c r="D46" s="5">
        <f>COUNTIFS(Objects!$B$2:$B$1089,$A46,Objects!$F$2:$F$1089,$B46,Objects!$H$2:$H$1089,$C46)</f>
        <v/>
      </c>
      <c r="E46" s="5">
        <f>_xlfn.MINIFS(Objects!$K$2:$K$1089,Objects!$B$2:$B$1089,$A46,Objects!$F$2:$F$1089,$B46,Objects!$H$2:$H$1089,$C46)</f>
        <v/>
      </c>
      <c r="F46" s="5">
        <f>_xlfn.MAXIFS(Objects!$K$2:$K$1089,Objects!$B$2:$B$1089,$A46,Objects!$F$2:$F$1089,$B46,Objects!$H$2:$H$1089,$C46)</f>
        <v/>
      </c>
      <c r="G46" s="5">
        <f>_xlfn.MINIFS(Objects!$L$2:$L$1089,Objects!$B$2:$B$1089,$A46,Objects!$F$2:$F$1089,$B46,Objects!$H$2:$H$1089,$C46)</f>
        <v/>
      </c>
      <c r="H46" s="5">
        <f>_xlfn.MAXIFS(Objects!$L$2:$L$1089,Objects!$B$2:$B$1089,$A46,Objects!$F$2:$F$1089,$B46,Objects!$H$2:$H$1089,$C46)</f>
        <v/>
      </c>
      <c r="I46" s="5">
        <f>IF(OR(C46="(none)",B46="raft",B46="sump_pit"),"n/a",IF(OR(B46="column",B46="shear_wall",B46="isolated_footing",B46="combined_footing"),IF(AND(F46-E46&lt;=3,H46-G46&lt;=3),"yes","no"),IF(H46-G46&lt;=3,"yes (thickness)","no (thickness)")))</f>
        <v/>
      </c>
      <c r="J46" s="6">
        <f>SUMIFS(Objects!$K$2:$K$1089,Objects!$B$2:$B$1089,$A46,Objects!$F$2:$F$1089,$B46,Objects!$H$2:$H$1089,$C46)/100</f>
        <v/>
      </c>
      <c r="K46" s="5">
        <f>COUNTIFS(Objects!$B$2:$B$1089,$A46,Objects!$F$2:$F$1089,$B46,Objects!$H$2:$H$1089,$C46,Objects!$I$2:$I$1089,"inferred*")</f>
        <v/>
      </c>
    </row>
    <row r="47">
      <c r="A47" s="5" t="inlineStr">
        <is>
          <t>121</t>
        </is>
      </c>
      <c r="B47" s="5" t="inlineStr">
        <is>
          <t>sump_pit</t>
        </is>
      </c>
      <c r="C47" s="5" t="inlineStr">
        <is>
          <t>(none)</t>
        </is>
      </c>
      <c r="D47" s="5">
        <f>COUNTIFS(Objects!$B$2:$B$1089,$A47,Objects!$F$2:$F$1089,$B47,Objects!$H$2:$H$1089,$C47)</f>
        <v/>
      </c>
      <c r="E47" s="5">
        <f>_xlfn.MINIFS(Objects!$K$2:$K$1089,Objects!$B$2:$B$1089,$A47,Objects!$F$2:$F$1089,$B47,Objects!$H$2:$H$1089,$C47)</f>
        <v/>
      </c>
      <c r="F47" s="5">
        <f>_xlfn.MAXIFS(Objects!$K$2:$K$1089,Objects!$B$2:$B$1089,$A47,Objects!$F$2:$F$1089,$B47,Objects!$H$2:$H$1089,$C47)</f>
        <v/>
      </c>
      <c r="G47" s="5">
        <f>_xlfn.MINIFS(Objects!$L$2:$L$1089,Objects!$B$2:$B$1089,$A47,Objects!$F$2:$F$1089,$B47,Objects!$H$2:$H$1089,$C47)</f>
        <v/>
      </c>
      <c r="H47" s="5">
        <f>_xlfn.MAXIFS(Objects!$L$2:$L$1089,Objects!$B$2:$B$1089,$A47,Objects!$F$2:$F$1089,$B47,Objects!$H$2:$H$1089,$C47)</f>
        <v/>
      </c>
      <c r="I47" s="5">
        <f>IF(OR(C47="(none)",B47="raft",B47="sump_pit"),"n/a",IF(OR(B47="column",B47="shear_wall",B47="isolated_footing",B47="combined_footing"),IF(AND(F47-E47&lt;=3,H47-G47&lt;=3),"yes","no"),IF(H47-G47&lt;=3,"yes (thickness)","no (thickness)")))</f>
        <v/>
      </c>
      <c r="J47" s="6">
        <f>SUMIFS(Objects!$K$2:$K$1089,Objects!$B$2:$B$1089,$A47,Objects!$F$2:$F$1089,$B47,Objects!$H$2:$H$1089,$C47)/100</f>
        <v/>
      </c>
      <c r="K47" s="5">
        <f>COUNTIFS(Objects!$B$2:$B$1089,$A47,Objects!$F$2:$F$1089,$B47,Objects!$H$2:$H$1089,$C47,Objects!$I$2:$I$1089,"inferred*")</f>
        <v/>
      </c>
    </row>
    <row r="48">
      <c r="A48" s="5" t="inlineStr">
        <is>
          <t>121</t>
        </is>
      </c>
      <c r="B48" s="5" t="inlineStr">
        <is>
          <t>sump_pit</t>
        </is>
      </c>
      <c r="C48" s="5" t="inlineStr">
        <is>
          <t>Fosse</t>
        </is>
      </c>
      <c r="D48" s="5">
        <f>COUNTIFS(Objects!$B$2:$B$1089,$A48,Objects!$F$2:$F$1089,$B48,Objects!$H$2:$H$1089,$C48)</f>
        <v/>
      </c>
      <c r="E48" s="5">
        <f>_xlfn.MINIFS(Objects!$K$2:$K$1089,Objects!$B$2:$B$1089,$A48,Objects!$F$2:$F$1089,$B48,Objects!$H$2:$H$1089,$C48)</f>
        <v/>
      </c>
      <c r="F48" s="5">
        <f>_xlfn.MAXIFS(Objects!$K$2:$K$1089,Objects!$B$2:$B$1089,$A48,Objects!$F$2:$F$1089,$B48,Objects!$H$2:$H$1089,$C48)</f>
        <v/>
      </c>
      <c r="G48" s="5">
        <f>_xlfn.MINIFS(Objects!$L$2:$L$1089,Objects!$B$2:$B$1089,$A48,Objects!$F$2:$F$1089,$B48,Objects!$H$2:$H$1089,$C48)</f>
        <v/>
      </c>
      <c r="H48" s="5">
        <f>_xlfn.MAXIFS(Objects!$L$2:$L$1089,Objects!$B$2:$B$1089,$A48,Objects!$F$2:$F$1089,$B48,Objects!$H$2:$H$1089,$C48)</f>
        <v/>
      </c>
      <c r="I48" s="5">
        <f>IF(OR(C48="(none)",B48="raft",B48="sump_pit"),"n/a",IF(OR(B48="column",B48="shear_wall",B48="isolated_footing",B48="combined_footing"),IF(AND(F48-E48&lt;=3,H48-G48&lt;=3),"yes","no"),IF(H48-G48&lt;=3,"yes (thickness)","no (thickness)")))</f>
        <v/>
      </c>
      <c r="J48" s="6">
        <f>SUMIFS(Objects!$K$2:$K$1089,Objects!$B$2:$B$1089,$A48,Objects!$F$2:$F$1089,$B48,Objects!$H$2:$H$1089,$C48)/100</f>
        <v/>
      </c>
      <c r="K48" s="5">
        <f>COUNTIFS(Objects!$B$2:$B$1089,$A48,Objects!$F$2:$F$1089,$B48,Objects!$H$2:$H$1089,$C48,Objects!$I$2:$I$1089,"inferred*")</f>
        <v/>
      </c>
    </row>
    <row r="49">
      <c r="A49" s="5" t="inlineStr">
        <is>
          <t>122</t>
        </is>
      </c>
      <c r="B49" s="5" t="inlineStr">
        <is>
          <t>column</t>
        </is>
      </c>
      <c r="C49" s="5" t="inlineStr">
        <is>
          <t>(none)</t>
        </is>
      </c>
      <c r="D49" s="5">
        <f>COUNTIFS(Objects!$B$2:$B$1089,$A49,Objects!$F$2:$F$1089,$B49,Objects!$H$2:$H$1089,$C49)</f>
        <v/>
      </c>
      <c r="E49" s="5">
        <f>_xlfn.MINIFS(Objects!$K$2:$K$1089,Objects!$B$2:$B$1089,$A49,Objects!$F$2:$F$1089,$B49,Objects!$H$2:$H$1089,$C49)</f>
        <v/>
      </c>
      <c r="F49" s="5">
        <f>_xlfn.MAXIFS(Objects!$K$2:$K$1089,Objects!$B$2:$B$1089,$A49,Objects!$F$2:$F$1089,$B49,Objects!$H$2:$H$1089,$C49)</f>
        <v/>
      </c>
      <c r="G49" s="5">
        <f>_xlfn.MINIFS(Objects!$L$2:$L$1089,Objects!$B$2:$B$1089,$A49,Objects!$F$2:$F$1089,$B49,Objects!$H$2:$H$1089,$C49)</f>
        <v/>
      </c>
      <c r="H49" s="5">
        <f>_xlfn.MAXIFS(Objects!$L$2:$L$1089,Objects!$B$2:$B$1089,$A49,Objects!$F$2:$F$1089,$B49,Objects!$H$2:$H$1089,$C49)</f>
        <v/>
      </c>
      <c r="I49" s="5">
        <f>IF(OR(C49="(none)",B49="raft",B49="sump_pit"),"n/a",IF(OR(B49="column",B49="shear_wall",B49="isolated_footing",B49="combined_footing"),IF(AND(F49-E49&lt;=3,H49-G49&lt;=3),"yes","no"),IF(H49-G49&lt;=3,"yes (thickness)","no (thickness)")))</f>
        <v/>
      </c>
      <c r="J49" s="6">
        <f>SUMIFS(Objects!$K$2:$K$1089,Objects!$B$2:$B$1089,$A49,Objects!$F$2:$F$1089,$B49,Objects!$H$2:$H$1089,$C49)/100</f>
        <v/>
      </c>
      <c r="K49" s="5">
        <f>COUNTIFS(Objects!$B$2:$B$1089,$A49,Objects!$F$2:$F$1089,$B49,Objects!$H$2:$H$1089,$C49,Objects!$I$2:$I$1089,"inferred*")</f>
        <v/>
      </c>
    </row>
    <row r="50">
      <c r="A50" s="5" t="inlineStr">
        <is>
          <t>122</t>
        </is>
      </c>
      <c r="B50" s="5" t="inlineStr">
        <is>
          <t>column</t>
        </is>
      </c>
      <c r="C50" s="5" t="inlineStr">
        <is>
          <t>P2/122</t>
        </is>
      </c>
      <c r="D50" s="5">
        <f>COUNTIFS(Objects!$B$2:$B$1089,$A50,Objects!$F$2:$F$1089,$B50,Objects!$H$2:$H$1089,$C50)</f>
        <v/>
      </c>
      <c r="E50" s="5">
        <f>_xlfn.MINIFS(Objects!$K$2:$K$1089,Objects!$B$2:$B$1089,$A50,Objects!$F$2:$F$1089,$B50,Objects!$H$2:$H$1089,$C50)</f>
        <v/>
      </c>
      <c r="F50" s="5">
        <f>_xlfn.MAXIFS(Objects!$K$2:$K$1089,Objects!$B$2:$B$1089,$A50,Objects!$F$2:$F$1089,$B50,Objects!$H$2:$H$1089,$C50)</f>
        <v/>
      </c>
      <c r="G50" s="5">
        <f>_xlfn.MINIFS(Objects!$L$2:$L$1089,Objects!$B$2:$B$1089,$A50,Objects!$F$2:$F$1089,$B50,Objects!$H$2:$H$1089,$C50)</f>
        <v/>
      </c>
      <c r="H50" s="5">
        <f>_xlfn.MAXIFS(Objects!$L$2:$L$1089,Objects!$B$2:$B$1089,$A50,Objects!$F$2:$F$1089,$B50,Objects!$H$2:$H$1089,$C50)</f>
        <v/>
      </c>
      <c r="I50" s="5">
        <f>IF(OR(C50="(none)",B50="raft",B50="sump_pit"),"n/a",IF(OR(B50="column",B50="shear_wall",B50="isolated_footing",B50="combined_footing"),IF(AND(F50-E50&lt;=3,H50-G50&lt;=3),"yes","no"),IF(H50-G50&lt;=3,"yes (thickness)","no (thickness)")))</f>
        <v/>
      </c>
      <c r="J50" s="6">
        <f>SUMIFS(Objects!$K$2:$K$1089,Objects!$B$2:$B$1089,$A50,Objects!$F$2:$F$1089,$B50,Objects!$H$2:$H$1089,$C50)/100</f>
        <v/>
      </c>
      <c r="K50" s="5">
        <f>COUNTIFS(Objects!$B$2:$B$1089,$A50,Objects!$F$2:$F$1089,$B50,Objects!$H$2:$H$1089,$C50,Objects!$I$2:$I$1089,"inferred*")</f>
        <v/>
      </c>
    </row>
    <row r="51">
      <c r="A51" s="5" t="inlineStr">
        <is>
          <t>122</t>
        </is>
      </c>
      <c r="B51" s="5" t="inlineStr">
        <is>
          <t>column</t>
        </is>
      </c>
      <c r="C51" s="5" t="inlineStr">
        <is>
          <t>P2a/122</t>
        </is>
      </c>
      <c r="D51" s="5">
        <f>COUNTIFS(Objects!$B$2:$B$1089,$A51,Objects!$F$2:$F$1089,$B51,Objects!$H$2:$H$1089,$C51)</f>
        <v/>
      </c>
      <c r="E51" s="5">
        <f>_xlfn.MINIFS(Objects!$K$2:$K$1089,Objects!$B$2:$B$1089,$A51,Objects!$F$2:$F$1089,$B51,Objects!$H$2:$H$1089,$C51)</f>
        <v/>
      </c>
      <c r="F51" s="5">
        <f>_xlfn.MAXIFS(Objects!$K$2:$K$1089,Objects!$B$2:$B$1089,$A51,Objects!$F$2:$F$1089,$B51,Objects!$H$2:$H$1089,$C51)</f>
        <v/>
      </c>
      <c r="G51" s="5">
        <f>_xlfn.MINIFS(Objects!$L$2:$L$1089,Objects!$B$2:$B$1089,$A51,Objects!$F$2:$F$1089,$B51,Objects!$H$2:$H$1089,$C51)</f>
        <v/>
      </c>
      <c r="H51" s="5">
        <f>_xlfn.MAXIFS(Objects!$L$2:$L$1089,Objects!$B$2:$B$1089,$A51,Objects!$F$2:$F$1089,$B51,Objects!$H$2:$H$1089,$C51)</f>
        <v/>
      </c>
      <c r="I51" s="5">
        <f>IF(OR(C51="(none)",B51="raft",B51="sump_pit"),"n/a",IF(OR(B51="column",B51="shear_wall",B51="isolated_footing",B51="combined_footing"),IF(AND(F51-E51&lt;=3,H51-G51&lt;=3),"yes","no"),IF(H51-G51&lt;=3,"yes (thickness)","no (thickness)")))</f>
        <v/>
      </c>
      <c r="J51" s="6">
        <f>SUMIFS(Objects!$K$2:$K$1089,Objects!$B$2:$B$1089,$A51,Objects!$F$2:$F$1089,$B51,Objects!$H$2:$H$1089,$C51)/100</f>
        <v/>
      </c>
      <c r="K51" s="5">
        <f>COUNTIFS(Objects!$B$2:$B$1089,$A51,Objects!$F$2:$F$1089,$B51,Objects!$H$2:$H$1089,$C51,Objects!$I$2:$I$1089,"inferred*")</f>
        <v/>
      </c>
    </row>
    <row r="52">
      <c r="A52" s="5" t="inlineStr">
        <is>
          <t>122</t>
        </is>
      </c>
      <c r="B52" s="5" t="inlineStr">
        <is>
          <t>column</t>
        </is>
      </c>
      <c r="C52" s="5" t="inlineStr">
        <is>
          <t>P3/122</t>
        </is>
      </c>
      <c r="D52" s="5">
        <f>COUNTIFS(Objects!$B$2:$B$1089,$A52,Objects!$F$2:$F$1089,$B52,Objects!$H$2:$H$1089,$C52)</f>
        <v/>
      </c>
      <c r="E52" s="5">
        <f>_xlfn.MINIFS(Objects!$K$2:$K$1089,Objects!$B$2:$B$1089,$A52,Objects!$F$2:$F$1089,$B52,Objects!$H$2:$H$1089,$C52)</f>
        <v/>
      </c>
      <c r="F52" s="5">
        <f>_xlfn.MAXIFS(Objects!$K$2:$K$1089,Objects!$B$2:$B$1089,$A52,Objects!$F$2:$F$1089,$B52,Objects!$H$2:$H$1089,$C52)</f>
        <v/>
      </c>
      <c r="G52" s="5">
        <f>_xlfn.MINIFS(Objects!$L$2:$L$1089,Objects!$B$2:$B$1089,$A52,Objects!$F$2:$F$1089,$B52,Objects!$H$2:$H$1089,$C52)</f>
        <v/>
      </c>
      <c r="H52" s="5">
        <f>_xlfn.MAXIFS(Objects!$L$2:$L$1089,Objects!$B$2:$B$1089,$A52,Objects!$F$2:$F$1089,$B52,Objects!$H$2:$H$1089,$C52)</f>
        <v/>
      </c>
      <c r="I52" s="5">
        <f>IF(OR(C52="(none)",B52="raft",B52="sump_pit"),"n/a",IF(OR(B52="column",B52="shear_wall",B52="isolated_footing",B52="combined_footing"),IF(AND(F52-E52&lt;=3,H52-G52&lt;=3),"yes","no"),IF(H52-G52&lt;=3,"yes (thickness)","no (thickness)")))</f>
        <v/>
      </c>
      <c r="J52" s="6">
        <f>SUMIFS(Objects!$K$2:$K$1089,Objects!$B$2:$B$1089,$A52,Objects!$F$2:$F$1089,$B52,Objects!$H$2:$H$1089,$C52)/100</f>
        <v/>
      </c>
      <c r="K52" s="5">
        <f>COUNTIFS(Objects!$B$2:$B$1089,$A52,Objects!$F$2:$F$1089,$B52,Objects!$H$2:$H$1089,$C52,Objects!$I$2:$I$1089,"inferred*")</f>
        <v/>
      </c>
    </row>
    <row r="53">
      <c r="A53" s="5" t="inlineStr">
        <is>
          <t>122</t>
        </is>
      </c>
      <c r="B53" s="5" t="inlineStr">
        <is>
          <t>column</t>
        </is>
      </c>
      <c r="C53" s="5" t="inlineStr">
        <is>
          <t>P4/122</t>
        </is>
      </c>
      <c r="D53" s="5">
        <f>COUNTIFS(Objects!$B$2:$B$1089,$A53,Objects!$F$2:$F$1089,$B53,Objects!$H$2:$H$1089,$C53)</f>
        <v/>
      </c>
      <c r="E53" s="5">
        <f>_xlfn.MINIFS(Objects!$K$2:$K$1089,Objects!$B$2:$B$1089,$A53,Objects!$F$2:$F$1089,$B53,Objects!$H$2:$H$1089,$C53)</f>
        <v/>
      </c>
      <c r="F53" s="5">
        <f>_xlfn.MAXIFS(Objects!$K$2:$K$1089,Objects!$B$2:$B$1089,$A53,Objects!$F$2:$F$1089,$B53,Objects!$H$2:$H$1089,$C53)</f>
        <v/>
      </c>
      <c r="G53" s="5">
        <f>_xlfn.MINIFS(Objects!$L$2:$L$1089,Objects!$B$2:$B$1089,$A53,Objects!$F$2:$F$1089,$B53,Objects!$H$2:$H$1089,$C53)</f>
        <v/>
      </c>
      <c r="H53" s="5">
        <f>_xlfn.MAXIFS(Objects!$L$2:$L$1089,Objects!$B$2:$B$1089,$A53,Objects!$F$2:$F$1089,$B53,Objects!$H$2:$H$1089,$C53)</f>
        <v/>
      </c>
      <c r="I53" s="5">
        <f>IF(OR(C53="(none)",B53="raft",B53="sump_pit"),"n/a",IF(OR(B53="column",B53="shear_wall",B53="isolated_footing",B53="combined_footing"),IF(AND(F53-E53&lt;=3,H53-G53&lt;=3),"yes","no"),IF(H53-G53&lt;=3,"yes (thickness)","no (thickness)")))</f>
        <v/>
      </c>
      <c r="J53" s="6">
        <f>SUMIFS(Objects!$K$2:$K$1089,Objects!$B$2:$B$1089,$A53,Objects!$F$2:$F$1089,$B53,Objects!$H$2:$H$1089,$C53)/100</f>
        <v/>
      </c>
      <c r="K53" s="5">
        <f>COUNTIFS(Objects!$B$2:$B$1089,$A53,Objects!$F$2:$F$1089,$B53,Objects!$H$2:$H$1089,$C53,Objects!$I$2:$I$1089,"inferred*")</f>
        <v/>
      </c>
    </row>
    <row r="54">
      <c r="A54" s="5" t="inlineStr">
        <is>
          <t>122</t>
        </is>
      </c>
      <c r="B54" s="5" t="inlineStr">
        <is>
          <t>shear_wall</t>
        </is>
      </c>
      <c r="C54" s="5" t="inlineStr">
        <is>
          <t>(none)</t>
        </is>
      </c>
      <c r="D54" s="5">
        <f>COUNTIFS(Objects!$B$2:$B$1089,$A54,Objects!$F$2:$F$1089,$B54,Objects!$H$2:$H$1089,$C54)</f>
        <v/>
      </c>
      <c r="E54" s="5">
        <f>_xlfn.MINIFS(Objects!$K$2:$K$1089,Objects!$B$2:$B$1089,$A54,Objects!$F$2:$F$1089,$B54,Objects!$H$2:$H$1089,$C54)</f>
        <v/>
      </c>
      <c r="F54" s="5">
        <f>_xlfn.MAXIFS(Objects!$K$2:$K$1089,Objects!$B$2:$B$1089,$A54,Objects!$F$2:$F$1089,$B54,Objects!$H$2:$H$1089,$C54)</f>
        <v/>
      </c>
      <c r="G54" s="5">
        <f>_xlfn.MINIFS(Objects!$L$2:$L$1089,Objects!$B$2:$B$1089,$A54,Objects!$F$2:$F$1089,$B54,Objects!$H$2:$H$1089,$C54)</f>
        <v/>
      </c>
      <c r="H54" s="5">
        <f>_xlfn.MAXIFS(Objects!$L$2:$L$1089,Objects!$B$2:$B$1089,$A54,Objects!$F$2:$F$1089,$B54,Objects!$H$2:$H$1089,$C54)</f>
        <v/>
      </c>
      <c r="I54" s="5">
        <f>IF(OR(C54="(none)",B54="raft",B54="sump_pit"),"n/a",IF(OR(B54="column",B54="shear_wall",B54="isolated_footing",B54="combined_footing"),IF(AND(F54-E54&lt;=3,H54-G54&lt;=3),"yes","no"),IF(H54-G54&lt;=3,"yes (thickness)","no (thickness)")))</f>
        <v/>
      </c>
      <c r="J54" s="6">
        <f>SUMIFS(Objects!$K$2:$K$1089,Objects!$B$2:$B$1089,$A54,Objects!$F$2:$F$1089,$B54,Objects!$H$2:$H$1089,$C54)/100</f>
        <v/>
      </c>
      <c r="K54" s="5">
        <f>COUNTIFS(Objects!$B$2:$B$1089,$A54,Objects!$F$2:$F$1089,$B54,Objects!$H$2:$H$1089,$C54,Objects!$I$2:$I$1089,"inferred*")</f>
        <v/>
      </c>
    </row>
    <row r="55">
      <c r="A55" s="5" t="inlineStr">
        <is>
          <t>122</t>
        </is>
      </c>
      <c r="B55" s="5" t="inlineStr">
        <is>
          <t>shear_wall</t>
        </is>
      </c>
      <c r="C55" s="5" t="inlineStr">
        <is>
          <t>V1/122</t>
        </is>
      </c>
      <c r="D55" s="5">
        <f>COUNTIFS(Objects!$B$2:$B$1089,$A55,Objects!$F$2:$F$1089,$B55,Objects!$H$2:$H$1089,$C55)</f>
        <v/>
      </c>
      <c r="E55" s="5">
        <f>_xlfn.MINIFS(Objects!$K$2:$K$1089,Objects!$B$2:$B$1089,$A55,Objects!$F$2:$F$1089,$B55,Objects!$H$2:$H$1089,$C55)</f>
        <v/>
      </c>
      <c r="F55" s="5">
        <f>_xlfn.MAXIFS(Objects!$K$2:$K$1089,Objects!$B$2:$B$1089,$A55,Objects!$F$2:$F$1089,$B55,Objects!$H$2:$H$1089,$C55)</f>
        <v/>
      </c>
      <c r="G55" s="5">
        <f>_xlfn.MINIFS(Objects!$L$2:$L$1089,Objects!$B$2:$B$1089,$A55,Objects!$F$2:$F$1089,$B55,Objects!$H$2:$H$1089,$C55)</f>
        <v/>
      </c>
      <c r="H55" s="5">
        <f>_xlfn.MAXIFS(Objects!$L$2:$L$1089,Objects!$B$2:$B$1089,$A55,Objects!$F$2:$F$1089,$B55,Objects!$H$2:$H$1089,$C55)</f>
        <v/>
      </c>
      <c r="I55" s="5">
        <f>IF(OR(C55="(none)",B55="raft",B55="sump_pit"),"n/a",IF(OR(B55="column",B55="shear_wall",B55="isolated_footing",B55="combined_footing"),IF(AND(F55-E55&lt;=3,H55-G55&lt;=3),"yes","no"),IF(H55-G55&lt;=3,"yes (thickness)","no (thickness)")))</f>
        <v/>
      </c>
      <c r="J55" s="6">
        <f>SUMIFS(Objects!$K$2:$K$1089,Objects!$B$2:$B$1089,$A55,Objects!$F$2:$F$1089,$B55,Objects!$H$2:$H$1089,$C55)/100</f>
        <v/>
      </c>
      <c r="K55" s="5">
        <f>COUNTIFS(Objects!$B$2:$B$1089,$A55,Objects!$F$2:$F$1089,$B55,Objects!$H$2:$H$1089,$C55,Objects!$I$2:$I$1089,"inferred*")</f>
        <v/>
      </c>
    </row>
    <row r="56">
      <c r="A56" s="5" t="inlineStr">
        <is>
          <t>122</t>
        </is>
      </c>
      <c r="B56" s="5" t="inlineStr">
        <is>
          <t>shear_wall</t>
        </is>
      </c>
      <c r="C56" s="5" t="inlineStr">
        <is>
          <t>V2/122</t>
        </is>
      </c>
      <c r="D56" s="5">
        <f>COUNTIFS(Objects!$B$2:$B$1089,$A56,Objects!$F$2:$F$1089,$B56,Objects!$H$2:$H$1089,$C56)</f>
        <v/>
      </c>
      <c r="E56" s="5">
        <f>_xlfn.MINIFS(Objects!$K$2:$K$1089,Objects!$B$2:$B$1089,$A56,Objects!$F$2:$F$1089,$B56,Objects!$H$2:$H$1089,$C56)</f>
        <v/>
      </c>
      <c r="F56" s="5">
        <f>_xlfn.MAXIFS(Objects!$K$2:$K$1089,Objects!$B$2:$B$1089,$A56,Objects!$F$2:$F$1089,$B56,Objects!$H$2:$H$1089,$C56)</f>
        <v/>
      </c>
      <c r="G56" s="5">
        <f>_xlfn.MINIFS(Objects!$L$2:$L$1089,Objects!$B$2:$B$1089,$A56,Objects!$F$2:$F$1089,$B56,Objects!$H$2:$H$1089,$C56)</f>
        <v/>
      </c>
      <c r="H56" s="5">
        <f>_xlfn.MAXIFS(Objects!$L$2:$L$1089,Objects!$B$2:$B$1089,$A56,Objects!$F$2:$F$1089,$B56,Objects!$H$2:$H$1089,$C56)</f>
        <v/>
      </c>
      <c r="I56" s="5">
        <f>IF(OR(C56="(none)",B56="raft",B56="sump_pit"),"n/a",IF(OR(B56="column",B56="shear_wall",B56="isolated_footing",B56="combined_footing"),IF(AND(F56-E56&lt;=3,H56-G56&lt;=3),"yes","no"),IF(H56-G56&lt;=3,"yes (thickness)","no (thickness)")))</f>
        <v/>
      </c>
      <c r="J56" s="6">
        <f>SUMIFS(Objects!$K$2:$K$1089,Objects!$B$2:$B$1089,$A56,Objects!$F$2:$F$1089,$B56,Objects!$H$2:$H$1089,$C56)/100</f>
        <v/>
      </c>
      <c r="K56" s="5">
        <f>COUNTIFS(Objects!$B$2:$B$1089,$A56,Objects!$F$2:$F$1089,$B56,Objects!$H$2:$H$1089,$C56,Objects!$I$2:$I$1089,"inferred*")</f>
        <v/>
      </c>
    </row>
    <row r="57">
      <c r="A57" s="5" t="inlineStr">
        <is>
          <t>122</t>
        </is>
      </c>
      <c r="B57" s="5" t="inlineStr">
        <is>
          <t>shear_wall</t>
        </is>
      </c>
      <c r="C57" s="5" t="inlineStr">
        <is>
          <t>V3/122</t>
        </is>
      </c>
      <c r="D57" s="5">
        <f>COUNTIFS(Objects!$B$2:$B$1089,$A57,Objects!$F$2:$F$1089,$B57,Objects!$H$2:$H$1089,$C57)</f>
        <v/>
      </c>
      <c r="E57" s="5">
        <f>_xlfn.MINIFS(Objects!$K$2:$K$1089,Objects!$B$2:$B$1089,$A57,Objects!$F$2:$F$1089,$B57,Objects!$H$2:$H$1089,$C57)</f>
        <v/>
      </c>
      <c r="F57" s="5">
        <f>_xlfn.MAXIFS(Objects!$K$2:$K$1089,Objects!$B$2:$B$1089,$A57,Objects!$F$2:$F$1089,$B57,Objects!$H$2:$H$1089,$C57)</f>
        <v/>
      </c>
      <c r="G57" s="5">
        <f>_xlfn.MINIFS(Objects!$L$2:$L$1089,Objects!$B$2:$B$1089,$A57,Objects!$F$2:$F$1089,$B57,Objects!$H$2:$H$1089,$C57)</f>
        <v/>
      </c>
      <c r="H57" s="5">
        <f>_xlfn.MAXIFS(Objects!$L$2:$L$1089,Objects!$B$2:$B$1089,$A57,Objects!$F$2:$F$1089,$B57,Objects!$H$2:$H$1089,$C57)</f>
        <v/>
      </c>
      <c r="I57" s="5">
        <f>IF(OR(C57="(none)",B57="raft",B57="sump_pit"),"n/a",IF(OR(B57="column",B57="shear_wall",B57="isolated_footing",B57="combined_footing"),IF(AND(F57-E57&lt;=3,H57-G57&lt;=3),"yes","no"),IF(H57-G57&lt;=3,"yes (thickness)","no (thickness)")))</f>
        <v/>
      </c>
      <c r="J57" s="6">
        <f>SUMIFS(Objects!$K$2:$K$1089,Objects!$B$2:$B$1089,$A57,Objects!$F$2:$F$1089,$B57,Objects!$H$2:$H$1089,$C57)/100</f>
        <v/>
      </c>
      <c r="K57" s="5">
        <f>COUNTIFS(Objects!$B$2:$B$1089,$A57,Objects!$F$2:$F$1089,$B57,Objects!$H$2:$H$1089,$C57,Objects!$I$2:$I$1089,"inferred*")</f>
        <v/>
      </c>
    </row>
    <row r="58">
      <c r="A58" s="5" t="inlineStr">
        <is>
          <t>122</t>
        </is>
      </c>
      <c r="B58" s="5" t="inlineStr">
        <is>
          <t>shear_wall</t>
        </is>
      </c>
      <c r="C58" s="5" t="inlineStr">
        <is>
          <t>V4/122</t>
        </is>
      </c>
      <c r="D58" s="5">
        <f>COUNTIFS(Objects!$B$2:$B$1089,$A58,Objects!$F$2:$F$1089,$B58,Objects!$H$2:$H$1089,$C58)</f>
        <v/>
      </c>
      <c r="E58" s="5">
        <f>_xlfn.MINIFS(Objects!$K$2:$K$1089,Objects!$B$2:$B$1089,$A58,Objects!$F$2:$F$1089,$B58,Objects!$H$2:$H$1089,$C58)</f>
        <v/>
      </c>
      <c r="F58" s="5">
        <f>_xlfn.MAXIFS(Objects!$K$2:$K$1089,Objects!$B$2:$B$1089,$A58,Objects!$F$2:$F$1089,$B58,Objects!$H$2:$H$1089,$C58)</f>
        <v/>
      </c>
      <c r="G58" s="5">
        <f>_xlfn.MINIFS(Objects!$L$2:$L$1089,Objects!$B$2:$B$1089,$A58,Objects!$F$2:$F$1089,$B58,Objects!$H$2:$H$1089,$C58)</f>
        <v/>
      </c>
      <c r="H58" s="5">
        <f>_xlfn.MAXIFS(Objects!$L$2:$L$1089,Objects!$B$2:$B$1089,$A58,Objects!$F$2:$F$1089,$B58,Objects!$H$2:$H$1089,$C58)</f>
        <v/>
      </c>
      <c r="I58" s="5">
        <f>IF(OR(C58="(none)",B58="raft",B58="sump_pit"),"n/a",IF(OR(B58="column",B58="shear_wall",B58="isolated_footing",B58="combined_footing"),IF(AND(F58-E58&lt;=3,H58-G58&lt;=3),"yes","no"),IF(H58-G58&lt;=3,"yes (thickness)","no (thickness)")))</f>
        <v/>
      </c>
      <c r="J58" s="6">
        <f>SUMIFS(Objects!$K$2:$K$1089,Objects!$B$2:$B$1089,$A58,Objects!$F$2:$F$1089,$B58,Objects!$H$2:$H$1089,$C58)/100</f>
        <v/>
      </c>
      <c r="K58" s="5">
        <f>COUNTIFS(Objects!$B$2:$B$1089,$A58,Objects!$F$2:$F$1089,$B58,Objects!$H$2:$H$1089,$C58,Objects!$I$2:$I$1089,"inferred*")</f>
        <v/>
      </c>
    </row>
    <row r="59">
      <c r="A59" s="5" t="inlineStr">
        <is>
          <t>122</t>
        </is>
      </c>
      <c r="B59" s="5" t="inlineStr">
        <is>
          <t>shear_wall</t>
        </is>
      </c>
      <c r="C59" s="5" t="inlineStr">
        <is>
          <t>V5/122</t>
        </is>
      </c>
      <c r="D59" s="5">
        <f>COUNTIFS(Objects!$B$2:$B$1089,$A59,Objects!$F$2:$F$1089,$B59,Objects!$H$2:$H$1089,$C59)</f>
        <v/>
      </c>
      <c r="E59" s="5">
        <f>_xlfn.MINIFS(Objects!$K$2:$K$1089,Objects!$B$2:$B$1089,$A59,Objects!$F$2:$F$1089,$B59,Objects!$H$2:$H$1089,$C59)</f>
        <v/>
      </c>
      <c r="F59" s="5">
        <f>_xlfn.MAXIFS(Objects!$K$2:$K$1089,Objects!$B$2:$B$1089,$A59,Objects!$F$2:$F$1089,$B59,Objects!$H$2:$H$1089,$C59)</f>
        <v/>
      </c>
      <c r="G59" s="5">
        <f>_xlfn.MINIFS(Objects!$L$2:$L$1089,Objects!$B$2:$B$1089,$A59,Objects!$F$2:$F$1089,$B59,Objects!$H$2:$H$1089,$C59)</f>
        <v/>
      </c>
      <c r="H59" s="5">
        <f>_xlfn.MAXIFS(Objects!$L$2:$L$1089,Objects!$B$2:$B$1089,$A59,Objects!$F$2:$F$1089,$B59,Objects!$H$2:$H$1089,$C59)</f>
        <v/>
      </c>
      <c r="I59" s="5">
        <f>IF(OR(C59="(none)",B59="raft",B59="sump_pit"),"n/a",IF(OR(B59="column",B59="shear_wall",B59="isolated_footing",B59="combined_footing"),IF(AND(F59-E59&lt;=3,H59-G59&lt;=3),"yes","no"),IF(H59-G59&lt;=3,"yes (thickness)","no (thickness)")))</f>
        <v/>
      </c>
      <c r="J59" s="6">
        <f>SUMIFS(Objects!$K$2:$K$1089,Objects!$B$2:$B$1089,$A59,Objects!$F$2:$F$1089,$B59,Objects!$H$2:$H$1089,$C59)/100</f>
        <v/>
      </c>
      <c r="K59" s="5">
        <f>COUNTIFS(Objects!$B$2:$B$1089,$A59,Objects!$F$2:$F$1089,$B59,Objects!$H$2:$H$1089,$C59,Objects!$I$2:$I$1089,"inferred*")</f>
        <v/>
      </c>
    </row>
    <row r="60">
      <c r="A60" s="5" t="inlineStr">
        <is>
          <t>122</t>
        </is>
      </c>
      <c r="B60" s="5" t="inlineStr">
        <is>
          <t>shear_wall</t>
        </is>
      </c>
      <c r="C60" s="5" t="inlineStr">
        <is>
          <t>V6/122</t>
        </is>
      </c>
      <c r="D60" s="5">
        <f>COUNTIFS(Objects!$B$2:$B$1089,$A60,Objects!$F$2:$F$1089,$B60,Objects!$H$2:$H$1089,$C60)</f>
        <v/>
      </c>
      <c r="E60" s="5">
        <f>_xlfn.MINIFS(Objects!$K$2:$K$1089,Objects!$B$2:$B$1089,$A60,Objects!$F$2:$F$1089,$B60,Objects!$H$2:$H$1089,$C60)</f>
        <v/>
      </c>
      <c r="F60" s="5">
        <f>_xlfn.MAXIFS(Objects!$K$2:$K$1089,Objects!$B$2:$B$1089,$A60,Objects!$F$2:$F$1089,$B60,Objects!$H$2:$H$1089,$C60)</f>
        <v/>
      </c>
      <c r="G60" s="5">
        <f>_xlfn.MINIFS(Objects!$L$2:$L$1089,Objects!$B$2:$B$1089,$A60,Objects!$F$2:$F$1089,$B60,Objects!$H$2:$H$1089,$C60)</f>
        <v/>
      </c>
      <c r="H60" s="5">
        <f>_xlfn.MAXIFS(Objects!$L$2:$L$1089,Objects!$B$2:$B$1089,$A60,Objects!$F$2:$F$1089,$B60,Objects!$H$2:$H$1089,$C60)</f>
        <v/>
      </c>
      <c r="I60" s="5">
        <f>IF(OR(C60="(none)",B60="raft",B60="sump_pit"),"n/a",IF(OR(B60="column",B60="shear_wall",B60="isolated_footing",B60="combined_footing"),IF(AND(F60-E60&lt;=3,H60-G60&lt;=3),"yes","no"),IF(H60-G60&lt;=3,"yes (thickness)","no (thickness)")))</f>
        <v/>
      </c>
      <c r="J60" s="6">
        <f>SUMIFS(Objects!$K$2:$K$1089,Objects!$B$2:$B$1089,$A60,Objects!$F$2:$F$1089,$B60,Objects!$H$2:$H$1089,$C60)/100</f>
        <v/>
      </c>
      <c r="K60" s="5">
        <f>COUNTIFS(Objects!$B$2:$B$1089,$A60,Objects!$F$2:$F$1089,$B60,Objects!$H$2:$H$1089,$C60,Objects!$I$2:$I$1089,"inferred*")</f>
        <v/>
      </c>
    </row>
    <row r="61">
      <c r="A61" s="5" t="inlineStr">
        <is>
          <t>122</t>
        </is>
      </c>
      <c r="B61" s="5" t="inlineStr">
        <is>
          <t>retaining_wall</t>
        </is>
      </c>
      <c r="C61" s="5" t="inlineStr">
        <is>
          <t>VP20</t>
        </is>
      </c>
      <c r="D61" s="5">
        <f>COUNTIFS(Objects!$B$2:$B$1089,$A61,Objects!$F$2:$F$1089,$B61,Objects!$H$2:$H$1089,$C61)</f>
        <v/>
      </c>
      <c r="E61" s="5">
        <f>_xlfn.MINIFS(Objects!$K$2:$K$1089,Objects!$B$2:$B$1089,$A61,Objects!$F$2:$F$1089,$B61,Objects!$H$2:$H$1089,$C61)</f>
        <v/>
      </c>
      <c r="F61" s="5">
        <f>_xlfn.MAXIFS(Objects!$K$2:$K$1089,Objects!$B$2:$B$1089,$A61,Objects!$F$2:$F$1089,$B61,Objects!$H$2:$H$1089,$C61)</f>
        <v/>
      </c>
      <c r="G61" s="5">
        <f>_xlfn.MINIFS(Objects!$L$2:$L$1089,Objects!$B$2:$B$1089,$A61,Objects!$F$2:$F$1089,$B61,Objects!$H$2:$H$1089,$C61)</f>
        <v/>
      </c>
      <c r="H61" s="5">
        <f>_xlfn.MAXIFS(Objects!$L$2:$L$1089,Objects!$B$2:$B$1089,$A61,Objects!$F$2:$F$1089,$B61,Objects!$H$2:$H$1089,$C61)</f>
        <v/>
      </c>
      <c r="I61" s="5">
        <f>IF(OR(C61="(none)",B61="raft",B61="sump_pit"),"n/a",IF(OR(B61="column",B61="shear_wall",B61="isolated_footing",B61="combined_footing"),IF(AND(F61-E61&lt;=3,H61-G61&lt;=3),"yes","no"),IF(H61-G61&lt;=3,"yes (thickness)","no (thickness)")))</f>
        <v/>
      </c>
      <c r="J61" s="6">
        <f>SUMIFS(Objects!$K$2:$K$1089,Objects!$B$2:$B$1089,$A61,Objects!$F$2:$F$1089,$B61,Objects!$H$2:$H$1089,$C61)/100</f>
        <v/>
      </c>
      <c r="K61" s="5">
        <f>COUNTIFS(Objects!$B$2:$B$1089,$A61,Objects!$F$2:$F$1089,$B61,Objects!$H$2:$H$1089,$C61,Objects!$I$2:$I$1089,"inferred*")</f>
        <v/>
      </c>
    </row>
    <row r="62">
      <c r="A62" s="5" t="inlineStr">
        <is>
          <t>122</t>
        </is>
      </c>
      <c r="B62" s="5" t="inlineStr">
        <is>
          <t>retaining_wall</t>
        </is>
      </c>
      <c r="C62" s="5" t="inlineStr">
        <is>
          <t>VP25</t>
        </is>
      </c>
      <c r="D62" s="5">
        <f>COUNTIFS(Objects!$B$2:$B$1089,$A62,Objects!$F$2:$F$1089,$B62,Objects!$H$2:$H$1089,$C62)</f>
        <v/>
      </c>
      <c r="E62" s="5">
        <f>_xlfn.MINIFS(Objects!$K$2:$K$1089,Objects!$B$2:$B$1089,$A62,Objects!$F$2:$F$1089,$B62,Objects!$H$2:$H$1089,$C62)</f>
        <v/>
      </c>
      <c r="F62" s="5">
        <f>_xlfn.MAXIFS(Objects!$K$2:$K$1089,Objects!$B$2:$B$1089,$A62,Objects!$F$2:$F$1089,$B62,Objects!$H$2:$H$1089,$C62)</f>
        <v/>
      </c>
      <c r="G62" s="5">
        <f>_xlfn.MINIFS(Objects!$L$2:$L$1089,Objects!$B$2:$B$1089,$A62,Objects!$F$2:$F$1089,$B62,Objects!$H$2:$H$1089,$C62)</f>
        <v/>
      </c>
      <c r="H62" s="5">
        <f>_xlfn.MAXIFS(Objects!$L$2:$L$1089,Objects!$B$2:$B$1089,$A62,Objects!$F$2:$F$1089,$B62,Objects!$H$2:$H$1089,$C62)</f>
        <v/>
      </c>
      <c r="I62" s="5">
        <f>IF(OR(C62="(none)",B62="raft",B62="sump_pit"),"n/a",IF(OR(B62="column",B62="shear_wall",B62="isolated_footing",B62="combined_footing"),IF(AND(F62-E62&lt;=3,H62-G62&lt;=3),"yes","no"),IF(H62-G62&lt;=3,"yes (thickness)","no (thickness)")))</f>
        <v/>
      </c>
      <c r="J62" s="6">
        <f>SUMIFS(Objects!$K$2:$K$1089,Objects!$B$2:$B$1089,$A62,Objects!$F$2:$F$1089,$B62,Objects!$H$2:$H$1089,$C62)/100</f>
        <v/>
      </c>
      <c r="K62" s="5">
        <f>COUNTIFS(Objects!$B$2:$B$1089,$A62,Objects!$F$2:$F$1089,$B62,Objects!$H$2:$H$1089,$C62,Objects!$I$2:$I$1089,"inferred*")</f>
        <v/>
      </c>
    </row>
    <row r="63">
      <c r="A63" s="5" t="inlineStr">
        <is>
          <t>122</t>
        </is>
      </c>
      <c r="B63" s="5" t="inlineStr">
        <is>
          <t>isolated_footing</t>
        </is>
      </c>
      <c r="C63" s="5" t="inlineStr">
        <is>
          <t>(none)</t>
        </is>
      </c>
      <c r="D63" s="5">
        <f>COUNTIFS(Objects!$B$2:$B$1089,$A63,Objects!$F$2:$F$1089,$B63,Objects!$H$2:$H$1089,$C63)</f>
        <v/>
      </c>
      <c r="E63" s="5">
        <f>_xlfn.MINIFS(Objects!$K$2:$K$1089,Objects!$B$2:$B$1089,$A63,Objects!$F$2:$F$1089,$B63,Objects!$H$2:$H$1089,$C63)</f>
        <v/>
      </c>
      <c r="F63" s="5">
        <f>_xlfn.MAXIFS(Objects!$K$2:$K$1089,Objects!$B$2:$B$1089,$A63,Objects!$F$2:$F$1089,$B63,Objects!$H$2:$H$1089,$C63)</f>
        <v/>
      </c>
      <c r="G63" s="5">
        <f>_xlfn.MINIFS(Objects!$L$2:$L$1089,Objects!$B$2:$B$1089,$A63,Objects!$F$2:$F$1089,$B63,Objects!$H$2:$H$1089,$C63)</f>
        <v/>
      </c>
      <c r="H63" s="5">
        <f>_xlfn.MAXIFS(Objects!$L$2:$L$1089,Objects!$B$2:$B$1089,$A63,Objects!$F$2:$F$1089,$B63,Objects!$H$2:$H$1089,$C63)</f>
        <v/>
      </c>
      <c r="I63" s="5">
        <f>IF(OR(C63="(none)",B63="raft",B63="sump_pit"),"n/a",IF(OR(B63="column",B63="shear_wall",B63="isolated_footing",B63="combined_footing"),IF(AND(F63-E63&lt;=3,H63-G63&lt;=3),"yes","no"),IF(H63-G63&lt;=3,"yes (thickness)","no (thickness)")))</f>
        <v/>
      </c>
      <c r="J63" s="6">
        <f>SUMIFS(Objects!$K$2:$K$1089,Objects!$B$2:$B$1089,$A63,Objects!$F$2:$F$1089,$B63,Objects!$H$2:$H$1089,$C63)/100</f>
        <v/>
      </c>
      <c r="K63" s="5">
        <f>COUNTIFS(Objects!$B$2:$B$1089,$A63,Objects!$F$2:$F$1089,$B63,Objects!$H$2:$H$1089,$C63,Objects!$I$2:$I$1089,"inferred*")</f>
        <v/>
      </c>
    </row>
    <row r="64">
      <c r="A64" s="5" t="inlineStr">
        <is>
          <t>122</t>
        </is>
      </c>
      <c r="B64" s="5" t="inlineStr">
        <is>
          <t>isolated_footing</t>
        </is>
      </c>
      <c r="C64" s="5" t="inlineStr">
        <is>
          <t>S10</t>
        </is>
      </c>
      <c r="D64" s="5">
        <f>COUNTIFS(Objects!$B$2:$B$1089,$A64,Objects!$F$2:$F$1089,$B64,Objects!$H$2:$H$1089,$C64)</f>
        <v/>
      </c>
      <c r="E64" s="5">
        <f>_xlfn.MINIFS(Objects!$K$2:$K$1089,Objects!$B$2:$B$1089,$A64,Objects!$F$2:$F$1089,$B64,Objects!$H$2:$H$1089,$C64)</f>
        <v/>
      </c>
      <c r="F64" s="5">
        <f>_xlfn.MAXIFS(Objects!$K$2:$K$1089,Objects!$B$2:$B$1089,$A64,Objects!$F$2:$F$1089,$B64,Objects!$H$2:$H$1089,$C64)</f>
        <v/>
      </c>
      <c r="G64" s="5">
        <f>_xlfn.MINIFS(Objects!$L$2:$L$1089,Objects!$B$2:$B$1089,$A64,Objects!$F$2:$F$1089,$B64,Objects!$H$2:$H$1089,$C64)</f>
        <v/>
      </c>
      <c r="H64" s="5">
        <f>_xlfn.MAXIFS(Objects!$L$2:$L$1089,Objects!$B$2:$B$1089,$A64,Objects!$F$2:$F$1089,$B64,Objects!$H$2:$H$1089,$C64)</f>
        <v/>
      </c>
      <c r="I64" s="5">
        <f>IF(OR(C64="(none)",B64="raft",B64="sump_pit"),"n/a",IF(OR(B64="column",B64="shear_wall",B64="isolated_footing",B64="combined_footing"),IF(AND(F64-E64&lt;=3,H64-G64&lt;=3),"yes","no"),IF(H64-G64&lt;=3,"yes (thickness)","no (thickness)")))</f>
        <v/>
      </c>
      <c r="J64" s="6">
        <f>SUMIFS(Objects!$K$2:$K$1089,Objects!$B$2:$B$1089,$A64,Objects!$F$2:$F$1089,$B64,Objects!$H$2:$H$1089,$C64)/100</f>
        <v/>
      </c>
      <c r="K64" s="5">
        <f>COUNTIFS(Objects!$B$2:$B$1089,$A64,Objects!$F$2:$F$1089,$B64,Objects!$H$2:$H$1089,$C64,Objects!$I$2:$I$1089,"inferred*")</f>
        <v/>
      </c>
    </row>
    <row r="65">
      <c r="A65" s="5" t="inlineStr">
        <is>
          <t>122</t>
        </is>
      </c>
      <c r="B65" s="5" t="inlineStr">
        <is>
          <t>isolated_footing</t>
        </is>
      </c>
      <c r="C65" s="5" t="inlineStr">
        <is>
          <t>S11</t>
        </is>
      </c>
      <c r="D65" s="5">
        <f>COUNTIFS(Objects!$B$2:$B$1089,$A65,Objects!$F$2:$F$1089,$B65,Objects!$H$2:$H$1089,$C65)</f>
        <v/>
      </c>
      <c r="E65" s="5">
        <f>_xlfn.MINIFS(Objects!$K$2:$K$1089,Objects!$B$2:$B$1089,$A65,Objects!$F$2:$F$1089,$B65,Objects!$H$2:$H$1089,$C65)</f>
        <v/>
      </c>
      <c r="F65" s="5">
        <f>_xlfn.MAXIFS(Objects!$K$2:$K$1089,Objects!$B$2:$B$1089,$A65,Objects!$F$2:$F$1089,$B65,Objects!$H$2:$H$1089,$C65)</f>
        <v/>
      </c>
      <c r="G65" s="5">
        <f>_xlfn.MINIFS(Objects!$L$2:$L$1089,Objects!$B$2:$B$1089,$A65,Objects!$F$2:$F$1089,$B65,Objects!$H$2:$H$1089,$C65)</f>
        <v/>
      </c>
      <c r="H65" s="5">
        <f>_xlfn.MAXIFS(Objects!$L$2:$L$1089,Objects!$B$2:$B$1089,$A65,Objects!$F$2:$F$1089,$B65,Objects!$H$2:$H$1089,$C65)</f>
        <v/>
      </c>
      <c r="I65" s="5">
        <f>IF(OR(C65="(none)",B65="raft",B65="sump_pit"),"n/a",IF(OR(B65="column",B65="shear_wall",B65="isolated_footing",B65="combined_footing"),IF(AND(F65-E65&lt;=3,H65-G65&lt;=3),"yes","no"),IF(H65-G65&lt;=3,"yes (thickness)","no (thickness)")))</f>
        <v/>
      </c>
      <c r="J65" s="6">
        <f>SUMIFS(Objects!$K$2:$K$1089,Objects!$B$2:$B$1089,$A65,Objects!$F$2:$F$1089,$B65,Objects!$H$2:$H$1089,$C65)/100</f>
        <v/>
      </c>
      <c r="K65" s="5">
        <f>COUNTIFS(Objects!$B$2:$B$1089,$A65,Objects!$F$2:$F$1089,$B65,Objects!$H$2:$H$1089,$C65,Objects!$I$2:$I$1089,"inferred*")</f>
        <v/>
      </c>
    </row>
    <row r="66">
      <c r="A66" s="5" t="inlineStr">
        <is>
          <t>122</t>
        </is>
      </c>
      <c r="B66" s="5" t="inlineStr">
        <is>
          <t>isolated_footing</t>
        </is>
      </c>
      <c r="C66" s="5" t="inlineStr">
        <is>
          <t>S12</t>
        </is>
      </c>
      <c r="D66" s="5">
        <f>COUNTIFS(Objects!$B$2:$B$1089,$A66,Objects!$F$2:$F$1089,$B66,Objects!$H$2:$H$1089,$C66)</f>
        <v/>
      </c>
      <c r="E66" s="5">
        <f>_xlfn.MINIFS(Objects!$K$2:$K$1089,Objects!$B$2:$B$1089,$A66,Objects!$F$2:$F$1089,$B66,Objects!$H$2:$H$1089,$C66)</f>
        <v/>
      </c>
      <c r="F66" s="5">
        <f>_xlfn.MAXIFS(Objects!$K$2:$K$1089,Objects!$B$2:$B$1089,$A66,Objects!$F$2:$F$1089,$B66,Objects!$H$2:$H$1089,$C66)</f>
        <v/>
      </c>
      <c r="G66" s="5">
        <f>_xlfn.MINIFS(Objects!$L$2:$L$1089,Objects!$B$2:$B$1089,$A66,Objects!$F$2:$F$1089,$B66,Objects!$H$2:$H$1089,$C66)</f>
        <v/>
      </c>
      <c r="H66" s="5">
        <f>_xlfn.MAXIFS(Objects!$L$2:$L$1089,Objects!$B$2:$B$1089,$A66,Objects!$F$2:$F$1089,$B66,Objects!$H$2:$H$1089,$C66)</f>
        <v/>
      </c>
      <c r="I66" s="5">
        <f>IF(OR(C66="(none)",B66="raft",B66="sump_pit"),"n/a",IF(OR(B66="column",B66="shear_wall",B66="isolated_footing",B66="combined_footing"),IF(AND(F66-E66&lt;=3,H66-G66&lt;=3),"yes","no"),IF(H66-G66&lt;=3,"yes (thickness)","no (thickness)")))</f>
        <v/>
      </c>
      <c r="J66" s="6">
        <f>SUMIFS(Objects!$K$2:$K$1089,Objects!$B$2:$B$1089,$A66,Objects!$F$2:$F$1089,$B66,Objects!$H$2:$H$1089,$C66)/100</f>
        <v/>
      </c>
      <c r="K66" s="5">
        <f>COUNTIFS(Objects!$B$2:$B$1089,$A66,Objects!$F$2:$F$1089,$B66,Objects!$H$2:$H$1089,$C66,Objects!$I$2:$I$1089,"inferred*")</f>
        <v/>
      </c>
    </row>
    <row r="67">
      <c r="A67" s="5" t="inlineStr">
        <is>
          <t>122</t>
        </is>
      </c>
      <c r="B67" s="5" t="inlineStr">
        <is>
          <t>isolated_footing</t>
        </is>
      </c>
      <c r="C67" s="5" t="inlineStr">
        <is>
          <t>S2</t>
        </is>
      </c>
      <c r="D67" s="5">
        <f>COUNTIFS(Objects!$B$2:$B$1089,$A67,Objects!$F$2:$F$1089,$B67,Objects!$H$2:$H$1089,$C67)</f>
        <v/>
      </c>
      <c r="E67" s="5">
        <f>_xlfn.MINIFS(Objects!$K$2:$K$1089,Objects!$B$2:$B$1089,$A67,Objects!$F$2:$F$1089,$B67,Objects!$H$2:$H$1089,$C67)</f>
        <v/>
      </c>
      <c r="F67" s="5">
        <f>_xlfn.MAXIFS(Objects!$K$2:$K$1089,Objects!$B$2:$B$1089,$A67,Objects!$F$2:$F$1089,$B67,Objects!$H$2:$H$1089,$C67)</f>
        <v/>
      </c>
      <c r="G67" s="5">
        <f>_xlfn.MINIFS(Objects!$L$2:$L$1089,Objects!$B$2:$B$1089,$A67,Objects!$F$2:$F$1089,$B67,Objects!$H$2:$H$1089,$C67)</f>
        <v/>
      </c>
      <c r="H67" s="5">
        <f>_xlfn.MAXIFS(Objects!$L$2:$L$1089,Objects!$B$2:$B$1089,$A67,Objects!$F$2:$F$1089,$B67,Objects!$H$2:$H$1089,$C67)</f>
        <v/>
      </c>
      <c r="I67" s="5">
        <f>IF(OR(C67="(none)",B67="raft",B67="sump_pit"),"n/a",IF(OR(B67="column",B67="shear_wall",B67="isolated_footing",B67="combined_footing"),IF(AND(F67-E67&lt;=3,H67-G67&lt;=3),"yes","no"),IF(H67-G67&lt;=3,"yes (thickness)","no (thickness)")))</f>
        <v/>
      </c>
      <c r="J67" s="6">
        <f>SUMIFS(Objects!$K$2:$K$1089,Objects!$B$2:$B$1089,$A67,Objects!$F$2:$F$1089,$B67,Objects!$H$2:$H$1089,$C67)/100</f>
        <v/>
      </c>
      <c r="K67" s="5">
        <f>COUNTIFS(Objects!$B$2:$B$1089,$A67,Objects!$F$2:$F$1089,$B67,Objects!$H$2:$H$1089,$C67,Objects!$I$2:$I$1089,"inferred*")</f>
        <v/>
      </c>
    </row>
    <row r="68">
      <c r="A68" s="5" t="inlineStr">
        <is>
          <t>122</t>
        </is>
      </c>
      <c r="B68" s="5" t="inlineStr">
        <is>
          <t>combined_footing</t>
        </is>
      </c>
      <c r="C68" s="5" t="inlineStr">
        <is>
          <t>SC1</t>
        </is>
      </c>
      <c r="D68" s="5">
        <f>COUNTIFS(Objects!$B$2:$B$1089,$A68,Objects!$F$2:$F$1089,$B68,Objects!$H$2:$H$1089,$C68)</f>
        <v/>
      </c>
      <c r="E68" s="5">
        <f>_xlfn.MINIFS(Objects!$K$2:$K$1089,Objects!$B$2:$B$1089,$A68,Objects!$F$2:$F$1089,$B68,Objects!$H$2:$H$1089,$C68)</f>
        <v/>
      </c>
      <c r="F68" s="5">
        <f>_xlfn.MAXIFS(Objects!$K$2:$K$1089,Objects!$B$2:$B$1089,$A68,Objects!$F$2:$F$1089,$B68,Objects!$H$2:$H$1089,$C68)</f>
        <v/>
      </c>
      <c r="G68" s="5">
        <f>_xlfn.MINIFS(Objects!$L$2:$L$1089,Objects!$B$2:$B$1089,$A68,Objects!$F$2:$F$1089,$B68,Objects!$H$2:$H$1089,$C68)</f>
        <v/>
      </c>
      <c r="H68" s="5">
        <f>_xlfn.MAXIFS(Objects!$L$2:$L$1089,Objects!$B$2:$B$1089,$A68,Objects!$F$2:$F$1089,$B68,Objects!$H$2:$H$1089,$C68)</f>
        <v/>
      </c>
      <c r="I68" s="5">
        <f>IF(OR(C68="(none)",B68="raft",B68="sump_pit"),"n/a",IF(OR(B68="column",B68="shear_wall",B68="isolated_footing",B68="combined_footing"),IF(AND(F68-E68&lt;=3,H68-G68&lt;=3),"yes","no"),IF(H68-G68&lt;=3,"yes (thickness)","no (thickness)")))</f>
        <v/>
      </c>
      <c r="J68" s="6">
        <f>SUMIFS(Objects!$K$2:$K$1089,Objects!$B$2:$B$1089,$A68,Objects!$F$2:$F$1089,$B68,Objects!$H$2:$H$1089,$C68)/100</f>
        <v/>
      </c>
      <c r="K68" s="5">
        <f>COUNTIFS(Objects!$B$2:$B$1089,$A68,Objects!$F$2:$F$1089,$B68,Objects!$H$2:$H$1089,$C68,Objects!$I$2:$I$1089,"inferred*")</f>
        <v/>
      </c>
    </row>
    <row r="69">
      <c r="A69" s="5" t="inlineStr">
        <is>
          <t>122</t>
        </is>
      </c>
      <c r="B69" s="5" t="inlineStr">
        <is>
          <t>combined_footing</t>
        </is>
      </c>
      <c r="C69" s="5" t="inlineStr">
        <is>
          <t>SC2</t>
        </is>
      </c>
      <c r="D69" s="5">
        <f>COUNTIFS(Objects!$B$2:$B$1089,$A69,Objects!$F$2:$F$1089,$B69,Objects!$H$2:$H$1089,$C69)</f>
        <v/>
      </c>
      <c r="E69" s="5">
        <f>_xlfn.MINIFS(Objects!$K$2:$K$1089,Objects!$B$2:$B$1089,$A69,Objects!$F$2:$F$1089,$B69,Objects!$H$2:$H$1089,$C69)</f>
        <v/>
      </c>
      <c r="F69" s="5">
        <f>_xlfn.MAXIFS(Objects!$K$2:$K$1089,Objects!$B$2:$B$1089,$A69,Objects!$F$2:$F$1089,$B69,Objects!$H$2:$H$1089,$C69)</f>
        <v/>
      </c>
      <c r="G69" s="5">
        <f>_xlfn.MINIFS(Objects!$L$2:$L$1089,Objects!$B$2:$B$1089,$A69,Objects!$F$2:$F$1089,$B69,Objects!$H$2:$H$1089,$C69)</f>
        <v/>
      </c>
      <c r="H69" s="5">
        <f>_xlfn.MAXIFS(Objects!$L$2:$L$1089,Objects!$B$2:$B$1089,$A69,Objects!$F$2:$F$1089,$B69,Objects!$H$2:$H$1089,$C69)</f>
        <v/>
      </c>
      <c r="I69" s="5">
        <f>IF(OR(C69="(none)",B69="raft",B69="sump_pit"),"n/a",IF(OR(B69="column",B69="shear_wall",B69="isolated_footing",B69="combined_footing"),IF(AND(F69-E69&lt;=3,H69-G69&lt;=3),"yes","no"),IF(H69-G69&lt;=3,"yes (thickness)","no (thickness)")))</f>
        <v/>
      </c>
      <c r="J69" s="6">
        <f>SUMIFS(Objects!$K$2:$K$1089,Objects!$B$2:$B$1089,$A69,Objects!$F$2:$F$1089,$B69,Objects!$H$2:$H$1089,$C69)/100</f>
        <v/>
      </c>
      <c r="K69" s="5">
        <f>COUNTIFS(Objects!$B$2:$B$1089,$A69,Objects!$F$2:$F$1089,$B69,Objects!$H$2:$H$1089,$C69,Objects!$I$2:$I$1089,"inferred*")</f>
        <v/>
      </c>
    </row>
    <row r="70">
      <c r="A70" s="5" t="inlineStr">
        <is>
          <t>122</t>
        </is>
      </c>
      <c r="B70" s="5" t="inlineStr">
        <is>
          <t>combined_footing</t>
        </is>
      </c>
      <c r="C70" s="5" t="inlineStr">
        <is>
          <t>SC3</t>
        </is>
      </c>
      <c r="D70" s="5">
        <f>COUNTIFS(Objects!$B$2:$B$1089,$A70,Objects!$F$2:$F$1089,$B70,Objects!$H$2:$H$1089,$C70)</f>
        <v/>
      </c>
      <c r="E70" s="5">
        <f>_xlfn.MINIFS(Objects!$K$2:$K$1089,Objects!$B$2:$B$1089,$A70,Objects!$F$2:$F$1089,$B70,Objects!$H$2:$H$1089,$C70)</f>
        <v/>
      </c>
      <c r="F70" s="5">
        <f>_xlfn.MAXIFS(Objects!$K$2:$K$1089,Objects!$B$2:$B$1089,$A70,Objects!$F$2:$F$1089,$B70,Objects!$H$2:$H$1089,$C70)</f>
        <v/>
      </c>
      <c r="G70" s="5">
        <f>_xlfn.MINIFS(Objects!$L$2:$L$1089,Objects!$B$2:$B$1089,$A70,Objects!$F$2:$F$1089,$B70,Objects!$H$2:$H$1089,$C70)</f>
        <v/>
      </c>
      <c r="H70" s="5">
        <f>_xlfn.MAXIFS(Objects!$L$2:$L$1089,Objects!$B$2:$B$1089,$A70,Objects!$F$2:$F$1089,$B70,Objects!$H$2:$H$1089,$C70)</f>
        <v/>
      </c>
      <c r="I70" s="5">
        <f>IF(OR(C70="(none)",B70="raft",B70="sump_pit"),"n/a",IF(OR(B70="column",B70="shear_wall",B70="isolated_footing",B70="combined_footing"),IF(AND(F70-E70&lt;=3,H70-G70&lt;=3),"yes","no"),IF(H70-G70&lt;=3,"yes (thickness)","no (thickness)")))</f>
        <v/>
      </c>
      <c r="J70" s="6">
        <f>SUMIFS(Objects!$K$2:$K$1089,Objects!$B$2:$B$1089,$A70,Objects!$F$2:$F$1089,$B70,Objects!$H$2:$H$1089,$C70)/100</f>
        <v/>
      </c>
      <c r="K70" s="5">
        <f>COUNTIFS(Objects!$B$2:$B$1089,$A70,Objects!$F$2:$F$1089,$B70,Objects!$H$2:$H$1089,$C70,Objects!$I$2:$I$1089,"inferred*")</f>
        <v/>
      </c>
    </row>
    <row r="71">
      <c r="A71" s="5" t="inlineStr">
        <is>
          <t>122</t>
        </is>
      </c>
      <c r="B71" s="5" t="inlineStr">
        <is>
          <t>strip_footing</t>
        </is>
      </c>
      <c r="C71" s="5" t="inlineStr">
        <is>
          <t>(none)</t>
        </is>
      </c>
      <c r="D71" s="5">
        <f>COUNTIFS(Objects!$B$2:$B$1089,$A71,Objects!$F$2:$F$1089,$B71,Objects!$H$2:$H$1089,$C71)</f>
        <v/>
      </c>
      <c r="E71" s="5">
        <f>_xlfn.MINIFS(Objects!$K$2:$K$1089,Objects!$B$2:$B$1089,$A71,Objects!$F$2:$F$1089,$B71,Objects!$H$2:$H$1089,$C71)</f>
        <v/>
      </c>
      <c r="F71" s="5">
        <f>_xlfn.MAXIFS(Objects!$K$2:$K$1089,Objects!$B$2:$B$1089,$A71,Objects!$F$2:$F$1089,$B71,Objects!$H$2:$H$1089,$C71)</f>
        <v/>
      </c>
      <c r="G71" s="5">
        <f>_xlfn.MINIFS(Objects!$L$2:$L$1089,Objects!$B$2:$B$1089,$A71,Objects!$F$2:$F$1089,$B71,Objects!$H$2:$H$1089,$C71)</f>
        <v/>
      </c>
      <c r="H71" s="5">
        <f>_xlfn.MAXIFS(Objects!$L$2:$L$1089,Objects!$B$2:$B$1089,$A71,Objects!$F$2:$F$1089,$B71,Objects!$H$2:$H$1089,$C71)</f>
        <v/>
      </c>
      <c r="I71" s="5">
        <f>IF(OR(C71="(none)",B71="raft",B71="sump_pit"),"n/a",IF(OR(B71="column",B71="shear_wall",B71="isolated_footing",B71="combined_footing"),IF(AND(F71-E71&lt;=3,H71-G71&lt;=3),"yes","no"),IF(H71-G71&lt;=3,"yes (thickness)","no (thickness)")))</f>
        <v/>
      </c>
      <c r="J71" s="6">
        <f>SUMIFS(Objects!$K$2:$K$1089,Objects!$B$2:$B$1089,$A71,Objects!$F$2:$F$1089,$B71,Objects!$H$2:$H$1089,$C71)/100</f>
        <v/>
      </c>
      <c r="K71" s="5">
        <f>COUNTIFS(Objects!$B$2:$B$1089,$A71,Objects!$F$2:$F$1089,$B71,Objects!$H$2:$H$1089,$C71,Objects!$I$2:$I$1089,"inferred*")</f>
        <v/>
      </c>
    </row>
    <row r="72">
      <c r="A72" s="5" t="inlineStr">
        <is>
          <t>122</t>
        </is>
      </c>
      <c r="B72" s="5" t="inlineStr">
        <is>
          <t>strip_footing</t>
        </is>
      </c>
      <c r="C72" s="5" t="inlineStr">
        <is>
          <t>SF1</t>
        </is>
      </c>
      <c r="D72" s="5">
        <f>COUNTIFS(Objects!$B$2:$B$1089,$A72,Objects!$F$2:$F$1089,$B72,Objects!$H$2:$H$1089,$C72)</f>
        <v/>
      </c>
      <c r="E72" s="5">
        <f>_xlfn.MINIFS(Objects!$K$2:$K$1089,Objects!$B$2:$B$1089,$A72,Objects!$F$2:$F$1089,$B72,Objects!$H$2:$H$1089,$C72)</f>
        <v/>
      </c>
      <c r="F72" s="5">
        <f>_xlfn.MAXIFS(Objects!$K$2:$K$1089,Objects!$B$2:$B$1089,$A72,Objects!$F$2:$F$1089,$B72,Objects!$H$2:$H$1089,$C72)</f>
        <v/>
      </c>
      <c r="G72" s="5">
        <f>_xlfn.MINIFS(Objects!$L$2:$L$1089,Objects!$B$2:$B$1089,$A72,Objects!$F$2:$F$1089,$B72,Objects!$H$2:$H$1089,$C72)</f>
        <v/>
      </c>
      <c r="H72" s="5">
        <f>_xlfn.MAXIFS(Objects!$L$2:$L$1089,Objects!$B$2:$B$1089,$A72,Objects!$F$2:$F$1089,$B72,Objects!$H$2:$H$1089,$C72)</f>
        <v/>
      </c>
      <c r="I72" s="5">
        <f>IF(OR(C72="(none)",B72="raft",B72="sump_pit"),"n/a",IF(OR(B72="column",B72="shear_wall",B72="isolated_footing",B72="combined_footing"),IF(AND(F72-E72&lt;=3,H72-G72&lt;=3),"yes","no"),IF(H72-G72&lt;=3,"yes (thickness)","no (thickness)")))</f>
        <v/>
      </c>
      <c r="J72" s="6">
        <f>SUMIFS(Objects!$K$2:$K$1089,Objects!$B$2:$B$1089,$A72,Objects!$F$2:$F$1089,$B72,Objects!$H$2:$H$1089,$C72)/100</f>
        <v/>
      </c>
      <c r="K72" s="5">
        <f>COUNTIFS(Objects!$B$2:$B$1089,$A72,Objects!$F$2:$F$1089,$B72,Objects!$H$2:$H$1089,$C72,Objects!$I$2:$I$1089,"inferred*")</f>
        <v/>
      </c>
    </row>
    <row r="73">
      <c r="A73" s="5" t="inlineStr">
        <is>
          <t>122</t>
        </is>
      </c>
      <c r="B73" s="5" t="inlineStr">
        <is>
          <t>grade_beam</t>
        </is>
      </c>
      <c r="C73" s="5" t="inlineStr">
        <is>
          <t>(none)</t>
        </is>
      </c>
      <c r="D73" s="5">
        <f>COUNTIFS(Objects!$B$2:$B$1089,$A73,Objects!$F$2:$F$1089,$B73,Objects!$H$2:$H$1089,$C73)</f>
        <v/>
      </c>
      <c r="E73" s="5">
        <f>_xlfn.MINIFS(Objects!$K$2:$K$1089,Objects!$B$2:$B$1089,$A73,Objects!$F$2:$F$1089,$B73,Objects!$H$2:$H$1089,$C73)</f>
        <v/>
      </c>
      <c r="F73" s="5">
        <f>_xlfn.MAXIFS(Objects!$K$2:$K$1089,Objects!$B$2:$B$1089,$A73,Objects!$F$2:$F$1089,$B73,Objects!$H$2:$H$1089,$C73)</f>
        <v/>
      </c>
      <c r="G73" s="5">
        <f>_xlfn.MINIFS(Objects!$L$2:$L$1089,Objects!$B$2:$B$1089,$A73,Objects!$F$2:$F$1089,$B73,Objects!$H$2:$H$1089,$C73)</f>
        <v/>
      </c>
      <c r="H73" s="5">
        <f>_xlfn.MAXIFS(Objects!$L$2:$L$1089,Objects!$B$2:$B$1089,$A73,Objects!$F$2:$F$1089,$B73,Objects!$H$2:$H$1089,$C73)</f>
        <v/>
      </c>
      <c r="I73" s="5">
        <f>IF(OR(C73="(none)",B73="raft",B73="sump_pit"),"n/a",IF(OR(B73="column",B73="shear_wall",B73="isolated_footing",B73="combined_footing"),IF(AND(F73-E73&lt;=3,H73-G73&lt;=3),"yes","no"),IF(H73-G73&lt;=3,"yes (thickness)","no (thickness)")))</f>
        <v/>
      </c>
      <c r="J73" s="6">
        <f>SUMIFS(Objects!$K$2:$K$1089,Objects!$B$2:$B$1089,$A73,Objects!$F$2:$F$1089,$B73,Objects!$H$2:$H$1089,$C73)/100</f>
        <v/>
      </c>
      <c r="K73" s="5">
        <f>COUNTIFS(Objects!$B$2:$B$1089,$A73,Objects!$F$2:$F$1089,$B73,Objects!$H$2:$H$1089,$C73,Objects!$I$2:$I$1089,"inferred*")</f>
        <v/>
      </c>
    </row>
    <row r="74">
      <c r="A74" s="5" t="inlineStr">
        <is>
          <t>122</t>
        </is>
      </c>
      <c r="B74" s="5" t="inlineStr">
        <is>
          <t>grade_beam</t>
        </is>
      </c>
      <c r="C74" s="5" t="inlineStr">
        <is>
          <t>LG40x15</t>
        </is>
      </c>
      <c r="D74" s="5">
        <f>COUNTIFS(Objects!$B$2:$B$1089,$A74,Objects!$F$2:$F$1089,$B74,Objects!$H$2:$H$1089,$C74)</f>
        <v/>
      </c>
      <c r="E74" s="5">
        <f>_xlfn.MINIFS(Objects!$K$2:$K$1089,Objects!$B$2:$B$1089,$A74,Objects!$F$2:$F$1089,$B74,Objects!$H$2:$H$1089,$C74)</f>
        <v/>
      </c>
      <c r="F74" s="5">
        <f>_xlfn.MAXIFS(Objects!$K$2:$K$1089,Objects!$B$2:$B$1089,$A74,Objects!$F$2:$F$1089,$B74,Objects!$H$2:$H$1089,$C74)</f>
        <v/>
      </c>
      <c r="G74" s="5">
        <f>_xlfn.MINIFS(Objects!$L$2:$L$1089,Objects!$B$2:$B$1089,$A74,Objects!$F$2:$F$1089,$B74,Objects!$H$2:$H$1089,$C74)</f>
        <v/>
      </c>
      <c r="H74" s="5">
        <f>_xlfn.MAXIFS(Objects!$L$2:$L$1089,Objects!$B$2:$B$1089,$A74,Objects!$F$2:$F$1089,$B74,Objects!$H$2:$H$1089,$C74)</f>
        <v/>
      </c>
      <c r="I74" s="5">
        <f>IF(OR(C74="(none)",B74="raft",B74="sump_pit"),"n/a",IF(OR(B74="column",B74="shear_wall",B74="isolated_footing",B74="combined_footing"),IF(AND(F74-E74&lt;=3,H74-G74&lt;=3),"yes","no"),IF(H74-G74&lt;=3,"yes (thickness)","no (thickness)")))</f>
        <v/>
      </c>
      <c r="J74" s="6">
        <f>SUMIFS(Objects!$K$2:$K$1089,Objects!$B$2:$B$1089,$A74,Objects!$F$2:$F$1089,$B74,Objects!$H$2:$H$1089,$C74)/100</f>
        <v/>
      </c>
      <c r="K74" s="5">
        <f>COUNTIFS(Objects!$B$2:$B$1089,$A74,Objects!$F$2:$F$1089,$B74,Objects!$H$2:$H$1089,$C74,Objects!$I$2:$I$1089,"inferred*")</f>
        <v/>
      </c>
    </row>
    <row r="75">
      <c r="A75" s="5" t="inlineStr">
        <is>
          <t>122</t>
        </is>
      </c>
      <c r="B75" s="5" t="inlineStr">
        <is>
          <t>raft</t>
        </is>
      </c>
      <c r="C75" s="5" t="inlineStr">
        <is>
          <t>Radier 100</t>
        </is>
      </c>
      <c r="D75" s="5">
        <f>COUNTIFS(Objects!$B$2:$B$1089,$A75,Objects!$F$2:$F$1089,$B75,Objects!$H$2:$H$1089,$C75)</f>
        <v/>
      </c>
      <c r="E75" s="5">
        <f>_xlfn.MINIFS(Objects!$K$2:$K$1089,Objects!$B$2:$B$1089,$A75,Objects!$F$2:$F$1089,$B75,Objects!$H$2:$H$1089,$C75)</f>
        <v/>
      </c>
      <c r="F75" s="5">
        <f>_xlfn.MAXIFS(Objects!$K$2:$K$1089,Objects!$B$2:$B$1089,$A75,Objects!$F$2:$F$1089,$B75,Objects!$H$2:$H$1089,$C75)</f>
        <v/>
      </c>
      <c r="G75" s="5">
        <f>_xlfn.MINIFS(Objects!$L$2:$L$1089,Objects!$B$2:$B$1089,$A75,Objects!$F$2:$F$1089,$B75,Objects!$H$2:$H$1089,$C75)</f>
        <v/>
      </c>
      <c r="H75" s="5">
        <f>_xlfn.MAXIFS(Objects!$L$2:$L$1089,Objects!$B$2:$B$1089,$A75,Objects!$F$2:$F$1089,$B75,Objects!$H$2:$H$1089,$C75)</f>
        <v/>
      </c>
      <c r="I75" s="5">
        <f>IF(OR(C75="(none)",B75="raft",B75="sump_pit"),"n/a",IF(OR(B75="column",B75="shear_wall",B75="isolated_footing",B75="combined_footing"),IF(AND(F75-E75&lt;=3,H75-G75&lt;=3),"yes","no"),IF(H75-G75&lt;=3,"yes (thickness)","no (thickness)")))</f>
        <v/>
      </c>
      <c r="J75" s="6">
        <f>SUMIFS(Objects!$K$2:$K$1089,Objects!$B$2:$B$1089,$A75,Objects!$F$2:$F$1089,$B75,Objects!$H$2:$H$1089,$C75)/100</f>
        <v/>
      </c>
      <c r="K75" s="5">
        <f>COUNTIFS(Objects!$B$2:$B$1089,$A75,Objects!$F$2:$F$1089,$B75,Objects!$H$2:$H$1089,$C75,Objects!$I$2:$I$1089,"inferred*")</f>
        <v/>
      </c>
    </row>
    <row r="76">
      <c r="A76" s="5" t="inlineStr">
        <is>
          <t>123</t>
        </is>
      </c>
      <c r="B76" s="5" t="inlineStr">
        <is>
          <t>column</t>
        </is>
      </c>
      <c r="C76" s="5" t="inlineStr">
        <is>
          <t>(none)</t>
        </is>
      </c>
      <c r="D76" s="5">
        <f>COUNTIFS(Objects!$B$2:$B$1089,$A76,Objects!$F$2:$F$1089,$B76,Objects!$H$2:$H$1089,$C76)</f>
        <v/>
      </c>
      <c r="E76" s="5">
        <f>_xlfn.MINIFS(Objects!$K$2:$K$1089,Objects!$B$2:$B$1089,$A76,Objects!$F$2:$F$1089,$B76,Objects!$H$2:$H$1089,$C76)</f>
        <v/>
      </c>
      <c r="F76" s="5">
        <f>_xlfn.MAXIFS(Objects!$K$2:$K$1089,Objects!$B$2:$B$1089,$A76,Objects!$F$2:$F$1089,$B76,Objects!$H$2:$H$1089,$C76)</f>
        <v/>
      </c>
      <c r="G76" s="5">
        <f>_xlfn.MINIFS(Objects!$L$2:$L$1089,Objects!$B$2:$B$1089,$A76,Objects!$F$2:$F$1089,$B76,Objects!$H$2:$H$1089,$C76)</f>
        <v/>
      </c>
      <c r="H76" s="5">
        <f>_xlfn.MAXIFS(Objects!$L$2:$L$1089,Objects!$B$2:$B$1089,$A76,Objects!$F$2:$F$1089,$B76,Objects!$H$2:$H$1089,$C76)</f>
        <v/>
      </c>
      <c r="I76" s="5">
        <f>IF(OR(C76="(none)",B76="raft",B76="sump_pit"),"n/a",IF(OR(B76="column",B76="shear_wall",B76="isolated_footing",B76="combined_footing"),IF(AND(F76-E76&lt;=3,H76-G76&lt;=3),"yes","no"),IF(H76-G76&lt;=3,"yes (thickness)","no (thickness)")))</f>
        <v/>
      </c>
      <c r="J76" s="6">
        <f>SUMIFS(Objects!$K$2:$K$1089,Objects!$B$2:$B$1089,$A76,Objects!$F$2:$F$1089,$B76,Objects!$H$2:$H$1089,$C76)/100</f>
        <v/>
      </c>
      <c r="K76" s="5">
        <f>COUNTIFS(Objects!$B$2:$B$1089,$A76,Objects!$F$2:$F$1089,$B76,Objects!$H$2:$H$1089,$C76,Objects!$I$2:$I$1089,"inferred*")</f>
        <v/>
      </c>
    </row>
    <row r="77">
      <c r="A77" s="5" t="inlineStr">
        <is>
          <t>123</t>
        </is>
      </c>
      <c r="B77" s="5" t="inlineStr">
        <is>
          <t>shear_wall</t>
        </is>
      </c>
      <c r="C77" s="5" t="inlineStr">
        <is>
          <t>(none)</t>
        </is>
      </c>
      <c r="D77" s="5">
        <f>COUNTIFS(Objects!$B$2:$B$1089,$A77,Objects!$F$2:$F$1089,$B77,Objects!$H$2:$H$1089,$C77)</f>
        <v/>
      </c>
      <c r="E77" s="5">
        <f>_xlfn.MINIFS(Objects!$K$2:$K$1089,Objects!$B$2:$B$1089,$A77,Objects!$F$2:$F$1089,$B77,Objects!$H$2:$H$1089,$C77)</f>
        <v/>
      </c>
      <c r="F77" s="5">
        <f>_xlfn.MAXIFS(Objects!$K$2:$K$1089,Objects!$B$2:$B$1089,$A77,Objects!$F$2:$F$1089,$B77,Objects!$H$2:$H$1089,$C77)</f>
        <v/>
      </c>
      <c r="G77" s="5">
        <f>_xlfn.MINIFS(Objects!$L$2:$L$1089,Objects!$B$2:$B$1089,$A77,Objects!$F$2:$F$1089,$B77,Objects!$H$2:$H$1089,$C77)</f>
        <v/>
      </c>
      <c r="H77" s="5">
        <f>_xlfn.MAXIFS(Objects!$L$2:$L$1089,Objects!$B$2:$B$1089,$A77,Objects!$F$2:$F$1089,$B77,Objects!$H$2:$H$1089,$C77)</f>
        <v/>
      </c>
      <c r="I77" s="5">
        <f>IF(OR(C77="(none)",B77="raft",B77="sump_pit"),"n/a",IF(OR(B77="column",B77="shear_wall",B77="isolated_footing",B77="combined_footing"),IF(AND(F77-E77&lt;=3,H77-G77&lt;=3),"yes","no"),IF(H77-G77&lt;=3,"yes (thickness)","no (thickness)")))</f>
        <v/>
      </c>
      <c r="J77" s="6">
        <f>SUMIFS(Objects!$K$2:$K$1089,Objects!$B$2:$B$1089,$A77,Objects!$F$2:$F$1089,$B77,Objects!$H$2:$H$1089,$C77)/100</f>
        <v/>
      </c>
      <c r="K77" s="5">
        <f>COUNTIFS(Objects!$B$2:$B$1089,$A77,Objects!$F$2:$F$1089,$B77,Objects!$H$2:$H$1089,$C77,Objects!$I$2:$I$1089,"inferred*")</f>
        <v/>
      </c>
    </row>
    <row r="78">
      <c r="A78" s="5" t="inlineStr">
        <is>
          <t>123</t>
        </is>
      </c>
      <c r="B78" s="5" t="inlineStr">
        <is>
          <t>shear_wall</t>
        </is>
      </c>
      <c r="C78" s="5" t="inlineStr">
        <is>
          <t>V1/123</t>
        </is>
      </c>
      <c r="D78" s="5">
        <f>COUNTIFS(Objects!$B$2:$B$1089,$A78,Objects!$F$2:$F$1089,$B78,Objects!$H$2:$H$1089,$C78)</f>
        <v/>
      </c>
      <c r="E78" s="5">
        <f>_xlfn.MINIFS(Objects!$K$2:$K$1089,Objects!$B$2:$B$1089,$A78,Objects!$F$2:$F$1089,$B78,Objects!$H$2:$H$1089,$C78)</f>
        <v/>
      </c>
      <c r="F78" s="5">
        <f>_xlfn.MAXIFS(Objects!$K$2:$K$1089,Objects!$B$2:$B$1089,$A78,Objects!$F$2:$F$1089,$B78,Objects!$H$2:$H$1089,$C78)</f>
        <v/>
      </c>
      <c r="G78" s="5">
        <f>_xlfn.MINIFS(Objects!$L$2:$L$1089,Objects!$B$2:$B$1089,$A78,Objects!$F$2:$F$1089,$B78,Objects!$H$2:$H$1089,$C78)</f>
        <v/>
      </c>
      <c r="H78" s="5">
        <f>_xlfn.MAXIFS(Objects!$L$2:$L$1089,Objects!$B$2:$B$1089,$A78,Objects!$F$2:$F$1089,$B78,Objects!$H$2:$H$1089,$C78)</f>
        <v/>
      </c>
      <c r="I78" s="5">
        <f>IF(OR(C78="(none)",B78="raft",B78="sump_pit"),"n/a",IF(OR(B78="column",B78="shear_wall",B78="isolated_footing",B78="combined_footing"),IF(AND(F78-E78&lt;=3,H78-G78&lt;=3),"yes","no"),IF(H78-G78&lt;=3,"yes (thickness)","no (thickness)")))</f>
        <v/>
      </c>
      <c r="J78" s="6">
        <f>SUMIFS(Objects!$K$2:$K$1089,Objects!$B$2:$B$1089,$A78,Objects!$F$2:$F$1089,$B78,Objects!$H$2:$H$1089,$C78)/100</f>
        <v/>
      </c>
      <c r="K78" s="5">
        <f>COUNTIFS(Objects!$B$2:$B$1089,$A78,Objects!$F$2:$F$1089,$B78,Objects!$H$2:$H$1089,$C78,Objects!$I$2:$I$1089,"inferred*")</f>
        <v/>
      </c>
    </row>
    <row r="79">
      <c r="A79" s="5" t="inlineStr">
        <is>
          <t>123</t>
        </is>
      </c>
      <c r="B79" s="5" t="inlineStr">
        <is>
          <t>shear_wall</t>
        </is>
      </c>
      <c r="C79" s="5" t="inlineStr">
        <is>
          <t>V2/123</t>
        </is>
      </c>
      <c r="D79" s="5">
        <f>COUNTIFS(Objects!$B$2:$B$1089,$A79,Objects!$F$2:$F$1089,$B79,Objects!$H$2:$H$1089,$C79)</f>
        <v/>
      </c>
      <c r="E79" s="5">
        <f>_xlfn.MINIFS(Objects!$K$2:$K$1089,Objects!$B$2:$B$1089,$A79,Objects!$F$2:$F$1089,$B79,Objects!$H$2:$H$1089,$C79)</f>
        <v/>
      </c>
      <c r="F79" s="5">
        <f>_xlfn.MAXIFS(Objects!$K$2:$K$1089,Objects!$B$2:$B$1089,$A79,Objects!$F$2:$F$1089,$B79,Objects!$H$2:$H$1089,$C79)</f>
        <v/>
      </c>
      <c r="G79" s="5">
        <f>_xlfn.MINIFS(Objects!$L$2:$L$1089,Objects!$B$2:$B$1089,$A79,Objects!$F$2:$F$1089,$B79,Objects!$H$2:$H$1089,$C79)</f>
        <v/>
      </c>
      <c r="H79" s="5">
        <f>_xlfn.MAXIFS(Objects!$L$2:$L$1089,Objects!$B$2:$B$1089,$A79,Objects!$F$2:$F$1089,$B79,Objects!$H$2:$H$1089,$C79)</f>
        <v/>
      </c>
      <c r="I79" s="5">
        <f>IF(OR(C79="(none)",B79="raft",B79="sump_pit"),"n/a",IF(OR(B79="column",B79="shear_wall",B79="isolated_footing",B79="combined_footing"),IF(AND(F79-E79&lt;=3,H79-G79&lt;=3),"yes","no"),IF(H79-G79&lt;=3,"yes (thickness)","no (thickness)")))</f>
        <v/>
      </c>
      <c r="J79" s="6">
        <f>SUMIFS(Objects!$K$2:$K$1089,Objects!$B$2:$B$1089,$A79,Objects!$F$2:$F$1089,$B79,Objects!$H$2:$H$1089,$C79)/100</f>
        <v/>
      </c>
      <c r="K79" s="5">
        <f>COUNTIFS(Objects!$B$2:$B$1089,$A79,Objects!$F$2:$F$1089,$B79,Objects!$H$2:$H$1089,$C79,Objects!$I$2:$I$1089,"inferred*")</f>
        <v/>
      </c>
    </row>
    <row r="80">
      <c r="A80" s="5" t="inlineStr">
        <is>
          <t>123</t>
        </is>
      </c>
      <c r="B80" s="5" t="inlineStr">
        <is>
          <t>shear_wall</t>
        </is>
      </c>
      <c r="C80" s="5" t="inlineStr">
        <is>
          <t>V2/123|V4/123|V7/123</t>
        </is>
      </c>
      <c r="D80" s="5">
        <f>COUNTIFS(Objects!$B$2:$B$1089,$A80,Objects!$F$2:$F$1089,$B80,Objects!$H$2:$H$1089,$C80)</f>
        <v/>
      </c>
      <c r="E80" s="5">
        <f>_xlfn.MINIFS(Objects!$K$2:$K$1089,Objects!$B$2:$B$1089,$A80,Objects!$F$2:$F$1089,$B80,Objects!$H$2:$H$1089,$C80)</f>
        <v/>
      </c>
      <c r="F80" s="5">
        <f>_xlfn.MAXIFS(Objects!$K$2:$K$1089,Objects!$B$2:$B$1089,$A80,Objects!$F$2:$F$1089,$B80,Objects!$H$2:$H$1089,$C80)</f>
        <v/>
      </c>
      <c r="G80" s="5">
        <f>_xlfn.MINIFS(Objects!$L$2:$L$1089,Objects!$B$2:$B$1089,$A80,Objects!$F$2:$F$1089,$B80,Objects!$H$2:$H$1089,$C80)</f>
        <v/>
      </c>
      <c r="H80" s="5">
        <f>_xlfn.MAXIFS(Objects!$L$2:$L$1089,Objects!$B$2:$B$1089,$A80,Objects!$F$2:$F$1089,$B80,Objects!$H$2:$H$1089,$C80)</f>
        <v/>
      </c>
      <c r="I80" s="5">
        <f>IF(OR(C80="(none)",B80="raft",B80="sump_pit"),"n/a",IF(OR(B80="column",B80="shear_wall",B80="isolated_footing",B80="combined_footing"),IF(AND(F80-E80&lt;=3,H80-G80&lt;=3),"yes","no"),IF(H80-G80&lt;=3,"yes (thickness)","no (thickness)")))</f>
        <v/>
      </c>
      <c r="J80" s="6">
        <f>SUMIFS(Objects!$K$2:$K$1089,Objects!$B$2:$B$1089,$A80,Objects!$F$2:$F$1089,$B80,Objects!$H$2:$H$1089,$C80)/100</f>
        <v/>
      </c>
      <c r="K80" s="5">
        <f>COUNTIFS(Objects!$B$2:$B$1089,$A80,Objects!$F$2:$F$1089,$B80,Objects!$H$2:$H$1089,$C80,Objects!$I$2:$I$1089,"inferred*")</f>
        <v/>
      </c>
    </row>
    <row r="81">
      <c r="A81" s="5" t="inlineStr">
        <is>
          <t>123</t>
        </is>
      </c>
      <c r="B81" s="5" t="inlineStr">
        <is>
          <t>shear_wall</t>
        </is>
      </c>
      <c r="C81" s="5" t="inlineStr">
        <is>
          <t>V3/123</t>
        </is>
      </c>
      <c r="D81" s="5">
        <f>COUNTIFS(Objects!$B$2:$B$1089,$A81,Objects!$F$2:$F$1089,$B81,Objects!$H$2:$H$1089,$C81)</f>
        <v/>
      </c>
      <c r="E81" s="5">
        <f>_xlfn.MINIFS(Objects!$K$2:$K$1089,Objects!$B$2:$B$1089,$A81,Objects!$F$2:$F$1089,$B81,Objects!$H$2:$H$1089,$C81)</f>
        <v/>
      </c>
      <c r="F81" s="5">
        <f>_xlfn.MAXIFS(Objects!$K$2:$K$1089,Objects!$B$2:$B$1089,$A81,Objects!$F$2:$F$1089,$B81,Objects!$H$2:$H$1089,$C81)</f>
        <v/>
      </c>
      <c r="G81" s="5">
        <f>_xlfn.MINIFS(Objects!$L$2:$L$1089,Objects!$B$2:$B$1089,$A81,Objects!$F$2:$F$1089,$B81,Objects!$H$2:$H$1089,$C81)</f>
        <v/>
      </c>
      <c r="H81" s="5">
        <f>_xlfn.MAXIFS(Objects!$L$2:$L$1089,Objects!$B$2:$B$1089,$A81,Objects!$F$2:$F$1089,$B81,Objects!$H$2:$H$1089,$C81)</f>
        <v/>
      </c>
      <c r="I81" s="5">
        <f>IF(OR(C81="(none)",B81="raft",B81="sump_pit"),"n/a",IF(OR(B81="column",B81="shear_wall",B81="isolated_footing",B81="combined_footing"),IF(AND(F81-E81&lt;=3,H81-G81&lt;=3),"yes","no"),IF(H81-G81&lt;=3,"yes (thickness)","no (thickness)")))</f>
        <v/>
      </c>
      <c r="J81" s="6">
        <f>SUMIFS(Objects!$K$2:$K$1089,Objects!$B$2:$B$1089,$A81,Objects!$F$2:$F$1089,$B81,Objects!$H$2:$H$1089,$C81)/100</f>
        <v/>
      </c>
      <c r="K81" s="5">
        <f>COUNTIFS(Objects!$B$2:$B$1089,$A81,Objects!$F$2:$F$1089,$B81,Objects!$H$2:$H$1089,$C81,Objects!$I$2:$I$1089,"inferred*")</f>
        <v/>
      </c>
    </row>
    <row r="82">
      <c r="A82" s="5" t="inlineStr">
        <is>
          <t>123</t>
        </is>
      </c>
      <c r="B82" s="5" t="inlineStr">
        <is>
          <t>shear_wall</t>
        </is>
      </c>
      <c r="C82" s="5" t="inlineStr">
        <is>
          <t>V4/123</t>
        </is>
      </c>
      <c r="D82" s="5">
        <f>COUNTIFS(Objects!$B$2:$B$1089,$A82,Objects!$F$2:$F$1089,$B82,Objects!$H$2:$H$1089,$C82)</f>
        <v/>
      </c>
      <c r="E82" s="5">
        <f>_xlfn.MINIFS(Objects!$K$2:$K$1089,Objects!$B$2:$B$1089,$A82,Objects!$F$2:$F$1089,$B82,Objects!$H$2:$H$1089,$C82)</f>
        <v/>
      </c>
      <c r="F82" s="5">
        <f>_xlfn.MAXIFS(Objects!$K$2:$K$1089,Objects!$B$2:$B$1089,$A82,Objects!$F$2:$F$1089,$B82,Objects!$H$2:$H$1089,$C82)</f>
        <v/>
      </c>
      <c r="G82" s="5">
        <f>_xlfn.MINIFS(Objects!$L$2:$L$1089,Objects!$B$2:$B$1089,$A82,Objects!$F$2:$F$1089,$B82,Objects!$H$2:$H$1089,$C82)</f>
        <v/>
      </c>
      <c r="H82" s="5">
        <f>_xlfn.MAXIFS(Objects!$L$2:$L$1089,Objects!$B$2:$B$1089,$A82,Objects!$F$2:$F$1089,$B82,Objects!$H$2:$H$1089,$C82)</f>
        <v/>
      </c>
      <c r="I82" s="5">
        <f>IF(OR(C82="(none)",B82="raft",B82="sump_pit"),"n/a",IF(OR(B82="column",B82="shear_wall",B82="isolated_footing",B82="combined_footing"),IF(AND(F82-E82&lt;=3,H82-G82&lt;=3),"yes","no"),IF(H82-G82&lt;=3,"yes (thickness)","no (thickness)")))</f>
        <v/>
      </c>
      <c r="J82" s="6">
        <f>SUMIFS(Objects!$K$2:$K$1089,Objects!$B$2:$B$1089,$A82,Objects!$F$2:$F$1089,$B82,Objects!$H$2:$H$1089,$C82)/100</f>
        <v/>
      </c>
      <c r="K82" s="5">
        <f>COUNTIFS(Objects!$B$2:$B$1089,$A82,Objects!$F$2:$F$1089,$B82,Objects!$H$2:$H$1089,$C82,Objects!$I$2:$I$1089,"inferred*")</f>
        <v/>
      </c>
    </row>
    <row r="83">
      <c r="A83" s="5" t="inlineStr">
        <is>
          <t>123</t>
        </is>
      </c>
      <c r="B83" s="5" t="inlineStr">
        <is>
          <t>shear_wall</t>
        </is>
      </c>
      <c r="C83" s="5" t="inlineStr">
        <is>
          <t>V5/123</t>
        </is>
      </c>
      <c r="D83" s="5">
        <f>COUNTIFS(Objects!$B$2:$B$1089,$A83,Objects!$F$2:$F$1089,$B83,Objects!$H$2:$H$1089,$C83)</f>
        <v/>
      </c>
      <c r="E83" s="5">
        <f>_xlfn.MINIFS(Objects!$K$2:$K$1089,Objects!$B$2:$B$1089,$A83,Objects!$F$2:$F$1089,$B83,Objects!$H$2:$H$1089,$C83)</f>
        <v/>
      </c>
      <c r="F83" s="5">
        <f>_xlfn.MAXIFS(Objects!$K$2:$K$1089,Objects!$B$2:$B$1089,$A83,Objects!$F$2:$F$1089,$B83,Objects!$H$2:$H$1089,$C83)</f>
        <v/>
      </c>
      <c r="G83" s="5">
        <f>_xlfn.MINIFS(Objects!$L$2:$L$1089,Objects!$B$2:$B$1089,$A83,Objects!$F$2:$F$1089,$B83,Objects!$H$2:$H$1089,$C83)</f>
        <v/>
      </c>
      <c r="H83" s="5">
        <f>_xlfn.MAXIFS(Objects!$L$2:$L$1089,Objects!$B$2:$B$1089,$A83,Objects!$F$2:$F$1089,$B83,Objects!$H$2:$H$1089,$C83)</f>
        <v/>
      </c>
      <c r="I83" s="5">
        <f>IF(OR(C83="(none)",B83="raft",B83="sump_pit"),"n/a",IF(OR(B83="column",B83="shear_wall",B83="isolated_footing",B83="combined_footing"),IF(AND(F83-E83&lt;=3,H83-G83&lt;=3),"yes","no"),IF(H83-G83&lt;=3,"yes (thickness)","no (thickness)")))</f>
        <v/>
      </c>
      <c r="J83" s="6">
        <f>SUMIFS(Objects!$K$2:$K$1089,Objects!$B$2:$B$1089,$A83,Objects!$F$2:$F$1089,$B83,Objects!$H$2:$H$1089,$C83)/100</f>
        <v/>
      </c>
      <c r="K83" s="5">
        <f>COUNTIFS(Objects!$B$2:$B$1089,$A83,Objects!$F$2:$F$1089,$B83,Objects!$H$2:$H$1089,$C83,Objects!$I$2:$I$1089,"inferred*")</f>
        <v/>
      </c>
    </row>
    <row r="84">
      <c r="A84" s="5" t="inlineStr">
        <is>
          <t>123</t>
        </is>
      </c>
      <c r="B84" s="5" t="inlineStr">
        <is>
          <t>shear_wall</t>
        </is>
      </c>
      <c r="C84" s="5" t="inlineStr">
        <is>
          <t>V6/123</t>
        </is>
      </c>
      <c r="D84" s="5">
        <f>COUNTIFS(Objects!$B$2:$B$1089,$A84,Objects!$F$2:$F$1089,$B84,Objects!$H$2:$H$1089,$C84)</f>
        <v/>
      </c>
      <c r="E84" s="5">
        <f>_xlfn.MINIFS(Objects!$K$2:$K$1089,Objects!$B$2:$B$1089,$A84,Objects!$F$2:$F$1089,$B84,Objects!$H$2:$H$1089,$C84)</f>
        <v/>
      </c>
      <c r="F84" s="5">
        <f>_xlfn.MAXIFS(Objects!$K$2:$K$1089,Objects!$B$2:$B$1089,$A84,Objects!$F$2:$F$1089,$B84,Objects!$H$2:$H$1089,$C84)</f>
        <v/>
      </c>
      <c r="G84" s="5">
        <f>_xlfn.MINIFS(Objects!$L$2:$L$1089,Objects!$B$2:$B$1089,$A84,Objects!$F$2:$F$1089,$B84,Objects!$H$2:$H$1089,$C84)</f>
        <v/>
      </c>
      <c r="H84" s="5">
        <f>_xlfn.MAXIFS(Objects!$L$2:$L$1089,Objects!$B$2:$B$1089,$A84,Objects!$F$2:$F$1089,$B84,Objects!$H$2:$H$1089,$C84)</f>
        <v/>
      </c>
      <c r="I84" s="5">
        <f>IF(OR(C84="(none)",B84="raft",B84="sump_pit"),"n/a",IF(OR(B84="column",B84="shear_wall",B84="isolated_footing",B84="combined_footing"),IF(AND(F84-E84&lt;=3,H84-G84&lt;=3),"yes","no"),IF(H84-G84&lt;=3,"yes (thickness)","no (thickness)")))</f>
        <v/>
      </c>
      <c r="J84" s="6">
        <f>SUMIFS(Objects!$K$2:$K$1089,Objects!$B$2:$B$1089,$A84,Objects!$F$2:$F$1089,$B84,Objects!$H$2:$H$1089,$C84)/100</f>
        <v/>
      </c>
      <c r="K84" s="5">
        <f>COUNTIFS(Objects!$B$2:$B$1089,$A84,Objects!$F$2:$F$1089,$B84,Objects!$H$2:$H$1089,$C84,Objects!$I$2:$I$1089,"inferred*")</f>
        <v/>
      </c>
    </row>
    <row r="85">
      <c r="A85" s="5" t="inlineStr">
        <is>
          <t>123</t>
        </is>
      </c>
      <c r="B85" s="5" t="inlineStr">
        <is>
          <t>shear_wall</t>
        </is>
      </c>
      <c r="C85" s="5" t="inlineStr">
        <is>
          <t>V7/123</t>
        </is>
      </c>
      <c r="D85" s="5">
        <f>COUNTIFS(Objects!$B$2:$B$1089,$A85,Objects!$F$2:$F$1089,$B85,Objects!$H$2:$H$1089,$C85)</f>
        <v/>
      </c>
      <c r="E85" s="5">
        <f>_xlfn.MINIFS(Objects!$K$2:$K$1089,Objects!$B$2:$B$1089,$A85,Objects!$F$2:$F$1089,$B85,Objects!$H$2:$H$1089,$C85)</f>
        <v/>
      </c>
      <c r="F85" s="5">
        <f>_xlfn.MAXIFS(Objects!$K$2:$K$1089,Objects!$B$2:$B$1089,$A85,Objects!$F$2:$F$1089,$B85,Objects!$H$2:$H$1089,$C85)</f>
        <v/>
      </c>
      <c r="G85" s="5">
        <f>_xlfn.MINIFS(Objects!$L$2:$L$1089,Objects!$B$2:$B$1089,$A85,Objects!$F$2:$F$1089,$B85,Objects!$H$2:$H$1089,$C85)</f>
        <v/>
      </c>
      <c r="H85" s="5">
        <f>_xlfn.MAXIFS(Objects!$L$2:$L$1089,Objects!$B$2:$B$1089,$A85,Objects!$F$2:$F$1089,$B85,Objects!$H$2:$H$1089,$C85)</f>
        <v/>
      </c>
      <c r="I85" s="5">
        <f>IF(OR(C85="(none)",B85="raft",B85="sump_pit"),"n/a",IF(OR(B85="column",B85="shear_wall",B85="isolated_footing",B85="combined_footing"),IF(AND(F85-E85&lt;=3,H85-G85&lt;=3),"yes","no"),IF(H85-G85&lt;=3,"yes (thickness)","no (thickness)")))</f>
        <v/>
      </c>
      <c r="J85" s="6">
        <f>SUMIFS(Objects!$K$2:$K$1089,Objects!$B$2:$B$1089,$A85,Objects!$F$2:$F$1089,$B85,Objects!$H$2:$H$1089,$C85)/100</f>
        <v/>
      </c>
      <c r="K85" s="5">
        <f>COUNTIFS(Objects!$B$2:$B$1089,$A85,Objects!$F$2:$F$1089,$B85,Objects!$H$2:$H$1089,$C85,Objects!$I$2:$I$1089,"inferred*")</f>
        <v/>
      </c>
    </row>
    <row r="86">
      <c r="A86" s="5" t="inlineStr">
        <is>
          <t>123</t>
        </is>
      </c>
      <c r="B86" s="5" t="inlineStr">
        <is>
          <t>retaining_wall</t>
        </is>
      </c>
      <c r="C86" s="5" t="inlineStr">
        <is>
          <t>VP25</t>
        </is>
      </c>
      <c r="D86" s="5">
        <f>COUNTIFS(Objects!$B$2:$B$1089,$A86,Objects!$F$2:$F$1089,$B86,Objects!$H$2:$H$1089,$C86)</f>
        <v/>
      </c>
      <c r="E86" s="5">
        <f>_xlfn.MINIFS(Objects!$K$2:$K$1089,Objects!$B$2:$B$1089,$A86,Objects!$F$2:$F$1089,$B86,Objects!$H$2:$H$1089,$C86)</f>
        <v/>
      </c>
      <c r="F86" s="5">
        <f>_xlfn.MAXIFS(Objects!$K$2:$K$1089,Objects!$B$2:$B$1089,$A86,Objects!$F$2:$F$1089,$B86,Objects!$H$2:$H$1089,$C86)</f>
        <v/>
      </c>
      <c r="G86" s="5">
        <f>_xlfn.MINIFS(Objects!$L$2:$L$1089,Objects!$B$2:$B$1089,$A86,Objects!$F$2:$F$1089,$B86,Objects!$H$2:$H$1089,$C86)</f>
        <v/>
      </c>
      <c r="H86" s="5">
        <f>_xlfn.MAXIFS(Objects!$L$2:$L$1089,Objects!$B$2:$B$1089,$A86,Objects!$F$2:$F$1089,$B86,Objects!$H$2:$H$1089,$C86)</f>
        <v/>
      </c>
      <c r="I86" s="5">
        <f>IF(OR(C86="(none)",B86="raft",B86="sump_pit"),"n/a",IF(OR(B86="column",B86="shear_wall",B86="isolated_footing",B86="combined_footing"),IF(AND(F86-E86&lt;=3,H86-G86&lt;=3),"yes","no"),IF(H86-G86&lt;=3,"yes (thickness)","no (thickness)")))</f>
        <v/>
      </c>
      <c r="J86" s="6">
        <f>SUMIFS(Objects!$K$2:$K$1089,Objects!$B$2:$B$1089,$A86,Objects!$F$2:$F$1089,$B86,Objects!$H$2:$H$1089,$C86)/100</f>
        <v/>
      </c>
      <c r="K86" s="5">
        <f>COUNTIFS(Objects!$B$2:$B$1089,$A86,Objects!$F$2:$F$1089,$B86,Objects!$H$2:$H$1089,$C86,Objects!$I$2:$I$1089,"inferred*")</f>
        <v/>
      </c>
    </row>
    <row r="87">
      <c r="A87" s="5" t="inlineStr">
        <is>
          <t>123</t>
        </is>
      </c>
      <c r="B87" s="5" t="inlineStr">
        <is>
          <t>isolated_footing</t>
        </is>
      </c>
      <c r="C87" s="5" t="inlineStr">
        <is>
          <t>(none)</t>
        </is>
      </c>
      <c r="D87" s="5">
        <f>COUNTIFS(Objects!$B$2:$B$1089,$A87,Objects!$F$2:$F$1089,$B87,Objects!$H$2:$H$1089,$C87)</f>
        <v/>
      </c>
      <c r="E87" s="5">
        <f>_xlfn.MINIFS(Objects!$K$2:$K$1089,Objects!$B$2:$B$1089,$A87,Objects!$F$2:$F$1089,$B87,Objects!$H$2:$H$1089,$C87)</f>
        <v/>
      </c>
      <c r="F87" s="5">
        <f>_xlfn.MAXIFS(Objects!$K$2:$K$1089,Objects!$B$2:$B$1089,$A87,Objects!$F$2:$F$1089,$B87,Objects!$H$2:$H$1089,$C87)</f>
        <v/>
      </c>
      <c r="G87" s="5">
        <f>_xlfn.MINIFS(Objects!$L$2:$L$1089,Objects!$B$2:$B$1089,$A87,Objects!$F$2:$F$1089,$B87,Objects!$H$2:$H$1089,$C87)</f>
        <v/>
      </c>
      <c r="H87" s="5">
        <f>_xlfn.MAXIFS(Objects!$L$2:$L$1089,Objects!$B$2:$B$1089,$A87,Objects!$F$2:$F$1089,$B87,Objects!$H$2:$H$1089,$C87)</f>
        <v/>
      </c>
      <c r="I87" s="5">
        <f>IF(OR(C87="(none)",B87="raft",B87="sump_pit"),"n/a",IF(OR(B87="column",B87="shear_wall",B87="isolated_footing",B87="combined_footing"),IF(AND(F87-E87&lt;=3,H87-G87&lt;=3),"yes","no"),IF(H87-G87&lt;=3,"yes (thickness)","no (thickness)")))</f>
        <v/>
      </c>
      <c r="J87" s="6">
        <f>SUMIFS(Objects!$K$2:$K$1089,Objects!$B$2:$B$1089,$A87,Objects!$F$2:$F$1089,$B87,Objects!$H$2:$H$1089,$C87)/100</f>
        <v/>
      </c>
      <c r="K87" s="5">
        <f>COUNTIFS(Objects!$B$2:$B$1089,$A87,Objects!$F$2:$F$1089,$B87,Objects!$H$2:$H$1089,$C87,Objects!$I$2:$I$1089,"inferred*")</f>
        <v/>
      </c>
    </row>
    <row r="88">
      <c r="A88" s="5" t="inlineStr">
        <is>
          <t>123</t>
        </is>
      </c>
      <c r="B88" s="5" t="inlineStr">
        <is>
          <t>isolated_footing</t>
        </is>
      </c>
      <c r="C88" s="5" t="inlineStr">
        <is>
          <t>S5</t>
        </is>
      </c>
      <c r="D88" s="5">
        <f>COUNTIFS(Objects!$B$2:$B$1089,$A88,Objects!$F$2:$F$1089,$B88,Objects!$H$2:$H$1089,$C88)</f>
        <v/>
      </c>
      <c r="E88" s="5">
        <f>_xlfn.MINIFS(Objects!$K$2:$K$1089,Objects!$B$2:$B$1089,$A88,Objects!$F$2:$F$1089,$B88,Objects!$H$2:$H$1089,$C88)</f>
        <v/>
      </c>
      <c r="F88" s="5">
        <f>_xlfn.MAXIFS(Objects!$K$2:$K$1089,Objects!$B$2:$B$1089,$A88,Objects!$F$2:$F$1089,$B88,Objects!$H$2:$H$1089,$C88)</f>
        <v/>
      </c>
      <c r="G88" s="5">
        <f>_xlfn.MINIFS(Objects!$L$2:$L$1089,Objects!$B$2:$B$1089,$A88,Objects!$F$2:$F$1089,$B88,Objects!$H$2:$H$1089,$C88)</f>
        <v/>
      </c>
      <c r="H88" s="5">
        <f>_xlfn.MAXIFS(Objects!$L$2:$L$1089,Objects!$B$2:$B$1089,$A88,Objects!$F$2:$F$1089,$B88,Objects!$H$2:$H$1089,$C88)</f>
        <v/>
      </c>
      <c r="I88" s="5">
        <f>IF(OR(C88="(none)",B88="raft",B88="sump_pit"),"n/a",IF(OR(B88="column",B88="shear_wall",B88="isolated_footing",B88="combined_footing"),IF(AND(F88-E88&lt;=3,H88-G88&lt;=3),"yes","no"),IF(H88-G88&lt;=3,"yes (thickness)","no (thickness)")))</f>
        <v/>
      </c>
      <c r="J88" s="6">
        <f>SUMIFS(Objects!$K$2:$K$1089,Objects!$B$2:$B$1089,$A88,Objects!$F$2:$F$1089,$B88,Objects!$H$2:$H$1089,$C88)/100</f>
        <v/>
      </c>
      <c r="K88" s="5">
        <f>COUNTIFS(Objects!$B$2:$B$1089,$A88,Objects!$F$2:$F$1089,$B88,Objects!$H$2:$H$1089,$C88,Objects!$I$2:$I$1089,"inferred*")</f>
        <v/>
      </c>
    </row>
    <row r="89">
      <c r="A89" s="5" t="inlineStr">
        <is>
          <t>123</t>
        </is>
      </c>
      <c r="B89" s="5" t="inlineStr">
        <is>
          <t>isolated_footing</t>
        </is>
      </c>
      <c r="C89" s="5" t="inlineStr">
        <is>
          <t>S7</t>
        </is>
      </c>
      <c r="D89" s="5">
        <f>COUNTIFS(Objects!$B$2:$B$1089,$A89,Objects!$F$2:$F$1089,$B89,Objects!$H$2:$H$1089,$C89)</f>
        <v/>
      </c>
      <c r="E89" s="5">
        <f>_xlfn.MINIFS(Objects!$K$2:$K$1089,Objects!$B$2:$B$1089,$A89,Objects!$F$2:$F$1089,$B89,Objects!$H$2:$H$1089,$C89)</f>
        <v/>
      </c>
      <c r="F89" s="5">
        <f>_xlfn.MAXIFS(Objects!$K$2:$K$1089,Objects!$B$2:$B$1089,$A89,Objects!$F$2:$F$1089,$B89,Objects!$H$2:$H$1089,$C89)</f>
        <v/>
      </c>
      <c r="G89" s="5">
        <f>_xlfn.MINIFS(Objects!$L$2:$L$1089,Objects!$B$2:$B$1089,$A89,Objects!$F$2:$F$1089,$B89,Objects!$H$2:$H$1089,$C89)</f>
        <v/>
      </c>
      <c r="H89" s="5">
        <f>_xlfn.MAXIFS(Objects!$L$2:$L$1089,Objects!$B$2:$B$1089,$A89,Objects!$F$2:$F$1089,$B89,Objects!$H$2:$H$1089,$C89)</f>
        <v/>
      </c>
      <c r="I89" s="5">
        <f>IF(OR(C89="(none)",B89="raft",B89="sump_pit"),"n/a",IF(OR(B89="column",B89="shear_wall",B89="isolated_footing",B89="combined_footing"),IF(AND(F89-E89&lt;=3,H89-G89&lt;=3),"yes","no"),IF(H89-G89&lt;=3,"yes (thickness)","no (thickness)")))</f>
        <v/>
      </c>
      <c r="J89" s="6">
        <f>SUMIFS(Objects!$K$2:$K$1089,Objects!$B$2:$B$1089,$A89,Objects!$F$2:$F$1089,$B89,Objects!$H$2:$H$1089,$C89)/100</f>
        <v/>
      </c>
      <c r="K89" s="5">
        <f>COUNTIFS(Objects!$B$2:$B$1089,$A89,Objects!$F$2:$F$1089,$B89,Objects!$H$2:$H$1089,$C89,Objects!$I$2:$I$1089,"inferred*")</f>
        <v/>
      </c>
    </row>
    <row r="90">
      <c r="A90" s="5" t="inlineStr">
        <is>
          <t>123</t>
        </is>
      </c>
      <c r="B90" s="5" t="inlineStr">
        <is>
          <t>combined_footing</t>
        </is>
      </c>
      <c r="C90" s="5" t="inlineStr">
        <is>
          <t>SC1</t>
        </is>
      </c>
      <c r="D90" s="5">
        <f>COUNTIFS(Objects!$B$2:$B$1089,$A90,Objects!$F$2:$F$1089,$B90,Objects!$H$2:$H$1089,$C90)</f>
        <v/>
      </c>
      <c r="E90" s="5">
        <f>_xlfn.MINIFS(Objects!$K$2:$K$1089,Objects!$B$2:$B$1089,$A90,Objects!$F$2:$F$1089,$B90,Objects!$H$2:$H$1089,$C90)</f>
        <v/>
      </c>
      <c r="F90" s="5">
        <f>_xlfn.MAXIFS(Objects!$K$2:$K$1089,Objects!$B$2:$B$1089,$A90,Objects!$F$2:$F$1089,$B90,Objects!$H$2:$H$1089,$C90)</f>
        <v/>
      </c>
      <c r="G90" s="5">
        <f>_xlfn.MINIFS(Objects!$L$2:$L$1089,Objects!$B$2:$B$1089,$A90,Objects!$F$2:$F$1089,$B90,Objects!$H$2:$H$1089,$C90)</f>
        <v/>
      </c>
      <c r="H90" s="5">
        <f>_xlfn.MAXIFS(Objects!$L$2:$L$1089,Objects!$B$2:$B$1089,$A90,Objects!$F$2:$F$1089,$B90,Objects!$H$2:$H$1089,$C90)</f>
        <v/>
      </c>
      <c r="I90" s="5">
        <f>IF(OR(C90="(none)",B90="raft",B90="sump_pit"),"n/a",IF(OR(B90="column",B90="shear_wall",B90="isolated_footing",B90="combined_footing"),IF(AND(F90-E90&lt;=3,H90-G90&lt;=3),"yes","no"),IF(H90-G90&lt;=3,"yes (thickness)","no (thickness)")))</f>
        <v/>
      </c>
      <c r="J90" s="6">
        <f>SUMIFS(Objects!$K$2:$K$1089,Objects!$B$2:$B$1089,$A90,Objects!$F$2:$F$1089,$B90,Objects!$H$2:$H$1089,$C90)/100</f>
        <v/>
      </c>
      <c r="K90" s="5">
        <f>COUNTIFS(Objects!$B$2:$B$1089,$A90,Objects!$F$2:$F$1089,$B90,Objects!$H$2:$H$1089,$C90,Objects!$I$2:$I$1089,"inferred*")</f>
        <v/>
      </c>
    </row>
    <row r="91">
      <c r="A91" s="5" t="inlineStr">
        <is>
          <t>123</t>
        </is>
      </c>
      <c r="B91" s="5" t="inlineStr">
        <is>
          <t>combined_footing</t>
        </is>
      </c>
      <c r="C91" s="5" t="inlineStr">
        <is>
          <t>SC4</t>
        </is>
      </c>
      <c r="D91" s="5">
        <f>COUNTIFS(Objects!$B$2:$B$1089,$A91,Objects!$F$2:$F$1089,$B91,Objects!$H$2:$H$1089,$C91)</f>
        <v/>
      </c>
      <c r="E91" s="5">
        <f>_xlfn.MINIFS(Objects!$K$2:$K$1089,Objects!$B$2:$B$1089,$A91,Objects!$F$2:$F$1089,$B91,Objects!$H$2:$H$1089,$C91)</f>
        <v/>
      </c>
      <c r="F91" s="5">
        <f>_xlfn.MAXIFS(Objects!$K$2:$K$1089,Objects!$B$2:$B$1089,$A91,Objects!$F$2:$F$1089,$B91,Objects!$H$2:$H$1089,$C91)</f>
        <v/>
      </c>
      <c r="G91" s="5">
        <f>_xlfn.MINIFS(Objects!$L$2:$L$1089,Objects!$B$2:$B$1089,$A91,Objects!$F$2:$F$1089,$B91,Objects!$H$2:$H$1089,$C91)</f>
        <v/>
      </c>
      <c r="H91" s="5">
        <f>_xlfn.MAXIFS(Objects!$L$2:$L$1089,Objects!$B$2:$B$1089,$A91,Objects!$F$2:$F$1089,$B91,Objects!$H$2:$H$1089,$C91)</f>
        <v/>
      </c>
      <c r="I91" s="5">
        <f>IF(OR(C91="(none)",B91="raft",B91="sump_pit"),"n/a",IF(OR(B91="column",B91="shear_wall",B91="isolated_footing",B91="combined_footing"),IF(AND(F91-E91&lt;=3,H91-G91&lt;=3),"yes","no"),IF(H91-G91&lt;=3,"yes (thickness)","no (thickness)")))</f>
        <v/>
      </c>
      <c r="J91" s="6">
        <f>SUMIFS(Objects!$K$2:$K$1089,Objects!$B$2:$B$1089,$A91,Objects!$F$2:$F$1089,$B91,Objects!$H$2:$H$1089,$C91)/100</f>
        <v/>
      </c>
      <c r="K91" s="5">
        <f>COUNTIFS(Objects!$B$2:$B$1089,$A91,Objects!$F$2:$F$1089,$B91,Objects!$H$2:$H$1089,$C91,Objects!$I$2:$I$1089,"inferred*")</f>
        <v/>
      </c>
    </row>
    <row r="92">
      <c r="A92" s="5" t="inlineStr">
        <is>
          <t>123</t>
        </is>
      </c>
      <c r="B92" s="5" t="inlineStr">
        <is>
          <t>strip_footing</t>
        </is>
      </c>
      <c r="C92" s="5" t="inlineStr">
        <is>
          <t>(none)</t>
        </is>
      </c>
      <c r="D92" s="5">
        <f>COUNTIFS(Objects!$B$2:$B$1089,$A92,Objects!$F$2:$F$1089,$B92,Objects!$H$2:$H$1089,$C92)</f>
        <v/>
      </c>
      <c r="E92" s="5">
        <f>_xlfn.MINIFS(Objects!$K$2:$K$1089,Objects!$B$2:$B$1089,$A92,Objects!$F$2:$F$1089,$B92,Objects!$H$2:$H$1089,$C92)</f>
        <v/>
      </c>
      <c r="F92" s="5">
        <f>_xlfn.MAXIFS(Objects!$K$2:$K$1089,Objects!$B$2:$B$1089,$A92,Objects!$F$2:$F$1089,$B92,Objects!$H$2:$H$1089,$C92)</f>
        <v/>
      </c>
      <c r="G92" s="5">
        <f>_xlfn.MINIFS(Objects!$L$2:$L$1089,Objects!$B$2:$B$1089,$A92,Objects!$F$2:$F$1089,$B92,Objects!$H$2:$H$1089,$C92)</f>
        <v/>
      </c>
      <c r="H92" s="5">
        <f>_xlfn.MAXIFS(Objects!$L$2:$L$1089,Objects!$B$2:$B$1089,$A92,Objects!$F$2:$F$1089,$B92,Objects!$H$2:$H$1089,$C92)</f>
        <v/>
      </c>
      <c r="I92" s="5">
        <f>IF(OR(C92="(none)",B92="raft",B92="sump_pit"),"n/a",IF(OR(B92="column",B92="shear_wall",B92="isolated_footing",B92="combined_footing"),IF(AND(F92-E92&lt;=3,H92-G92&lt;=3),"yes","no"),IF(H92-G92&lt;=3,"yes (thickness)","no (thickness)")))</f>
        <v/>
      </c>
      <c r="J92" s="6">
        <f>SUMIFS(Objects!$K$2:$K$1089,Objects!$B$2:$B$1089,$A92,Objects!$F$2:$F$1089,$B92,Objects!$H$2:$H$1089,$C92)/100</f>
        <v/>
      </c>
      <c r="K92" s="5">
        <f>COUNTIFS(Objects!$B$2:$B$1089,$A92,Objects!$F$2:$F$1089,$B92,Objects!$H$2:$H$1089,$C92,Objects!$I$2:$I$1089,"inferred*")</f>
        <v/>
      </c>
    </row>
    <row r="93">
      <c r="A93" s="5" t="inlineStr">
        <is>
          <t>123</t>
        </is>
      </c>
      <c r="B93" s="5" t="inlineStr">
        <is>
          <t>strip_footing</t>
        </is>
      </c>
      <c r="C93" s="5" t="inlineStr">
        <is>
          <t>SF1</t>
        </is>
      </c>
      <c r="D93" s="5">
        <f>COUNTIFS(Objects!$B$2:$B$1089,$A93,Objects!$F$2:$F$1089,$B93,Objects!$H$2:$H$1089,$C93)</f>
        <v/>
      </c>
      <c r="E93" s="5">
        <f>_xlfn.MINIFS(Objects!$K$2:$K$1089,Objects!$B$2:$B$1089,$A93,Objects!$F$2:$F$1089,$B93,Objects!$H$2:$H$1089,$C93)</f>
        <v/>
      </c>
      <c r="F93" s="5">
        <f>_xlfn.MAXIFS(Objects!$K$2:$K$1089,Objects!$B$2:$B$1089,$A93,Objects!$F$2:$F$1089,$B93,Objects!$H$2:$H$1089,$C93)</f>
        <v/>
      </c>
      <c r="G93" s="5">
        <f>_xlfn.MINIFS(Objects!$L$2:$L$1089,Objects!$B$2:$B$1089,$A93,Objects!$F$2:$F$1089,$B93,Objects!$H$2:$H$1089,$C93)</f>
        <v/>
      </c>
      <c r="H93" s="5">
        <f>_xlfn.MAXIFS(Objects!$L$2:$L$1089,Objects!$B$2:$B$1089,$A93,Objects!$F$2:$F$1089,$B93,Objects!$H$2:$H$1089,$C93)</f>
        <v/>
      </c>
      <c r="I93" s="5">
        <f>IF(OR(C93="(none)",B93="raft",B93="sump_pit"),"n/a",IF(OR(B93="column",B93="shear_wall",B93="isolated_footing",B93="combined_footing"),IF(AND(F93-E93&lt;=3,H93-G93&lt;=3),"yes","no"),IF(H93-G93&lt;=3,"yes (thickness)","no (thickness)")))</f>
        <v/>
      </c>
      <c r="J93" s="6">
        <f>SUMIFS(Objects!$K$2:$K$1089,Objects!$B$2:$B$1089,$A93,Objects!$F$2:$F$1089,$B93,Objects!$H$2:$H$1089,$C93)/100</f>
        <v/>
      </c>
      <c r="K93" s="5">
        <f>COUNTIFS(Objects!$B$2:$B$1089,$A93,Objects!$F$2:$F$1089,$B93,Objects!$H$2:$H$1089,$C93,Objects!$I$2:$I$1089,"inferred*")</f>
        <v/>
      </c>
    </row>
    <row r="94">
      <c r="A94" s="5" t="inlineStr">
        <is>
          <t>123</t>
        </is>
      </c>
      <c r="B94" s="5" t="inlineStr">
        <is>
          <t>grade_beam</t>
        </is>
      </c>
      <c r="C94" s="5" t="inlineStr">
        <is>
          <t>(none)</t>
        </is>
      </c>
      <c r="D94" s="5">
        <f>COUNTIFS(Objects!$B$2:$B$1089,$A94,Objects!$F$2:$F$1089,$B94,Objects!$H$2:$H$1089,$C94)</f>
        <v/>
      </c>
      <c r="E94" s="5">
        <f>_xlfn.MINIFS(Objects!$K$2:$K$1089,Objects!$B$2:$B$1089,$A94,Objects!$F$2:$F$1089,$B94,Objects!$H$2:$H$1089,$C94)</f>
        <v/>
      </c>
      <c r="F94" s="5">
        <f>_xlfn.MAXIFS(Objects!$K$2:$K$1089,Objects!$B$2:$B$1089,$A94,Objects!$F$2:$F$1089,$B94,Objects!$H$2:$H$1089,$C94)</f>
        <v/>
      </c>
      <c r="G94" s="5">
        <f>_xlfn.MINIFS(Objects!$L$2:$L$1089,Objects!$B$2:$B$1089,$A94,Objects!$F$2:$F$1089,$B94,Objects!$H$2:$H$1089,$C94)</f>
        <v/>
      </c>
      <c r="H94" s="5">
        <f>_xlfn.MAXIFS(Objects!$L$2:$L$1089,Objects!$B$2:$B$1089,$A94,Objects!$F$2:$F$1089,$B94,Objects!$H$2:$H$1089,$C94)</f>
        <v/>
      </c>
      <c r="I94" s="5">
        <f>IF(OR(C94="(none)",B94="raft",B94="sump_pit"),"n/a",IF(OR(B94="column",B94="shear_wall",B94="isolated_footing",B94="combined_footing"),IF(AND(F94-E94&lt;=3,H94-G94&lt;=3),"yes","no"),IF(H94-G94&lt;=3,"yes (thickness)","no (thickness)")))</f>
        <v/>
      </c>
      <c r="J94" s="6">
        <f>SUMIFS(Objects!$K$2:$K$1089,Objects!$B$2:$B$1089,$A94,Objects!$F$2:$F$1089,$B94,Objects!$H$2:$H$1089,$C94)/100</f>
        <v/>
      </c>
      <c r="K94" s="5">
        <f>COUNTIFS(Objects!$B$2:$B$1089,$A94,Objects!$F$2:$F$1089,$B94,Objects!$H$2:$H$1089,$C94,Objects!$I$2:$I$1089,"inferred*")</f>
        <v/>
      </c>
    </row>
    <row r="95">
      <c r="A95" s="5" t="inlineStr">
        <is>
          <t>123</t>
        </is>
      </c>
      <c r="B95" s="5" t="inlineStr">
        <is>
          <t>grade_beam</t>
        </is>
      </c>
      <c r="C95" s="5" t="inlineStr">
        <is>
          <t>LG40x15</t>
        </is>
      </c>
      <c r="D95" s="5">
        <f>COUNTIFS(Objects!$B$2:$B$1089,$A95,Objects!$F$2:$F$1089,$B95,Objects!$H$2:$H$1089,$C95)</f>
        <v/>
      </c>
      <c r="E95" s="5">
        <f>_xlfn.MINIFS(Objects!$K$2:$K$1089,Objects!$B$2:$B$1089,$A95,Objects!$F$2:$F$1089,$B95,Objects!$H$2:$H$1089,$C95)</f>
        <v/>
      </c>
      <c r="F95" s="5">
        <f>_xlfn.MAXIFS(Objects!$K$2:$K$1089,Objects!$B$2:$B$1089,$A95,Objects!$F$2:$F$1089,$B95,Objects!$H$2:$H$1089,$C95)</f>
        <v/>
      </c>
      <c r="G95" s="5">
        <f>_xlfn.MINIFS(Objects!$L$2:$L$1089,Objects!$B$2:$B$1089,$A95,Objects!$F$2:$F$1089,$B95,Objects!$H$2:$H$1089,$C95)</f>
        <v/>
      </c>
      <c r="H95" s="5">
        <f>_xlfn.MAXIFS(Objects!$L$2:$L$1089,Objects!$B$2:$B$1089,$A95,Objects!$F$2:$F$1089,$B95,Objects!$H$2:$H$1089,$C95)</f>
        <v/>
      </c>
      <c r="I95" s="5">
        <f>IF(OR(C95="(none)",B95="raft",B95="sump_pit"),"n/a",IF(OR(B95="column",B95="shear_wall",B95="isolated_footing",B95="combined_footing"),IF(AND(F95-E95&lt;=3,H95-G95&lt;=3),"yes","no"),IF(H95-G95&lt;=3,"yes (thickness)","no (thickness)")))</f>
        <v/>
      </c>
      <c r="J95" s="6">
        <f>SUMIFS(Objects!$K$2:$K$1089,Objects!$B$2:$B$1089,$A95,Objects!$F$2:$F$1089,$B95,Objects!$H$2:$H$1089,$C95)/100</f>
        <v/>
      </c>
      <c r="K95" s="5">
        <f>COUNTIFS(Objects!$B$2:$B$1089,$A95,Objects!$F$2:$F$1089,$B95,Objects!$H$2:$H$1089,$C95,Objects!$I$2:$I$1089,"inferred*")</f>
        <v/>
      </c>
    </row>
    <row r="96">
      <c r="A96" s="5" t="inlineStr">
        <is>
          <t>123</t>
        </is>
      </c>
      <c r="B96" s="5" t="inlineStr">
        <is>
          <t>raft</t>
        </is>
      </c>
      <c r="C96" s="5" t="inlineStr">
        <is>
          <t>Radier 90</t>
        </is>
      </c>
      <c r="D96" s="5">
        <f>COUNTIFS(Objects!$B$2:$B$1089,$A96,Objects!$F$2:$F$1089,$B96,Objects!$H$2:$H$1089,$C96)</f>
        <v/>
      </c>
      <c r="E96" s="5">
        <f>_xlfn.MINIFS(Objects!$K$2:$K$1089,Objects!$B$2:$B$1089,$A96,Objects!$F$2:$F$1089,$B96,Objects!$H$2:$H$1089,$C96)</f>
        <v/>
      </c>
      <c r="F96" s="5">
        <f>_xlfn.MAXIFS(Objects!$K$2:$K$1089,Objects!$B$2:$B$1089,$A96,Objects!$F$2:$F$1089,$B96,Objects!$H$2:$H$1089,$C96)</f>
        <v/>
      </c>
      <c r="G96" s="5">
        <f>_xlfn.MINIFS(Objects!$L$2:$L$1089,Objects!$B$2:$B$1089,$A96,Objects!$F$2:$F$1089,$B96,Objects!$H$2:$H$1089,$C96)</f>
        <v/>
      </c>
      <c r="H96" s="5">
        <f>_xlfn.MAXIFS(Objects!$L$2:$L$1089,Objects!$B$2:$B$1089,$A96,Objects!$F$2:$F$1089,$B96,Objects!$H$2:$H$1089,$C96)</f>
        <v/>
      </c>
      <c r="I96" s="5">
        <f>IF(OR(C96="(none)",B96="raft",B96="sump_pit"),"n/a",IF(OR(B96="column",B96="shear_wall",B96="isolated_footing",B96="combined_footing"),IF(AND(F96-E96&lt;=3,H96-G96&lt;=3),"yes","no"),IF(H96-G96&lt;=3,"yes (thickness)","no (thickness)")))</f>
        <v/>
      </c>
      <c r="J96" s="6">
        <f>SUMIFS(Objects!$K$2:$K$1089,Objects!$B$2:$B$1089,$A96,Objects!$F$2:$F$1089,$B96,Objects!$H$2:$H$1089,$C96)/100</f>
        <v/>
      </c>
      <c r="K96" s="5">
        <f>COUNTIFS(Objects!$B$2:$B$1089,$A96,Objects!$F$2:$F$1089,$B96,Objects!$H$2:$H$1089,$C96,Objects!$I$2:$I$1089,"inferred*")</f>
        <v/>
      </c>
    </row>
    <row r="97">
      <c r="A97" s="5" t="inlineStr">
        <is>
          <t>123</t>
        </is>
      </c>
      <c r="B97" s="5" t="inlineStr">
        <is>
          <t>sump_pit</t>
        </is>
      </c>
      <c r="C97" s="5" t="inlineStr">
        <is>
          <t>(none)</t>
        </is>
      </c>
      <c r="D97" s="5">
        <f>COUNTIFS(Objects!$B$2:$B$1089,$A97,Objects!$F$2:$F$1089,$B97,Objects!$H$2:$H$1089,$C97)</f>
        <v/>
      </c>
      <c r="E97" s="5">
        <f>_xlfn.MINIFS(Objects!$K$2:$K$1089,Objects!$B$2:$B$1089,$A97,Objects!$F$2:$F$1089,$B97,Objects!$H$2:$H$1089,$C97)</f>
        <v/>
      </c>
      <c r="F97" s="5">
        <f>_xlfn.MAXIFS(Objects!$K$2:$K$1089,Objects!$B$2:$B$1089,$A97,Objects!$F$2:$F$1089,$B97,Objects!$H$2:$H$1089,$C97)</f>
        <v/>
      </c>
      <c r="G97" s="5">
        <f>_xlfn.MINIFS(Objects!$L$2:$L$1089,Objects!$B$2:$B$1089,$A97,Objects!$F$2:$F$1089,$B97,Objects!$H$2:$H$1089,$C97)</f>
        <v/>
      </c>
      <c r="H97" s="5">
        <f>_xlfn.MAXIFS(Objects!$L$2:$L$1089,Objects!$B$2:$B$1089,$A97,Objects!$F$2:$F$1089,$B97,Objects!$H$2:$H$1089,$C97)</f>
        <v/>
      </c>
      <c r="I97" s="5">
        <f>IF(OR(C97="(none)",B97="raft",B97="sump_pit"),"n/a",IF(OR(B97="column",B97="shear_wall",B97="isolated_footing",B97="combined_footing"),IF(AND(F97-E97&lt;=3,H97-G97&lt;=3),"yes","no"),IF(H97-G97&lt;=3,"yes (thickness)","no (thickness)")))</f>
        <v/>
      </c>
      <c r="J97" s="6">
        <f>SUMIFS(Objects!$K$2:$K$1089,Objects!$B$2:$B$1089,$A97,Objects!$F$2:$F$1089,$B97,Objects!$H$2:$H$1089,$C97)/100</f>
        <v/>
      </c>
      <c r="K97" s="5">
        <f>COUNTIFS(Objects!$B$2:$B$1089,$A97,Objects!$F$2:$F$1089,$B97,Objects!$H$2:$H$1089,$C97,Objects!$I$2:$I$1089,"inferred*")</f>
        <v/>
      </c>
    </row>
    <row r="98">
      <c r="A98" s="5" t="inlineStr">
        <is>
          <t>123</t>
        </is>
      </c>
      <c r="B98" s="5" t="inlineStr">
        <is>
          <t>sump_pit</t>
        </is>
      </c>
      <c r="C98" s="5" t="inlineStr">
        <is>
          <t>Fosse</t>
        </is>
      </c>
      <c r="D98" s="5">
        <f>COUNTIFS(Objects!$B$2:$B$1089,$A98,Objects!$F$2:$F$1089,$B98,Objects!$H$2:$H$1089,$C98)</f>
        <v/>
      </c>
      <c r="E98" s="5">
        <f>_xlfn.MINIFS(Objects!$K$2:$K$1089,Objects!$B$2:$B$1089,$A98,Objects!$F$2:$F$1089,$B98,Objects!$H$2:$H$1089,$C98)</f>
        <v/>
      </c>
      <c r="F98" s="5">
        <f>_xlfn.MAXIFS(Objects!$K$2:$K$1089,Objects!$B$2:$B$1089,$A98,Objects!$F$2:$F$1089,$B98,Objects!$H$2:$H$1089,$C98)</f>
        <v/>
      </c>
      <c r="G98" s="5">
        <f>_xlfn.MINIFS(Objects!$L$2:$L$1089,Objects!$B$2:$B$1089,$A98,Objects!$F$2:$F$1089,$B98,Objects!$H$2:$H$1089,$C98)</f>
        <v/>
      </c>
      <c r="H98" s="5">
        <f>_xlfn.MAXIFS(Objects!$L$2:$L$1089,Objects!$B$2:$B$1089,$A98,Objects!$F$2:$F$1089,$B98,Objects!$H$2:$H$1089,$C98)</f>
        <v/>
      </c>
      <c r="I98" s="5">
        <f>IF(OR(C98="(none)",B98="raft",B98="sump_pit"),"n/a",IF(OR(B98="column",B98="shear_wall",B98="isolated_footing",B98="combined_footing"),IF(AND(F98-E98&lt;=3,H98-G98&lt;=3),"yes","no"),IF(H98-G98&lt;=3,"yes (thickness)","no (thickness)")))</f>
        <v/>
      </c>
      <c r="J98" s="6">
        <f>SUMIFS(Objects!$K$2:$K$1089,Objects!$B$2:$B$1089,$A98,Objects!$F$2:$F$1089,$B98,Objects!$H$2:$H$1089,$C98)/100</f>
        <v/>
      </c>
      <c r="K98" s="5">
        <f>COUNTIFS(Objects!$B$2:$B$1089,$A98,Objects!$F$2:$F$1089,$B98,Objects!$H$2:$H$1089,$C98,Objects!$I$2:$I$1089,"inferred*")</f>
        <v/>
      </c>
    </row>
    <row r="99">
      <c r="A99" s="5" t="inlineStr">
        <is>
          <t>124</t>
        </is>
      </c>
      <c r="B99" s="5" t="inlineStr">
        <is>
          <t>column</t>
        </is>
      </c>
      <c r="C99" s="5" t="inlineStr">
        <is>
          <t>P1/124</t>
        </is>
      </c>
      <c r="D99" s="5">
        <f>COUNTIFS(Objects!$B$2:$B$1089,$A99,Objects!$F$2:$F$1089,$B99,Objects!$H$2:$H$1089,$C99)</f>
        <v/>
      </c>
      <c r="E99" s="5">
        <f>_xlfn.MINIFS(Objects!$K$2:$K$1089,Objects!$B$2:$B$1089,$A99,Objects!$F$2:$F$1089,$B99,Objects!$H$2:$H$1089,$C99)</f>
        <v/>
      </c>
      <c r="F99" s="5">
        <f>_xlfn.MAXIFS(Objects!$K$2:$K$1089,Objects!$B$2:$B$1089,$A99,Objects!$F$2:$F$1089,$B99,Objects!$H$2:$H$1089,$C99)</f>
        <v/>
      </c>
      <c r="G99" s="5">
        <f>_xlfn.MINIFS(Objects!$L$2:$L$1089,Objects!$B$2:$B$1089,$A99,Objects!$F$2:$F$1089,$B99,Objects!$H$2:$H$1089,$C99)</f>
        <v/>
      </c>
      <c r="H99" s="5">
        <f>_xlfn.MAXIFS(Objects!$L$2:$L$1089,Objects!$B$2:$B$1089,$A99,Objects!$F$2:$F$1089,$B99,Objects!$H$2:$H$1089,$C99)</f>
        <v/>
      </c>
      <c r="I99" s="5">
        <f>IF(OR(C99="(none)",B99="raft",B99="sump_pit"),"n/a",IF(OR(B99="column",B99="shear_wall",B99="isolated_footing",B99="combined_footing"),IF(AND(F99-E99&lt;=3,H99-G99&lt;=3),"yes","no"),IF(H99-G99&lt;=3,"yes (thickness)","no (thickness)")))</f>
        <v/>
      </c>
      <c r="J99" s="6">
        <f>SUMIFS(Objects!$K$2:$K$1089,Objects!$B$2:$B$1089,$A99,Objects!$F$2:$F$1089,$B99,Objects!$H$2:$H$1089,$C99)/100</f>
        <v/>
      </c>
      <c r="K99" s="5">
        <f>COUNTIFS(Objects!$B$2:$B$1089,$A99,Objects!$F$2:$F$1089,$B99,Objects!$H$2:$H$1089,$C99,Objects!$I$2:$I$1089,"inferred*")</f>
        <v/>
      </c>
    </row>
    <row r="100">
      <c r="A100" s="5" t="inlineStr">
        <is>
          <t>124</t>
        </is>
      </c>
      <c r="B100" s="5" t="inlineStr">
        <is>
          <t>shear_wall</t>
        </is>
      </c>
      <c r="C100" s="5" t="inlineStr">
        <is>
          <t>(none)</t>
        </is>
      </c>
      <c r="D100" s="5">
        <f>COUNTIFS(Objects!$B$2:$B$1089,$A100,Objects!$F$2:$F$1089,$B100,Objects!$H$2:$H$1089,$C100)</f>
        <v/>
      </c>
      <c r="E100" s="5">
        <f>_xlfn.MINIFS(Objects!$K$2:$K$1089,Objects!$B$2:$B$1089,$A100,Objects!$F$2:$F$1089,$B100,Objects!$H$2:$H$1089,$C100)</f>
        <v/>
      </c>
      <c r="F100" s="5">
        <f>_xlfn.MAXIFS(Objects!$K$2:$K$1089,Objects!$B$2:$B$1089,$A100,Objects!$F$2:$F$1089,$B100,Objects!$H$2:$H$1089,$C100)</f>
        <v/>
      </c>
      <c r="G100" s="5">
        <f>_xlfn.MINIFS(Objects!$L$2:$L$1089,Objects!$B$2:$B$1089,$A100,Objects!$F$2:$F$1089,$B100,Objects!$H$2:$H$1089,$C100)</f>
        <v/>
      </c>
      <c r="H100" s="5">
        <f>_xlfn.MAXIFS(Objects!$L$2:$L$1089,Objects!$B$2:$B$1089,$A100,Objects!$F$2:$F$1089,$B100,Objects!$H$2:$H$1089,$C100)</f>
        <v/>
      </c>
      <c r="I100" s="5">
        <f>IF(OR(C100="(none)",B100="raft",B100="sump_pit"),"n/a",IF(OR(B100="column",B100="shear_wall",B100="isolated_footing",B100="combined_footing"),IF(AND(F100-E100&lt;=3,H100-G100&lt;=3),"yes","no"),IF(H100-G100&lt;=3,"yes (thickness)","no (thickness)")))</f>
        <v/>
      </c>
      <c r="J100" s="6">
        <f>SUMIFS(Objects!$K$2:$K$1089,Objects!$B$2:$B$1089,$A100,Objects!$F$2:$F$1089,$B100,Objects!$H$2:$H$1089,$C100)/100</f>
        <v/>
      </c>
      <c r="K100" s="5">
        <f>COUNTIFS(Objects!$B$2:$B$1089,$A100,Objects!$F$2:$F$1089,$B100,Objects!$H$2:$H$1089,$C100,Objects!$I$2:$I$1089,"inferred*")</f>
        <v/>
      </c>
    </row>
    <row r="101">
      <c r="A101" s="5" t="inlineStr">
        <is>
          <t>124</t>
        </is>
      </c>
      <c r="B101" s="5" t="inlineStr">
        <is>
          <t>shear_wall</t>
        </is>
      </c>
      <c r="C101" s="5" t="inlineStr">
        <is>
          <t>V1/124</t>
        </is>
      </c>
      <c r="D101" s="5">
        <f>COUNTIFS(Objects!$B$2:$B$1089,$A101,Objects!$F$2:$F$1089,$B101,Objects!$H$2:$H$1089,$C101)</f>
        <v/>
      </c>
      <c r="E101" s="5">
        <f>_xlfn.MINIFS(Objects!$K$2:$K$1089,Objects!$B$2:$B$1089,$A101,Objects!$F$2:$F$1089,$B101,Objects!$H$2:$H$1089,$C101)</f>
        <v/>
      </c>
      <c r="F101" s="5">
        <f>_xlfn.MAXIFS(Objects!$K$2:$K$1089,Objects!$B$2:$B$1089,$A101,Objects!$F$2:$F$1089,$B101,Objects!$H$2:$H$1089,$C101)</f>
        <v/>
      </c>
      <c r="G101" s="5">
        <f>_xlfn.MINIFS(Objects!$L$2:$L$1089,Objects!$B$2:$B$1089,$A101,Objects!$F$2:$F$1089,$B101,Objects!$H$2:$H$1089,$C101)</f>
        <v/>
      </c>
      <c r="H101" s="5">
        <f>_xlfn.MAXIFS(Objects!$L$2:$L$1089,Objects!$B$2:$B$1089,$A101,Objects!$F$2:$F$1089,$B101,Objects!$H$2:$H$1089,$C101)</f>
        <v/>
      </c>
      <c r="I101" s="5">
        <f>IF(OR(C101="(none)",B101="raft",B101="sump_pit"),"n/a",IF(OR(B101="column",B101="shear_wall",B101="isolated_footing",B101="combined_footing"),IF(AND(F101-E101&lt;=3,H101-G101&lt;=3),"yes","no"),IF(H101-G101&lt;=3,"yes (thickness)","no (thickness)")))</f>
        <v/>
      </c>
      <c r="J101" s="6">
        <f>SUMIFS(Objects!$K$2:$K$1089,Objects!$B$2:$B$1089,$A101,Objects!$F$2:$F$1089,$B101,Objects!$H$2:$H$1089,$C101)/100</f>
        <v/>
      </c>
      <c r="K101" s="5">
        <f>COUNTIFS(Objects!$B$2:$B$1089,$A101,Objects!$F$2:$F$1089,$B101,Objects!$H$2:$H$1089,$C101,Objects!$I$2:$I$1089,"inferred*")</f>
        <v/>
      </c>
    </row>
    <row r="102">
      <c r="A102" s="5" t="inlineStr">
        <is>
          <t>124</t>
        </is>
      </c>
      <c r="B102" s="5" t="inlineStr">
        <is>
          <t>shear_wall</t>
        </is>
      </c>
      <c r="C102" s="5" t="inlineStr">
        <is>
          <t>V2/124</t>
        </is>
      </c>
      <c r="D102" s="5">
        <f>COUNTIFS(Objects!$B$2:$B$1089,$A102,Objects!$F$2:$F$1089,$B102,Objects!$H$2:$H$1089,$C102)</f>
        <v/>
      </c>
      <c r="E102" s="5">
        <f>_xlfn.MINIFS(Objects!$K$2:$K$1089,Objects!$B$2:$B$1089,$A102,Objects!$F$2:$F$1089,$B102,Objects!$H$2:$H$1089,$C102)</f>
        <v/>
      </c>
      <c r="F102" s="5">
        <f>_xlfn.MAXIFS(Objects!$K$2:$K$1089,Objects!$B$2:$B$1089,$A102,Objects!$F$2:$F$1089,$B102,Objects!$H$2:$H$1089,$C102)</f>
        <v/>
      </c>
      <c r="G102" s="5">
        <f>_xlfn.MINIFS(Objects!$L$2:$L$1089,Objects!$B$2:$B$1089,$A102,Objects!$F$2:$F$1089,$B102,Objects!$H$2:$H$1089,$C102)</f>
        <v/>
      </c>
      <c r="H102" s="5">
        <f>_xlfn.MAXIFS(Objects!$L$2:$L$1089,Objects!$B$2:$B$1089,$A102,Objects!$F$2:$F$1089,$B102,Objects!$H$2:$H$1089,$C102)</f>
        <v/>
      </c>
      <c r="I102" s="5">
        <f>IF(OR(C102="(none)",B102="raft",B102="sump_pit"),"n/a",IF(OR(B102="column",B102="shear_wall",B102="isolated_footing",B102="combined_footing"),IF(AND(F102-E102&lt;=3,H102-G102&lt;=3),"yes","no"),IF(H102-G102&lt;=3,"yes (thickness)","no (thickness)")))</f>
        <v/>
      </c>
      <c r="J102" s="6">
        <f>SUMIFS(Objects!$K$2:$K$1089,Objects!$B$2:$B$1089,$A102,Objects!$F$2:$F$1089,$B102,Objects!$H$2:$H$1089,$C102)/100</f>
        <v/>
      </c>
      <c r="K102" s="5">
        <f>COUNTIFS(Objects!$B$2:$B$1089,$A102,Objects!$F$2:$F$1089,$B102,Objects!$H$2:$H$1089,$C102,Objects!$I$2:$I$1089,"inferred*")</f>
        <v/>
      </c>
    </row>
    <row r="103">
      <c r="A103" s="5" t="inlineStr">
        <is>
          <t>124</t>
        </is>
      </c>
      <c r="B103" s="5" t="inlineStr">
        <is>
          <t>shear_wall</t>
        </is>
      </c>
      <c r="C103" s="5" t="inlineStr">
        <is>
          <t>V3/124</t>
        </is>
      </c>
      <c r="D103" s="5">
        <f>COUNTIFS(Objects!$B$2:$B$1089,$A103,Objects!$F$2:$F$1089,$B103,Objects!$H$2:$H$1089,$C103)</f>
        <v/>
      </c>
      <c r="E103" s="5">
        <f>_xlfn.MINIFS(Objects!$K$2:$K$1089,Objects!$B$2:$B$1089,$A103,Objects!$F$2:$F$1089,$B103,Objects!$H$2:$H$1089,$C103)</f>
        <v/>
      </c>
      <c r="F103" s="5">
        <f>_xlfn.MAXIFS(Objects!$K$2:$K$1089,Objects!$B$2:$B$1089,$A103,Objects!$F$2:$F$1089,$B103,Objects!$H$2:$H$1089,$C103)</f>
        <v/>
      </c>
      <c r="G103" s="5">
        <f>_xlfn.MINIFS(Objects!$L$2:$L$1089,Objects!$B$2:$B$1089,$A103,Objects!$F$2:$F$1089,$B103,Objects!$H$2:$H$1089,$C103)</f>
        <v/>
      </c>
      <c r="H103" s="5">
        <f>_xlfn.MAXIFS(Objects!$L$2:$L$1089,Objects!$B$2:$B$1089,$A103,Objects!$F$2:$F$1089,$B103,Objects!$H$2:$H$1089,$C103)</f>
        <v/>
      </c>
      <c r="I103" s="5">
        <f>IF(OR(C103="(none)",B103="raft",B103="sump_pit"),"n/a",IF(OR(B103="column",B103="shear_wall",B103="isolated_footing",B103="combined_footing"),IF(AND(F103-E103&lt;=3,H103-G103&lt;=3),"yes","no"),IF(H103-G103&lt;=3,"yes (thickness)","no (thickness)")))</f>
        <v/>
      </c>
      <c r="J103" s="6">
        <f>SUMIFS(Objects!$K$2:$K$1089,Objects!$B$2:$B$1089,$A103,Objects!$F$2:$F$1089,$B103,Objects!$H$2:$H$1089,$C103)/100</f>
        <v/>
      </c>
      <c r="K103" s="5">
        <f>COUNTIFS(Objects!$B$2:$B$1089,$A103,Objects!$F$2:$F$1089,$B103,Objects!$H$2:$H$1089,$C103,Objects!$I$2:$I$1089,"inferred*")</f>
        <v/>
      </c>
    </row>
    <row r="104">
      <c r="A104" s="5" t="inlineStr">
        <is>
          <t>124</t>
        </is>
      </c>
      <c r="B104" s="5" t="inlineStr">
        <is>
          <t>shear_wall</t>
        </is>
      </c>
      <c r="C104" s="5" t="inlineStr">
        <is>
          <t>V4/124</t>
        </is>
      </c>
      <c r="D104" s="5">
        <f>COUNTIFS(Objects!$B$2:$B$1089,$A104,Objects!$F$2:$F$1089,$B104,Objects!$H$2:$H$1089,$C104)</f>
        <v/>
      </c>
      <c r="E104" s="5">
        <f>_xlfn.MINIFS(Objects!$K$2:$K$1089,Objects!$B$2:$B$1089,$A104,Objects!$F$2:$F$1089,$B104,Objects!$H$2:$H$1089,$C104)</f>
        <v/>
      </c>
      <c r="F104" s="5">
        <f>_xlfn.MAXIFS(Objects!$K$2:$K$1089,Objects!$B$2:$B$1089,$A104,Objects!$F$2:$F$1089,$B104,Objects!$H$2:$H$1089,$C104)</f>
        <v/>
      </c>
      <c r="G104" s="5">
        <f>_xlfn.MINIFS(Objects!$L$2:$L$1089,Objects!$B$2:$B$1089,$A104,Objects!$F$2:$F$1089,$B104,Objects!$H$2:$H$1089,$C104)</f>
        <v/>
      </c>
      <c r="H104" s="5">
        <f>_xlfn.MAXIFS(Objects!$L$2:$L$1089,Objects!$B$2:$B$1089,$A104,Objects!$F$2:$F$1089,$B104,Objects!$H$2:$H$1089,$C104)</f>
        <v/>
      </c>
      <c r="I104" s="5">
        <f>IF(OR(C104="(none)",B104="raft",B104="sump_pit"),"n/a",IF(OR(B104="column",B104="shear_wall",B104="isolated_footing",B104="combined_footing"),IF(AND(F104-E104&lt;=3,H104-G104&lt;=3),"yes","no"),IF(H104-G104&lt;=3,"yes (thickness)","no (thickness)")))</f>
        <v/>
      </c>
      <c r="J104" s="6">
        <f>SUMIFS(Objects!$K$2:$K$1089,Objects!$B$2:$B$1089,$A104,Objects!$F$2:$F$1089,$B104,Objects!$H$2:$H$1089,$C104)/100</f>
        <v/>
      </c>
      <c r="K104" s="5">
        <f>COUNTIFS(Objects!$B$2:$B$1089,$A104,Objects!$F$2:$F$1089,$B104,Objects!$H$2:$H$1089,$C104,Objects!$I$2:$I$1089,"inferred*")</f>
        <v/>
      </c>
    </row>
    <row r="105">
      <c r="A105" s="5" t="inlineStr">
        <is>
          <t>124</t>
        </is>
      </c>
      <c r="B105" s="5" t="inlineStr">
        <is>
          <t>shear_wall</t>
        </is>
      </c>
      <c r="C105" s="5" t="inlineStr">
        <is>
          <t>V5/124</t>
        </is>
      </c>
      <c r="D105" s="5">
        <f>COUNTIFS(Objects!$B$2:$B$1089,$A105,Objects!$F$2:$F$1089,$B105,Objects!$H$2:$H$1089,$C105)</f>
        <v/>
      </c>
      <c r="E105" s="5">
        <f>_xlfn.MINIFS(Objects!$K$2:$K$1089,Objects!$B$2:$B$1089,$A105,Objects!$F$2:$F$1089,$B105,Objects!$H$2:$H$1089,$C105)</f>
        <v/>
      </c>
      <c r="F105" s="5">
        <f>_xlfn.MAXIFS(Objects!$K$2:$K$1089,Objects!$B$2:$B$1089,$A105,Objects!$F$2:$F$1089,$B105,Objects!$H$2:$H$1089,$C105)</f>
        <v/>
      </c>
      <c r="G105" s="5">
        <f>_xlfn.MINIFS(Objects!$L$2:$L$1089,Objects!$B$2:$B$1089,$A105,Objects!$F$2:$F$1089,$B105,Objects!$H$2:$H$1089,$C105)</f>
        <v/>
      </c>
      <c r="H105" s="5">
        <f>_xlfn.MAXIFS(Objects!$L$2:$L$1089,Objects!$B$2:$B$1089,$A105,Objects!$F$2:$F$1089,$B105,Objects!$H$2:$H$1089,$C105)</f>
        <v/>
      </c>
      <c r="I105" s="5">
        <f>IF(OR(C105="(none)",B105="raft",B105="sump_pit"),"n/a",IF(OR(B105="column",B105="shear_wall",B105="isolated_footing",B105="combined_footing"),IF(AND(F105-E105&lt;=3,H105-G105&lt;=3),"yes","no"),IF(H105-G105&lt;=3,"yes (thickness)","no (thickness)")))</f>
        <v/>
      </c>
      <c r="J105" s="6">
        <f>SUMIFS(Objects!$K$2:$K$1089,Objects!$B$2:$B$1089,$A105,Objects!$F$2:$F$1089,$B105,Objects!$H$2:$H$1089,$C105)/100</f>
        <v/>
      </c>
      <c r="K105" s="5">
        <f>COUNTIFS(Objects!$B$2:$B$1089,$A105,Objects!$F$2:$F$1089,$B105,Objects!$H$2:$H$1089,$C105,Objects!$I$2:$I$1089,"inferred*")</f>
        <v/>
      </c>
    </row>
    <row r="106">
      <c r="A106" s="5" t="inlineStr">
        <is>
          <t>124</t>
        </is>
      </c>
      <c r="B106" s="5" t="inlineStr">
        <is>
          <t>shear_wall</t>
        </is>
      </c>
      <c r="C106" s="5" t="inlineStr">
        <is>
          <t>V6/124</t>
        </is>
      </c>
      <c r="D106" s="5">
        <f>COUNTIFS(Objects!$B$2:$B$1089,$A106,Objects!$F$2:$F$1089,$B106,Objects!$H$2:$H$1089,$C106)</f>
        <v/>
      </c>
      <c r="E106" s="5">
        <f>_xlfn.MINIFS(Objects!$K$2:$K$1089,Objects!$B$2:$B$1089,$A106,Objects!$F$2:$F$1089,$B106,Objects!$H$2:$H$1089,$C106)</f>
        <v/>
      </c>
      <c r="F106" s="5">
        <f>_xlfn.MAXIFS(Objects!$K$2:$K$1089,Objects!$B$2:$B$1089,$A106,Objects!$F$2:$F$1089,$B106,Objects!$H$2:$H$1089,$C106)</f>
        <v/>
      </c>
      <c r="G106" s="5">
        <f>_xlfn.MINIFS(Objects!$L$2:$L$1089,Objects!$B$2:$B$1089,$A106,Objects!$F$2:$F$1089,$B106,Objects!$H$2:$H$1089,$C106)</f>
        <v/>
      </c>
      <c r="H106" s="5">
        <f>_xlfn.MAXIFS(Objects!$L$2:$L$1089,Objects!$B$2:$B$1089,$A106,Objects!$F$2:$F$1089,$B106,Objects!$H$2:$H$1089,$C106)</f>
        <v/>
      </c>
      <c r="I106" s="5">
        <f>IF(OR(C106="(none)",B106="raft",B106="sump_pit"),"n/a",IF(OR(B106="column",B106="shear_wall",B106="isolated_footing",B106="combined_footing"),IF(AND(F106-E106&lt;=3,H106-G106&lt;=3),"yes","no"),IF(H106-G106&lt;=3,"yes (thickness)","no (thickness)")))</f>
        <v/>
      </c>
      <c r="J106" s="6">
        <f>SUMIFS(Objects!$K$2:$K$1089,Objects!$B$2:$B$1089,$A106,Objects!$F$2:$F$1089,$B106,Objects!$H$2:$H$1089,$C106)/100</f>
        <v/>
      </c>
      <c r="K106" s="5">
        <f>COUNTIFS(Objects!$B$2:$B$1089,$A106,Objects!$F$2:$F$1089,$B106,Objects!$H$2:$H$1089,$C106,Objects!$I$2:$I$1089,"inferred*")</f>
        <v/>
      </c>
    </row>
    <row r="107">
      <c r="A107" s="5" t="inlineStr">
        <is>
          <t>124</t>
        </is>
      </c>
      <c r="B107" s="5" t="inlineStr">
        <is>
          <t>shear_wall</t>
        </is>
      </c>
      <c r="C107" s="5" t="inlineStr">
        <is>
          <t>V7/124</t>
        </is>
      </c>
      <c r="D107" s="5">
        <f>COUNTIFS(Objects!$B$2:$B$1089,$A107,Objects!$F$2:$F$1089,$B107,Objects!$H$2:$H$1089,$C107)</f>
        <v/>
      </c>
      <c r="E107" s="5">
        <f>_xlfn.MINIFS(Objects!$K$2:$K$1089,Objects!$B$2:$B$1089,$A107,Objects!$F$2:$F$1089,$B107,Objects!$H$2:$H$1089,$C107)</f>
        <v/>
      </c>
      <c r="F107" s="5">
        <f>_xlfn.MAXIFS(Objects!$K$2:$K$1089,Objects!$B$2:$B$1089,$A107,Objects!$F$2:$F$1089,$B107,Objects!$H$2:$H$1089,$C107)</f>
        <v/>
      </c>
      <c r="G107" s="5">
        <f>_xlfn.MINIFS(Objects!$L$2:$L$1089,Objects!$B$2:$B$1089,$A107,Objects!$F$2:$F$1089,$B107,Objects!$H$2:$H$1089,$C107)</f>
        <v/>
      </c>
      <c r="H107" s="5">
        <f>_xlfn.MAXIFS(Objects!$L$2:$L$1089,Objects!$B$2:$B$1089,$A107,Objects!$F$2:$F$1089,$B107,Objects!$H$2:$H$1089,$C107)</f>
        <v/>
      </c>
      <c r="I107" s="5">
        <f>IF(OR(C107="(none)",B107="raft",B107="sump_pit"),"n/a",IF(OR(B107="column",B107="shear_wall",B107="isolated_footing",B107="combined_footing"),IF(AND(F107-E107&lt;=3,H107-G107&lt;=3),"yes","no"),IF(H107-G107&lt;=3,"yes (thickness)","no (thickness)")))</f>
        <v/>
      </c>
      <c r="J107" s="6">
        <f>SUMIFS(Objects!$K$2:$K$1089,Objects!$B$2:$B$1089,$A107,Objects!$F$2:$F$1089,$B107,Objects!$H$2:$H$1089,$C107)/100</f>
        <v/>
      </c>
      <c r="K107" s="5">
        <f>COUNTIFS(Objects!$B$2:$B$1089,$A107,Objects!$F$2:$F$1089,$B107,Objects!$H$2:$H$1089,$C107,Objects!$I$2:$I$1089,"inferred*")</f>
        <v/>
      </c>
    </row>
    <row r="108">
      <c r="A108" s="5" t="inlineStr">
        <is>
          <t>124</t>
        </is>
      </c>
      <c r="B108" s="5" t="inlineStr">
        <is>
          <t>shear_wall</t>
        </is>
      </c>
      <c r="C108" s="5" t="inlineStr">
        <is>
          <t>V8/124</t>
        </is>
      </c>
      <c r="D108" s="5">
        <f>COUNTIFS(Objects!$B$2:$B$1089,$A108,Objects!$F$2:$F$1089,$B108,Objects!$H$2:$H$1089,$C108)</f>
        <v/>
      </c>
      <c r="E108" s="5">
        <f>_xlfn.MINIFS(Objects!$K$2:$K$1089,Objects!$B$2:$B$1089,$A108,Objects!$F$2:$F$1089,$B108,Objects!$H$2:$H$1089,$C108)</f>
        <v/>
      </c>
      <c r="F108" s="5">
        <f>_xlfn.MAXIFS(Objects!$K$2:$K$1089,Objects!$B$2:$B$1089,$A108,Objects!$F$2:$F$1089,$B108,Objects!$H$2:$H$1089,$C108)</f>
        <v/>
      </c>
      <c r="G108" s="5">
        <f>_xlfn.MINIFS(Objects!$L$2:$L$1089,Objects!$B$2:$B$1089,$A108,Objects!$F$2:$F$1089,$B108,Objects!$H$2:$H$1089,$C108)</f>
        <v/>
      </c>
      <c r="H108" s="5">
        <f>_xlfn.MAXIFS(Objects!$L$2:$L$1089,Objects!$B$2:$B$1089,$A108,Objects!$F$2:$F$1089,$B108,Objects!$H$2:$H$1089,$C108)</f>
        <v/>
      </c>
      <c r="I108" s="5">
        <f>IF(OR(C108="(none)",B108="raft",B108="sump_pit"),"n/a",IF(OR(B108="column",B108="shear_wall",B108="isolated_footing",B108="combined_footing"),IF(AND(F108-E108&lt;=3,H108-G108&lt;=3),"yes","no"),IF(H108-G108&lt;=3,"yes (thickness)","no (thickness)")))</f>
        <v/>
      </c>
      <c r="J108" s="6">
        <f>SUMIFS(Objects!$K$2:$K$1089,Objects!$B$2:$B$1089,$A108,Objects!$F$2:$F$1089,$B108,Objects!$H$2:$H$1089,$C108)/100</f>
        <v/>
      </c>
      <c r="K108" s="5">
        <f>COUNTIFS(Objects!$B$2:$B$1089,$A108,Objects!$F$2:$F$1089,$B108,Objects!$H$2:$H$1089,$C108,Objects!$I$2:$I$1089,"inferred*")</f>
        <v/>
      </c>
    </row>
    <row r="109">
      <c r="A109" s="5" t="inlineStr">
        <is>
          <t>124</t>
        </is>
      </c>
      <c r="B109" s="5" t="inlineStr">
        <is>
          <t>retaining_wall</t>
        </is>
      </c>
      <c r="C109" s="5" t="inlineStr">
        <is>
          <t>VP20</t>
        </is>
      </c>
      <c r="D109" s="5">
        <f>COUNTIFS(Objects!$B$2:$B$1089,$A109,Objects!$F$2:$F$1089,$B109,Objects!$H$2:$H$1089,$C109)</f>
        <v/>
      </c>
      <c r="E109" s="5">
        <f>_xlfn.MINIFS(Objects!$K$2:$K$1089,Objects!$B$2:$B$1089,$A109,Objects!$F$2:$F$1089,$B109,Objects!$H$2:$H$1089,$C109)</f>
        <v/>
      </c>
      <c r="F109" s="5">
        <f>_xlfn.MAXIFS(Objects!$K$2:$K$1089,Objects!$B$2:$B$1089,$A109,Objects!$F$2:$F$1089,$B109,Objects!$H$2:$H$1089,$C109)</f>
        <v/>
      </c>
      <c r="G109" s="5">
        <f>_xlfn.MINIFS(Objects!$L$2:$L$1089,Objects!$B$2:$B$1089,$A109,Objects!$F$2:$F$1089,$B109,Objects!$H$2:$H$1089,$C109)</f>
        <v/>
      </c>
      <c r="H109" s="5">
        <f>_xlfn.MAXIFS(Objects!$L$2:$L$1089,Objects!$B$2:$B$1089,$A109,Objects!$F$2:$F$1089,$B109,Objects!$H$2:$H$1089,$C109)</f>
        <v/>
      </c>
      <c r="I109" s="5">
        <f>IF(OR(C109="(none)",B109="raft",B109="sump_pit"),"n/a",IF(OR(B109="column",B109="shear_wall",B109="isolated_footing",B109="combined_footing"),IF(AND(F109-E109&lt;=3,H109-G109&lt;=3),"yes","no"),IF(H109-G109&lt;=3,"yes (thickness)","no (thickness)")))</f>
        <v/>
      </c>
      <c r="J109" s="6">
        <f>SUMIFS(Objects!$K$2:$K$1089,Objects!$B$2:$B$1089,$A109,Objects!$F$2:$F$1089,$B109,Objects!$H$2:$H$1089,$C109)/100</f>
        <v/>
      </c>
      <c r="K109" s="5">
        <f>COUNTIFS(Objects!$B$2:$B$1089,$A109,Objects!$F$2:$F$1089,$B109,Objects!$H$2:$H$1089,$C109,Objects!$I$2:$I$1089,"inferred*")</f>
        <v/>
      </c>
    </row>
    <row r="110">
      <c r="A110" s="5" t="inlineStr">
        <is>
          <t>124</t>
        </is>
      </c>
      <c r="B110" s="5" t="inlineStr">
        <is>
          <t>retaining_wall</t>
        </is>
      </c>
      <c r="C110" s="5" t="inlineStr">
        <is>
          <t>VP25</t>
        </is>
      </c>
      <c r="D110" s="5">
        <f>COUNTIFS(Objects!$B$2:$B$1089,$A110,Objects!$F$2:$F$1089,$B110,Objects!$H$2:$H$1089,$C110)</f>
        <v/>
      </c>
      <c r="E110" s="5">
        <f>_xlfn.MINIFS(Objects!$K$2:$K$1089,Objects!$B$2:$B$1089,$A110,Objects!$F$2:$F$1089,$B110,Objects!$H$2:$H$1089,$C110)</f>
        <v/>
      </c>
      <c r="F110" s="5">
        <f>_xlfn.MAXIFS(Objects!$K$2:$K$1089,Objects!$B$2:$B$1089,$A110,Objects!$F$2:$F$1089,$B110,Objects!$H$2:$H$1089,$C110)</f>
        <v/>
      </c>
      <c r="G110" s="5">
        <f>_xlfn.MINIFS(Objects!$L$2:$L$1089,Objects!$B$2:$B$1089,$A110,Objects!$F$2:$F$1089,$B110,Objects!$H$2:$H$1089,$C110)</f>
        <v/>
      </c>
      <c r="H110" s="5">
        <f>_xlfn.MAXIFS(Objects!$L$2:$L$1089,Objects!$B$2:$B$1089,$A110,Objects!$F$2:$F$1089,$B110,Objects!$H$2:$H$1089,$C110)</f>
        <v/>
      </c>
      <c r="I110" s="5">
        <f>IF(OR(C110="(none)",B110="raft",B110="sump_pit"),"n/a",IF(OR(B110="column",B110="shear_wall",B110="isolated_footing",B110="combined_footing"),IF(AND(F110-E110&lt;=3,H110-G110&lt;=3),"yes","no"),IF(H110-G110&lt;=3,"yes (thickness)","no (thickness)")))</f>
        <v/>
      </c>
      <c r="J110" s="6">
        <f>SUMIFS(Objects!$K$2:$K$1089,Objects!$B$2:$B$1089,$A110,Objects!$F$2:$F$1089,$B110,Objects!$H$2:$H$1089,$C110)/100</f>
        <v/>
      </c>
      <c r="K110" s="5">
        <f>COUNTIFS(Objects!$B$2:$B$1089,$A110,Objects!$F$2:$F$1089,$B110,Objects!$H$2:$H$1089,$C110,Objects!$I$2:$I$1089,"inferred*")</f>
        <v/>
      </c>
    </row>
    <row r="111">
      <c r="A111" s="5" t="inlineStr">
        <is>
          <t>124</t>
        </is>
      </c>
      <c r="B111" s="5" t="inlineStr">
        <is>
          <t>isolated_footing</t>
        </is>
      </c>
      <c r="C111" s="5" t="inlineStr">
        <is>
          <t>S11</t>
        </is>
      </c>
      <c r="D111" s="5">
        <f>COUNTIFS(Objects!$B$2:$B$1089,$A111,Objects!$F$2:$F$1089,$B111,Objects!$H$2:$H$1089,$C111)</f>
        <v/>
      </c>
      <c r="E111" s="5">
        <f>_xlfn.MINIFS(Objects!$K$2:$K$1089,Objects!$B$2:$B$1089,$A111,Objects!$F$2:$F$1089,$B111,Objects!$H$2:$H$1089,$C111)</f>
        <v/>
      </c>
      <c r="F111" s="5">
        <f>_xlfn.MAXIFS(Objects!$K$2:$K$1089,Objects!$B$2:$B$1089,$A111,Objects!$F$2:$F$1089,$B111,Objects!$H$2:$H$1089,$C111)</f>
        <v/>
      </c>
      <c r="G111" s="5">
        <f>_xlfn.MINIFS(Objects!$L$2:$L$1089,Objects!$B$2:$B$1089,$A111,Objects!$F$2:$F$1089,$B111,Objects!$H$2:$H$1089,$C111)</f>
        <v/>
      </c>
      <c r="H111" s="5">
        <f>_xlfn.MAXIFS(Objects!$L$2:$L$1089,Objects!$B$2:$B$1089,$A111,Objects!$F$2:$F$1089,$B111,Objects!$H$2:$H$1089,$C111)</f>
        <v/>
      </c>
      <c r="I111" s="5">
        <f>IF(OR(C111="(none)",B111="raft",B111="sump_pit"),"n/a",IF(OR(B111="column",B111="shear_wall",B111="isolated_footing",B111="combined_footing"),IF(AND(F111-E111&lt;=3,H111-G111&lt;=3),"yes","no"),IF(H111-G111&lt;=3,"yes (thickness)","no (thickness)")))</f>
        <v/>
      </c>
      <c r="J111" s="6">
        <f>SUMIFS(Objects!$K$2:$K$1089,Objects!$B$2:$B$1089,$A111,Objects!$F$2:$F$1089,$B111,Objects!$H$2:$H$1089,$C111)/100</f>
        <v/>
      </c>
      <c r="K111" s="5">
        <f>COUNTIFS(Objects!$B$2:$B$1089,$A111,Objects!$F$2:$F$1089,$B111,Objects!$H$2:$H$1089,$C111,Objects!$I$2:$I$1089,"inferred*")</f>
        <v/>
      </c>
    </row>
    <row r="112">
      <c r="A112" s="5" t="inlineStr">
        <is>
          <t>124</t>
        </is>
      </c>
      <c r="B112" s="5" t="inlineStr">
        <is>
          <t>isolated_footing</t>
        </is>
      </c>
      <c r="C112" s="5" t="inlineStr">
        <is>
          <t>S2</t>
        </is>
      </c>
      <c r="D112" s="5">
        <f>COUNTIFS(Objects!$B$2:$B$1089,$A112,Objects!$F$2:$F$1089,$B112,Objects!$H$2:$H$1089,$C112)</f>
        <v/>
      </c>
      <c r="E112" s="5">
        <f>_xlfn.MINIFS(Objects!$K$2:$K$1089,Objects!$B$2:$B$1089,$A112,Objects!$F$2:$F$1089,$B112,Objects!$H$2:$H$1089,$C112)</f>
        <v/>
      </c>
      <c r="F112" s="5">
        <f>_xlfn.MAXIFS(Objects!$K$2:$K$1089,Objects!$B$2:$B$1089,$A112,Objects!$F$2:$F$1089,$B112,Objects!$H$2:$H$1089,$C112)</f>
        <v/>
      </c>
      <c r="G112" s="5">
        <f>_xlfn.MINIFS(Objects!$L$2:$L$1089,Objects!$B$2:$B$1089,$A112,Objects!$F$2:$F$1089,$B112,Objects!$H$2:$H$1089,$C112)</f>
        <v/>
      </c>
      <c r="H112" s="5">
        <f>_xlfn.MAXIFS(Objects!$L$2:$L$1089,Objects!$B$2:$B$1089,$A112,Objects!$F$2:$F$1089,$B112,Objects!$H$2:$H$1089,$C112)</f>
        <v/>
      </c>
      <c r="I112" s="5">
        <f>IF(OR(C112="(none)",B112="raft",B112="sump_pit"),"n/a",IF(OR(B112="column",B112="shear_wall",B112="isolated_footing",B112="combined_footing"),IF(AND(F112-E112&lt;=3,H112-G112&lt;=3),"yes","no"),IF(H112-G112&lt;=3,"yes (thickness)","no (thickness)")))</f>
        <v/>
      </c>
      <c r="J112" s="6">
        <f>SUMIFS(Objects!$K$2:$K$1089,Objects!$B$2:$B$1089,$A112,Objects!$F$2:$F$1089,$B112,Objects!$H$2:$H$1089,$C112)/100</f>
        <v/>
      </c>
      <c r="K112" s="5">
        <f>COUNTIFS(Objects!$B$2:$B$1089,$A112,Objects!$F$2:$F$1089,$B112,Objects!$H$2:$H$1089,$C112,Objects!$I$2:$I$1089,"inferred*")</f>
        <v/>
      </c>
    </row>
    <row r="113">
      <c r="A113" s="5" t="inlineStr">
        <is>
          <t>124</t>
        </is>
      </c>
      <c r="B113" s="5" t="inlineStr">
        <is>
          <t>isolated_footing</t>
        </is>
      </c>
      <c r="C113" s="5" t="inlineStr">
        <is>
          <t>S3</t>
        </is>
      </c>
      <c r="D113" s="5">
        <f>COUNTIFS(Objects!$B$2:$B$1089,$A113,Objects!$F$2:$F$1089,$B113,Objects!$H$2:$H$1089,$C113)</f>
        <v/>
      </c>
      <c r="E113" s="5">
        <f>_xlfn.MINIFS(Objects!$K$2:$K$1089,Objects!$B$2:$B$1089,$A113,Objects!$F$2:$F$1089,$B113,Objects!$H$2:$H$1089,$C113)</f>
        <v/>
      </c>
      <c r="F113" s="5">
        <f>_xlfn.MAXIFS(Objects!$K$2:$K$1089,Objects!$B$2:$B$1089,$A113,Objects!$F$2:$F$1089,$B113,Objects!$H$2:$H$1089,$C113)</f>
        <v/>
      </c>
      <c r="G113" s="5">
        <f>_xlfn.MINIFS(Objects!$L$2:$L$1089,Objects!$B$2:$B$1089,$A113,Objects!$F$2:$F$1089,$B113,Objects!$H$2:$H$1089,$C113)</f>
        <v/>
      </c>
      <c r="H113" s="5">
        <f>_xlfn.MAXIFS(Objects!$L$2:$L$1089,Objects!$B$2:$B$1089,$A113,Objects!$F$2:$F$1089,$B113,Objects!$H$2:$H$1089,$C113)</f>
        <v/>
      </c>
      <c r="I113" s="5">
        <f>IF(OR(C113="(none)",B113="raft",B113="sump_pit"),"n/a",IF(OR(B113="column",B113="shear_wall",B113="isolated_footing",B113="combined_footing"),IF(AND(F113-E113&lt;=3,H113-G113&lt;=3),"yes","no"),IF(H113-G113&lt;=3,"yes (thickness)","no (thickness)")))</f>
        <v/>
      </c>
      <c r="J113" s="6">
        <f>SUMIFS(Objects!$K$2:$K$1089,Objects!$B$2:$B$1089,$A113,Objects!$F$2:$F$1089,$B113,Objects!$H$2:$H$1089,$C113)/100</f>
        <v/>
      </c>
      <c r="K113" s="5">
        <f>COUNTIFS(Objects!$B$2:$B$1089,$A113,Objects!$F$2:$F$1089,$B113,Objects!$H$2:$H$1089,$C113,Objects!$I$2:$I$1089,"inferred*")</f>
        <v/>
      </c>
    </row>
    <row r="114">
      <c r="A114" s="5" t="inlineStr">
        <is>
          <t>124</t>
        </is>
      </c>
      <c r="B114" s="5" t="inlineStr">
        <is>
          <t>isolated_footing</t>
        </is>
      </c>
      <c r="C114" s="5" t="inlineStr">
        <is>
          <t>S6</t>
        </is>
      </c>
      <c r="D114" s="5">
        <f>COUNTIFS(Objects!$B$2:$B$1089,$A114,Objects!$F$2:$F$1089,$B114,Objects!$H$2:$H$1089,$C114)</f>
        <v/>
      </c>
      <c r="E114" s="5">
        <f>_xlfn.MINIFS(Objects!$K$2:$K$1089,Objects!$B$2:$B$1089,$A114,Objects!$F$2:$F$1089,$B114,Objects!$H$2:$H$1089,$C114)</f>
        <v/>
      </c>
      <c r="F114" s="5">
        <f>_xlfn.MAXIFS(Objects!$K$2:$K$1089,Objects!$B$2:$B$1089,$A114,Objects!$F$2:$F$1089,$B114,Objects!$H$2:$H$1089,$C114)</f>
        <v/>
      </c>
      <c r="G114" s="5">
        <f>_xlfn.MINIFS(Objects!$L$2:$L$1089,Objects!$B$2:$B$1089,$A114,Objects!$F$2:$F$1089,$B114,Objects!$H$2:$H$1089,$C114)</f>
        <v/>
      </c>
      <c r="H114" s="5">
        <f>_xlfn.MAXIFS(Objects!$L$2:$L$1089,Objects!$B$2:$B$1089,$A114,Objects!$F$2:$F$1089,$B114,Objects!$H$2:$H$1089,$C114)</f>
        <v/>
      </c>
      <c r="I114" s="5">
        <f>IF(OR(C114="(none)",B114="raft",B114="sump_pit"),"n/a",IF(OR(B114="column",B114="shear_wall",B114="isolated_footing",B114="combined_footing"),IF(AND(F114-E114&lt;=3,H114-G114&lt;=3),"yes","no"),IF(H114-G114&lt;=3,"yes (thickness)","no (thickness)")))</f>
        <v/>
      </c>
      <c r="J114" s="6">
        <f>SUMIFS(Objects!$K$2:$K$1089,Objects!$B$2:$B$1089,$A114,Objects!$F$2:$F$1089,$B114,Objects!$H$2:$H$1089,$C114)/100</f>
        <v/>
      </c>
      <c r="K114" s="5">
        <f>COUNTIFS(Objects!$B$2:$B$1089,$A114,Objects!$F$2:$F$1089,$B114,Objects!$H$2:$H$1089,$C114,Objects!$I$2:$I$1089,"inferred*")</f>
        <v/>
      </c>
    </row>
    <row r="115">
      <c r="A115" s="5" t="inlineStr">
        <is>
          <t>124</t>
        </is>
      </c>
      <c r="B115" s="5" t="inlineStr">
        <is>
          <t>combined_footing</t>
        </is>
      </c>
      <c r="C115" s="5" t="inlineStr">
        <is>
          <t>SC2</t>
        </is>
      </c>
      <c r="D115" s="5">
        <f>COUNTIFS(Objects!$B$2:$B$1089,$A115,Objects!$F$2:$F$1089,$B115,Objects!$H$2:$H$1089,$C115)</f>
        <v/>
      </c>
      <c r="E115" s="5">
        <f>_xlfn.MINIFS(Objects!$K$2:$K$1089,Objects!$B$2:$B$1089,$A115,Objects!$F$2:$F$1089,$B115,Objects!$H$2:$H$1089,$C115)</f>
        <v/>
      </c>
      <c r="F115" s="5">
        <f>_xlfn.MAXIFS(Objects!$K$2:$K$1089,Objects!$B$2:$B$1089,$A115,Objects!$F$2:$F$1089,$B115,Objects!$H$2:$H$1089,$C115)</f>
        <v/>
      </c>
      <c r="G115" s="5">
        <f>_xlfn.MINIFS(Objects!$L$2:$L$1089,Objects!$B$2:$B$1089,$A115,Objects!$F$2:$F$1089,$B115,Objects!$H$2:$H$1089,$C115)</f>
        <v/>
      </c>
      <c r="H115" s="5">
        <f>_xlfn.MAXIFS(Objects!$L$2:$L$1089,Objects!$B$2:$B$1089,$A115,Objects!$F$2:$F$1089,$B115,Objects!$H$2:$H$1089,$C115)</f>
        <v/>
      </c>
      <c r="I115" s="5">
        <f>IF(OR(C115="(none)",B115="raft",B115="sump_pit"),"n/a",IF(OR(B115="column",B115="shear_wall",B115="isolated_footing",B115="combined_footing"),IF(AND(F115-E115&lt;=3,H115-G115&lt;=3),"yes","no"),IF(H115-G115&lt;=3,"yes (thickness)","no (thickness)")))</f>
        <v/>
      </c>
      <c r="J115" s="6">
        <f>SUMIFS(Objects!$K$2:$K$1089,Objects!$B$2:$B$1089,$A115,Objects!$F$2:$F$1089,$B115,Objects!$H$2:$H$1089,$C115)/100</f>
        <v/>
      </c>
      <c r="K115" s="5">
        <f>COUNTIFS(Objects!$B$2:$B$1089,$A115,Objects!$F$2:$F$1089,$B115,Objects!$H$2:$H$1089,$C115,Objects!$I$2:$I$1089,"inferred*")</f>
        <v/>
      </c>
    </row>
    <row r="116">
      <c r="A116" s="5" t="inlineStr">
        <is>
          <t>124</t>
        </is>
      </c>
      <c r="B116" s="5" t="inlineStr">
        <is>
          <t>combined_footing</t>
        </is>
      </c>
      <c r="C116" s="5" t="inlineStr">
        <is>
          <t>SC3</t>
        </is>
      </c>
      <c r="D116" s="5">
        <f>COUNTIFS(Objects!$B$2:$B$1089,$A116,Objects!$F$2:$F$1089,$B116,Objects!$H$2:$H$1089,$C116)</f>
        <v/>
      </c>
      <c r="E116" s="5">
        <f>_xlfn.MINIFS(Objects!$K$2:$K$1089,Objects!$B$2:$B$1089,$A116,Objects!$F$2:$F$1089,$B116,Objects!$H$2:$H$1089,$C116)</f>
        <v/>
      </c>
      <c r="F116" s="5">
        <f>_xlfn.MAXIFS(Objects!$K$2:$K$1089,Objects!$B$2:$B$1089,$A116,Objects!$F$2:$F$1089,$B116,Objects!$H$2:$H$1089,$C116)</f>
        <v/>
      </c>
      <c r="G116" s="5">
        <f>_xlfn.MINIFS(Objects!$L$2:$L$1089,Objects!$B$2:$B$1089,$A116,Objects!$F$2:$F$1089,$B116,Objects!$H$2:$H$1089,$C116)</f>
        <v/>
      </c>
      <c r="H116" s="5">
        <f>_xlfn.MAXIFS(Objects!$L$2:$L$1089,Objects!$B$2:$B$1089,$A116,Objects!$F$2:$F$1089,$B116,Objects!$H$2:$H$1089,$C116)</f>
        <v/>
      </c>
      <c r="I116" s="5">
        <f>IF(OR(C116="(none)",B116="raft",B116="sump_pit"),"n/a",IF(OR(B116="column",B116="shear_wall",B116="isolated_footing",B116="combined_footing"),IF(AND(F116-E116&lt;=3,H116-G116&lt;=3),"yes","no"),IF(H116-G116&lt;=3,"yes (thickness)","no (thickness)")))</f>
        <v/>
      </c>
      <c r="J116" s="6">
        <f>SUMIFS(Objects!$K$2:$K$1089,Objects!$B$2:$B$1089,$A116,Objects!$F$2:$F$1089,$B116,Objects!$H$2:$H$1089,$C116)/100</f>
        <v/>
      </c>
      <c r="K116" s="5">
        <f>COUNTIFS(Objects!$B$2:$B$1089,$A116,Objects!$F$2:$F$1089,$B116,Objects!$H$2:$H$1089,$C116,Objects!$I$2:$I$1089,"inferred*")</f>
        <v/>
      </c>
    </row>
    <row r="117">
      <c r="A117" s="5" t="inlineStr">
        <is>
          <t>124</t>
        </is>
      </c>
      <c r="B117" s="5" t="inlineStr">
        <is>
          <t>combined_footing</t>
        </is>
      </c>
      <c r="C117" s="5" t="inlineStr">
        <is>
          <t>SC6</t>
        </is>
      </c>
      <c r="D117" s="5">
        <f>COUNTIFS(Objects!$B$2:$B$1089,$A117,Objects!$F$2:$F$1089,$B117,Objects!$H$2:$H$1089,$C117)</f>
        <v/>
      </c>
      <c r="E117" s="5">
        <f>_xlfn.MINIFS(Objects!$K$2:$K$1089,Objects!$B$2:$B$1089,$A117,Objects!$F$2:$F$1089,$B117,Objects!$H$2:$H$1089,$C117)</f>
        <v/>
      </c>
      <c r="F117" s="5">
        <f>_xlfn.MAXIFS(Objects!$K$2:$K$1089,Objects!$B$2:$B$1089,$A117,Objects!$F$2:$F$1089,$B117,Objects!$H$2:$H$1089,$C117)</f>
        <v/>
      </c>
      <c r="G117" s="5">
        <f>_xlfn.MINIFS(Objects!$L$2:$L$1089,Objects!$B$2:$B$1089,$A117,Objects!$F$2:$F$1089,$B117,Objects!$H$2:$H$1089,$C117)</f>
        <v/>
      </c>
      <c r="H117" s="5">
        <f>_xlfn.MAXIFS(Objects!$L$2:$L$1089,Objects!$B$2:$B$1089,$A117,Objects!$F$2:$F$1089,$B117,Objects!$H$2:$H$1089,$C117)</f>
        <v/>
      </c>
      <c r="I117" s="5">
        <f>IF(OR(C117="(none)",B117="raft",B117="sump_pit"),"n/a",IF(OR(B117="column",B117="shear_wall",B117="isolated_footing",B117="combined_footing"),IF(AND(F117-E117&lt;=3,H117-G117&lt;=3),"yes","no"),IF(H117-G117&lt;=3,"yes (thickness)","no (thickness)")))</f>
        <v/>
      </c>
      <c r="J117" s="6">
        <f>SUMIFS(Objects!$K$2:$K$1089,Objects!$B$2:$B$1089,$A117,Objects!$F$2:$F$1089,$B117,Objects!$H$2:$H$1089,$C117)/100</f>
        <v/>
      </c>
      <c r="K117" s="5">
        <f>COUNTIFS(Objects!$B$2:$B$1089,$A117,Objects!$F$2:$F$1089,$B117,Objects!$H$2:$H$1089,$C117,Objects!$I$2:$I$1089,"inferred*")</f>
        <v/>
      </c>
    </row>
    <row r="118">
      <c r="A118" s="5" t="inlineStr">
        <is>
          <t>124</t>
        </is>
      </c>
      <c r="B118" s="5" t="inlineStr">
        <is>
          <t>strip_footing</t>
        </is>
      </c>
      <c r="C118" s="5" t="inlineStr">
        <is>
          <t>SF1</t>
        </is>
      </c>
      <c r="D118" s="5">
        <f>COUNTIFS(Objects!$B$2:$B$1089,$A118,Objects!$F$2:$F$1089,$B118,Objects!$H$2:$H$1089,$C118)</f>
        <v/>
      </c>
      <c r="E118" s="5">
        <f>_xlfn.MINIFS(Objects!$K$2:$K$1089,Objects!$B$2:$B$1089,$A118,Objects!$F$2:$F$1089,$B118,Objects!$H$2:$H$1089,$C118)</f>
        <v/>
      </c>
      <c r="F118" s="5">
        <f>_xlfn.MAXIFS(Objects!$K$2:$K$1089,Objects!$B$2:$B$1089,$A118,Objects!$F$2:$F$1089,$B118,Objects!$H$2:$H$1089,$C118)</f>
        <v/>
      </c>
      <c r="G118" s="5">
        <f>_xlfn.MINIFS(Objects!$L$2:$L$1089,Objects!$B$2:$B$1089,$A118,Objects!$F$2:$F$1089,$B118,Objects!$H$2:$H$1089,$C118)</f>
        <v/>
      </c>
      <c r="H118" s="5">
        <f>_xlfn.MAXIFS(Objects!$L$2:$L$1089,Objects!$B$2:$B$1089,$A118,Objects!$F$2:$F$1089,$B118,Objects!$H$2:$H$1089,$C118)</f>
        <v/>
      </c>
      <c r="I118" s="5">
        <f>IF(OR(C118="(none)",B118="raft",B118="sump_pit"),"n/a",IF(OR(B118="column",B118="shear_wall",B118="isolated_footing",B118="combined_footing"),IF(AND(F118-E118&lt;=3,H118-G118&lt;=3),"yes","no"),IF(H118-G118&lt;=3,"yes (thickness)","no (thickness)")))</f>
        <v/>
      </c>
      <c r="J118" s="6">
        <f>SUMIFS(Objects!$K$2:$K$1089,Objects!$B$2:$B$1089,$A118,Objects!$F$2:$F$1089,$B118,Objects!$H$2:$H$1089,$C118)/100</f>
        <v/>
      </c>
      <c r="K118" s="5">
        <f>COUNTIFS(Objects!$B$2:$B$1089,$A118,Objects!$F$2:$F$1089,$B118,Objects!$H$2:$H$1089,$C118,Objects!$I$2:$I$1089,"inferred*")</f>
        <v/>
      </c>
    </row>
    <row r="119">
      <c r="A119" s="5" t="inlineStr">
        <is>
          <t>124</t>
        </is>
      </c>
      <c r="B119" s="5" t="inlineStr">
        <is>
          <t>grade_beam</t>
        </is>
      </c>
      <c r="C119" s="5" t="inlineStr">
        <is>
          <t>LG40x15</t>
        </is>
      </c>
      <c r="D119" s="5">
        <f>COUNTIFS(Objects!$B$2:$B$1089,$A119,Objects!$F$2:$F$1089,$B119,Objects!$H$2:$H$1089,$C119)</f>
        <v/>
      </c>
      <c r="E119" s="5">
        <f>_xlfn.MINIFS(Objects!$K$2:$K$1089,Objects!$B$2:$B$1089,$A119,Objects!$F$2:$F$1089,$B119,Objects!$H$2:$H$1089,$C119)</f>
        <v/>
      </c>
      <c r="F119" s="5">
        <f>_xlfn.MAXIFS(Objects!$K$2:$K$1089,Objects!$B$2:$B$1089,$A119,Objects!$F$2:$F$1089,$B119,Objects!$H$2:$H$1089,$C119)</f>
        <v/>
      </c>
      <c r="G119" s="5">
        <f>_xlfn.MINIFS(Objects!$L$2:$L$1089,Objects!$B$2:$B$1089,$A119,Objects!$F$2:$F$1089,$B119,Objects!$H$2:$H$1089,$C119)</f>
        <v/>
      </c>
      <c r="H119" s="5">
        <f>_xlfn.MAXIFS(Objects!$L$2:$L$1089,Objects!$B$2:$B$1089,$A119,Objects!$F$2:$F$1089,$B119,Objects!$H$2:$H$1089,$C119)</f>
        <v/>
      </c>
      <c r="I119" s="5">
        <f>IF(OR(C119="(none)",B119="raft",B119="sump_pit"),"n/a",IF(OR(B119="column",B119="shear_wall",B119="isolated_footing",B119="combined_footing"),IF(AND(F119-E119&lt;=3,H119-G119&lt;=3),"yes","no"),IF(H119-G119&lt;=3,"yes (thickness)","no (thickness)")))</f>
        <v/>
      </c>
      <c r="J119" s="6">
        <f>SUMIFS(Objects!$K$2:$K$1089,Objects!$B$2:$B$1089,$A119,Objects!$F$2:$F$1089,$B119,Objects!$H$2:$H$1089,$C119)/100</f>
        <v/>
      </c>
      <c r="K119" s="5">
        <f>COUNTIFS(Objects!$B$2:$B$1089,$A119,Objects!$F$2:$F$1089,$B119,Objects!$H$2:$H$1089,$C119,Objects!$I$2:$I$1089,"inferred*")</f>
        <v/>
      </c>
    </row>
    <row r="120">
      <c r="A120" s="5" t="inlineStr">
        <is>
          <t>124</t>
        </is>
      </c>
      <c r="B120" s="5" t="inlineStr">
        <is>
          <t>raft</t>
        </is>
      </c>
      <c r="C120" s="5" t="inlineStr">
        <is>
          <t>Radier 100</t>
        </is>
      </c>
      <c r="D120" s="5">
        <f>COUNTIFS(Objects!$B$2:$B$1089,$A120,Objects!$F$2:$F$1089,$B120,Objects!$H$2:$H$1089,$C120)</f>
        <v/>
      </c>
      <c r="E120" s="5">
        <f>_xlfn.MINIFS(Objects!$K$2:$K$1089,Objects!$B$2:$B$1089,$A120,Objects!$F$2:$F$1089,$B120,Objects!$H$2:$H$1089,$C120)</f>
        <v/>
      </c>
      <c r="F120" s="5">
        <f>_xlfn.MAXIFS(Objects!$K$2:$K$1089,Objects!$B$2:$B$1089,$A120,Objects!$F$2:$F$1089,$B120,Objects!$H$2:$H$1089,$C120)</f>
        <v/>
      </c>
      <c r="G120" s="5">
        <f>_xlfn.MINIFS(Objects!$L$2:$L$1089,Objects!$B$2:$B$1089,$A120,Objects!$F$2:$F$1089,$B120,Objects!$H$2:$H$1089,$C120)</f>
        <v/>
      </c>
      <c r="H120" s="5">
        <f>_xlfn.MAXIFS(Objects!$L$2:$L$1089,Objects!$B$2:$B$1089,$A120,Objects!$F$2:$F$1089,$B120,Objects!$H$2:$H$1089,$C120)</f>
        <v/>
      </c>
      <c r="I120" s="5">
        <f>IF(OR(C120="(none)",B120="raft",B120="sump_pit"),"n/a",IF(OR(B120="column",B120="shear_wall",B120="isolated_footing",B120="combined_footing"),IF(AND(F120-E120&lt;=3,H120-G120&lt;=3),"yes","no"),IF(H120-G120&lt;=3,"yes (thickness)","no (thickness)")))</f>
        <v/>
      </c>
      <c r="J120" s="6">
        <f>SUMIFS(Objects!$K$2:$K$1089,Objects!$B$2:$B$1089,$A120,Objects!$F$2:$F$1089,$B120,Objects!$H$2:$H$1089,$C120)/100</f>
        <v/>
      </c>
      <c r="K120" s="5">
        <f>COUNTIFS(Objects!$B$2:$B$1089,$A120,Objects!$F$2:$F$1089,$B120,Objects!$H$2:$H$1089,$C120,Objects!$I$2:$I$1089,"inferred*")</f>
        <v/>
      </c>
    </row>
    <row r="121">
      <c r="A121" s="5" t="inlineStr">
        <is>
          <t>125</t>
        </is>
      </c>
      <c r="B121" s="5" t="inlineStr">
        <is>
          <t>column</t>
        </is>
      </c>
      <c r="C121" s="5" t="inlineStr">
        <is>
          <t>(none)</t>
        </is>
      </c>
      <c r="D121" s="5">
        <f>COUNTIFS(Objects!$B$2:$B$1089,$A121,Objects!$F$2:$F$1089,$B121,Objects!$H$2:$H$1089,$C121)</f>
        <v/>
      </c>
      <c r="E121" s="5">
        <f>_xlfn.MINIFS(Objects!$K$2:$K$1089,Objects!$B$2:$B$1089,$A121,Objects!$F$2:$F$1089,$B121,Objects!$H$2:$H$1089,$C121)</f>
        <v/>
      </c>
      <c r="F121" s="5">
        <f>_xlfn.MAXIFS(Objects!$K$2:$K$1089,Objects!$B$2:$B$1089,$A121,Objects!$F$2:$F$1089,$B121,Objects!$H$2:$H$1089,$C121)</f>
        <v/>
      </c>
      <c r="G121" s="5">
        <f>_xlfn.MINIFS(Objects!$L$2:$L$1089,Objects!$B$2:$B$1089,$A121,Objects!$F$2:$F$1089,$B121,Objects!$H$2:$H$1089,$C121)</f>
        <v/>
      </c>
      <c r="H121" s="5">
        <f>_xlfn.MAXIFS(Objects!$L$2:$L$1089,Objects!$B$2:$B$1089,$A121,Objects!$F$2:$F$1089,$B121,Objects!$H$2:$H$1089,$C121)</f>
        <v/>
      </c>
      <c r="I121" s="5">
        <f>IF(OR(C121="(none)",B121="raft",B121="sump_pit"),"n/a",IF(OR(B121="column",B121="shear_wall",B121="isolated_footing",B121="combined_footing"),IF(AND(F121-E121&lt;=3,H121-G121&lt;=3),"yes","no"),IF(H121-G121&lt;=3,"yes (thickness)","no (thickness)")))</f>
        <v/>
      </c>
      <c r="J121" s="6">
        <f>SUMIFS(Objects!$K$2:$K$1089,Objects!$B$2:$B$1089,$A121,Objects!$F$2:$F$1089,$B121,Objects!$H$2:$H$1089,$C121)/100</f>
        <v/>
      </c>
      <c r="K121" s="5">
        <f>COUNTIFS(Objects!$B$2:$B$1089,$A121,Objects!$F$2:$F$1089,$B121,Objects!$H$2:$H$1089,$C121,Objects!$I$2:$I$1089,"inferred*")</f>
        <v/>
      </c>
    </row>
    <row r="122">
      <c r="A122" s="5" t="inlineStr">
        <is>
          <t>125</t>
        </is>
      </c>
      <c r="B122" s="5" t="inlineStr">
        <is>
          <t>column</t>
        </is>
      </c>
      <c r="C122" s="5" t="inlineStr">
        <is>
          <t>P1/125</t>
        </is>
      </c>
      <c r="D122" s="5">
        <f>COUNTIFS(Objects!$B$2:$B$1089,$A122,Objects!$F$2:$F$1089,$B122,Objects!$H$2:$H$1089,$C122)</f>
        <v/>
      </c>
      <c r="E122" s="5">
        <f>_xlfn.MINIFS(Objects!$K$2:$K$1089,Objects!$B$2:$B$1089,$A122,Objects!$F$2:$F$1089,$B122,Objects!$H$2:$H$1089,$C122)</f>
        <v/>
      </c>
      <c r="F122" s="5">
        <f>_xlfn.MAXIFS(Objects!$K$2:$K$1089,Objects!$B$2:$B$1089,$A122,Objects!$F$2:$F$1089,$B122,Objects!$H$2:$H$1089,$C122)</f>
        <v/>
      </c>
      <c r="G122" s="5">
        <f>_xlfn.MINIFS(Objects!$L$2:$L$1089,Objects!$B$2:$B$1089,$A122,Objects!$F$2:$F$1089,$B122,Objects!$H$2:$H$1089,$C122)</f>
        <v/>
      </c>
      <c r="H122" s="5">
        <f>_xlfn.MAXIFS(Objects!$L$2:$L$1089,Objects!$B$2:$B$1089,$A122,Objects!$F$2:$F$1089,$B122,Objects!$H$2:$H$1089,$C122)</f>
        <v/>
      </c>
      <c r="I122" s="5">
        <f>IF(OR(C122="(none)",B122="raft",B122="sump_pit"),"n/a",IF(OR(B122="column",B122="shear_wall",B122="isolated_footing",B122="combined_footing"),IF(AND(F122-E122&lt;=3,H122-G122&lt;=3),"yes","no"),IF(H122-G122&lt;=3,"yes (thickness)","no (thickness)")))</f>
        <v/>
      </c>
      <c r="J122" s="6">
        <f>SUMIFS(Objects!$K$2:$K$1089,Objects!$B$2:$B$1089,$A122,Objects!$F$2:$F$1089,$B122,Objects!$H$2:$H$1089,$C122)/100</f>
        <v/>
      </c>
      <c r="K122" s="5">
        <f>COUNTIFS(Objects!$B$2:$B$1089,$A122,Objects!$F$2:$F$1089,$B122,Objects!$H$2:$H$1089,$C122,Objects!$I$2:$I$1089,"inferred*")</f>
        <v/>
      </c>
    </row>
    <row r="123">
      <c r="A123" s="5" t="inlineStr">
        <is>
          <t>125</t>
        </is>
      </c>
      <c r="B123" s="5" t="inlineStr">
        <is>
          <t>shear_wall</t>
        </is>
      </c>
      <c r="C123" s="5" t="inlineStr">
        <is>
          <t>(none)</t>
        </is>
      </c>
      <c r="D123" s="5">
        <f>COUNTIFS(Objects!$B$2:$B$1089,$A123,Objects!$F$2:$F$1089,$B123,Objects!$H$2:$H$1089,$C123)</f>
        <v/>
      </c>
      <c r="E123" s="5">
        <f>_xlfn.MINIFS(Objects!$K$2:$K$1089,Objects!$B$2:$B$1089,$A123,Objects!$F$2:$F$1089,$B123,Objects!$H$2:$H$1089,$C123)</f>
        <v/>
      </c>
      <c r="F123" s="5">
        <f>_xlfn.MAXIFS(Objects!$K$2:$K$1089,Objects!$B$2:$B$1089,$A123,Objects!$F$2:$F$1089,$B123,Objects!$H$2:$H$1089,$C123)</f>
        <v/>
      </c>
      <c r="G123" s="5">
        <f>_xlfn.MINIFS(Objects!$L$2:$L$1089,Objects!$B$2:$B$1089,$A123,Objects!$F$2:$F$1089,$B123,Objects!$H$2:$H$1089,$C123)</f>
        <v/>
      </c>
      <c r="H123" s="5">
        <f>_xlfn.MAXIFS(Objects!$L$2:$L$1089,Objects!$B$2:$B$1089,$A123,Objects!$F$2:$F$1089,$B123,Objects!$H$2:$H$1089,$C123)</f>
        <v/>
      </c>
      <c r="I123" s="5">
        <f>IF(OR(C123="(none)",B123="raft",B123="sump_pit"),"n/a",IF(OR(B123="column",B123="shear_wall",B123="isolated_footing",B123="combined_footing"),IF(AND(F123-E123&lt;=3,H123-G123&lt;=3),"yes","no"),IF(H123-G123&lt;=3,"yes (thickness)","no (thickness)")))</f>
        <v/>
      </c>
      <c r="J123" s="6">
        <f>SUMIFS(Objects!$K$2:$K$1089,Objects!$B$2:$B$1089,$A123,Objects!$F$2:$F$1089,$B123,Objects!$H$2:$H$1089,$C123)/100</f>
        <v/>
      </c>
      <c r="K123" s="5">
        <f>COUNTIFS(Objects!$B$2:$B$1089,$A123,Objects!$F$2:$F$1089,$B123,Objects!$H$2:$H$1089,$C123,Objects!$I$2:$I$1089,"inferred*")</f>
        <v/>
      </c>
    </row>
    <row r="124">
      <c r="A124" s="5" t="inlineStr">
        <is>
          <t>125</t>
        </is>
      </c>
      <c r="B124" s="5" t="inlineStr">
        <is>
          <t>shear_wall</t>
        </is>
      </c>
      <c r="C124" s="5" t="inlineStr">
        <is>
          <t>V1/125</t>
        </is>
      </c>
      <c r="D124" s="5">
        <f>COUNTIFS(Objects!$B$2:$B$1089,$A124,Objects!$F$2:$F$1089,$B124,Objects!$H$2:$H$1089,$C124)</f>
        <v/>
      </c>
      <c r="E124" s="5">
        <f>_xlfn.MINIFS(Objects!$K$2:$K$1089,Objects!$B$2:$B$1089,$A124,Objects!$F$2:$F$1089,$B124,Objects!$H$2:$H$1089,$C124)</f>
        <v/>
      </c>
      <c r="F124" s="5">
        <f>_xlfn.MAXIFS(Objects!$K$2:$K$1089,Objects!$B$2:$B$1089,$A124,Objects!$F$2:$F$1089,$B124,Objects!$H$2:$H$1089,$C124)</f>
        <v/>
      </c>
      <c r="G124" s="5">
        <f>_xlfn.MINIFS(Objects!$L$2:$L$1089,Objects!$B$2:$B$1089,$A124,Objects!$F$2:$F$1089,$B124,Objects!$H$2:$H$1089,$C124)</f>
        <v/>
      </c>
      <c r="H124" s="5">
        <f>_xlfn.MAXIFS(Objects!$L$2:$L$1089,Objects!$B$2:$B$1089,$A124,Objects!$F$2:$F$1089,$B124,Objects!$H$2:$H$1089,$C124)</f>
        <v/>
      </c>
      <c r="I124" s="5">
        <f>IF(OR(C124="(none)",B124="raft",B124="sump_pit"),"n/a",IF(OR(B124="column",B124="shear_wall",B124="isolated_footing",B124="combined_footing"),IF(AND(F124-E124&lt;=3,H124-G124&lt;=3),"yes","no"),IF(H124-G124&lt;=3,"yes (thickness)","no (thickness)")))</f>
        <v/>
      </c>
      <c r="J124" s="6">
        <f>SUMIFS(Objects!$K$2:$K$1089,Objects!$B$2:$B$1089,$A124,Objects!$F$2:$F$1089,$B124,Objects!$H$2:$H$1089,$C124)/100</f>
        <v/>
      </c>
      <c r="K124" s="5">
        <f>COUNTIFS(Objects!$B$2:$B$1089,$A124,Objects!$F$2:$F$1089,$B124,Objects!$H$2:$H$1089,$C124,Objects!$I$2:$I$1089,"inferred*")</f>
        <v/>
      </c>
    </row>
    <row r="125">
      <c r="A125" s="5" t="inlineStr">
        <is>
          <t>125</t>
        </is>
      </c>
      <c r="B125" s="5" t="inlineStr">
        <is>
          <t>shear_wall</t>
        </is>
      </c>
      <c r="C125" s="5" t="inlineStr">
        <is>
          <t>V3/125</t>
        </is>
      </c>
      <c r="D125" s="5">
        <f>COUNTIFS(Objects!$B$2:$B$1089,$A125,Objects!$F$2:$F$1089,$B125,Objects!$H$2:$H$1089,$C125)</f>
        <v/>
      </c>
      <c r="E125" s="5">
        <f>_xlfn.MINIFS(Objects!$K$2:$K$1089,Objects!$B$2:$B$1089,$A125,Objects!$F$2:$F$1089,$B125,Objects!$H$2:$H$1089,$C125)</f>
        <v/>
      </c>
      <c r="F125" s="5">
        <f>_xlfn.MAXIFS(Objects!$K$2:$K$1089,Objects!$B$2:$B$1089,$A125,Objects!$F$2:$F$1089,$B125,Objects!$H$2:$H$1089,$C125)</f>
        <v/>
      </c>
      <c r="G125" s="5">
        <f>_xlfn.MINIFS(Objects!$L$2:$L$1089,Objects!$B$2:$B$1089,$A125,Objects!$F$2:$F$1089,$B125,Objects!$H$2:$H$1089,$C125)</f>
        <v/>
      </c>
      <c r="H125" s="5">
        <f>_xlfn.MAXIFS(Objects!$L$2:$L$1089,Objects!$B$2:$B$1089,$A125,Objects!$F$2:$F$1089,$B125,Objects!$H$2:$H$1089,$C125)</f>
        <v/>
      </c>
      <c r="I125" s="5">
        <f>IF(OR(C125="(none)",B125="raft",B125="sump_pit"),"n/a",IF(OR(B125="column",B125="shear_wall",B125="isolated_footing",B125="combined_footing"),IF(AND(F125-E125&lt;=3,H125-G125&lt;=3),"yes","no"),IF(H125-G125&lt;=3,"yes (thickness)","no (thickness)")))</f>
        <v/>
      </c>
      <c r="J125" s="6">
        <f>SUMIFS(Objects!$K$2:$K$1089,Objects!$B$2:$B$1089,$A125,Objects!$F$2:$F$1089,$B125,Objects!$H$2:$H$1089,$C125)/100</f>
        <v/>
      </c>
      <c r="K125" s="5">
        <f>COUNTIFS(Objects!$B$2:$B$1089,$A125,Objects!$F$2:$F$1089,$B125,Objects!$H$2:$H$1089,$C125,Objects!$I$2:$I$1089,"inferred*")</f>
        <v/>
      </c>
    </row>
    <row r="126">
      <c r="A126" s="5" t="inlineStr">
        <is>
          <t>125</t>
        </is>
      </c>
      <c r="B126" s="5" t="inlineStr">
        <is>
          <t>shear_wall</t>
        </is>
      </c>
      <c r="C126" s="5" t="inlineStr">
        <is>
          <t>V4/125</t>
        </is>
      </c>
      <c r="D126" s="5">
        <f>COUNTIFS(Objects!$B$2:$B$1089,$A126,Objects!$F$2:$F$1089,$B126,Objects!$H$2:$H$1089,$C126)</f>
        <v/>
      </c>
      <c r="E126" s="5">
        <f>_xlfn.MINIFS(Objects!$K$2:$K$1089,Objects!$B$2:$B$1089,$A126,Objects!$F$2:$F$1089,$B126,Objects!$H$2:$H$1089,$C126)</f>
        <v/>
      </c>
      <c r="F126" s="5">
        <f>_xlfn.MAXIFS(Objects!$K$2:$K$1089,Objects!$B$2:$B$1089,$A126,Objects!$F$2:$F$1089,$B126,Objects!$H$2:$H$1089,$C126)</f>
        <v/>
      </c>
      <c r="G126" s="5">
        <f>_xlfn.MINIFS(Objects!$L$2:$L$1089,Objects!$B$2:$B$1089,$A126,Objects!$F$2:$F$1089,$B126,Objects!$H$2:$H$1089,$C126)</f>
        <v/>
      </c>
      <c r="H126" s="5">
        <f>_xlfn.MAXIFS(Objects!$L$2:$L$1089,Objects!$B$2:$B$1089,$A126,Objects!$F$2:$F$1089,$B126,Objects!$H$2:$H$1089,$C126)</f>
        <v/>
      </c>
      <c r="I126" s="5">
        <f>IF(OR(C126="(none)",B126="raft",B126="sump_pit"),"n/a",IF(OR(B126="column",B126="shear_wall",B126="isolated_footing",B126="combined_footing"),IF(AND(F126-E126&lt;=3,H126-G126&lt;=3),"yes","no"),IF(H126-G126&lt;=3,"yes (thickness)","no (thickness)")))</f>
        <v/>
      </c>
      <c r="J126" s="6">
        <f>SUMIFS(Objects!$K$2:$K$1089,Objects!$B$2:$B$1089,$A126,Objects!$F$2:$F$1089,$B126,Objects!$H$2:$H$1089,$C126)/100</f>
        <v/>
      </c>
      <c r="K126" s="5">
        <f>COUNTIFS(Objects!$B$2:$B$1089,$A126,Objects!$F$2:$F$1089,$B126,Objects!$H$2:$H$1089,$C126,Objects!$I$2:$I$1089,"inferred*")</f>
        <v/>
      </c>
    </row>
    <row r="127">
      <c r="A127" s="5" t="inlineStr">
        <is>
          <t>125</t>
        </is>
      </c>
      <c r="B127" s="5" t="inlineStr">
        <is>
          <t>shear_wall</t>
        </is>
      </c>
      <c r="C127" s="5" t="inlineStr">
        <is>
          <t>V5/125</t>
        </is>
      </c>
      <c r="D127" s="5">
        <f>COUNTIFS(Objects!$B$2:$B$1089,$A127,Objects!$F$2:$F$1089,$B127,Objects!$H$2:$H$1089,$C127)</f>
        <v/>
      </c>
      <c r="E127" s="5">
        <f>_xlfn.MINIFS(Objects!$K$2:$K$1089,Objects!$B$2:$B$1089,$A127,Objects!$F$2:$F$1089,$B127,Objects!$H$2:$H$1089,$C127)</f>
        <v/>
      </c>
      <c r="F127" s="5">
        <f>_xlfn.MAXIFS(Objects!$K$2:$K$1089,Objects!$B$2:$B$1089,$A127,Objects!$F$2:$F$1089,$B127,Objects!$H$2:$H$1089,$C127)</f>
        <v/>
      </c>
      <c r="G127" s="5">
        <f>_xlfn.MINIFS(Objects!$L$2:$L$1089,Objects!$B$2:$B$1089,$A127,Objects!$F$2:$F$1089,$B127,Objects!$H$2:$H$1089,$C127)</f>
        <v/>
      </c>
      <c r="H127" s="5">
        <f>_xlfn.MAXIFS(Objects!$L$2:$L$1089,Objects!$B$2:$B$1089,$A127,Objects!$F$2:$F$1089,$B127,Objects!$H$2:$H$1089,$C127)</f>
        <v/>
      </c>
      <c r="I127" s="5">
        <f>IF(OR(C127="(none)",B127="raft",B127="sump_pit"),"n/a",IF(OR(B127="column",B127="shear_wall",B127="isolated_footing",B127="combined_footing"),IF(AND(F127-E127&lt;=3,H127-G127&lt;=3),"yes","no"),IF(H127-G127&lt;=3,"yes (thickness)","no (thickness)")))</f>
        <v/>
      </c>
      <c r="J127" s="6">
        <f>SUMIFS(Objects!$K$2:$K$1089,Objects!$B$2:$B$1089,$A127,Objects!$F$2:$F$1089,$B127,Objects!$H$2:$H$1089,$C127)/100</f>
        <v/>
      </c>
      <c r="K127" s="5">
        <f>COUNTIFS(Objects!$B$2:$B$1089,$A127,Objects!$F$2:$F$1089,$B127,Objects!$H$2:$H$1089,$C127,Objects!$I$2:$I$1089,"inferred*")</f>
        <v/>
      </c>
    </row>
    <row r="128">
      <c r="A128" s="5" t="inlineStr">
        <is>
          <t>125</t>
        </is>
      </c>
      <c r="B128" s="5" t="inlineStr">
        <is>
          <t>shear_wall</t>
        </is>
      </c>
      <c r="C128" s="5" t="inlineStr">
        <is>
          <t>V8/125</t>
        </is>
      </c>
      <c r="D128" s="5">
        <f>COUNTIFS(Objects!$B$2:$B$1089,$A128,Objects!$F$2:$F$1089,$B128,Objects!$H$2:$H$1089,$C128)</f>
        <v/>
      </c>
      <c r="E128" s="5">
        <f>_xlfn.MINIFS(Objects!$K$2:$K$1089,Objects!$B$2:$B$1089,$A128,Objects!$F$2:$F$1089,$B128,Objects!$H$2:$H$1089,$C128)</f>
        <v/>
      </c>
      <c r="F128" s="5">
        <f>_xlfn.MAXIFS(Objects!$K$2:$K$1089,Objects!$B$2:$B$1089,$A128,Objects!$F$2:$F$1089,$B128,Objects!$H$2:$H$1089,$C128)</f>
        <v/>
      </c>
      <c r="G128" s="5">
        <f>_xlfn.MINIFS(Objects!$L$2:$L$1089,Objects!$B$2:$B$1089,$A128,Objects!$F$2:$F$1089,$B128,Objects!$H$2:$H$1089,$C128)</f>
        <v/>
      </c>
      <c r="H128" s="5">
        <f>_xlfn.MAXIFS(Objects!$L$2:$L$1089,Objects!$B$2:$B$1089,$A128,Objects!$F$2:$F$1089,$B128,Objects!$H$2:$H$1089,$C128)</f>
        <v/>
      </c>
      <c r="I128" s="5">
        <f>IF(OR(C128="(none)",B128="raft",B128="sump_pit"),"n/a",IF(OR(B128="column",B128="shear_wall",B128="isolated_footing",B128="combined_footing"),IF(AND(F128-E128&lt;=3,H128-G128&lt;=3),"yes","no"),IF(H128-G128&lt;=3,"yes (thickness)","no (thickness)")))</f>
        <v/>
      </c>
      <c r="J128" s="6">
        <f>SUMIFS(Objects!$K$2:$K$1089,Objects!$B$2:$B$1089,$A128,Objects!$F$2:$F$1089,$B128,Objects!$H$2:$H$1089,$C128)/100</f>
        <v/>
      </c>
      <c r="K128" s="5">
        <f>COUNTIFS(Objects!$B$2:$B$1089,$A128,Objects!$F$2:$F$1089,$B128,Objects!$H$2:$H$1089,$C128,Objects!$I$2:$I$1089,"inferred*")</f>
        <v/>
      </c>
    </row>
    <row r="129">
      <c r="A129" s="5" t="inlineStr">
        <is>
          <t>125</t>
        </is>
      </c>
      <c r="B129" s="5" t="inlineStr">
        <is>
          <t>retaining_wall</t>
        </is>
      </c>
      <c r="C129" s="5" t="inlineStr">
        <is>
          <t>VP20</t>
        </is>
      </c>
      <c r="D129" s="5">
        <f>COUNTIFS(Objects!$B$2:$B$1089,$A129,Objects!$F$2:$F$1089,$B129,Objects!$H$2:$H$1089,$C129)</f>
        <v/>
      </c>
      <c r="E129" s="5">
        <f>_xlfn.MINIFS(Objects!$K$2:$K$1089,Objects!$B$2:$B$1089,$A129,Objects!$F$2:$F$1089,$B129,Objects!$H$2:$H$1089,$C129)</f>
        <v/>
      </c>
      <c r="F129" s="5">
        <f>_xlfn.MAXIFS(Objects!$K$2:$K$1089,Objects!$B$2:$B$1089,$A129,Objects!$F$2:$F$1089,$B129,Objects!$H$2:$H$1089,$C129)</f>
        <v/>
      </c>
      <c r="G129" s="5">
        <f>_xlfn.MINIFS(Objects!$L$2:$L$1089,Objects!$B$2:$B$1089,$A129,Objects!$F$2:$F$1089,$B129,Objects!$H$2:$H$1089,$C129)</f>
        <v/>
      </c>
      <c r="H129" s="5">
        <f>_xlfn.MAXIFS(Objects!$L$2:$L$1089,Objects!$B$2:$B$1089,$A129,Objects!$F$2:$F$1089,$B129,Objects!$H$2:$H$1089,$C129)</f>
        <v/>
      </c>
      <c r="I129" s="5">
        <f>IF(OR(C129="(none)",B129="raft",B129="sump_pit"),"n/a",IF(OR(B129="column",B129="shear_wall",B129="isolated_footing",B129="combined_footing"),IF(AND(F129-E129&lt;=3,H129-G129&lt;=3),"yes","no"),IF(H129-G129&lt;=3,"yes (thickness)","no (thickness)")))</f>
        <v/>
      </c>
      <c r="J129" s="6">
        <f>SUMIFS(Objects!$K$2:$K$1089,Objects!$B$2:$B$1089,$A129,Objects!$F$2:$F$1089,$B129,Objects!$H$2:$H$1089,$C129)/100</f>
        <v/>
      </c>
      <c r="K129" s="5">
        <f>COUNTIFS(Objects!$B$2:$B$1089,$A129,Objects!$F$2:$F$1089,$B129,Objects!$H$2:$H$1089,$C129,Objects!$I$2:$I$1089,"inferred*")</f>
        <v/>
      </c>
    </row>
    <row r="130">
      <c r="A130" s="5" t="inlineStr">
        <is>
          <t>125</t>
        </is>
      </c>
      <c r="B130" s="5" t="inlineStr">
        <is>
          <t>isolated_footing</t>
        </is>
      </c>
      <c r="C130" s="5" t="inlineStr">
        <is>
          <t>S10</t>
        </is>
      </c>
      <c r="D130" s="5">
        <f>COUNTIFS(Objects!$B$2:$B$1089,$A130,Objects!$F$2:$F$1089,$B130,Objects!$H$2:$H$1089,$C130)</f>
        <v/>
      </c>
      <c r="E130" s="5">
        <f>_xlfn.MINIFS(Objects!$K$2:$K$1089,Objects!$B$2:$B$1089,$A130,Objects!$F$2:$F$1089,$B130,Objects!$H$2:$H$1089,$C130)</f>
        <v/>
      </c>
      <c r="F130" s="5">
        <f>_xlfn.MAXIFS(Objects!$K$2:$K$1089,Objects!$B$2:$B$1089,$A130,Objects!$F$2:$F$1089,$B130,Objects!$H$2:$H$1089,$C130)</f>
        <v/>
      </c>
      <c r="G130" s="5">
        <f>_xlfn.MINIFS(Objects!$L$2:$L$1089,Objects!$B$2:$B$1089,$A130,Objects!$F$2:$F$1089,$B130,Objects!$H$2:$H$1089,$C130)</f>
        <v/>
      </c>
      <c r="H130" s="5">
        <f>_xlfn.MAXIFS(Objects!$L$2:$L$1089,Objects!$B$2:$B$1089,$A130,Objects!$F$2:$F$1089,$B130,Objects!$H$2:$H$1089,$C130)</f>
        <v/>
      </c>
      <c r="I130" s="5">
        <f>IF(OR(C130="(none)",B130="raft",B130="sump_pit"),"n/a",IF(OR(B130="column",B130="shear_wall",B130="isolated_footing",B130="combined_footing"),IF(AND(F130-E130&lt;=3,H130-G130&lt;=3),"yes","no"),IF(H130-G130&lt;=3,"yes (thickness)","no (thickness)")))</f>
        <v/>
      </c>
      <c r="J130" s="6">
        <f>SUMIFS(Objects!$K$2:$K$1089,Objects!$B$2:$B$1089,$A130,Objects!$F$2:$F$1089,$B130,Objects!$H$2:$H$1089,$C130)/100</f>
        <v/>
      </c>
      <c r="K130" s="5">
        <f>COUNTIFS(Objects!$B$2:$B$1089,$A130,Objects!$F$2:$F$1089,$B130,Objects!$H$2:$H$1089,$C130,Objects!$I$2:$I$1089,"inferred*")</f>
        <v/>
      </c>
    </row>
    <row r="131">
      <c r="A131" s="5" t="inlineStr">
        <is>
          <t>125</t>
        </is>
      </c>
      <c r="B131" s="5" t="inlineStr">
        <is>
          <t>isolated_footing</t>
        </is>
      </c>
      <c r="C131" s="5" t="inlineStr">
        <is>
          <t>S11</t>
        </is>
      </c>
      <c r="D131" s="5">
        <f>COUNTIFS(Objects!$B$2:$B$1089,$A131,Objects!$F$2:$F$1089,$B131,Objects!$H$2:$H$1089,$C131)</f>
        <v/>
      </c>
      <c r="E131" s="5">
        <f>_xlfn.MINIFS(Objects!$K$2:$K$1089,Objects!$B$2:$B$1089,$A131,Objects!$F$2:$F$1089,$B131,Objects!$H$2:$H$1089,$C131)</f>
        <v/>
      </c>
      <c r="F131" s="5">
        <f>_xlfn.MAXIFS(Objects!$K$2:$K$1089,Objects!$B$2:$B$1089,$A131,Objects!$F$2:$F$1089,$B131,Objects!$H$2:$H$1089,$C131)</f>
        <v/>
      </c>
      <c r="G131" s="5">
        <f>_xlfn.MINIFS(Objects!$L$2:$L$1089,Objects!$B$2:$B$1089,$A131,Objects!$F$2:$F$1089,$B131,Objects!$H$2:$H$1089,$C131)</f>
        <v/>
      </c>
      <c r="H131" s="5">
        <f>_xlfn.MAXIFS(Objects!$L$2:$L$1089,Objects!$B$2:$B$1089,$A131,Objects!$F$2:$F$1089,$B131,Objects!$H$2:$H$1089,$C131)</f>
        <v/>
      </c>
      <c r="I131" s="5">
        <f>IF(OR(C131="(none)",B131="raft",B131="sump_pit"),"n/a",IF(OR(B131="column",B131="shear_wall",B131="isolated_footing",B131="combined_footing"),IF(AND(F131-E131&lt;=3,H131-G131&lt;=3),"yes","no"),IF(H131-G131&lt;=3,"yes (thickness)","no (thickness)")))</f>
        <v/>
      </c>
      <c r="J131" s="6">
        <f>SUMIFS(Objects!$K$2:$K$1089,Objects!$B$2:$B$1089,$A131,Objects!$F$2:$F$1089,$B131,Objects!$H$2:$H$1089,$C131)/100</f>
        <v/>
      </c>
      <c r="K131" s="5">
        <f>COUNTIFS(Objects!$B$2:$B$1089,$A131,Objects!$F$2:$F$1089,$B131,Objects!$H$2:$H$1089,$C131,Objects!$I$2:$I$1089,"inferred*")</f>
        <v/>
      </c>
    </row>
    <row r="132">
      <c r="A132" s="5" t="inlineStr">
        <is>
          <t>125</t>
        </is>
      </c>
      <c r="B132" s="5" t="inlineStr">
        <is>
          <t>isolated_footing</t>
        </is>
      </c>
      <c r="C132" s="5" t="inlineStr">
        <is>
          <t>S2</t>
        </is>
      </c>
      <c r="D132" s="5">
        <f>COUNTIFS(Objects!$B$2:$B$1089,$A132,Objects!$F$2:$F$1089,$B132,Objects!$H$2:$H$1089,$C132)</f>
        <v/>
      </c>
      <c r="E132" s="5">
        <f>_xlfn.MINIFS(Objects!$K$2:$K$1089,Objects!$B$2:$B$1089,$A132,Objects!$F$2:$F$1089,$B132,Objects!$H$2:$H$1089,$C132)</f>
        <v/>
      </c>
      <c r="F132" s="5">
        <f>_xlfn.MAXIFS(Objects!$K$2:$K$1089,Objects!$B$2:$B$1089,$A132,Objects!$F$2:$F$1089,$B132,Objects!$H$2:$H$1089,$C132)</f>
        <v/>
      </c>
      <c r="G132" s="5">
        <f>_xlfn.MINIFS(Objects!$L$2:$L$1089,Objects!$B$2:$B$1089,$A132,Objects!$F$2:$F$1089,$B132,Objects!$H$2:$H$1089,$C132)</f>
        <v/>
      </c>
      <c r="H132" s="5">
        <f>_xlfn.MAXIFS(Objects!$L$2:$L$1089,Objects!$B$2:$B$1089,$A132,Objects!$F$2:$F$1089,$B132,Objects!$H$2:$H$1089,$C132)</f>
        <v/>
      </c>
      <c r="I132" s="5">
        <f>IF(OR(C132="(none)",B132="raft",B132="sump_pit"),"n/a",IF(OR(B132="column",B132="shear_wall",B132="isolated_footing",B132="combined_footing"),IF(AND(F132-E132&lt;=3,H132-G132&lt;=3),"yes","no"),IF(H132-G132&lt;=3,"yes (thickness)","no (thickness)")))</f>
        <v/>
      </c>
      <c r="J132" s="6">
        <f>SUMIFS(Objects!$K$2:$K$1089,Objects!$B$2:$B$1089,$A132,Objects!$F$2:$F$1089,$B132,Objects!$H$2:$H$1089,$C132)/100</f>
        <v/>
      </c>
      <c r="K132" s="5">
        <f>COUNTIFS(Objects!$B$2:$B$1089,$A132,Objects!$F$2:$F$1089,$B132,Objects!$H$2:$H$1089,$C132,Objects!$I$2:$I$1089,"inferred*")</f>
        <v/>
      </c>
    </row>
    <row r="133">
      <c r="A133" s="5" t="inlineStr">
        <is>
          <t>125</t>
        </is>
      </c>
      <c r="B133" s="5" t="inlineStr">
        <is>
          <t>isolated_footing</t>
        </is>
      </c>
      <c r="C133" s="5" t="inlineStr">
        <is>
          <t>S7</t>
        </is>
      </c>
      <c r="D133" s="5">
        <f>COUNTIFS(Objects!$B$2:$B$1089,$A133,Objects!$F$2:$F$1089,$B133,Objects!$H$2:$H$1089,$C133)</f>
        <v/>
      </c>
      <c r="E133" s="5">
        <f>_xlfn.MINIFS(Objects!$K$2:$K$1089,Objects!$B$2:$B$1089,$A133,Objects!$F$2:$F$1089,$B133,Objects!$H$2:$H$1089,$C133)</f>
        <v/>
      </c>
      <c r="F133" s="5">
        <f>_xlfn.MAXIFS(Objects!$K$2:$K$1089,Objects!$B$2:$B$1089,$A133,Objects!$F$2:$F$1089,$B133,Objects!$H$2:$H$1089,$C133)</f>
        <v/>
      </c>
      <c r="G133" s="5">
        <f>_xlfn.MINIFS(Objects!$L$2:$L$1089,Objects!$B$2:$B$1089,$A133,Objects!$F$2:$F$1089,$B133,Objects!$H$2:$H$1089,$C133)</f>
        <v/>
      </c>
      <c r="H133" s="5">
        <f>_xlfn.MAXIFS(Objects!$L$2:$L$1089,Objects!$B$2:$B$1089,$A133,Objects!$F$2:$F$1089,$B133,Objects!$H$2:$H$1089,$C133)</f>
        <v/>
      </c>
      <c r="I133" s="5">
        <f>IF(OR(C133="(none)",B133="raft",B133="sump_pit"),"n/a",IF(OR(B133="column",B133="shear_wall",B133="isolated_footing",B133="combined_footing"),IF(AND(F133-E133&lt;=3,H133-G133&lt;=3),"yes","no"),IF(H133-G133&lt;=3,"yes (thickness)","no (thickness)")))</f>
        <v/>
      </c>
      <c r="J133" s="6">
        <f>SUMIFS(Objects!$K$2:$K$1089,Objects!$B$2:$B$1089,$A133,Objects!$F$2:$F$1089,$B133,Objects!$H$2:$H$1089,$C133)/100</f>
        <v/>
      </c>
      <c r="K133" s="5">
        <f>COUNTIFS(Objects!$B$2:$B$1089,$A133,Objects!$F$2:$F$1089,$B133,Objects!$H$2:$H$1089,$C133,Objects!$I$2:$I$1089,"inferred*")</f>
        <v/>
      </c>
    </row>
    <row r="134">
      <c r="A134" s="5" t="inlineStr">
        <is>
          <t>125</t>
        </is>
      </c>
      <c r="B134" s="5" t="inlineStr">
        <is>
          <t>combined_footing</t>
        </is>
      </c>
      <c r="C134" s="5" t="inlineStr">
        <is>
          <t>SC1</t>
        </is>
      </c>
      <c r="D134" s="5">
        <f>COUNTIFS(Objects!$B$2:$B$1089,$A134,Objects!$F$2:$F$1089,$B134,Objects!$H$2:$H$1089,$C134)</f>
        <v/>
      </c>
      <c r="E134" s="5">
        <f>_xlfn.MINIFS(Objects!$K$2:$K$1089,Objects!$B$2:$B$1089,$A134,Objects!$F$2:$F$1089,$B134,Objects!$H$2:$H$1089,$C134)</f>
        <v/>
      </c>
      <c r="F134" s="5">
        <f>_xlfn.MAXIFS(Objects!$K$2:$K$1089,Objects!$B$2:$B$1089,$A134,Objects!$F$2:$F$1089,$B134,Objects!$H$2:$H$1089,$C134)</f>
        <v/>
      </c>
      <c r="G134" s="5">
        <f>_xlfn.MINIFS(Objects!$L$2:$L$1089,Objects!$B$2:$B$1089,$A134,Objects!$F$2:$F$1089,$B134,Objects!$H$2:$H$1089,$C134)</f>
        <v/>
      </c>
      <c r="H134" s="5">
        <f>_xlfn.MAXIFS(Objects!$L$2:$L$1089,Objects!$B$2:$B$1089,$A134,Objects!$F$2:$F$1089,$B134,Objects!$H$2:$H$1089,$C134)</f>
        <v/>
      </c>
      <c r="I134" s="5">
        <f>IF(OR(C134="(none)",B134="raft",B134="sump_pit"),"n/a",IF(OR(B134="column",B134="shear_wall",B134="isolated_footing",B134="combined_footing"),IF(AND(F134-E134&lt;=3,H134-G134&lt;=3),"yes","no"),IF(H134-G134&lt;=3,"yes (thickness)","no (thickness)")))</f>
        <v/>
      </c>
      <c r="J134" s="6">
        <f>SUMIFS(Objects!$K$2:$K$1089,Objects!$B$2:$B$1089,$A134,Objects!$F$2:$F$1089,$B134,Objects!$H$2:$H$1089,$C134)/100</f>
        <v/>
      </c>
      <c r="K134" s="5">
        <f>COUNTIFS(Objects!$B$2:$B$1089,$A134,Objects!$F$2:$F$1089,$B134,Objects!$H$2:$H$1089,$C134,Objects!$I$2:$I$1089,"inferred*")</f>
        <v/>
      </c>
    </row>
    <row r="135">
      <c r="A135" s="5" t="inlineStr">
        <is>
          <t>125</t>
        </is>
      </c>
      <c r="B135" s="5" t="inlineStr">
        <is>
          <t>combined_footing</t>
        </is>
      </c>
      <c r="C135" s="5" t="inlineStr">
        <is>
          <t>SC5</t>
        </is>
      </c>
      <c r="D135" s="5">
        <f>COUNTIFS(Objects!$B$2:$B$1089,$A135,Objects!$F$2:$F$1089,$B135,Objects!$H$2:$H$1089,$C135)</f>
        <v/>
      </c>
      <c r="E135" s="5">
        <f>_xlfn.MINIFS(Objects!$K$2:$K$1089,Objects!$B$2:$B$1089,$A135,Objects!$F$2:$F$1089,$B135,Objects!$H$2:$H$1089,$C135)</f>
        <v/>
      </c>
      <c r="F135" s="5">
        <f>_xlfn.MAXIFS(Objects!$K$2:$K$1089,Objects!$B$2:$B$1089,$A135,Objects!$F$2:$F$1089,$B135,Objects!$H$2:$H$1089,$C135)</f>
        <v/>
      </c>
      <c r="G135" s="5">
        <f>_xlfn.MINIFS(Objects!$L$2:$L$1089,Objects!$B$2:$B$1089,$A135,Objects!$F$2:$F$1089,$B135,Objects!$H$2:$H$1089,$C135)</f>
        <v/>
      </c>
      <c r="H135" s="5">
        <f>_xlfn.MAXIFS(Objects!$L$2:$L$1089,Objects!$B$2:$B$1089,$A135,Objects!$F$2:$F$1089,$B135,Objects!$H$2:$H$1089,$C135)</f>
        <v/>
      </c>
      <c r="I135" s="5">
        <f>IF(OR(C135="(none)",B135="raft",B135="sump_pit"),"n/a",IF(OR(B135="column",B135="shear_wall",B135="isolated_footing",B135="combined_footing"),IF(AND(F135-E135&lt;=3,H135-G135&lt;=3),"yes","no"),IF(H135-G135&lt;=3,"yes (thickness)","no (thickness)")))</f>
        <v/>
      </c>
      <c r="J135" s="6">
        <f>SUMIFS(Objects!$K$2:$K$1089,Objects!$B$2:$B$1089,$A135,Objects!$F$2:$F$1089,$B135,Objects!$H$2:$H$1089,$C135)/100</f>
        <v/>
      </c>
      <c r="K135" s="5">
        <f>COUNTIFS(Objects!$B$2:$B$1089,$A135,Objects!$F$2:$F$1089,$B135,Objects!$H$2:$H$1089,$C135,Objects!$I$2:$I$1089,"inferred*")</f>
        <v/>
      </c>
    </row>
    <row r="136">
      <c r="A136" s="5" t="inlineStr">
        <is>
          <t>125</t>
        </is>
      </c>
      <c r="B136" s="5" t="inlineStr">
        <is>
          <t>strip_footing</t>
        </is>
      </c>
      <c r="C136" s="5" t="inlineStr">
        <is>
          <t>SF1</t>
        </is>
      </c>
      <c r="D136" s="5">
        <f>COUNTIFS(Objects!$B$2:$B$1089,$A136,Objects!$F$2:$F$1089,$B136,Objects!$H$2:$H$1089,$C136)</f>
        <v/>
      </c>
      <c r="E136" s="5">
        <f>_xlfn.MINIFS(Objects!$K$2:$K$1089,Objects!$B$2:$B$1089,$A136,Objects!$F$2:$F$1089,$B136,Objects!$H$2:$H$1089,$C136)</f>
        <v/>
      </c>
      <c r="F136" s="5">
        <f>_xlfn.MAXIFS(Objects!$K$2:$K$1089,Objects!$B$2:$B$1089,$A136,Objects!$F$2:$F$1089,$B136,Objects!$H$2:$H$1089,$C136)</f>
        <v/>
      </c>
      <c r="G136" s="5">
        <f>_xlfn.MINIFS(Objects!$L$2:$L$1089,Objects!$B$2:$B$1089,$A136,Objects!$F$2:$F$1089,$B136,Objects!$H$2:$H$1089,$C136)</f>
        <v/>
      </c>
      <c r="H136" s="5">
        <f>_xlfn.MAXIFS(Objects!$L$2:$L$1089,Objects!$B$2:$B$1089,$A136,Objects!$F$2:$F$1089,$B136,Objects!$H$2:$H$1089,$C136)</f>
        <v/>
      </c>
      <c r="I136" s="5">
        <f>IF(OR(C136="(none)",B136="raft",B136="sump_pit"),"n/a",IF(OR(B136="column",B136="shear_wall",B136="isolated_footing",B136="combined_footing"),IF(AND(F136-E136&lt;=3,H136-G136&lt;=3),"yes","no"),IF(H136-G136&lt;=3,"yes (thickness)","no (thickness)")))</f>
        <v/>
      </c>
      <c r="J136" s="6">
        <f>SUMIFS(Objects!$K$2:$K$1089,Objects!$B$2:$B$1089,$A136,Objects!$F$2:$F$1089,$B136,Objects!$H$2:$H$1089,$C136)/100</f>
        <v/>
      </c>
      <c r="K136" s="5">
        <f>COUNTIFS(Objects!$B$2:$B$1089,$A136,Objects!$F$2:$F$1089,$B136,Objects!$H$2:$H$1089,$C136,Objects!$I$2:$I$1089,"inferred*")</f>
        <v/>
      </c>
    </row>
    <row r="137">
      <c r="A137" s="5" t="inlineStr">
        <is>
          <t>125</t>
        </is>
      </c>
      <c r="B137" s="5" t="inlineStr">
        <is>
          <t>grade_beam</t>
        </is>
      </c>
      <c r="C137" s="5" t="inlineStr">
        <is>
          <t>(none)</t>
        </is>
      </c>
      <c r="D137" s="5">
        <f>COUNTIFS(Objects!$B$2:$B$1089,$A137,Objects!$F$2:$F$1089,$B137,Objects!$H$2:$H$1089,$C137)</f>
        <v/>
      </c>
      <c r="E137" s="5">
        <f>_xlfn.MINIFS(Objects!$K$2:$K$1089,Objects!$B$2:$B$1089,$A137,Objects!$F$2:$F$1089,$B137,Objects!$H$2:$H$1089,$C137)</f>
        <v/>
      </c>
      <c r="F137" s="5">
        <f>_xlfn.MAXIFS(Objects!$K$2:$K$1089,Objects!$B$2:$B$1089,$A137,Objects!$F$2:$F$1089,$B137,Objects!$H$2:$H$1089,$C137)</f>
        <v/>
      </c>
      <c r="G137" s="5">
        <f>_xlfn.MINIFS(Objects!$L$2:$L$1089,Objects!$B$2:$B$1089,$A137,Objects!$F$2:$F$1089,$B137,Objects!$H$2:$H$1089,$C137)</f>
        <v/>
      </c>
      <c r="H137" s="5">
        <f>_xlfn.MAXIFS(Objects!$L$2:$L$1089,Objects!$B$2:$B$1089,$A137,Objects!$F$2:$F$1089,$B137,Objects!$H$2:$H$1089,$C137)</f>
        <v/>
      </c>
      <c r="I137" s="5">
        <f>IF(OR(C137="(none)",B137="raft",B137="sump_pit"),"n/a",IF(OR(B137="column",B137="shear_wall",B137="isolated_footing",B137="combined_footing"),IF(AND(F137-E137&lt;=3,H137-G137&lt;=3),"yes","no"),IF(H137-G137&lt;=3,"yes (thickness)","no (thickness)")))</f>
        <v/>
      </c>
      <c r="J137" s="6">
        <f>SUMIFS(Objects!$K$2:$K$1089,Objects!$B$2:$B$1089,$A137,Objects!$F$2:$F$1089,$B137,Objects!$H$2:$H$1089,$C137)/100</f>
        <v/>
      </c>
      <c r="K137" s="5">
        <f>COUNTIFS(Objects!$B$2:$B$1089,$A137,Objects!$F$2:$F$1089,$B137,Objects!$H$2:$H$1089,$C137,Objects!$I$2:$I$1089,"inferred*")</f>
        <v/>
      </c>
    </row>
    <row r="138">
      <c r="A138" s="5" t="inlineStr">
        <is>
          <t>125</t>
        </is>
      </c>
      <c r="B138" s="5" t="inlineStr">
        <is>
          <t>grade_beam</t>
        </is>
      </c>
      <c r="C138" s="5" t="inlineStr">
        <is>
          <t>LG40x15</t>
        </is>
      </c>
      <c r="D138" s="5">
        <f>COUNTIFS(Objects!$B$2:$B$1089,$A138,Objects!$F$2:$F$1089,$B138,Objects!$H$2:$H$1089,$C138)</f>
        <v/>
      </c>
      <c r="E138" s="5">
        <f>_xlfn.MINIFS(Objects!$K$2:$K$1089,Objects!$B$2:$B$1089,$A138,Objects!$F$2:$F$1089,$B138,Objects!$H$2:$H$1089,$C138)</f>
        <v/>
      </c>
      <c r="F138" s="5">
        <f>_xlfn.MAXIFS(Objects!$K$2:$K$1089,Objects!$B$2:$B$1089,$A138,Objects!$F$2:$F$1089,$B138,Objects!$H$2:$H$1089,$C138)</f>
        <v/>
      </c>
      <c r="G138" s="5">
        <f>_xlfn.MINIFS(Objects!$L$2:$L$1089,Objects!$B$2:$B$1089,$A138,Objects!$F$2:$F$1089,$B138,Objects!$H$2:$H$1089,$C138)</f>
        <v/>
      </c>
      <c r="H138" s="5">
        <f>_xlfn.MAXIFS(Objects!$L$2:$L$1089,Objects!$B$2:$B$1089,$A138,Objects!$F$2:$F$1089,$B138,Objects!$H$2:$H$1089,$C138)</f>
        <v/>
      </c>
      <c r="I138" s="5">
        <f>IF(OR(C138="(none)",B138="raft",B138="sump_pit"),"n/a",IF(OR(B138="column",B138="shear_wall",B138="isolated_footing",B138="combined_footing"),IF(AND(F138-E138&lt;=3,H138-G138&lt;=3),"yes","no"),IF(H138-G138&lt;=3,"yes (thickness)","no (thickness)")))</f>
        <v/>
      </c>
      <c r="J138" s="6">
        <f>SUMIFS(Objects!$K$2:$K$1089,Objects!$B$2:$B$1089,$A138,Objects!$F$2:$F$1089,$B138,Objects!$H$2:$H$1089,$C138)/100</f>
        <v/>
      </c>
      <c r="K138" s="5">
        <f>COUNTIFS(Objects!$B$2:$B$1089,$A138,Objects!$F$2:$F$1089,$B138,Objects!$H$2:$H$1089,$C138,Objects!$I$2:$I$1089,"inferred*")</f>
        <v/>
      </c>
    </row>
    <row r="139">
      <c r="A139" s="5" t="inlineStr">
        <is>
          <t>125</t>
        </is>
      </c>
      <c r="B139" s="5" t="inlineStr">
        <is>
          <t>raft</t>
        </is>
      </c>
      <c r="C139" s="5" t="inlineStr">
        <is>
          <t>Radier 90</t>
        </is>
      </c>
      <c r="D139" s="5">
        <f>COUNTIFS(Objects!$B$2:$B$1089,$A139,Objects!$F$2:$F$1089,$B139,Objects!$H$2:$H$1089,$C139)</f>
        <v/>
      </c>
      <c r="E139" s="5">
        <f>_xlfn.MINIFS(Objects!$K$2:$K$1089,Objects!$B$2:$B$1089,$A139,Objects!$F$2:$F$1089,$B139,Objects!$H$2:$H$1089,$C139)</f>
        <v/>
      </c>
      <c r="F139" s="5">
        <f>_xlfn.MAXIFS(Objects!$K$2:$K$1089,Objects!$B$2:$B$1089,$A139,Objects!$F$2:$F$1089,$B139,Objects!$H$2:$H$1089,$C139)</f>
        <v/>
      </c>
      <c r="G139" s="5">
        <f>_xlfn.MINIFS(Objects!$L$2:$L$1089,Objects!$B$2:$B$1089,$A139,Objects!$F$2:$F$1089,$B139,Objects!$H$2:$H$1089,$C139)</f>
        <v/>
      </c>
      <c r="H139" s="5">
        <f>_xlfn.MAXIFS(Objects!$L$2:$L$1089,Objects!$B$2:$B$1089,$A139,Objects!$F$2:$F$1089,$B139,Objects!$H$2:$H$1089,$C139)</f>
        <v/>
      </c>
      <c r="I139" s="5">
        <f>IF(OR(C139="(none)",B139="raft",B139="sump_pit"),"n/a",IF(OR(B139="column",B139="shear_wall",B139="isolated_footing",B139="combined_footing"),IF(AND(F139-E139&lt;=3,H139-G139&lt;=3),"yes","no"),IF(H139-G139&lt;=3,"yes (thickness)","no (thickness)")))</f>
        <v/>
      </c>
      <c r="J139" s="6">
        <f>SUMIFS(Objects!$K$2:$K$1089,Objects!$B$2:$B$1089,$A139,Objects!$F$2:$F$1089,$B139,Objects!$H$2:$H$1089,$C139)/100</f>
        <v/>
      </c>
      <c r="K139" s="5">
        <f>COUNTIFS(Objects!$B$2:$B$1089,$A139,Objects!$F$2:$F$1089,$B139,Objects!$H$2:$H$1089,$C139,Objects!$I$2:$I$1089,"inferred*")</f>
        <v/>
      </c>
    </row>
    <row r="140">
      <c r="A140" s="5" t="inlineStr">
        <is>
          <t>126</t>
        </is>
      </c>
      <c r="B140" s="5" t="inlineStr">
        <is>
          <t>column</t>
        </is>
      </c>
      <c r="C140" s="5" t="inlineStr">
        <is>
          <t>P1/126</t>
        </is>
      </c>
      <c r="D140" s="5">
        <f>COUNTIFS(Objects!$B$2:$B$1089,$A140,Objects!$F$2:$F$1089,$B140,Objects!$H$2:$H$1089,$C140)</f>
        <v/>
      </c>
      <c r="E140" s="5">
        <f>_xlfn.MINIFS(Objects!$K$2:$K$1089,Objects!$B$2:$B$1089,$A140,Objects!$F$2:$F$1089,$B140,Objects!$H$2:$H$1089,$C140)</f>
        <v/>
      </c>
      <c r="F140" s="5">
        <f>_xlfn.MAXIFS(Objects!$K$2:$K$1089,Objects!$B$2:$B$1089,$A140,Objects!$F$2:$F$1089,$B140,Objects!$H$2:$H$1089,$C140)</f>
        <v/>
      </c>
      <c r="G140" s="5">
        <f>_xlfn.MINIFS(Objects!$L$2:$L$1089,Objects!$B$2:$B$1089,$A140,Objects!$F$2:$F$1089,$B140,Objects!$H$2:$H$1089,$C140)</f>
        <v/>
      </c>
      <c r="H140" s="5">
        <f>_xlfn.MAXIFS(Objects!$L$2:$L$1089,Objects!$B$2:$B$1089,$A140,Objects!$F$2:$F$1089,$B140,Objects!$H$2:$H$1089,$C140)</f>
        <v/>
      </c>
      <c r="I140" s="5">
        <f>IF(OR(C140="(none)",B140="raft",B140="sump_pit"),"n/a",IF(OR(B140="column",B140="shear_wall",B140="isolated_footing",B140="combined_footing"),IF(AND(F140-E140&lt;=3,H140-G140&lt;=3),"yes","no"),IF(H140-G140&lt;=3,"yes (thickness)","no (thickness)")))</f>
        <v/>
      </c>
      <c r="J140" s="6">
        <f>SUMIFS(Objects!$K$2:$K$1089,Objects!$B$2:$B$1089,$A140,Objects!$F$2:$F$1089,$B140,Objects!$H$2:$H$1089,$C140)/100</f>
        <v/>
      </c>
      <c r="K140" s="5">
        <f>COUNTIFS(Objects!$B$2:$B$1089,$A140,Objects!$F$2:$F$1089,$B140,Objects!$H$2:$H$1089,$C140,Objects!$I$2:$I$1089,"inferred*")</f>
        <v/>
      </c>
    </row>
    <row r="141">
      <c r="A141" s="5" t="inlineStr">
        <is>
          <t>126</t>
        </is>
      </c>
      <c r="B141" s="5" t="inlineStr">
        <is>
          <t>shear_wall</t>
        </is>
      </c>
      <c r="C141" s="5" t="inlineStr">
        <is>
          <t>V1/126</t>
        </is>
      </c>
      <c r="D141" s="5">
        <f>COUNTIFS(Objects!$B$2:$B$1089,$A141,Objects!$F$2:$F$1089,$B141,Objects!$H$2:$H$1089,$C141)</f>
        <v/>
      </c>
      <c r="E141" s="5">
        <f>_xlfn.MINIFS(Objects!$K$2:$K$1089,Objects!$B$2:$B$1089,$A141,Objects!$F$2:$F$1089,$B141,Objects!$H$2:$H$1089,$C141)</f>
        <v/>
      </c>
      <c r="F141" s="5">
        <f>_xlfn.MAXIFS(Objects!$K$2:$K$1089,Objects!$B$2:$B$1089,$A141,Objects!$F$2:$F$1089,$B141,Objects!$H$2:$H$1089,$C141)</f>
        <v/>
      </c>
      <c r="G141" s="5">
        <f>_xlfn.MINIFS(Objects!$L$2:$L$1089,Objects!$B$2:$B$1089,$A141,Objects!$F$2:$F$1089,$B141,Objects!$H$2:$H$1089,$C141)</f>
        <v/>
      </c>
      <c r="H141" s="5">
        <f>_xlfn.MAXIFS(Objects!$L$2:$L$1089,Objects!$B$2:$B$1089,$A141,Objects!$F$2:$F$1089,$B141,Objects!$H$2:$H$1089,$C141)</f>
        <v/>
      </c>
      <c r="I141" s="5">
        <f>IF(OR(C141="(none)",B141="raft",B141="sump_pit"),"n/a",IF(OR(B141="column",B141="shear_wall",B141="isolated_footing",B141="combined_footing"),IF(AND(F141-E141&lt;=3,H141-G141&lt;=3),"yes","no"),IF(H141-G141&lt;=3,"yes (thickness)","no (thickness)")))</f>
        <v/>
      </c>
      <c r="J141" s="6">
        <f>SUMIFS(Objects!$K$2:$K$1089,Objects!$B$2:$B$1089,$A141,Objects!$F$2:$F$1089,$B141,Objects!$H$2:$H$1089,$C141)/100</f>
        <v/>
      </c>
      <c r="K141" s="5">
        <f>COUNTIFS(Objects!$B$2:$B$1089,$A141,Objects!$F$2:$F$1089,$B141,Objects!$H$2:$H$1089,$C141,Objects!$I$2:$I$1089,"inferred*")</f>
        <v/>
      </c>
    </row>
    <row r="142">
      <c r="A142" s="5" t="inlineStr">
        <is>
          <t>126</t>
        </is>
      </c>
      <c r="B142" s="5" t="inlineStr">
        <is>
          <t>shear_wall</t>
        </is>
      </c>
      <c r="C142" s="5" t="inlineStr">
        <is>
          <t>V3/126</t>
        </is>
      </c>
      <c r="D142" s="5">
        <f>COUNTIFS(Objects!$B$2:$B$1089,$A142,Objects!$F$2:$F$1089,$B142,Objects!$H$2:$H$1089,$C142)</f>
        <v/>
      </c>
      <c r="E142" s="5">
        <f>_xlfn.MINIFS(Objects!$K$2:$K$1089,Objects!$B$2:$B$1089,$A142,Objects!$F$2:$F$1089,$B142,Objects!$H$2:$H$1089,$C142)</f>
        <v/>
      </c>
      <c r="F142" s="5">
        <f>_xlfn.MAXIFS(Objects!$K$2:$K$1089,Objects!$B$2:$B$1089,$A142,Objects!$F$2:$F$1089,$B142,Objects!$H$2:$H$1089,$C142)</f>
        <v/>
      </c>
      <c r="G142" s="5">
        <f>_xlfn.MINIFS(Objects!$L$2:$L$1089,Objects!$B$2:$B$1089,$A142,Objects!$F$2:$F$1089,$B142,Objects!$H$2:$H$1089,$C142)</f>
        <v/>
      </c>
      <c r="H142" s="5">
        <f>_xlfn.MAXIFS(Objects!$L$2:$L$1089,Objects!$B$2:$B$1089,$A142,Objects!$F$2:$F$1089,$B142,Objects!$H$2:$H$1089,$C142)</f>
        <v/>
      </c>
      <c r="I142" s="5">
        <f>IF(OR(C142="(none)",B142="raft",B142="sump_pit"),"n/a",IF(OR(B142="column",B142="shear_wall",B142="isolated_footing",B142="combined_footing"),IF(AND(F142-E142&lt;=3,H142-G142&lt;=3),"yes","no"),IF(H142-G142&lt;=3,"yes (thickness)","no (thickness)")))</f>
        <v/>
      </c>
      <c r="J142" s="6">
        <f>SUMIFS(Objects!$K$2:$K$1089,Objects!$B$2:$B$1089,$A142,Objects!$F$2:$F$1089,$B142,Objects!$H$2:$H$1089,$C142)/100</f>
        <v/>
      </c>
      <c r="K142" s="5">
        <f>COUNTIFS(Objects!$B$2:$B$1089,$A142,Objects!$F$2:$F$1089,$B142,Objects!$H$2:$H$1089,$C142,Objects!$I$2:$I$1089,"inferred*")</f>
        <v/>
      </c>
    </row>
    <row r="143">
      <c r="A143" s="5" t="inlineStr">
        <is>
          <t>126</t>
        </is>
      </c>
      <c r="B143" s="5" t="inlineStr">
        <is>
          <t>shear_wall</t>
        </is>
      </c>
      <c r="C143" s="5" t="inlineStr">
        <is>
          <t>V4/126</t>
        </is>
      </c>
      <c r="D143" s="5">
        <f>COUNTIFS(Objects!$B$2:$B$1089,$A143,Objects!$F$2:$F$1089,$B143,Objects!$H$2:$H$1089,$C143)</f>
        <v/>
      </c>
      <c r="E143" s="5">
        <f>_xlfn.MINIFS(Objects!$K$2:$K$1089,Objects!$B$2:$B$1089,$A143,Objects!$F$2:$F$1089,$B143,Objects!$H$2:$H$1089,$C143)</f>
        <v/>
      </c>
      <c r="F143" s="5">
        <f>_xlfn.MAXIFS(Objects!$K$2:$K$1089,Objects!$B$2:$B$1089,$A143,Objects!$F$2:$F$1089,$B143,Objects!$H$2:$H$1089,$C143)</f>
        <v/>
      </c>
      <c r="G143" s="5">
        <f>_xlfn.MINIFS(Objects!$L$2:$L$1089,Objects!$B$2:$B$1089,$A143,Objects!$F$2:$F$1089,$B143,Objects!$H$2:$H$1089,$C143)</f>
        <v/>
      </c>
      <c r="H143" s="5">
        <f>_xlfn.MAXIFS(Objects!$L$2:$L$1089,Objects!$B$2:$B$1089,$A143,Objects!$F$2:$F$1089,$B143,Objects!$H$2:$H$1089,$C143)</f>
        <v/>
      </c>
      <c r="I143" s="5">
        <f>IF(OR(C143="(none)",B143="raft",B143="sump_pit"),"n/a",IF(OR(B143="column",B143="shear_wall",B143="isolated_footing",B143="combined_footing"),IF(AND(F143-E143&lt;=3,H143-G143&lt;=3),"yes","no"),IF(H143-G143&lt;=3,"yes (thickness)","no (thickness)")))</f>
        <v/>
      </c>
      <c r="J143" s="6">
        <f>SUMIFS(Objects!$K$2:$K$1089,Objects!$B$2:$B$1089,$A143,Objects!$F$2:$F$1089,$B143,Objects!$H$2:$H$1089,$C143)/100</f>
        <v/>
      </c>
      <c r="K143" s="5">
        <f>COUNTIFS(Objects!$B$2:$B$1089,$A143,Objects!$F$2:$F$1089,$B143,Objects!$H$2:$H$1089,$C143,Objects!$I$2:$I$1089,"inferred*")</f>
        <v/>
      </c>
    </row>
    <row r="144">
      <c r="A144" s="5" t="inlineStr">
        <is>
          <t>126</t>
        </is>
      </c>
      <c r="B144" s="5" t="inlineStr">
        <is>
          <t>shear_wall</t>
        </is>
      </c>
      <c r="C144" s="5" t="inlineStr">
        <is>
          <t>V5/126</t>
        </is>
      </c>
      <c r="D144" s="5">
        <f>COUNTIFS(Objects!$B$2:$B$1089,$A144,Objects!$F$2:$F$1089,$B144,Objects!$H$2:$H$1089,$C144)</f>
        <v/>
      </c>
      <c r="E144" s="5">
        <f>_xlfn.MINIFS(Objects!$K$2:$K$1089,Objects!$B$2:$B$1089,$A144,Objects!$F$2:$F$1089,$B144,Objects!$H$2:$H$1089,$C144)</f>
        <v/>
      </c>
      <c r="F144" s="5">
        <f>_xlfn.MAXIFS(Objects!$K$2:$K$1089,Objects!$B$2:$B$1089,$A144,Objects!$F$2:$F$1089,$B144,Objects!$H$2:$H$1089,$C144)</f>
        <v/>
      </c>
      <c r="G144" s="5">
        <f>_xlfn.MINIFS(Objects!$L$2:$L$1089,Objects!$B$2:$B$1089,$A144,Objects!$F$2:$F$1089,$B144,Objects!$H$2:$H$1089,$C144)</f>
        <v/>
      </c>
      <c r="H144" s="5">
        <f>_xlfn.MAXIFS(Objects!$L$2:$L$1089,Objects!$B$2:$B$1089,$A144,Objects!$F$2:$F$1089,$B144,Objects!$H$2:$H$1089,$C144)</f>
        <v/>
      </c>
      <c r="I144" s="5">
        <f>IF(OR(C144="(none)",B144="raft",B144="sump_pit"),"n/a",IF(OR(B144="column",B144="shear_wall",B144="isolated_footing",B144="combined_footing"),IF(AND(F144-E144&lt;=3,H144-G144&lt;=3),"yes","no"),IF(H144-G144&lt;=3,"yes (thickness)","no (thickness)")))</f>
        <v/>
      </c>
      <c r="J144" s="6">
        <f>SUMIFS(Objects!$K$2:$K$1089,Objects!$B$2:$B$1089,$A144,Objects!$F$2:$F$1089,$B144,Objects!$H$2:$H$1089,$C144)/100</f>
        <v/>
      </c>
      <c r="K144" s="5">
        <f>COUNTIFS(Objects!$B$2:$B$1089,$A144,Objects!$F$2:$F$1089,$B144,Objects!$H$2:$H$1089,$C144,Objects!$I$2:$I$1089,"inferred*")</f>
        <v/>
      </c>
    </row>
    <row r="145">
      <c r="A145" s="5" t="inlineStr">
        <is>
          <t>126</t>
        </is>
      </c>
      <c r="B145" s="5" t="inlineStr">
        <is>
          <t>shear_wall</t>
        </is>
      </c>
      <c r="C145" s="5" t="inlineStr">
        <is>
          <t>V8/126</t>
        </is>
      </c>
      <c r="D145" s="5">
        <f>COUNTIFS(Objects!$B$2:$B$1089,$A145,Objects!$F$2:$F$1089,$B145,Objects!$H$2:$H$1089,$C145)</f>
        <v/>
      </c>
      <c r="E145" s="5">
        <f>_xlfn.MINIFS(Objects!$K$2:$K$1089,Objects!$B$2:$B$1089,$A145,Objects!$F$2:$F$1089,$B145,Objects!$H$2:$H$1089,$C145)</f>
        <v/>
      </c>
      <c r="F145" s="5">
        <f>_xlfn.MAXIFS(Objects!$K$2:$K$1089,Objects!$B$2:$B$1089,$A145,Objects!$F$2:$F$1089,$B145,Objects!$H$2:$H$1089,$C145)</f>
        <v/>
      </c>
      <c r="G145" s="5">
        <f>_xlfn.MINIFS(Objects!$L$2:$L$1089,Objects!$B$2:$B$1089,$A145,Objects!$F$2:$F$1089,$B145,Objects!$H$2:$H$1089,$C145)</f>
        <v/>
      </c>
      <c r="H145" s="5">
        <f>_xlfn.MAXIFS(Objects!$L$2:$L$1089,Objects!$B$2:$B$1089,$A145,Objects!$F$2:$F$1089,$B145,Objects!$H$2:$H$1089,$C145)</f>
        <v/>
      </c>
      <c r="I145" s="5">
        <f>IF(OR(C145="(none)",B145="raft",B145="sump_pit"),"n/a",IF(OR(B145="column",B145="shear_wall",B145="isolated_footing",B145="combined_footing"),IF(AND(F145-E145&lt;=3,H145-G145&lt;=3),"yes","no"),IF(H145-G145&lt;=3,"yes (thickness)","no (thickness)")))</f>
        <v/>
      </c>
      <c r="J145" s="6">
        <f>SUMIFS(Objects!$K$2:$K$1089,Objects!$B$2:$B$1089,$A145,Objects!$F$2:$F$1089,$B145,Objects!$H$2:$H$1089,$C145)/100</f>
        <v/>
      </c>
      <c r="K145" s="5">
        <f>COUNTIFS(Objects!$B$2:$B$1089,$A145,Objects!$F$2:$F$1089,$B145,Objects!$H$2:$H$1089,$C145,Objects!$I$2:$I$1089,"inferred*")</f>
        <v/>
      </c>
    </row>
    <row r="146">
      <c r="A146" s="5" t="inlineStr">
        <is>
          <t>126</t>
        </is>
      </c>
      <c r="B146" s="5" t="inlineStr">
        <is>
          <t>retaining_wall</t>
        </is>
      </c>
      <c r="C146" s="5" t="inlineStr">
        <is>
          <t>VP20</t>
        </is>
      </c>
      <c r="D146" s="5">
        <f>COUNTIFS(Objects!$B$2:$B$1089,$A146,Objects!$F$2:$F$1089,$B146,Objects!$H$2:$H$1089,$C146)</f>
        <v/>
      </c>
      <c r="E146" s="5">
        <f>_xlfn.MINIFS(Objects!$K$2:$K$1089,Objects!$B$2:$B$1089,$A146,Objects!$F$2:$F$1089,$B146,Objects!$H$2:$H$1089,$C146)</f>
        <v/>
      </c>
      <c r="F146" s="5">
        <f>_xlfn.MAXIFS(Objects!$K$2:$K$1089,Objects!$B$2:$B$1089,$A146,Objects!$F$2:$F$1089,$B146,Objects!$H$2:$H$1089,$C146)</f>
        <v/>
      </c>
      <c r="G146" s="5">
        <f>_xlfn.MINIFS(Objects!$L$2:$L$1089,Objects!$B$2:$B$1089,$A146,Objects!$F$2:$F$1089,$B146,Objects!$H$2:$H$1089,$C146)</f>
        <v/>
      </c>
      <c r="H146" s="5">
        <f>_xlfn.MAXIFS(Objects!$L$2:$L$1089,Objects!$B$2:$B$1089,$A146,Objects!$F$2:$F$1089,$B146,Objects!$H$2:$H$1089,$C146)</f>
        <v/>
      </c>
      <c r="I146" s="5">
        <f>IF(OR(C146="(none)",B146="raft",B146="sump_pit"),"n/a",IF(OR(B146="column",B146="shear_wall",B146="isolated_footing",B146="combined_footing"),IF(AND(F146-E146&lt;=3,H146-G146&lt;=3),"yes","no"),IF(H146-G146&lt;=3,"yes (thickness)","no (thickness)")))</f>
        <v/>
      </c>
      <c r="J146" s="6">
        <f>SUMIFS(Objects!$K$2:$K$1089,Objects!$B$2:$B$1089,$A146,Objects!$F$2:$F$1089,$B146,Objects!$H$2:$H$1089,$C146)/100</f>
        <v/>
      </c>
      <c r="K146" s="5">
        <f>COUNTIFS(Objects!$B$2:$B$1089,$A146,Objects!$F$2:$F$1089,$B146,Objects!$H$2:$H$1089,$C146,Objects!$I$2:$I$1089,"inferred*")</f>
        <v/>
      </c>
    </row>
    <row r="147">
      <c r="A147" s="5" t="inlineStr">
        <is>
          <t>126</t>
        </is>
      </c>
      <c r="B147" s="5" t="inlineStr">
        <is>
          <t>isolated_footing</t>
        </is>
      </c>
      <c r="C147" s="5" t="inlineStr">
        <is>
          <t>(none)</t>
        </is>
      </c>
      <c r="D147" s="5">
        <f>COUNTIFS(Objects!$B$2:$B$1089,$A147,Objects!$F$2:$F$1089,$B147,Objects!$H$2:$H$1089,$C147)</f>
        <v/>
      </c>
      <c r="E147" s="5">
        <f>_xlfn.MINIFS(Objects!$K$2:$K$1089,Objects!$B$2:$B$1089,$A147,Objects!$F$2:$F$1089,$B147,Objects!$H$2:$H$1089,$C147)</f>
        <v/>
      </c>
      <c r="F147" s="5">
        <f>_xlfn.MAXIFS(Objects!$K$2:$K$1089,Objects!$B$2:$B$1089,$A147,Objects!$F$2:$F$1089,$B147,Objects!$H$2:$H$1089,$C147)</f>
        <v/>
      </c>
      <c r="G147" s="5">
        <f>_xlfn.MINIFS(Objects!$L$2:$L$1089,Objects!$B$2:$B$1089,$A147,Objects!$F$2:$F$1089,$B147,Objects!$H$2:$H$1089,$C147)</f>
        <v/>
      </c>
      <c r="H147" s="5">
        <f>_xlfn.MAXIFS(Objects!$L$2:$L$1089,Objects!$B$2:$B$1089,$A147,Objects!$F$2:$F$1089,$B147,Objects!$H$2:$H$1089,$C147)</f>
        <v/>
      </c>
      <c r="I147" s="5">
        <f>IF(OR(C147="(none)",B147="raft",B147="sump_pit"),"n/a",IF(OR(B147="column",B147="shear_wall",B147="isolated_footing",B147="combined_footing"),IF(AND(F147-E147&lt;=3,H147-G147&lt;=3),"yes","no"),IF(H147-G147&lt;=3,"yes (thickness)","no (thickness)")))</f>
        <v/>
      </c>
      <c r="J147" s="6">
        <f>SUMIFS(Objects!$K$2:$K$1089,Objects!$B$2:$B$1089,$A147,Objects!$F$2:$F$1089,$B147,Objects!$H$2:$H$1089,$C147)/100</f>
        <v/>
      </c>
      <c r="K147" s="5">
        <f>COUNTIFS(Objects!$B$2:$B$1089,$A147,Objects!$F$2:$F$1089,$B147,Objects!$H$2:$H$1089,$C147,Objects!$I$2:$I$1089,"inferred*")</f>
        <v/>
      </c>
    </row>
    <row r="148">
      <c r="A148" s="5" t="inlineStr">
        <is>
          <t>126</t>
        </is>
      </c>
      <c r="B148" s="5" t="inlineStr">
        <is>
          <t>isolated_footing</t>
        </is>
      </c>
      <c r="C148" s="5" t="inlineStr">
        <is>
          <t>S10</t>
        </is>
      </c>
      <c r="D148" s="5">
        <f>COUNTIFS(Objects!$B$2:$B$1089,$A148,Objects!$F$2:$F$1089,$B148,Objects!$H$2:$H$1089,$C148)</f>
        <v/>
      </c>
      <c r="E148" s="5">
        <f>_xlfn.MINIFS(Objects!$K$2:$K$1089,Objects!$B$2:$B$1089,$A148,Objects!$F$2:$F$1089,$B148,Objects!$H$2:$H$1089,$C148)</f>
        <v/>
      </c>
      <c r="F148" s="5">
        <f>_xlfn.MAXIFS(Objects!$K$2:$K$1089,Objects!$B$2:$B$1089,$A148,Objects!$F$2:$F$1089,$B148,Objects!$H$2:$H$1089,$C148)</f>
        <v/>
      </c>
      <c r="G148" s="5">
        <f>_xlfn.MINIFS(Objects!$L$2:$L$1089,Objects!$B$2:$B$1089,$A148,Objects!$F$2:$F$1089,$B148,Objects!$H$2:$H$1089,$C148)</f>
        <v/>
      </c>
      <c r="H148" s="5">
        <f>_xlfn.MAXIFS(Objects!$L$2:$L$1089,Objects!$B$2:$B$1089,$A148,Objects!$F$2:$F$1089,$B148,Objects!$H$2:$H$1089,$C148)</f>
        <v/>
      </c>
      <c r="I148" s="5">
        <f>IF(OR(C148="(none)",B148="raft",B148="sump_pit"),"n/a",IF(OR(B148="column",B148="shear_wall",B148="isolated_footing",B148="combined_footing"),IF(AND(F148-E148&lt;=3,H148-G148&lt;=3),"yes","no"),IF(H148-G148&lt;=3,"yes (thickness)","no (thickness)")))</f>
        <v/>
      </c>
      <c r="J148" s="6">
        <f>SUMIFS(Objects!$K$2:$K$1089,Objects!$B$2:$B$1089,$A148,Objects!$F$2:$F$1089,$B148,Objects!$H$2:$H$1089,$C148)/100</f>
        <v/>
      </c>
      <c r="K148" s="5">
        <f>COUNTIFS(Objects!$B$2:$B$1089,$A148,Objects!$F$2:$F$1089,$B148,Objects!$H$2:$H$1089,$C148,Objects!$I$2:$I$1089,"inferred*")</f>
        <v/>
      </c>
    </row>
    <row r="149">
      <c r="A149" s="5" t="inlineStr">
        <is>
          <t>126</t>
        </is>
      </c>
      <c r="B149" s="5" t="inlineStr">
        <is>
          <t>isolated_footing</t>
        </is>
      </c>
      <c r="C149" s="5" t="inlineStr">
        <is>
          <t>S11</t>
        </is>
      </c>
      <c r="D149" s="5">
        <f>COUNTIFS(Objects!$B$2:$B$1089,$A149,Objects!$F$2:$F$1089,$B149,Objects!$H$2:$H$1089,$C149)</f>
        <v/>
      </c>
      <c r="E149" s="5">
        <f>_xlfn.MINIFS(Objects!$K$2:$K$1089,Objects!$B$2:$B$1089,$A149,Objects!$F$2:$F$1089,$B149,Objects!$H$2:$H$1089,$C149)</f>
        <v/>
      </c>
      <c r="F149" s="5">
        <f>_xlfn.MAXIFS(Objects!$K$2:$K$1089,Objects!$B$2:$B$1089,$A149,Objects!$F$2:$F$1089,$B149,Objects!$H$2:$H$1089,$C149)</f>
        <v/>
      </c>
      <c r="G149" s="5">
        <f>_xlfn.MINIFS(Objects!$L$2:$L$1089,Objects!$B$2:$B$1089,$A149,Objects!$F$2:$F$1089,$B149,Objects!$H$2:$H$1089,$C149)</f>
        <v/>
      </c>
      <c r="H149" s="5">
        <f>_xlfn.MAXIFS(Objects!$L$2:$L$1089,Objects!$B$2:$B$1089,$A149,Objects!$F$2:$F$1089,$B149,Objects!$H$2:$H$1089,$C149)</f>
        <v/>
      </c>
      <c r="I149" s="5">
        <f>IF(OR(C149="(none)",B149="raft",B149="sump_pit"),"n/a",IF(OR(B149="column",B149="shear_wall",B149="isolated_footing",B149="combined_footing"),IF(AND(F149-E149&lt;=3,H149-G149&lt;=3),"yes","no"),IF(H149-G149&lt;=3,"yes (thickness)","no (thickness)")))</f>
        <v/>
      </c>
      <c r="J149" s="6">
        <f>SUMIFS(Objects!$K$2:$K$1089,Objects!$B$2:$B$1089,$A149,Objects!$F$2:$F$1089,$B149,Objects!$H$2:$H$1089,$C149)/100</f>
        <v/>
      </c>
      <c r="K149" s="5">
        <f>COUNTIFS(Objects!$B$2:$B$1089,$A149,Objects!$F$2:$F$1089,$B149,Objects!$H$2:$H$1089,$C149,Objects!$I$2:$I$1089,"inferred*")</f>
        <v/>
      </c>
    </row>
    <row r="150">
      <c r="A150" s="5" t="inlineStr">
        <is>
          <t>126</t>
        </is>
      </c>
      <c r="B150" s="5" t="inlineStr">
        <is>
          <t>isolated_footing</t>
        </is>
      </c>
      <c r="C150" s="5" t="inlineStr">
        <is>
          <t>S2</t>
        </is>
      </c>
      <c r="D150" s="5">
        <f>COUNTIFS(Objects!$B$2:$B$1089,$A150,Objects!$F$2:$F$1089,$B150,Objects!$H$2:$H$1089,$C150)</f>
        <v/>
      </c>
      <c r="E150" s="5">
        <f>_xlfn.MINIFS(Objects!$K$2:$K$1089,Objects!$B$2:$B$1089,$A150,Objects!$F$2:$F$1089,$B150,Objects!$H$2:$H$1089,$C150)</f>
        <v/>
      </c>
      <c r="F150" s="5">
        <f>_xlfn.MAXIFS(Objects!$K$2:$K$1089,Objects!$B$2:$B$1089,$A150,Objects!$F$2:$F$1089,$B150,Objects!$H$2:$H$1089,$C150)</f>
        <v/>
      </c>
      <c r="G150" s="5">
        <f>_xlfn.MINIFS(Objects!$L$2:$L$1089,Objects!$B$2:$B$1089,$A150,Objects!$F$2:$F$1089,$B150,Objects!$H$2:$H$1089,$C150)</f>
        <v/>
      </c>
      <c r="H150" s="5">
        <f>_xlfn.MAXIFS(Objects!$L$2:$L$1089,Objects!$B$2:$B$1089,$A150,Objects!$F$2:$F$1089,$B150,Objects!$H$2:$H$1089,$C150)</f>
        <v/>
      </c>
      <c r="I150" s="5">
        <f>IF(OR(C150="(none)",B150="raft",B150="sump_pit"),"n/a",IF(OR(B150="column",B150="shear_wall",B150="isolated_footing",B150="combined_footing"),IF(AND(F150-E150&lt;=3,H150-G150&lt;=3),"yes","no"),IF(H150-G150&lt;=3,"yes (thickness)","no (thickness)")))</f>
        <v/>
      </c>
      <c r="J150" s="6">
        <f>SUMIFS(Objects!$K$2:$K$1089,Objects!$B$2:$B$1089,$A150,Objects!$F$2:$F$1089,$B150,Objects!$H$2:$H$1089,$C150)/100</f>
        <v/>
      </c>
      <c r="K150" s="5">
        <f>COUNTIFS(Objects!$B$2:$B$1089,$A150,Objects!$F$2:$F$1089,$B150,Objects!$H$2:$H$1089,$C150,Objects!$I$2:$I$1089,"inferred*")</f>
        <v/>
      </c>
    </row>
    <row r="151">
      <c r="A151" s="5" t="inlineStr">
        <is>
          <t>126</t>
        </is>
      </c>
      <c r="B151" s="5" t="inlineStr">
        <is>
          <t>isolated_footing</t>
        </is>
      </c>
      <c r="C151" s="5" t="inlineStr">
        <is>
          <t>S7</t>
        </is>
      </c>
      <c r="D151" s="5">
        <f>COUNTIFS(Objects!$B$2:$B$1089,$A151,Objects!$F$2:$F$1089,$B151,Objects!$H$2:$H$1089,$C151)</f>
        <v/>
      </c>
      <c r="E151" s="5">
        <f>_xlfn.MINIFS(Objects!$K$2:$K$1089,Objects!$B$2:$B$1089,$A151,Objects!$F$2:$F$1089,$B151,Objects!$H$2:$H$1089,$C151)</f>
        <v/>
      </c>
      <c r="F151" s="5">
        <f>_xlfn.MAXIFS(Objects!$K$2:$K$1089,Objects!$B$2:$B$1089,$A151,Objects!$F$2:$F$1089,$B151,Objects!$H$2:$H$1089,$C151)</f>
        <v/>
      </c>
      <c r="G151" s="5">
        <f>_xlfn.MINIFS(Objects!$L$2:$L$1089,Objects!$B$2:$B$1089,$A151,Objects!$F$2:$F$1089,$B151,Objects!$H$2:$H$1089,$C151)</f>
        <v/>
      </c>
      <c r="H151" s="5">
        <f>_xlfn.MAXIFS(Objects!$L$2:$L$1089,Objects!$B$2:$B$1089,$A151,Objects!$F$2:$F$1089,$B151,Objects!$H$2:$H$1089,$C151)</f>
        <v/>
      </c>
      <c r="I151" s="5">
        <f>IF(OR(C151="(none)",B151="raft",B151="sump_pit"),"n/a",IF(OR(B151="column",B151="shear_wall",B151="isolated_footing",B151="combined_footing"),IF(AND(F151-E151&lt;=3,H151-G151&lt;=3),"yes","no"),IF(H151-G151&lt;=3,"yes (thickness)","no (thickness)")))</f>
        <v/>
      </c>
      <c r="J151" s="6">
        <f>SUMIFS(Objects!$K$2:$K$1089,Objects!$B$2:$B$1089,$A151,Objects!$F$2:$F$1089,$B151,Objects!$H$2:$H$1089,$C151)/100</f>
        <v/>
      </c>
      <c r="K151" s="5">
        <f>COUNTIFS(Objects!$B$2:$B$1089,$A151,Objects!$F$2:$F$1089,$B151,Objects!$H$2:$H$1089,$C151,Objects!$I$2:$I$1089,"inferred*")</f>
        <v/>
      </c>
    </row>
    <row r="152">
      <c r="A152" s="5" t="inlineStr">
        <is>
          <t>126</t>
        </is>
      </c>
      <c r="B152" s="5" t="inlineStr">
        <is>
          <t>combined_footing</t>
        </is>
      </c>
      <c r="C152" s="5" t="inlineStr">
        <is>
          <t>SC1</t>
        </is>
      </c>
      <c r="D152" s="5">
        <f>COUNTIFS(Objects!$B$2:$B$1089,$A152,Objects!$F$2:$F$1089,$B152,Objects!$H$2:$H$1089,$C152)</f>
        <v/>
      </c>
      <c r="E152" s="5">
        <f>_xlfn.MINIFS(Objects!$K$2:$K$1089,Objects!$B$2:$B$1089,$A152,Objects!$F$2:$F$1089,$B152,Objects!$H$2:$H$1089,$C152)</f>
        <v/>
      </c>
      <c r="F152" s="5">
        <f>_xlfn.MAXIFS(Objects!$K$2:$K$1089,Objects!$B$2:$B$1089,$A152,Objects!$F$2:$F$1089,$B152,Objects!$H$2:$H$1089,$C152)</f>
        <v/>
      </c>
      <c r="G152" s="5">
        <f>_xlfn.MINIFS(Objects!$L$2:$L$1089,Objects!$B$2:$B$1089,$A152,Objects!$F$2:$F$1089,$B152,Objects!$H$2:$H$1089,$C152)</f>
        <v/>
      </c>
      <c r="H152" s="5">
        <f>_xlfn.MAXIFS(Objects!$L$2:$L$1089,Objects!$B$2:$B$1089,$A152,Objects!$F$2:$F$1089,$B152,Objects!$H$2:$H$1089,$C152)</f>
        <v/>
      </c>
      <c r="I152" s="5">
        <f>IF(OR(C152="(none)",B152="raft",B152="sump_pit"),"n/a",IF(OR(B152="column",B152="shear_wall",B152="isolated_footing",B152="combined_footing"),IF(AND(F152-E152&lt;=3,H152-G152&lt;=3),"yes","no"),IF(H152-G152&lt;=3,"yes (thickness)","no (thickness)")))</f>
        <v/>
      </c>
      <c r="J152" s="6">
        <f>SUMIFS(Objects!$K$2:$K$1089,Objects!$B$2:$B$1089,$A152,Objects!$F$2:$F$1089,$B152,Objects!$H$2:$H$1089,$C152)/100</f>
        <v/>
      </c>
      <c r="K152" s="5">
        <f>COUNTIFS(Objects!$B$2:$B$1089,$A152,Objects!$F$2:$F$1089,$B152,Objects!$H$2:$H$1089,$C152,Objects!$I$2:$I$1089,"inferred*")</f>
        <v/>
      </c>
    </row>
    <row r="153">
      <c r="A153" s="5" t="inlineStr">
        <is>
          <t>126</t>
        </is>
      </c>
      <c r="B153" s="5" t="inlineStr">
        <is>
          <t>combined_footing</t>
        </is>
      </c>
      <c r="C153" s="5" t="inlineStr">
        <is>
          <t>SC2</t>
        </is>
      </c>
      <c r="D153" s="5">
        <f>COUNTIFS(Objects!$B$2:$B$1089,$A153,Objects!$F$2:$F$1089,$B153,Objects!$H$2:$H$1089,$C153)</f>
        <v/>
      </c>
      <c r="E153" s="5">
        <f>_xlfn.MINIFS(Objects!$K$2:$K$1089,Objects!$B$2:$B$1089,$A153,Objects!$F$2:$F$1089,$B153,Objects!$H$2:$H$1089,$C153)</f>
        <v/>
      </c>
      <c r="F153" s="5">
        <f>_xlfn.MAXIFS(Objects!$K$2:$K$1089,Objects!$B$2:$B$1089,$A153,Objects!$F$2:$F$1089,$B153,Objects!$H$2:$H$1089,$C153)</f>
        <v/>
      </c>
      <c r="G153" s="5">
        <f>_xlfn.MINIFS(Objects!$L$2:$L$1089,Objects!$B$2:$B$1089,$A153,Objects!$F$2:$F$1089,$B153,Objects!$H$2:$H$1089,$C153)</f>
        <v/>
      </c>
      <c r="H153" s="5">
        <f>_xlfn.MAXIFS(Objects!$L$2:$L$1089,Objects!$B$2:$B$1089,$A153,Objects!$F$2:$F$1089,$B153,Objects!$H$2:$H$1089,$C153)</f>
        <v/>
      </c>
      <c r="I153" s="5">
        <f>IF(OR(C153="(none)",B153="raft",B153="sump_pit"),"n/a",IF(OR(B153="column",B153="shear_wall",B153="isolated_footing",B153="combined_footing"),IF(AND(F153-E153&lt;=3,H153-G153&lt;=3),"yes","no"),IF(H153-G153&lt;=3,"yes (thickness)","no (thickness)")))</f>
        <v/>
      </c>
      <c r="J153" s="6">
        <f>SUMIFS(Objects!$K$2:$K$1089,Objects!$B$2:$B$1089,$A153,Objects!$F$2:$F$1089,$B153,Objects!$H$2:$H$1089,$C153)/100</f>
        <v/>
      </c>
      <c r="K153" s="5">
        <f>COUNTIFS(Objects!$B$2:$B$1089,$A153,Objects!$F$2:$F$1089,$B153,Objects!$H$2:$H$1089,$C153,Objects!$I$2:$I$1089,"inferred*")</f>
        <v/>
      </c>
    </row>
    <row r="154">
      <c r="A154" s="5" t="inlineStr">
        <is>
          <t>126</t>
        </is>
      </c>
      <c r="B154" s="5" t="inlineStr">
        <is>
          <t>strip_footing</t>
        </is>
      </c>
      <c r="C154" s="5" t="inlineStr">
        <is>
          <t>SF1</t>
        </is>
      </c>
      <c r="D154" s="5">
        <f>COUNTIFS(Objects!$B$2:$B$1089,$A154,Objects!$F$2:$F$1089,$B154,Objects!$H$2:$H$1089,$C154)</f>
        <v/>
      </c>
      <c r="E154" s="5">
        <f>_xlfn.MINIFS(Objects!$K$2:$K$1089,Objects!$B$2:$B$1089,$A154,Objects!$F$2:$F$1089,$B154,Objects!$H$2:$H$1089,$C154)</f>
        <v/>
      </c>
      <c r="F154" s="5">
        <f>_xlfn.MAXIFS(Objects!$K$2:$K$1089,Objects!$B$2:$B$1089,$A154,Objects!$F$2:$F$1089,$B154,Objects!$H$2:$H$1089,$C154)</f>
        <v/>
      </c>
      <c r="G154" s="5">
        <f>_xlfn.MINIFS(Objects!$L$2:$L$1089,Objects!$B$2:$B$1089,$A154,Objects!$F$2:$F$1089,$B154,Objects!$H$2:$H$1089,$C154)</f>
        <v/>
      </c>
      <c r="H154" s="5">
        <f>_xlfn.MAXIFS(Objects!$L$2:$L$1089,Objects!$B$2:$B$1089,$A154,Objects!$F$2:$F$1089,$B154,Objects!$H$2:$H$1089,$C154)</f>
        <v/>
      </c>
      <c r="I154" s="5">
        <f>IF(OR(C154="(none)",B154="raft",B154="sump_pit"),"n/a",IF(OR(B154="column",B154="shear_wall",B154="isolated_footing",B154="combined_footing"),IF(AND(F154-E154&lt;=3,H154-G154&lt;=3),"yes","no"),IF(H154-G154&lt;=3,"yes (thickness)","no (thickness)")))</f>
        <v/>
      </c>
      <c r="J154" s="6">
        <f>SUMIFS(Objects!$K$2:$K$1089,Objects!$B$2:$B$1089,$A154,Objects!$F$2:$F$1089,$B154,Objects!$H$2:$H$1089,$C154)/100</f>
        <v/>
      </c>
      <c r="K154" s="5">
        <f>COUNTIFS(Objects!$B$2:$B$1089,$A154,Objects!$F$2:$F$1089,$B154,Objects!$H$2:$H$1089,$C154,Objects!$I$2:$I$1089,"inferred*")</f>
        <v/>
      </c>
    </row>
    <row r="155">
      <c r="A155" s="5" t="inlineStr">
        <is>
          <t>126</t>
        </is>
      </c>
      <c r="B155" s="5" t="inlineStr">
        <is>
          <t>grade_beam</t>
        </is>
      </c>
      <c r="C155" s="5" t="inlineStr">
        <is>
          <t>(none)</t>
        </is>
      </c>
      <c r="D155" s="5">
        <f>COUNTIFS(Objects!$B$2:$B$1089,$A155,Objects!$F$2:$F$1089,$B155,Objects!$H$2:$H$1089,$C155)</f>
        <v/>
      </c>
      <c r="E155" s="5">
        <f>_xlfn.MINIFS(Objects!$K$2:$K$1089,Objects!$B$2:$B$1089,$A155,Objects!$F$2:$F$1089,$B155,Objects!$H$2:$H$1089,$C155)</f>
        <v/>
      </c>
      <c r="F155" s="5">
        <f>_xlfn.MAXIFS(Objects!$K$2:$K$1089,Objects!$B$2:$B$1089,$A155,Objects!$F$2:$F$1089,$B155,Objects!$H$2:$H$1089,$C155)</f>
        <v/>
      </c>
      <c r="G155" s="5">
        <f>_xlfn.MINIFS(Objects!$L$2:$L$1089,Objects!$B$2:$B$1089,$A155,Objects!$F$2:$F$1089,$B155,Objects!$H$2:$H$1089,$C155)</f>
        <v/>
      </c>
      <c r="H155" s="5">
        <f>_xlfn.MAXIFS(Objects!$L$2:$L$1089,Objects!$B$2:$B$1089,$A155,Objects!$F$2:$F$1089,$B155,Objects!$H$2:$H$1089,$C155)</f>
        <v/>
      </c>
      <c r="I155" s="5">
        <f>IF(OR(C155="(none)",B155="raft",B155="sump_pit"),"n/a",IF(OR(B155="column",B155="shear_wall",B155="isolated_footing",B155="combined_footing"),IF(AND(F155-E155&lt;=3,H155-G155&lt;=3),"yes","no"),IF(H155-G155&lt;=3,"yes (thickness)","no (thickness)")))</f>
        <v/>
      </c>
      <c r="J155" s="6">
        <f>SUMIFS(Objects!$K$2:$K$1089,Objects!$B$2:$B$1089,$A155,Objects!$F$2:$F$1089,$B155,Objects!$H$2:$H$1089,$C155)/100</f>
        <v/>
      </c>
      <c r="K155" s="5">
        <f>COUNTIFS(Objects!$B$2:$B$1089,$A155,Objects!$F$2:$F$1089,$B155,Objects!$H$2:$H$1089,$C155,Objects!$I$2:$I$1089,"inferred*")</f>
        <v/>
      </c>
    </row>
    <row r="156">
      <c r="A156" s="5" t="inlineStr">
        <is>
          <t>126</t>
        </is>
      </c>
      <c r="B156" s="5" t="inlineStr">
        <is>
          <t>grade_beam</t>
        </is>
      </c>
      <c r="C156" s="5" t="inlineStr">
        <is>
          <t>LG40x15</t>
        </is>
      </c>
      <c r="D156" s="5">
        <f>COUNTIFS(Objects!$B$2:$B$1089,$A156,Objects!$F$2:$F$1089,$B156,Objects!$H$2:$H$1089,$C156)</f>
        <v/>
      </c>
      <c r="E156" s="5">
        <f>_xlfn.MINIFS(Objects!$K$2:$K$1089,Objects!$B$2:$B$1089,$A156,Objects!$F$2:$F$1089,$B156,Objects!$H$2:$H$1089,$C156)</f>
        <v/>
      </c>
      <c r="F156" s="5">
        <f>_xlfn.MAXIFS(Objects!$K$2:$K$1089,Objects!$B$2:$B$1089,$A156,Objects!$F$2:$F$1089,$B156,Objects!$H$2:$H$1089,$C156)</f>
        <v/>
      </c>
      <c r="G156" s="5">
        <f>_xlfn.MINIFS(Objects!$L$2:$L$1089,Objects!$B$2:$B$1089,$A156,Objects!$F$2:$F$1089,$B156,Objects!$H$2:$H$1089,$C156)</f>
        <v/>
      </c>
      <c r="H156" s="5">
        <f>_xlfn.MAXIFS(Objects!$L$2:$L$1089,Objects!$B$2:$B$1089,$A156,Objects!$F$2:$F$1089,$B156,Objects!$H$2:$H$1089,$C156)</f>
        <v/>
      </c>
      <c r="I156" s="5">
        <f>IF(OR(C156="(none)",B156="raft",B156="sump_pit"),"n/a",IF(OR(B156="column",B156="shear_wall",B156="isolated_footing",B156="combined_footing"),IF(AND(F156-E156&lt;=3,H156-G156&lt;=3),"yes","no"),IF(H156-G156&lt;=3,"yes (thickness)","no (thickness)")))</f>
        <v/>
      </c>
      <c r="J156" s="6">
        <f>SUMIFS(Objects!$K$2:$K$1089,Objects!$B$2:$B$1089,$A156,Objects!$F$2:$F$1089,$B156,Objects!$H$2:$H$1089,$C156)/100</f>
        <v/>
      </c>
      <c r="K156" s="5">
        <f>COUNTIFS(Objects!$B$2:$B$1089,$A156,Objects!$F$2:$F$1089,$B156,Objects!$H$2:$H$1089,$C156,Objects!$I$2:$I$1089,"inferred*")</f>
        <v/>
      </c>
    </row>
    <row r="157">
      <c r="A157" s="5" t="inlineStr">
        <is>
          <t>127</t>
        </is>
      </c>
      <c r="B157" s="5" t="inlineStr">
        <is>
          <t>column</t>
        </is>
      </c>
      <c r="C157" s="5" t="inlineStr">
        <is>
          <t>P1/127</t>
        </is>
      </c>
      <c r="D157" s="5">
        <f>COUNTIFS(Objects!$B$2:$B$1089,$A157,Objects!$F$2:$F$1089,$B157,Objects!$H$2:$H$1089,$C157)</f>
        <v/>
      </c>
      <c r="E157" s="5">
        <f>_xlfn.MINIFS(Objects!$K$2:$K$1089,Objects!$B$2:$B$1089,$A157,Objects!$F$2:$F$1089,$B157,Objects!$H$2:$H$1089,$C157)</f>
        <v/>
      </c>
      <c r="F157" s="5">
        <f>_xlfn.MAXIFS(Objects!$K$2:$K$1089,Objects!$B$2:$B$1089,$A157,Objects!$F$2:$F$1089,$B157,Objects!$H$2:$H$1089,$C157)</f>
        <v/>
      </c>
      <c r="G157" s="5">
        <f>_xlfn.MINIFS(Objects!$L$2:$L$1089,Objects!$B$2:$B$1089,$A157,Objects!$F$2:$F$1089,$B157,Objects!$H$2:$H$1089,$C157)</f>
        <v/>
      </c>
      <c r="H157" s="5">
        <f>_xlfn.MAXIFS(Objects!$L$2:$L$1089,Objects!$B$2:$B$1089,$A157,Objects!$F$2:$F$1089,$B157,Objects!$H$2:$H$1089,$C157)</f>
        <v/>
      </c>
      <c r="I157" s="5">
        <f>IF(OR(C157="(none)",B157="raft",B157="sump_pit"),"n/a",IF(OR(B157="column",B157="shear_wall",B157="isolated_footing",B157="combined_footing"),IF(AND(F157-E157&lt;=3,H157-G157&lt;=3),"yes","no"),IF(H157-G157&lt;=3,"yes (thickness)","no (thickness)")))</f>
        <v/>
      </c>
      <c r="J157" s="6">
        <f>SUMIFS(Objects!$K$2:$K$1089,Objects!$B$2:$B$1089,$A157,Objects!$F$2:$F$1089,$B157,Objects!$H$2:$H$1089,$C157)/100</f>
        <v/>
      </c>
      <c r="K157" s="5">
        <f>COUNTIFS(Objects!$B$2:$B$1089,$A157,Objects!$F$2:$F$1089,$B157,Objects!$H$2:$H$1089,$C157,Objects!$I$2:$I$1089,"inferred*")</f>
        <v/>
      </c>
    </row>
    <row r="158">
      <c r="A158" s="5" t="inlineStr">
        <is>
          <t>127</t>
        </is>
      </c>
      <c r="B158" s="5" t="inlineStr">
        <is>
          <t>shear_wall</t>
        </is>
      </c>
      <c r="C158" s="5" t="inlineStr">
        <is>
          <t>(none)</t>
        </is>
      </c>
      <c r="D158" s="5">
        <f>COUNTIFS(Objects!$B$2:$B$1089,$A158,Objects!$F$2:$F$1089,$B158,Objects!$H$2:$H$1089,$C158)</f>
        <v/>
      </c>
      <c r="E158" s="5">
        <f>_xlfn.MINIFS(Objects!$K$2:$K$1089,Objects!$B$2:$B$1089,$A158,Objects!$F$2:$F$1089,$B158,Objects!$H$2:$H$1089,$C158)</f>
        <v/>
      </c>
      <c r="F158" s="5">
        <f>_xlfn.MAXIFS(Objects!$K$2:$K$1089,Objects!$B$2:$B$1089,$A158,Objects!$F$2:$F$1089,$B158,Objects!$H$2:$H$1089,$C158)</f>
        <v/>
      </c>
      <c r="G158" s="5">
        <f>_xlfn.MINIFS(Objects!$L$2:$L$1089,Objects!$B$2:$B$1089,$A158,Objects!$F$2:$F$1089,$B158,Objects!$H$2:$H$1089,$C158)</f>
        <v/>
      </c>
      <c r="H158" s="5">
        <f>_xlfn.MAXIFS(Objects!$L$2:$L$1089,Objects!$B$2:$B$1089,$A158,Objects!$F$2:$F$1089,$B158,Objects!$H$2:$H$1089,$C158)</f>
        <v/>
      </c>
      <c r="I158" s="5">
        <f>IF(OR(C158="(none)",B158="raft",B158="sump_pit"),"n/a",IF(OR(B158="column",B158="shear_wall",B158="isolated_footing",B158="combined_footing"),IF(AND(F158-E158&lt;=3,H158-G158&lt;=3),"yes","no"),IF(H158-G158&lt;=3,"yes (thickness)","no (thickness)")))</f>
        <v/>
      </c>
      <c r="J158" s="6">
        <f>SUMIFS(Objects!$K$2:$K$1089,Objects!$B$2:$B$1089,$A158,Objects!$F$2:$F$1089,$B158,Objects!$H$2:$H$1089,$C158)/100</f>
        <v/>
      </c>
      <c r="K158" s="5">
        <f>COUNTIFS(Objects!$B$2:$B$1089,$A158,Objects!$F$2:$F$1089,$B158,Objects!$H$2:$H$1089,$C158,Objects!$I$2:$I$1089,"inferred*")</f>
        <v/>
      </c>
    </row>
    <row r="159">
      <c r="A159" s="5" t="inlineStr">
        <is>
          <t>127</t>
        </is>
      </c>
      <c r="B159" s="5" t="inlineStr">
        <is>
          <t>shear_wall</t>
        </is>
      </c>
      <c r="C159" s="5" t="inlineStr">
        <is>
          <t>V1/127</t>
        </is>
      </c>
      <c r="D159" s="5">
        <f>COUNTIFS(Objects!$B$2:$B$1089,$A159,Objects!$F$2:$F$1089,$B159,Objects!$H$2:$H$1089,$C159)</f>
        <v/>
      </c>
      <c r="E159" s="5">
        <f>_xlfn.MINIFS(Objects!$K$2:$K$1089,Objects!$B$2:$B$1089,$A159,Objects!$F$2:$F$1089,$B159,Objects!$H$2:$H$1089,$C159)</f>
        <v/>
      </c>
      <c r="F159" s="5">
        <f>_xlfn.MAXIFS(Objects!$K$2:$K$1089,Objects!$B$2:$B$1089,$A159,Objects!$F$2:$F$1089,$B159,Objects!$H$2:$H$1089,$C159)</f>
        <v/>
      </c>
      <c r="G159" s="5">
        <f>_xlfn.MINIFS(Objects!$L$2:$L$1089,Objects!$B$2:$B$1089,$A159,Objects!$F$2:$F$1089,$B159,Objects!$H$2:$H$1089,$C159)</f>
        <v/>
      </c>
      <c r="H159" s="5">
        <f>_xlfn.MAXIFS(Objects!$L$2:$L$1089,Objects!$B$2:$B$1089,$A159,Objects!$F$2:$F$1089,$B159,Objects!$H$2:$H$1089,$C159)</f>
        <v/>
      </c>
      <c r="I159" s="5">
        <f>IF(OR(C159="(none)",B159="raft",B159="sump_pit"),"n/a",IF(OR(B159="column",B159="shear_wall",B159="isolated_footing",B159="combined_footing"),IF(AND(F159-E159&lt;=3,H159-G159&lt;=3),"yes","no"),IF(H159-G159&lt;=3,"yes (thickness)","no (thickness)")))</f>
        <v/>
      </c>
      <c r="J159" s="6">
        <f>SUMIFS(Objects!$K$2:$K$1089,Objects!$B$2:$B$1089,$A159,Objects!$F$2:$F$1089,$B159,Objects!$H$2:$H$1089,$C159)/100</f>
        <v/>
      </c>
      <c r="K159" s="5">
        <f>COUNTIFS(Objects!$B$2:$B$1089,$A159,Objects!$F$2:$F$1089,$B159,Objects!$H$2:$H$1089,$C159,Objects!$I$2:$I$1089,"inferred*")</f>
        <v/>
      </c>
    </row>
    <row r="160">
      <c r="A160" s="5" t="inlineStr">
        <is>
          <t>127</t>
        </is>
      </c>
      <c r="B160" s="5" t="inlineStr">
        <is>
          <t>shear_wall</t>
        </is>
      </c>
      <c r="C160" s="5" t="inlineStr">
        <is>
          <t>V3/127</t>
        </is>
      </c>
      <c r="D160" s="5">
        <f>COUNTIFS(Objects!$B$2:$B$1089,$A160,Objects!$F$2:$F$1089,$B160,Objects!$H$2:$H$1089,$C160)</f>
        <v/>
      </c>
      <c r="E160" s="5">
        <f>_xlfn.MINIFS(Objects!$K$2:$K$1089,Objects!$B$2:$B$1089,$A160,Objects!$F$2:$F$1089,$B160,Objects!$H$2:$H$1089,$C160)</f>
        <v/>
      </c>
      <c r="F160" s="5">
        <f>_xlfn.MAXIFS(Objects!$K$2:$K$1089,Objects!$B$2:$B$1089,$A160,Objects!$F$2:$F$1089,$B160,Objects!$H$2:$H$1089,$C160)</f>
        <v/>
      </c>
      <c r="G160" s="5">
        <f>_xlfn.MINIFS(Objects!$L$2:$L$1089,Objects!$B$2:$B$1089,$A160,Objects!$F$2:$F$1089,$B160,Objects!$H$2:$H$1089,$C160)</f>
        <v/>
      </c>
      <c r="H160" s="5">
        <f>_xlfn.MAXIFS(Objects!$L$2:$L$1089,Objects!$B$2:$B$1089,$A160,Objects!$F$2:$F$1089,$B160,Objects!$H$2:$H$1089,$C160)</f>
        <v/>
      </c>
      <c r="I160" s="5">
        <f>IF(OR(C160="(none)",B160="raft",B160="sump_pit"),"n/a",IF(OR(B160="column",B160="shear_wall",B160="isolated_footing",B160="combined_footing"),IF(AND(F160-E160&lt;=3,H160-G160&lt;=3),"yes","no"),IF(H160-G160&lt;=3,"yes (thickness)","no (thickness)")))</f>
        <v/>
      </c>
      <c r="J160" s="6">
        <f>SUMIFS(Objects!$K$2:$K$1089,Objects!$B$2:$B$1089,$A160,Objects!$F$2:$F$1089,$B160,Objects!$H$2:$H$1089,$C160)/100</f>
        <v/>
      </c>
      <c r="K160" s="5">
        <f>COUNTIFS(Objects!$B$2:$B$1089,$A160,Objects!$F$2:$F$1089,$B160,Objects!$H$2:$H$1089,$C160,Objects!$I$2:$I$1089,"inferred*")</f>
        <v/>
      </c>
    </row>
    <row r="161">
      <c r="A161" s="5" t="inlineStr">
        <is>
          <t>127</t>
        </is>
      </c>
      <c r="B161" s="5" t="inlineStr">
        <is>
          <t>shear_wall</t>
        </is>
      </c>
      <c r="C161" s="5" t="inlineStr">
        <is>
          <t>V4/127</t>
        </is>
      </c>
      <c r="D161" s="5">
        <f>COUNTIFS(Objects!$B$2:$B$1089,$A161,Objects!$F$2:$F$1089,$B161,Objects!$H$2:$H$1089,$C161)</f>
        <v/>
      </c>
      <c r="E161" s="5">
        <f>_xlfn.MINIFS(Objects!$K$2:$K$1089,Objects!$B$2:$B$1089,$A161,Objects!$F$2:$F$1089,$B161,Objects!$H$2:$H$1089,$C161)</f>
        <v/>
      </c>
      <c r="F161" s="5">
        <f>_xlfn.MAXIFS(Objects!$K$2:$K$1089,Objects!$B$2:$B$1089,$A161,Objects!$F$2:$F$1089,$B161,Objects!$H$2:$H$1089,$C161)</f>
        <v/>
      </c>
      <c r="G161" s="5">
        <f>_xlfn.MINIFS(Objects!$L$2:$L$1089,Objects!$B$2:$B$1089,$A161,Objects!$F$2:$F$1089,$B161,Objects!$H$2:$H$1089,$C161)</f>
        <v/>
      </c>
      <c r="H161" s="5">
        <f>_xlfn.MAXIFS(Objects!$L$2:$L$1089,Objects!$B$2:$B$1089,$A161,Objects!$F$2:$F$1089,$B161,Objects!$H$2:$H$1089,$C161)</f>
        <v/>
      </c>
      <c r="I161" s="5">
        <f>IF(OR(C161="(none)",B161="raft",B161="sump_pit"),"n/a",IF(OR(B161="column",B161="shear_wall",B161="isolated_footing",B161="combined_footing"),IF(AND(F161-E161&lt;=3,H161-G161&lt;=3),"yes","no"),IF(H161-G161&lt;=3,"yes (thickness)","no (thickness)")))</f>
        <v/>
      </c>
      <c r="J161" s="6">
        <f>SUMIFS(Objects!$K$2:$K$1089,Objects!$B$2:$B$1089,$A161,Objects!$F$2:$F$1089,$B161,Objects!$H$2:$H$1089,$C161)/100</f>
        <v/>
      </c>
      <c r="K161" s="5">
        <f>COUNTIFS(Objects!$B$2:$B$1089,$A161,Objects!$F$2:$F$1089,$B161,Objects!$H$2:$H$1089,$C161,Objects!$I$2:$I$1089,"inferred*")</f>
        <v/>
      </c>
    </row>
    <row r="162">
      <c r="A162" s="5" t="inlineStr">
        <is>
          <t>127</t>
        </is>
      </c>
      <c r="B162" s="5" t="inlineStr">
        <is>
          <t>shear_wall</t>
        </is>
      </c>
      <c r="C162" s="5" t="inlineStr">
        <is>
          <t>V5/127</t>
        </is>
      </c>
      <c r="D162" s="5">
        <f>COUNTIFS(Objects!$B$2:$B$1089,$A162,Objects!$F$2:$F$1089,$B162,Objects!$H$2:$H$1089,$C162)</f>
        <v/>
      </c>
      <c r="E162" s="5">
        <f>_xlfn.MINIFS(Objects!$K$2:$K$1089,Objects!$B$2:$B$1089,$A162,Objects!$F$2:$F$1089,$B162,Objects!$H$2:$H$1089,$C162)</f>
        <v/>
      </c>
      <c r="F162" s="5">
        <f>_xlfn.MAXIFS(Objects!$K$2:$K$1089,Objects!$B$2:$B$1089,$A162,Objects!$F$2:$F$1089,$B162,Objects!$H$2:$H$1089,$C162)</f>
        <v/>
      </c>
      <c r="G162" s="5">
        <f>_xlfn.MINIFS(Objects!$L$2:$L$1089,Objects!$B$2:$B$1089,$A162,Objects!$F$2:$F$1089,$B162,Objects!$H$2:$H$1089,$C162)</f>
        <v/>
      </c>
      <c r="H162" s="5">
        <f>_xlfn.MAXIFS(Objects!$L$2:$L$1089,Objects!$B$2:$B$1089,$A162,Objects!$F$2:$F$1089,$B162,Objects!$H$2:$H$1089,$C162)</f>
        <v/>
      </c>
      <c r="I162" s="5">
        <f>IF(OR(C162="(none)",B162="raft",B162="sump_pit"),"n/a",IF(OR(B162="column",B162="shear_wall",B162="isolated_footing",B162="combined_footing"),IF(AND(F162-E162&lt;=3,H162-G162&lt;=3),"yes","no"),IF(H162-G162&lt;=3,"yes (thickness)","no (thickness)")))</f>
        <v/>
      </c>
      <c r="J162" s="6">
        <f>SUMIFS(Objects!$K$2:$K$1089,Objects!$B$2:$B$1089,$A162,Objects!$F$2:$F$1089,$B162,Objects!$H$2:$H$1089,$C162)/100</f>
        <v/>
      </c>
      <c r="K162" s="5">
        <f>COUNTIFS(Objects!$B$2:$B$1089,$A162,Objects!$F$2:$F$1089,$B162,Objects!$H$2:$H$1089,$C162,Objects!$I$2:$I$1089,"inferred*")</f>
        <v/>
      </c>
    </row>
    <row r="163">
      <c r="A163" s="5" t="inlineStr">
        <is>
          <t>127</t>
        </is>
      </c>
      <c r="B163" s="5" t="inlineStr">
        <is>
          <t>shear_wall</t>
        </is>
      </c>
      <c r="C163" s="5" t="inlineStr">
        <is>
          <t>V6/127</t>
        </is>
      </c>
      <c r="D163" s="5">
        <f>COUNTIFS(Objects!$B$2:$B$1089,$A163,Objects!$F$2:$F$1089,$B163,Objects!$H$2:$H$1089,$C163)</f>
        <v/>
      </c>
      <c r="E163" s="5">
        <f>_xlfn.MINIFS(Objects!$K$2:$K$1089,Objects!$B$2:$B$1089,$A163,Objects!$F$2:$F$1089,$B163,Objects!$H$2:$H$1089,$C163)</f>
        <v/>
      </c>
      <c r="F163" s="5">
        <f>_xlfn.MAXIFS(Objects!$K$2:$K$1089,Objects!$B$2:$B$1089,$A163,Objects!$F$2:$F$1089,$B163,Objects!$H$2:$H$1089,$C163)</f>
        <v/>
      </c>
      <c r="G163" s="5">
        <f>_xlfn.MINIFS(Objects!$L$2:$L$1089,Objects!$B$2:$B$1089,$A163,Objects!$F$2:$F$1089,$B163,Objects!$H$2:$H$1089,$C163)</f>
        <v/>
      </c>
      <c r="H163" s="5">
        <f>_xlfn.MAXIFS(Objects!$L$2:$L$1089,Objects!$B$2:$B$1089,$A163,Objects!$F$2:$F$1089,$B163,Objects!$H$2:$H$1089,$C163)</f>
        <v/>
      </c>
      <c r="I163" s="5">
        <f>IF(OR(C163="(none)",B163="raft",B163="sump_pit"),"n/a",IF(OR(B163="column",B163="shear_wall",B163="isolated_footing",B163="combined_footing"),IF(AND(F163-E163&lt;=3,H163-G163&lt;=3),"yes","no"),IF(H163-G163&lt;=3,"yes (thickness)","no (thickness)")))</f>
        <v/>
      </c>
      <c r="J163" s="6">
        <f>SUMIFS(Objects!$K$2:$K$1089,Objects!$B$2:$B$1089,$A163,Objects!$F$2:$F$1089,$B163,Objects!$H$2:$H$1089,$C163)/100</f>
        <v/>
      </c>
      <c r="K163" s="5">
        <f>COUNTIFS(Objects!$B$2:$B$1089,$A163,Objects!$F$2:$F$1089,$B163,Objects!$H$2:$H$1089,$C163,Objects!$I$2:$I$1089,"inferred*")</f>
        <v/>
      </c>
    </row>
    <row r="164">
      <c r="A164" s="5" t="inlineStr">
        <is>
          <t>127</t>
        </is>
      </c>
      <c r="B164" s="5" t="inlineStr">
        <is>
          <t>retaining_wall</t>
        </is>
      </c>
      <c r="C164" s="5" t="inlineStr">
        <is>
          <t>VP20</t>
        </is>
      </c>
      <c r="D164" s="5">
        <f>COUNTIFS(Objects!$B$2:$B$1089,$A164,Objects!$F$2:$F$1089,$B164,Objects!$H$2:$H$1089,$C164)</f>
        <v/>
      </c>
      <c r="E164" s="5">
        <f>_xlfn.MINIFS(Objects!$K$2:$K$1089,Objects!$B$2:$B$1089,$A164,Objects!$F$2:$F$1089,$B164,Objects!$H$2:$H$1089,$C164)</f>
        <v/>
      </c>
      <c r="F164" s="5">
        <f>_xlfn.MAXIFS(Objects!$K$2:$K$1089,Objects!$B$2:$B$1089,$A164,Objects!$F$2:$F$1089,$B164,Objects!$H$2:$H$1089,$C164)</f>
        <v/>
      </c>
      <c r="G164" s="5">
        <f>_xlfn.MINIFS(Objects!$L$2:$L$1089,Objects!$B$2:$B$1089,$A164,Objects!$F$2:$F$1089,$B164,Objects!$H$2:$H$1089,$C164)</f>
        <v/>
      </c>
      <c r="H164" s="5">
        <f>_xlfn.MAXIFS(Objects!$L$2:$L$1089,Objects!$B$2:$B$1089,$A164,Objects!$F$2:$F$1089,$B164,Objects!$H$2:$H$1089,$C164)</f>
        <v/>
      </c>
      <c r="I164" s="5">
        <f>IF(OR(C164="(none)",B164="raft",B164="sump_pit"),"n/a",IF(OR(B164="column",B164="shear_wall",B164="isolated_footing",B164="combined_footing"),IF(AND(F164-E164&lt;=3,H164-G164&lt;=3),"yes","no"),IF(H164-G164&lt;=3,"yes (thickness)","no (thickness)")))</f>
        <v/>
      </c>
      <c r="J164" s="6">
        <f>SUMIFS(Objects!$K$2:$K$1089,Objects!$B$2:$B$1089,$A164,Objects!$F$2:$F$1089,$B164,Objects!$H$2:$H$1089,$C164)/100</f>
        <v/>
      </c>
      <c r="K164" s="5">
        <f>COUNTIFS(Objects!$B$2:$B$1089,$A164,Objects!$F$2:$F$1089,$B164,Objects!$H$2:$H$1089,$C164,Objects!$I$2:$I$1089,"inferred*")</f>
        <v/>
      </c>
    </row>
    <row r="165">
      <c r="A165" s="5" t="inlineStr">
        <is>
          <t>127</t>
        </is>
      </c>
      <c r="B165" s="5" t="inlineStr">
        <is>
          <t>isolated_footing</t>
        </is>
      </c>
      <c r="C165" s="5" t="inlineStr">
        <is>
          <t>(none)</t>
        </is>
      </c>
      <c r="D165" s="5">
        <f>COUNTIFS(Objects!$B$2:$B$1089,$A165,Objects!$F$2:$F$1089,$B165,Objects!$H$2:$H$1089,$C165)</f>
        <v/>
      </c>
      <c r="E165" s="5">
        <f>_xlfn.MINIFS(Objects!$K$2:$K$1089,Objects!$B$2:$B$1089,$A165,Objects!$F$2:$F$1089,$B165,Objects!$H$2:$H$1089,$C165)</f>
        <v/>
      </c>
      <c r="F165" s="5">
        <f>_xlfn.MAXIFS(Objects!$K$2:$K$1089,Objects!$B$2:$B$1089,$A165,Objects!$F$2:$F$1089,$B165,Objects!$H$2:$H$1089,$C165)</f>
        <v/>
      </c>
      <c r="G165" s="5">
        <f>_xlfn.MINIFS(Objects!$L$2:$L$1089,Objects!$B$2:$B$1089,$A165,Objects!$F$2:$F$1089,$B165,Objects!$H$2:$H$1089,$C165)</f>
        <v/>
      </c>
      <c r="H165" s="5">
        <f>_xlfn.MAXIFS(Objects!$L$2:$L$1089,Objects!$B$2:$B$1089,$A165,Objects!$F$2:$F$1089,$B165,Objects!$H$2:$H$1089,$C165)</f>
        <v/>
      </c>
      <c r="I165" s="5">
        <f>IF(OR(C165="(none)",B165="raft",B165="sump_pit"),"n/a",IF(OR(B165="column",B165="shear_wall",B165="isolated_footing",B165="combined_footing"),IF(AND(F165-E165&lt;=3,H165-G165&lt;=3),"yes","no"),IF(H165-G165&lt;=3,"yes (thickness)","no (thickness)")))</f>
        <v/>
      </c>
      <c r="J165" s="6">
        <f>SUMIFS(Objects!$K$2:$K$1089,Objects!$B$2:$B$1089,$A165,Objects!$F$2:$F$1089,$B165,Objects!$H$2:$H$1089,$C165)/100</f>
        <v/>
      </c>
      <c r="K165" s="5">
        <f>COUNTIFS(Objects!$B$2:$B$1089,$A165,Objects!$F$2:$F$1089,$B165,Objects!$H$2:$H$1089,$C165,Objects!$I$2:$I$1089,"inferred*")</f>
        <v/>
      </c>
    </row>
    <row r="166">
      <c r="A166" s="5" t="inlineStr">
        <is>
          <t>127</t>
        </is>
      </c>
      <c r="B166" s="5" t="inlineStr">
        <is>
          <t>isolated_footing</t>
        </is>
      </c>
      <c r="C166" s="5" t="inlineStr">
        <is>
          <t>S0(240x240x60)</t>
        </is>
      </c>
      <c r="D166" s="5">
        <f>COUNTIFS(Objects!$B$2:$B$1089,$A166,Objects!$F$2:$F$1089,$B166,Objects!$H$2:$H$1089,$C166)</f>
        <v/>
      </c>
      <c r="E166" s="5">
        <f>_xlfn.MINIFS(Objects!$K$2:$K$1089,Objects!$B$2:$B$1089,$A166,Objects!$F$2:$F$1089,$B166,Objects!$H$2:$H$1089,$C166)</f>
        <v/>
      </c>
      <c r="F166" s="5">
        <f>_xlfn.MAXIFS(Objects!$K$2:$K$1089,Objects!$B$2:$B$1089,$A166,Objects!$F$2:$F$1089,$B166,Objects!$H$2:$H$1089,$C166)</f>
        <v/>
      </c>
      <c r="G166" s="5">
        <f>_xlfn.MINIFS(Objects!$L$2:$L$1089,Objects!$B$2:$B$1089,$A166,Objects!$F$2:$F$1089,$B166,Objects!$H$2:$H$1089,$C166)</f>
        <v/>
      </c>
      <c r="H166" s="5">
        <f>_xlfn.MAXIFS(Objects!$L$2:$L$1089,Objects!$B$2:$B$1089,$A166,Objects!$F$2:$F$1089,$B166,Objects!$H$2:$H$1089,$C166)</f>
        <v/>
      </c>
      <c r="I166" s="5">
        <f>IF(OR(C166="(none)",B166="raft",B166="sump_pit"),"n/a",IF(OR(B166="column",B166="shear_wall",B166="isolated_footing",B166="combined_footing"),IF(AND(F166-E166&lt;=3,H166-G166&lt;=3),"yes","no"),IF(H166-G166&lt;=3,"yes (thickness)","no (thickness)")))</f>
        <v/>
      </c>
      <c r="J166" s="6">
        <f>SUMIFS(Objects!$K$2:$K$1089,Objects!$B$2:$B$1089,$A166,Objects!$F$2:$F$1089,$B166,Objects!$H$2:$H$1089,$C166)/100</f>
        <v/>
      </c>
      <c r="K166" s="5">
        <f>COUNTIFS(Objects!$B$2:$B$1089,$A166,Objects!$F$2:$F$1089,$B166,Objects!$H$2:$H$1089,$C166,Objects!$I$2:$I$1089,"inferred*")</f>
        <v/>
      </c>
    </row>
    <row r="167">
      <c r="A167" s="5" t="inlineStr">
        <is>
          <t>127</t>
        </is>
      </c>
      <c r="B167" s="5" t="inlineStr">
        <is>
          <t>isolated_footing</t>
        </is>
      </c>
      <c r="C167" s="5" t="inlineStr">
        <is>
          <t>S11</t>
        </is>
      </c>
      <c r="D167" s="5">
        <f>COUNTIFS(Objects!$B$2:$B$1089,$A167,Objects!$F$2:$F$1089,$B167,Objects!$H$2:$H$1089,$C167)</f>
        <v/>
      </c>
      <c r="E167" s="5">
        <f>_xlfn.MINIFS(Objects!$K$2:$K$1089,Objects!$B$2:$B$1089,$A167,Objects!$F$2:$F$1089,$B167,Objects!$H$2:$H$1089,$C167)</f>
        <v/>
      </c>
      <c r="F167" s="5">
        <f>_xlfn.MAXIFS(Objects!$K$2:$K$1089,Objects!$B$2:$B$1089,$A167,Objects!$F$2:$F$1089,$B167,Objects!$H$2:$H$1089,$C167)</f>
        <v/>
      </c>
      <c r="G167" s="5">
        <f>_xlfn.MINIFS(Objects!$L$2:$L$1089,Objects!$B$2:$B$1089,$A167,Objects!$F$2:$F$1089,$B167,Objects!$H$2:$H$1089,$C167)</f>
        <v/>
      </c>
      <c r="H167" s="5">
        <f>_xlfn.MAXIFS(Objects!$L$2:$L$1089,Objects!$B$2:$B$1089,$A167,Objects!$F$2:$F$1089,$B167,Objects!$H$2:$H$1089,$C167)</f>
        <v/>
      </c>
      <c r="I167" s="5">
        <f>IF(OR(C167="(none)",B167="raft",B167="sump_pit"),"n/a",IF(OR(B167="column",B167="shear_wall",B167="isolated_footing",B167="combined_footing"),IF(AND(F167-E167&lt;=3,H167-G167&lt;=3),"yes","no"),IF(H167-G167&lt;=3,"yes (thickness)","no (thickness)")))</f>
        <v/>
      </c>
      <c r="J167" s="6">
        <f>SUMIFS(Objects!$K$2:$K$1089,Objects!$B$2:$B$1089,$A167,Objects!$F$2:$F$1089,$B167,Objects!$H$2:$H$1089,$C167)/100</f>
        <v/>
      </c>
      <c r="K167" s="5">
        <f>COUNTIFS(Objects!$B$2:$B$1089,$A167,Objects!$F$2:$F$1089,$B167,Objects!$H$2:$H$1089,$C167,Objects!$I$2:$I$1089,"inferred*")</f>
        <v/>
      </c>
    </row>
    <row r="168">
      <c r="A168" s="5" t="inlineStr">
        <is>
          <t>127</t>
        </is>
      </c>
      <c r="B168" s="5" t="inlineStr">
        <is>
          <t>isolated_footing</t>
        </is>
      </c>
      <c r="C168" s="5" t="inlineStr">
        <is>
          <t>S16</t>
        </is>
      </c>
      <c r="D168" s="5">
        <f>COUNTIFS(Objects!$B$2:$B$1089,$A168,Objects!$F$2:$F$1089,$B168,Objects!$H$2:$H$1089,$C168)</f>
        <v/>
      </c>
      <c r="E168" s="5">
        <f>_xlfn.MINIFS(Objects!$K$2:$K$1089,Objects!$B$2:$B$1089,$A168,Objects!$F$2:$F$1089,$B168,Objects!$H$2:$H$1089,$C168)</f>
        <v/>
      </c>
      <c r="F168" s="5">
        <f>_xlfn.MAXIFS(Objects!$K$2:$K$1089,Objects!$B$2:$B$1089,$A168,Objects!$F$2:$F$1089,$B168,Objects!$H$2:$H$1089,$C168)</f>
        <v/>
      </c>
      <c r="G168" s="5">
        <f>_xlfn.MINIFS(Objects!$L$2:$L$1089,Objects!$B$2:$B$1089,$A168,Objects!$F$2:$F$1089,$B168,Objects!$H$2:$H$1089,$C168)</f>
        <v/>
      </c>
      <c r="H168" s="5">
        <f>_xlfn.MAXIFS(Objects!$L$2:$L$1089,Objects!$B$2:$B$1089,$A168,Objects!$F$2:$F$1089,$B168,Objects!$H$2:$H$1089,$C168)</f>
        <v/>
      </c>
      <c r="I168" s="5">
        <f>IF(OR(C168="(none)",B168="raft",B168="sump_pit"),"n/a",IF(OR(B168="column",B168="shear_wall",B168="isolated_footing",B168="combined_footing"),IF(AND(F168-E168&lt;=3,H168-G168&lt;=3),"yes","no"),IF(H168-G168&lt;=3,"yes (thickness)","no (thickness)")))</f>
        <v/>
      </c>
      <c r="J168" s="6">
        <f>SUMIFS(Objects!$K$2:$K$1089,Objects!$B$2:$B$1089,$A168,Objects!$F$2:$F$1089,$B168,Objects!$H$2:$H$1089,$C168)/100</f>
        <v/>
      </c>
      <c r="K168" s="5">
        <f>COUNTIFS(Objects!$B$2:$B$1089,$A168,Objects!$F$2:$F$1089,$B168,Objects!$H$2:$H$1089,$C168,Objects!$I$2:$I$1089,"inferred*")</f>
        <v/>
      </c>
    </row>
    <row r="169">
      <c r="A169" s="5" t="inlineStr">
        <is>
          <t>127</t>
        </is>
      </c>
      <c r="B169" s="5" t="inlineStr">
        <is>
          <t>isolated_footing</t>
        </is>
      </c>
      <c r="C169" s="5" t="inlineStr">
        <is>
          <t>S2</t>
        </is>
      </c>
      <c r="D169" s="5">
        <f>COUNTIFS(Objects!$B$2:$B$1089,$A169,Objects!$F$2:$F$1089,$B169,Objects!$H$2:$H$1089,$C169)</f>
        <v/>
      </c>
      <c r="E169" s="5">
        <f>_xlfn.MINIFS(Objects!$K$2:$K$1089,Objects!$B$2:$B$1089,$A169,Objects!$F$2:$F$1089,$B169,Objects!$H$2:$H$1089,$C169)</f>
        <v/>
      </c>
      <c r="F169" s="5">
        <f>_xlfn.MAXIFS(Objects!$K$2:$K$1089,Objects!$B$2:$B$1089,$A169,Objects!$F$2:$F$1089,$B169,Objects!$H$2:$H$1089,$C169)</f>
        <v/>
      </c>
      <c r="G169" s="5">
        <f>_xlfn.MINIFS(Objects!$L$2:$L$1089,Objects!$B$2:$B$1089,$A169,Objects!$F$2:$F$1089,$B169,Objects!$H$2:$H$1089,$C169)</f>
        <v/>
      </c>
      <c r="H169" s="5">
        <f>_xlfn.MAXIFS(Objects!$L$2:$L$1089,Objects!$B$2:$B$1089,$A169,Objects!$F$2:$F$1089,$B169,Objects!$H$2:$H$1089,$C169)</f>
        <v/>
      </c>
      <c r="I169" s="5">
        <f>IF(OR(C169="(none)",B169="raft",B169="sump_pit"),"n/a",IF(OR(B169="column",B169="shear_wall",B169="isolated_footing",B169="combined_footing"),IF(AND(F169-E169&lt;=3,H169-G169&lt;=3),"yes","no"),IF(H169-G169&lt;=3,"yes (thickness)","no (thickness)")))</f>
        <v/>
      </c>
      <c r="J169" s="6">
        <f>SUMIFS(Objects!$K$2:$K$1089,Objects!$B$2:$B$1089,$A169,Objects!$F$2:$F$1089,$B169,Objects!$H$2:$H$1089,$C169)/100</f>
        <v/>
      </c>
      <c r="K169" s="5">
        <f>COUNTIFS(Objects!$B$2:$B$1089,$A169,Objects!$F$2:$F$1089,$B169,Objects!$H$2:$H$1089,$C169,Objects!$I$2:$I$1089,"inferred*")</f>
        <v/>
      </c>
    </row>
    <row r="170">
      <c r="A170" s="5" t="inlineStr">
        <is>
          <t>127</t>
        </is>
      </c>
      <c r="B170" s="5" t="inlineStr">
        <is>
          <t>combined_footing</t>
        </is>
      </c>
      <c r="C170" s="5" t="inlineStr">
        <is>
          <t>SC2</t>
        </is>
      </c>
      <c r="D170" s="5">
        <f>COUNTIFS(Objects!$B$2:$B$1089,$A170,Objects!$F$2:$F$1089,$B170,Objects!$H$2:$H$1089,$C170)</f>
        <v/>
      </c>
      <c r="E170" s="5">
        <f>_xlfn.MINIFS(Objects!$K$2:$K$1089,Objects!$B$2:$B$1089,$A170,Objects!$F$2:$F$1089,$B170,Objects!$H$2:$H$1089,$C170)</f>
        <v/>
      </c>
      <c r="F170" s="5">
        <f>_xlfn.MAXIFS(Objects!$K$2:$K$1089,Objects!$B$2:$B$1089,$A170,Objects!$F$2:$F$1089,$B170,Objects!$H$2:$H$1089,$C170)</f>
        <v/>
      </c>
      <c r="G170" s="5">
        <f>_xlfn.MINIFS(Objects!$L$2:$L$1089,Objects!$B$2:$B$1089,$A170,Objects!$F$2:$F$1089,$B170,Objects!$H$2:$H$1089,$C170)</f>
        <v/>
      </c>
      <c r="H170" s="5">
        <f>_xlfn.MAXIFS(Objects!$L$2:$L$1089,Objects!$B$2:$B$1089,$A170,Objects!$F$2:$F$1089,$B170,Objects!$H$2:$H$1089,$C170)</f>
        <v/>
      </c>
      <c r="I170" s="5">
        <f>IF(OR(C170="(none)",B170="raft",B170="sump_pit"),"n/a",IF(OR(B170="column",B170="shear_wall",B170="isolated_footing",B170="combined_footing"),IF(AND(F170-E170&lt;=3,H170-G170&lt;=3),"yes","no"),IF(H170-G170&lt;=3,"yes (thickness)","no (thickness)")))</f>
        <v/>
      </c>
      <c r="J170" s="6">
        <f>SUMIFS(Objects!$K$2:$K$1089,Objects!$B$2:$B$1089,$A170,Objects!$F$2:$F$1089,$B170,Objects!$H$2:$H$1089,$C170)/100</f>
        <v/>
      </c>
      <c r="K170" s="5">
        <f>COUNTIFS(Objects!$B$2:$B$1089,$A170,Objects!$F$2:$F$1089,$B170,Objects!$H$2:$H$1089,$C170,Objects!$I$2:$I$1089,"inferred*")</f>
        <v/>
      </c>
    </row>
    <row r="171">
      <c r="A171" s="5" t="inlineStr">
        <is>
          <t>127</t>
        </is>
      </c>
      <c r="B171" s="5" t="inlineStr">
        <is>
          <t>combined_footing</t>
        </is>
      </c>
      <c r="C171" s="5" t="inlineStr">
        <is>
          <t>SC3</t>
        </is>
      </c>
      <c r="D171" s="5">
        <f>COUNTIFS(Objects!$B$2:$B$1089,$A171,Objects!$F$2:$F$1089,$B171,Objects!$H$2:$H$1089,$C171)</f>
        <v/>
      </c>
      <c r="E171" s="5">
        <f>_xlfn.MINIFS(Objects!$K$2:$K$1089,Objects!$B$2:$B$1089,$A171,Objects!$F$2:$F$1089,$B171,Objects!$H$2:$H$1089,$C171)</f>
        <v/>
      </c>
      <c r="F171" s="5">
        <f>_xlfn.MAXIFS(Objects!$K$2:$K$1089,Objects!$B$2:$B$1089,$A171,Objects!$F$2:$F$1089,$B171,Objects!$H$2:$H$1089,$C171)</f>
        <v/>
      </c>
      <c r="G171" s="5">
        <f>_xlfn.MINIFS(Objects!$L$2:$L$1089,Objects!$B$2:$B$1089,$A171,Objects!$F$2:$F$1089,$B171,Objects!$H$2:$H$1089,$C171)</f>
        <v/>
      </c>
      <c r="H171" s="5">
        <f>_xlfn.MAXIFS(Objects!$L$2:$L$1089,Objects!$B$2:$B$1089,$A171,Objects!$F$2:$F$1089,$B171,Objects!$H$2:$H$1089,$C171)</f>
        <v/>
      </c>
      <c r="I171" s="5">
        <f>IF(OR(C171="(none)",B171="raft",B171="sump_pit"),"n/a",IF(OR(B171="column",B171="shear_wall",B171="isolated_footing",B171="combined_footing"),IF(AND(F171-E171&lt;=3,H171-G171&lt;=3),"yes","no"),IF(H171-G171&lt;=3,"yes (thickness)","no (thickness)")))</f>
        <v/>
      </c>
      <c r="J171" s="6">
        <f>SUMIFS(Objects!$K$2:$K$1089,Objects!$B$2:$B$1089,$A171,Objects!$F$2:$F$1089,$B171,Objects!$H$2:$H$1089,$C171)/100</f>
        <v/>
      </c>
      <c r="K171" s="5">
        <f>COUNTIFS(Objects!$B$2:$B$1089,$A171,Objects!$F$2:$F$1089,$B171,Objects!$H$2:$H$1089,$C171,Objects!$I$2:$I$1089,"inferred*")</f>
        <v/>
      </c>
    </row>
    <row r="172">
      <c r="A172" s="5" t="inlineStr">
        <is>
          <t>127</t>
        </is>
      </c>
      <c r="B172" s="5" t="inlineStr">
        <is>
          <t>strip_footing</t>
        </is>
      </c>
      <c r="C172" s="5" t="inlineStr">
        <is>
          <t>(none)</t>
        </is>
      </c>
      <c r="D172" s="5">
        <f>COUNTIFS(Objects!$B$2:$B$1089,$A172,Objects!$F$2:$F$1089,$B172,Objects!$H$2:$H$1089,$C172)</f>
        <v/>
      </c>
      <c r="E172" s="5">
        <f>_xlfn.MINIFS(Objects!$K$2:$K$1089,Objects!$B$2:$B$1089,$A172,Objects!$F$2:$F$1089,$B172,Objects!$H$2:$H$1089,$C172)</f>
        <v/>
      </c>
      <c r="F172" s="5">
        <f>_xlfn.MAXIFS(Objects!$K$2:$K$1089,Objects!$B$2:$B$1089,$A172,Objects!$F$2:$F$1089,$B172,Objects!$H$2:$H$1089,$C172)</f>
        <v/>
      </c>
      <c r="G172" s="5">
        <f>_xlfn.MINIFS(Objects!$L$2:$L$1089,Objects!$B$2:$B$1089,$A172,Objects!$F$2:$F$1089,$B172,Objects!$H$2:$H$1089,$C172)</f>
        <v/>
      </c>
      <c r="H172" s="5">
        <f>_xlfn.MAXIFS(Objects!$L$2:$L$1089,Objects!$B$2:$B$1089,$A172,Objects!$F$2:$F$1089,$B172,Objects!$H$2:$H$1089,$C172)</f>
        <v/>
      </c>
      <c r="I172" s="5">
        <f>IF(OR(C172="(none)",B172="raft",B172="sump_pit"),"n/a",IF(OR(B172="column",B172="shear_wall",B172="isolated_footing",B172="combined_footing"),IF(AND(F172-E172&lt;=3,H172-G172&lt;=3),"yes","no"),IF(H172-G172&lt;=3,"yes (thickness)","no (thickness)")))</f>
        <v/>
      </c>
      <c r="J172" s="6">
        <f>SUMIFS(Objects!$K$2:$K$1089,Objects!$B$2:$B$1089,$A172,Objects!$F$2:$F$1089,$B172,Objects!$H$2:$H$1089,$C172)/100</f>
        <v/>
      </c>
      <c r="K172" s="5">
        <f>COUNTIFS(Objects!$B$2:$B$1089,$A172,Objects!$F$2:$F$1089,$B172,Objects!$H$2:$H$1089,$C172,Objects!$I$2:$I$1089,"inferred*")</f>
        <v/>
      </c>
    </row>
    <row r="173">
      <c r="A173" s="5" t="inlineStr">
        <is>
          <t>127</t>
        </is>
      </c>
      <c r="B173" s="5" t="inlineStr">
        <is>
          <t>strip_footing</t>
        </is>
      </c>
      <c r="C173" s="5" t="inlineStr">
        <is>
          <t>SF1</t>
        </is>
      </c>
      <c r="D173" s="5">
        <f>COUNTIFS(Objects!$B$2:$B$1089,$A173,Objects!$F$2:$F$1089,$B173,Objects!$H$2:$H$1089,$C173)</f>
        <v/>
      </c>
      <c r="E173" s="5">
        <f>_xlfn.MINIFS(Objects!$K$2:$K$1089,Objects!$B$2:$B$1089,$A173,Objects!$F$2:$F$1089,$B173,Objects!$H$2:$H$1089,$C173)</f>
        <v/>
      </c>
      <c r="F173" s="5">
        <f>_xlfn.MAXIFS(Objects!$K$2:$K$1089,Objects!$B$2:$B$1089,$A173,Objects!$F$2:$F$1089,$B173,Objects!$H$2:$H$1089,$C173)</f>
        <v/>
      </c>
      <c r="G173" s="5">
        <f>_xlfn.MINIFS(Objects!$L$2:$L$1089,Objects!$B$2:$B$1089,$A173,Objects!$F$2:$F$1089,$B173,Objects!$H$2:$H$1089,$C173)</f>
        <v/>
      </c>
      <c r="H173" s="5">
        <f>_xlfn.MAXIFS(Objects!$L$2:$L$1089,Objects!$B$2:$B$1089,$A173,Objects!$F$2:$F$1089,$B173,Objects!$H$2:$H$1089,$C173)</f>
        <v/>
      </c>
      <c r="I173" s="5">
        <f>IF(OR(C173="(none)",B173="raft",B173="sump_pit"),"n/a",IF(OR(B173="column",B173="shear_wall",B173="isolated_footing",B173="combined_footing"),IF(AND(F173-E173&lt;=3,H173-G173&lt;=3),"yes","no"),IF(H173-G173&lt;=3,"yes (thickness)","no (thickness)")))</f>
        <v/>
      </c>
      <c r="J173" s="6">
        <f>SUMIFS(Objects!$K$2:$K$1089,Objects!$B$2:$B$1089,$A173,Objects!$F$2:$F$1089,$B173,Objects!$H$2:$H$1089,$C173)/100</f>
        <v/>
      </c>
      <c r="K173" s="5">
        <f>COUNTIFS(Objects!$B$2:$B$1089,$A173,Objects!$F$2:$F$1089,$B173,Objects!$H$2:$H$1089,$C173,Objects!$I$2:$I$1089,"inferred*")</f>
        <v/>
      </c>
    </row>
    <row r="174">
      <c r="A174" s="5" t="inlineStr">
        <is>
          <t>127</t>
        </is>
      </c>
      <c r="B174" s="5" t="inlineStr">
        <is>
          <t>grade_beam</t>
        </is>
      </c>
      <c r="C174" s="5" t="inlineStr">
        <is>
          <t>LG40x15</t>
        </is>
      </c>
      <c r="D174" s="5">
        <f>COUNTIFS(Objects!$B$2:$B$1089,$A174,Objects!$F$2:$F$1089,$B174,Objects!$H$2:$H$1089,$C174)</f>
        <v/>
      </c>
      <c r="E174" s="5">
        <f>_xlfn.MINIFS(Objects!$K$2:$K$1089,Objects!$B$2:$B$1089,$A174,Objects!$F$2:$F$1089,$B174,Objects!$H$2:$H$1089,$C174)</f>
        <v/>
      </c>
      <c r="F174" s="5">
        <f>_xlfn.MAXIFS(Objects!$K$2:$K$1089,Objects!$B$2:$B$1089,$A174,Objects!$F$2:$F$1089,$B174,Objects!$H$2:$H$1089,$C174)</f>
        <v/>
      </c>
      <c r="G174" s="5">
        <f>_xlfn.MINIFS(Objects!$L$2:$L$1089,Objects!$B$2:$B$1089,$A174,Objects!$F$2:$F$1089,$B174,Objects!$H$2:$H$1089,$C174)</f>
        <v/>
      </c>
      <c r="H174" s="5">
        <f>_xlfn.MAXIFS(Objects!$L$2:$L$1089,Objects!$B$2:$B$1089,$A174,Objects!$F$2:$F$1089,$B174,Objects!$H$2:$H$1089,$C174)</f>
        <v/>
      </c>
      <c r="I174" s="5">
        <f>IF(OR(C174="(none)",B174="raft",B174="sump_pit"),"n/a",IF(OR(B174="column",B174="shear_wall",B174="isolated_footing",B174="combined_footing"),IF(AND(F174-E174&lt;=3,H174-G174&lt;=3),"yes","no"),IF(H174-G174&lt;=3,"yes (thickness)","no (thickness)")))</f>
        <v/>
      </c>
      <c r="J174" s="6">
        <f>SUMIFS(Objects!$K$2:$K$1089,Objects!$B$2:$B$1089,$A174,Objects!$F$2:$F$1089,$B174,Objects!$H$2:$H$1089,$C174)/100</f>
        <v/>
      </c>
      <c r="K174" s="5">
        <f>COUNTIFS(Objects!$B$2:$B$1089,$A174,Objects!$F$2:$F$1089,$B174,Objects!$H$2:$H$1089,$C174,Objects!$I$2:$I$1089,"inferred*")</f>
        <v/>
      </c>
    </row>
    <row r="175">
      <c r="A175" s="5" t="inlineStr">
        <is>
          <t>127</t>
        </is>
      </c>
      <c r="B175" s="5" t="inlineStr">
        <is>
          <t>raft</t>
        </is>
      </c>
      <c r="C175" s="5" t="inlineStr">
        <is>
          <t>Radier 100</t>
        </is>
      </c>
      <c r="D175" s="5">
        <f>COUNTIFS(Objects!$B$2:$B$1089,$A175,Objects!$F$2:$F$1089,$B175,Objects!$H$2:$H$1089,$C175)</f>
        <v/>
      </c>
      <c r="E175" s="5">
        <f>_xlfn.MINIFS(Objects!$K$2:$K$1089,Objects!$B$2:$B$1089,$A175,Objects!$F$2:$F$1089,$B175,Objects!$H$2:$H$1089,$C175)</f>
        <v/>
      </c>
      <c r="F175" s="5">
        <f>_xlfn.MAXIFS(Objects!$K$2:$K$1089,Objects!$B$2:$B$1089,$A175,Objects!$F$2:$F$1089,$B175,Objects!$H$2:$H$1089,$C175)</f>
        <v/>
      </c>
      <c r="G175" s="5">
        <f>_xlfn.MINIFS(Objects!$L$2:$L$1089,Objects!$B$2:$B$1089,$A175,Objects!$F$2:$F$1089,$B175,Objects!$H$2:$H$1089,$C175)</f>
        <v/>
      </c>
      <c r="H175" s="5">
        <f>_xlfn.MAXIFS(Objects!$L$2:$L$1089,Objects!$B$2:$B$1089,$A175,Objects!$F$2:$F$1089,$B175,Objects!$H$2:$H$1089,$C175)</f>
        <v/>
      </c>
      <c r="I175" s="5">
        <f>IF(OR(C175="(none)",B175="raft",B175="sump_pit"),"n/a",IF(OR(B175="column",B175="shear_wall",B175="isolated_footing",B175="combined_footing"),IF(AND(F175-E175&lt;=3,H175-G175&lt;=3),"yes","no"),IF(H175-G175&lt;=3,"yes (thickness)","no (thickness)")))</f>
        <v/>
      </c>
      <c r="J175" s="6">
        <f>SUMIFS(Objects!$K$2:$K$1089,Objects!$B$2:$B$1089,$A175,Objects!$F$2:$F$1089,$B175,Objects!$H$2:$H$1089,$C175)/100</f>
        <v/>
      </c>
      <c r="K175" s="5">
        <f>COUNTIFS(Objects!$B$2:$B$1089,$A175,Objects!$F$2:$F$1089,$B175,Objects!$H$2:$H$1089,$C175,Objects!$I$2:$I$1089,"inferred*")</f>
        <v/>
      </c>
    </row>
    <row r="176">
      <c r="A176" s="5" t="inlineStr">
        <is>
          <t>128</t>
        </is>
      </c>
      <c r="B176" s="5" t="inlineStr">
        <is>
          <t>column</t>
        </is>
      </c>
      <c r="C176" s="5" t="inlineStr">
        <is>
          <t>(none)</t>
        </is>
      </c>
      <c r="D176" s="5">
        <f>COUNTIFS(Objects!$B$2:$B$1089,$A176,Objects!$F$2:$F$1089,$B176,Objects!$H$2:$H$1089,$C176)</f>
        <v/>
      </c>
      <c r="E176" s="5">
        <f>_xlfn.MINIFS(Objects!$K$2:$K$1089,Objects!$B$2:$B$1089,$A176,Objects!$F$2:$F$1089,$B176,Objects!$H$2:$H$1089,$C176)</f>
        <v/>
      </c>
      <c r="F176" s="5">
        <f>_xlfn.MAXIFS(Objects!$K$2:$K$1089,Objects!$B$2:$B$1089,$A176,Objects!$F$2:$F$1089,$B176,Objects!$H$2:$H$1089,$C176)</f>
        <v/>
      </c>
      <c r="G176" s="5">
        <f>_xlfn.MINIFS(Objects!$L$2:$L$1089,Objects!$B$2:$B$1089,$A176,Objects!$F$2:$F$1089,$B176,Objects!$H$2:$H$1089,$C176)</f>
        <v/>
      </c>
      <c r="H176" s="5">
        <f>_xlfn.MAXIFS(Objects!$L$2:$L$1089,Objects!$B$2:$B$1089,$A176,Objects!$F$2:$F$1089,$B176,Objects!$H$2:$H$1089,$C176)</f>
        <v/>
      </c>
      <c r="I176" s="5">
        <f>IF(OR(C176="(none)",B176="raft",B176="sump_pit"),"n/a",IF(OR(B176="column",B176="shear_wall",B176="isolated_footing",B176="combined_footing"),IF(AND(F176-E176&lt;=3,H176-G176&lt;=3),"yes","no"),IF(H176-G176&lt;=3,"yes (thickness)","no (thickness)")))</f>
        <v/>
      </c>
      <c r="J176" s="6">
        <f>SUMIFS(Objects!$K$2:$K$1089,Objects!$B$2:$B$1089,$A176,Objects!$F$2:$F$1089,$B176,Objects!$H$2:$H$1089,$C176)/100</f>
        <v/>
      </c>
      <c r="K176" s="5">
        <f>COUNTIFS(Objects!$B$2:$B$1089,$A176,Objects!$F$2:$F$1089,$B176,Objects!$H$2:$H$1089,$C176,Objects!$I$2:$I$1089,"inferred*")</f>
        <v/>
      </c>
    </row>
    <row r="177">
      <c r="A177" s="5" t="inlineStr">
        <is>
          <t>128</t>
        </is>
      </c>
      <c r="B177" s="5" t="inlineStr">
        <is>
          <t>column</t>
        </is>
      </c>
      <c r="C177" s="5" t="inlineStr">
        <is>
          <t>P1/128</t>
        </is>
      </c>
      <c r="D177" s="5">
        <f>COUNTIFS(Objects!$B$2:$B$1089,$A177,Objects!$F$2:$F$1089,$B177,Objects!$H$2:$H$1089,$C177)</f>
        <v/>
      </c>
      <c r="E177" s="5">
        <f>_xlfn.MINIFS(Objects!$K$2:$K$1089,Objects!$B$2:$B$1089,$A177,Objects!$F$2:$F$1089,$B177,Objects!$H$2:$H$1089,$C177)</f>
        <v/>
      </c>
      <c r="F177" s="5">
        <f>_xlfn.MAXIFS(Objects!$K$2:$K$1089,Objects!$B$2:$B$1089,$A177,Objects!$F$2:$F$1089,$B177,Objects!$H$2:$H$1089,$C177)</f>
        <v/>
      </c>
      <c r="G177" s="5">
        <f>_xlfn.MINIFS(Objects!$L$2:$L$1089,Objects!$B$2:$B$1089,$A177,Objects!$F$2:$F$1089,$B177,Objects!$H$2:$H$1089,$C177)</f>
        <v/>
      </c>
      <c r="H177" s="5">
        <f>_xlfn.MAXIFS(Objects!$L$2:$L$1089,Objects!$B$2:$B$1089,$A177,Objects!$F$2:$F$1089,$B177,Objects!$H$2:$H$1089,$C177)</f>
        <v/>
      </c>
      <c r="I177" s="5">
        <f>IF(OR(C177="(none)",B177="raft",B177="sump_pit"),"n/a",IF(OR(B177="column",B177="shear_wall",B177="isolated_footing",B177="combined_footing"),IF(AND(F177-E177&lt;=3,H177-G177&lt;=3),"yes","no"),IF(H177-G177&lt;=3,"yes (thickness)","no (thickness)")))</f>
        <v/>
      </c>
      <c r="J177" s="6">
        <f>SUMIFS(Objects!$K$2:$K$1089,Objects!$B$2:$B$1089,$A177,Objects!$F$2:$F$1089,$B177,Objects!$H$2:$H$1089,$C177)/100</f>
        <v/>
      </c>
      <c r="K177" s="5">
        <f>COUNTIFS(Objects!$B$2:$B$1089,$A177,Objects!$F$2:$F$1089,$B177,Objects!$H$2:$H$1089,$C177,Objects!$I$2:$I$1089,"inferred*")</f>
        <v/>
      </c>
    </row>
    <row r="178">
      <c r="A178" s="5" t="inlineStr">
        <is>
          <t>128</t>
        </is>
      </c>
      <c r="B178" s="5" t="inlineStr">
        <is>
          <t>column</t>
        </is>
      </c>
      <c r="C178" s="5" t="inlineStr">
        <is>
          <t>P2/128</t>
        </is>
      </c>
      <c r="D178" s="5">
        <f>COUNTIFS(Objects!$B$2:$B$1089,$A178,Objects!$F$2:$F$1089,$B178,Objects!$H$2:$H$1089,$C178)</f>
        <v/>
      </c>
      <c r="E178" s="5">
        <f>_xlfn.MINIFS(Objects!$K$2:$K$1089,Objects!$B$2:$B$1089,$A178,Objects!$F$2:$F$1089,$B178,Objects!$H$2:$H$1089,$C178)</f>
        <v/>
      </c>
      <c r="F178" s="5">
        <f>_xlfn.MAXIFS(Objects!$K$2:$K$1089,Objects!$B$2:$B$1089,$A178,Objects!$F$2:$F$1089,$B178,Objects!$H$2:$H$1089,$C178)</f>
        <v/>
      </c>
      <c r="G178" s="5">
        <f>_xlfn.MINIFS(Objects!$L$2:$L$1089,Objects!$B$2:$B$1089,$A178,Objects!$F$2:$F$1089,$B178,Objects!$H$2:$H$1089,$C178)</f>
        <v/>
      </c>
      <c r="H178" s="5">
        <f>_xlfn.MAXIFS(Objects!$L$2:$L$1089,Objects!$B$2:$B$1089,$A178,Objects!$F$2:$F$1089,$B178,Objects!$H$2:$H$1089,$C178)</f>
        <v/>
      </c>
      <c r="I178" s="5">
        <f>IF(OR(C178="(none)",B178="raft",B178="sump_pit"),"n/a",IF(OR(B178="column",B178="shear_wall",B178="isolated_footing",B178="combined_footing"),IF(AND(F178-E178&lt;=3,H178-G178&lt;=3),"yes","no"),IF(H178-G178&lt;=3,"yes (thickness)","no (thickness)")))</f>
        <v/>
      </c>
      <c r="J178" s="6">
        <f>SUMIFS(Objects!$K$2:$K$1089,Objects!$B$2:$B$1089,$A178,Objects!$F$2:$F$1089,$B178,Objects!$H$2:$H$1089,$C178)/100</f>
        <v/>
      </c>
      <c r="K178" s="5">
        <f>COUNTIFS(Objects!$B$2:$B$1089,$A178,Objects!$F$2:$F$1089,$B178,Objects!$H$2:$H$1089,$C178,Objects!$I$2:$I$1089,"inferred*")</f>
        <v/>
      </c>
    </row>
    <row r="179">
      <c r="A179" s="5" t="inlineStr">
        <is>
          <t>128</t>
        </is>
      </c>
      <c r="B179" s="5" t="inlineStr">
        <is>
          <t>shear_wall</t>
        </is>
      </c>
      <c r="C179" s="5" t="inlineStr">
        <is>
          <t>(none)</t>
        </is>
      </c>
      <c r="D179" s="5">
        <f>COUNTIFS(Objects!$B$2:$B$1089,$A179,Objects!$F$2:$F$1089,$B179,Objects!$H$2:$H$1089,$C179)</f>
        <v/>
      </c>
      <c r="E179" s="5">
        <f>_xlfn.MINIFS(Objects!$K$2:$K$1089,Objects!$B$2:$B$1089,$A179,Objects!$F$2:$F$1089,$B179,Objects!$H$2:$H$1089,$C179)</f>
        <v/>
      </c>
      <c r="F179" s="5">
        <f>_xlfn.MAXIFS(Objects!$K$2:$K$1089,Objects!$B$2:$B$1089,$A179,Objects!$F$2:$F$1089,$B179,Objects!$H$2:$H$1089,$C179)</f>
        <v/>
      </c>
      <c r="G179" s="5">
        <f>_xlfn.MINIFS(Objects!$L$2:$L$1089,Objects!$B$2:$B$1089,$A179,Objects!$F$2:$F$1089,$B179,Objects!$H$2:$H$1089,$C179)</f>
        <v/>
      </c>
      <c r="H179" s="5">
        <f>_xlfn.MAXIFS(Objects!$L$2:$L$1089,Objects!$B$2:$B$1089,$A179,Objects!$F$2:$F$1089,$B179,Objects!$H$2:$H$1089,$C179)</f>
        <v/>
      </c>
      <c r="I179" s="5">
        <f>IF(OR(C179="(none)",B179="raft",B179="sump_pit"),"n/a",IF(OR(B179="column",B179="shear_wall",B179="isolated_footing",B179="combined_footing"),IF(AND(F179-E179&lt;=3,H179-G179&lt;=3),"yes","no"),IF(H179-G179&lt;=3,"yes (thickness)","no (thickness)")))</f>
        <v/>
      </c>
      <c r="J179" s="6">
        <f>SUMIFS(Objects!$K$2:$K$1089,Objects!$B$2:$B$1089,$A179,Objects!$F$2:$F$1089,$B179,Objects!$H$2:$H$1089,$C179)/100</f>
        <v/>
      </c>
      <c r="K179" s="5">
        <f>COUNTIFS(Objects!$B$2:$B$1089,$A179,Objects!$F$2:$F$1089,$B179,Objects!$H$2:$H$1089,$C179,Objects!$I$2:$I$1089,"inferred*")</f>
        <v/>
      </c>
    </row>
    <row r="180">
      <c r="A180" s="5" t="inlineStr">
        <is>
          <t>128</t>
        </is>
      </c>
      <c r="B180" s="5" t="inlineStr">
        <is>
          <t>shear_wall</t>
        </is>
      </c>
      <c r="C180" s="5" t="inlineStr">
        <is>
          <t>V1/128</t>
        </is>
      </c>
      <c r="D180" s="5">
        <f>COUNTIFS(Objects!$B$2:$B$1089,$A180,Objects!$F$2:$F$1089,$B180,Objects!$H$2:$H$1089,$C180)</f>
        <v/>
      </c>
      <c r="E180" s="5">
        <f>_xlfn.MINIFS(Objects!$K$2:$K$1089,Objects!$B$2:$B$1089,$A180,Objects!$F$2:$F$1089,$B180,Objects!$H$2:$H$1089,$C180)</f>
        <v/>
      </c>
      <c r="F180" s="5">
        <f>_xlfn.MAXIFS(Objects!$K$2:$K$1089,Objects!$B$2:$B$1089,$A180,Objects!$F$2:$F$1089,$B180,Objects!$H$2:$H$1089,$C180)</f>
        <v/>
      </c>
      <c r="G180" s="5">
        <f>_xlfn.MINIFS(Objects!$L$2:$L$1089,Objects!$B$2:$B$1089,$A180,Objects!$F$2:$F$1089,$B180,Objects!$H$2:$H$1089,$C180)</f>
        <v/>
      </c>
      <c r="H180" s="5">
        <f>_xlfn.MAXIFS(Objects!$L$2:$L$1089,Objects!$B$2:$B$1089,$A180,Objects!$F$2:$F$1089,$B180,Objects!$H$2:$H$1089,$C180)</f>
        <v/>
      </c>
      <c r="I180" s="5">
        <f>IF(OR(C180="(none)",B180="raft",B180="sump_pit"),"n/a",IF(OR(B180="column",B180="shear_wall",B180="isolated_footing",B180="combined_footing"),IF(AND(F180-E180&lt;=3,H180-G180&lt;=3),"yes","no"),IF(H180-G180&lt;=3,"yes (thickness)","no (thickness)")))</f>
        <v/>
      </c>
      <c r="J180" s="6">
        <f>SUMIFS(Objects!$K$2:$K$1089,Objects!$B$2:$B$1089,$A180,Objects!$F$2:$F$1089,$B180,Objects!$H$2:$H$1089,$C180)/100</f>
        <v/>
      </c>
      <c r="K180" s="5">
        <f>COUNTIFS(Objects!$B$2:$B$1089,$A180,Objects!$F$2:$F$1089,$B180,Objects!$H$2:$H$1089,$C180,Objects!$I$2:$I$1089,"inferred*")</f>
        <v/>
      </c>
    </row>
    <row r="181">
      <c r="A181" s="5" t="inlineStr">
        <is>
          <t>128</t>
        </is>
      </c>
      <c r="B181" s="5" t="inlineStr">
        <is>
          <t>shear_wall</t>
        </is>
      </c>
      <c r="C181" s="5" t="inlineStr">
        <is>
          <t>V3/128</t>
        </is>
      </c>
      <c r="D181" s="5">
        <f>COUNTIFS(Objects!$B$2:$B$1089,$A181,Objects!$F$2:$F$1089,$B181,Objects!$H$2:$H$1089,$C181)</f>
        <v/>
      </c>
      <c r="E181" s="5">
        <f>_xlfn.MINIFS(Objects!$K$2:$K$1089,Objects!$B$2:$B$1089,$A181,Objects!$F$2:$F$1089,$B181,Objects!$H$2:$H$1089,$C181)</f>
        <v/>
      </c>
      <c r="F181" s="5">
        <f>_xlfn.MAXIFS(Objects!$K$2:$K$1089,Objects!$B$2:$B$1089,$A181,Objects!$F$2:$F$1089,$B181,Objects!$H$2:$H$1089,$C181)</f>
        <v/>
      </c>
      <c r="G181" s="5">
        <f>_xlfn.MINIFS(Objects!$L$2:$L$1089,Objects!$B$2:$B$1089,$A181,Objects!$F$2:$F$1089,$B181,Objects!$H$2:$H$1089,$C181)</f>
        <v/>
      </c>
      <c r="H181" s="5">
        <f>_xlfn.MAXIFS(Objects!$L$2:$L$1089,Objects!$B$2:$B$1089,$A181,Objects!$F$2:$F$1089,$B181,Objects!$H$2:$H$1089,$C181)</f>
        <v/>
      </c>
      <c r="I181" s="5">
        <f>IF(OR(C181="(none)",B181="raft",B181="sump_pit"),"n/a",IF(OR(B181="column",B181="shear_wall",B181="isolated_footing",B181="combined_footing"),IF(AND(F181-E181&lt;=3,H181-G181&lt;=3),"yes","no"),IF(H181-G181&lt;=3,"yes (thickness)","no (thickness)")))</f>
        <v/>
      </c>
      <c r="J181" s="6">
        <f>SUMIFS(Objects!$K$2:$K$1089,Objects!$B$2:$B$1089,$A181,Objects!$F$2:$F$1089,$B181,Objects!$H$2:$H$1089,$C181)/100</f>
        <v/>
      </c>
      <c r="K181" s="5">
        <f>COUNTIFS(Objects!$B$2:$B$1089,$A181,Objects!$F$2:$F$1089,$B181,Objects!$H$2:$H$1089,$C181,Objects!$I$2:$I$1089,"inferred*")</f>
        <v/>
      </c>
    </row>
    <row r="182">
      <c r="A182" s="5" t="inlineStr">
        <is>
          <t>128</t>
        </is>
      </c>
      <c r="B182" s="5" t="inlineStr">
        <is>
          <t>shear_wall</t>
        </is>
      </c>
      <c r="C182" s="5" t="inlineStr">
        <is>
          <t>V5/128</t>
        </is>
      </c>
      <c r="D182" s="5">
        <f>COUNTIFS(Objects!$B$2:$B$1089,$A182,Objects!$F$2:$F$1089,$B182,Objects!$H$2:$H$1089,$C182)</f>
        <v/>
      </c>
      <c r="E182" s="5">
        <f>_xlfn.MINIFS(Objects!$K$2:$K$1089,Objects!$B$2:$B$1089,$A182,Objects!$F$2:$F$1089,$B182,Objects!$H$2:$H$1089,$C182)</f>
        <v/>
      </c>
      <c r="F182" s="5">
        <f>_xlfn.MAXIFS(Objects!$K$2:$K$1089,Objects!$B$2:$B$1089,$A182,Objects!$F$2:$F$1089,$B182,Objects!$H$2:$H$1089,$C182)</f>
        <v/>
      </c>
      <c r="G182" s="5">
        <f>_xlfn.MINIFS(Objects!$L$2:$L$1089,Objects!$B$2:$B$1089,$A182,Objects!$F$2:$F$1089,$B182,Objects!$H$2:$H$1089,$C182)</f>
        <v/>
      </c>
      <c r="H182" s="5">
        <f>_xlfn.MAXIFS(Objects!$L$2:$L$1089,Objects!$B$2:$B$1089,$A182,Objects!$F$2:$F$1089,$B182,Objects!$H$2:$H$1089,$C182)</f>
        <v/>
      </c>
      <c r="I182" s="5">
        <f>IF(OR(C182="(none)",B182="raft",B182="sump_pit"),"n/a",IF(OR(B182="column",B182="shear_wall",B182="isolated_footing",B182="combined_footing"),IF(AND(F182-E182&lt;=3,H182-G182&lt;=3),"yes","no"),IF(H182-G182&lt;=3,"yes (thickness)","no (thickness)")))</f>
        <v/>
      </c>
      <c r="J182" s="6">
        <f>SUMIFS(Objects!$K$2:$K$1089,Objects!$B$2:$B$1089,$A182,Objects!$F$2:$F$1089,$B182,Objects!$H$2:$H$1089,$C182)/100</f>
        <v/>
      </c>
      <c r="K182" s="5">
        <f>COUNTIFS(Objects!$B$2:$B$1089,$A182,Objects!$F$2:$F$1089,$B182,Objects!$H$2:$H$1089,$C182,Objects!$I$2:$I$1089,"inferred*")</f>
        <v/>
      </c>
    </row>
    <row r="183">
      <c r="A183" s="5" t="inlineStr">
        <is>
          <t>128</t>
        </is>
      </c>
      <c r="B183" s="5" t="inlineStr">
        <is>
          <t>shear_wall</t>
        </is>
      </c>
      <c r="C183" s="5" t="inlineStr">
        <is>
          <t>V6/128</t>
        </is>
      </c>
      <c r="D183" s="5">
        <f>COUNTIFS(Objects!$B$2:$B$1089,$A183,Objects!$F$2:$F$1089,$B183,Objects!$H$2:$H$1089,$C183)</f>
        <v/>
      </c>
      <c r="E183" s="5">
        <f>_xlfn.MINIFS(Objects!$K$2:$K$1089,Objects!$B$2:$B$1089,$A183,Objects!$F$2:$F$1089,$B183,Objects!$H$2:$H$1089,$C183)</f>
        <v/>
      </c>
      <c r="F183" s="5">
        <f>_xlfn.MAXIFS(Objects!$K$2:$K$1089,Objects!$B$2:$B$1089,$A183,Objects!$F$2:$F$1089,$B183,Objects!$H$2:$H$1089,$C183)</f>
        <v/>
      </c>
      <c r="G183" s="5">
        <f>_xlfn.MINIFS(Objects!$L$2:$L$1089,Objects!$B$2:$B$1089,$A183,Objects!$F$2:$F$1089,$B183,Objects!$H$2:$H$1089,$C183)</f>
        <v/>
      </c>
      <c r="H183" s="5">
        <f>_xlfn.MAXIFS(Objects!$L$2:$L$1089,Objects!$B$2:$B$1089,$A183,Objects!$F$2:$F$1089,$B183,Objects!$H$2:$H$1089,$C183)</f>
        <v/>
      </c>
      <c r="I183" s="5">
        <f>IF(OR(C183="(none)",B183="raft",B183="sump_pit"),"n/a",IF(OR(B183="column",B183="shear_wall",B183="isolated_footing",B183="combined_footing"),IF(AND(F183-E183&lt;=3,H183-G183&lt;=3),"yes","no"),IF(H183-G183&lt;=3,"yes (thickness)","no (thickness)")))</f>
        <v/>
      </c>
      <c r="J183" s="6">
        <f>SUMIFS(Objects!$K$2:$K$1089,Objects!$B$2:$B$1089,$A183,Objects!$F$2:$F$1089,$B183,Objects!$H$2:$H$1089,$C183)/100</f>
        <v/>
      </c>
      <c r="K183" s="5">
        <f>COUNTIFS(Objects!$B$2:$B$1089,$A183,Objects!$F$2:$F$1089,$B183,Objects!$H$2:$H$1089,$C183,Objects!$I$2:$I$1089,"inferred*")</f>
        <v/>
      </c>
    </row>
    <row r="184">
      <c r="A184" s="5" t="inlineStr">
        <is>
          <t>128</t>
        </is>
      </c>
      <c r="B184" s="5" t="inlineStr">
        <is>
          <t>shear_wall</t>
        </is>
      </c>
      <c r="C184" s="5" t="inlineStr">
        <is>
          <t>V7/128</t>
        </is>
      </c>
      <c r="D184" s="5">
        <f>COUNTIFS(Objects!$B$2:$B$1089,$A184,Objects!$F$2:$F$1089,$B184,Objects!$H$2:$H$1089,$C184)</f>
        <v/>
      </c>
      <c r="E184" s="5">
        <f>_xlfn.MINIFS(Objects!$K$2:$K$1089,Objects!$B$2:$B$1089,$A184,Objects!$F$2:$F$1089,$B184,Objects!$H$2:$H$1089,$C184)</f>
        <v/>
      </c>
      <c r="F184" s="5">
        <f>_xlfn.MAXIFS(Objects!$K$2:$K$1089,Objects!$B$2:$B$1089,$A184,Objects!$F$2:$F$1089,$B184,Objects!$H$2:$H$1089,$C184)</f>
        <v/>
      </c>
      <c r="G184" s="5">
        <f>_xlfn.MINIFS(Objects!$L$2:$L$1089,Objects!$B$2:$B$1089,$A184,Objects!$F$2:$F$1089,$B184,Objects!$H$2:$H$1089,$C184)</f>
        <v/>
      </c>
      <c r="H184" s="5">
        <f>_xlfn.MAXIFS(Objects!$L$2:$L$1089,Objects!$B$2:$B$1089,$A184,Objects!$F$2:$F$1089,$B184,Objects!$H$2:$H$1089,$C184)</f>
        <v/>
      </c>
      <c r="I184" s="5">
        <f>IF(OR(C184="(none)",B184="raft",B184="sump_pit"),"n/a",IF(OR(B184="column",B184="shear_wall",B184="isolated_footing",B184="combined_footing"),IF(AND(F184-E184&lt;=3,H184-G184&lt;=3),"yes","no"),IF(H184-G184&lt;=3,"yes (thickness)","no (thickness)")))</f>
        <v/>
      </c>
      <c r="J184" s="6">
        <f>SUMIFS(Objects!$K$2:$K$1089,Objects!$B$2:$B$1089,$A184,Objects!$F$2:$F$1089,$B184,Objects!$H$2:$H$1089,$C184)/100</f>
        <v/>
      </c>
      <c r="K184" s="5">
        <f>COUNTIFS(Objects!$B$2:$B$1089,$A184,Objects!$F$2:$F$1089,$B184,Objects!$H$2:$H$1089,$C184,Objects!$I$2:$I$1089,"inferred*")</f>
        <v/>
      </c>
    </row>
    <row r="185">
      <c r="A185" s="5" t="inlineStr">
        <is>
          <t>128</t>
        </is>
      </c>
      <c r="B185" s="5" t="inlineStr">
        <is>
          <t>shear_wall</t>
        </is>
      </c>
      <c r="C185" s="5" t="inlineStr">
        <is>
          <t>V7a/128</t>
        </is>
      </c>
      <c r="D185" s="5">
        <f>COUNTIFS(Objects!$B$2:$B$1089,$A185,Objects!$F$2:$F$1089,$B185,Objects!$H$2:$H$1089,$C185)</f>
        <v/>
      </c>
      <c r="E185" s="5">
        <f>_xlfn.MINIFS(Objects!$K$2:$K$1089,Objects!$B$2:$B$1089,$A185,Objects!$F$2:$F$1089,$B185,Objects!$H$2:$H$1089,$C185)</f>
        <v/>
      </c>
      <c r="F185" s="5">
        <f>_xlfn.MAXIFS(Objects!$K$2:$K$1089,Objects!$B$2:$B$1089,$A185,Objects!$F$2:$F$1089,$B185,Objects!$H$2:$H$1089,$C185)</f>
        <v/>
      </c>
      <c r="G185" s="5">
        <f>_xlfn.MINIFS(Objects!$L$2:$L$1089,Objects!$B$2:$B$1089,$A185,Objects!$F$2:$F$1089,$B185,Objects!$H$2:$H$1089,$C185)</f>
        <v/>
      </c>
      <c r="H185" s="5">
        <f>_xlfn.MAXIFS(Objects!$L$2:$L$1089,Objects!$B$2:$B$1089,$A185,Objects!$F$2:$F$1089,$B185,Objects!$H$2:$H$1089,$C185)</f>
        <v/>
      </c>
      <c r="I185" s="5">
        <f>IF(OR(C185="(none)",B185="raft",B185="sump_pit"),"n/a",IF(OR(B185="column",B185="shear_wall",B185="isolated_footing",B185="combined_footing"),IF(AND(F185-E185&lt;=3,H185-G185&lt;=3),"yes","no"),IF(H185-G185&lt;=3,"yes (thickness)","no (thickness)")))</f>
        <v/>
      </c>
      <c r="J185" s="6">
        <f>SUMIFS(Objects!$K$2:$K$1089,Objects!$B$2:$B$1089,$A185,Objects!$F$2:$F$1089,$B185,Objects!$H$2:$H$1089,$C185)/100</f>
        <v/>
      </c>
      <c r="K185" s="5">
        <f>COUNTIFS(Objects!$B$2:$B$1089,$A185,Objects!$F$2:$F$1089,$B185,Objects!$H$2:$H$1089,$C185,Objects!$I$2:$I$1089,"inferred*")</f>
        <v/>
      </c>
    </row>
    <row r="186">
      <c r="A186" s="5" t="inlineStr">
        <is>
          <t>128</t>
        </is>
      </c>
      <c r="B186" s="5" t="inlineStr">
        <is>
          <t>shear_wall</t>
        </is>
      </c>
      <c r="C186" s="5" t="inlineStr">
        <is>
          <t>V9/128</t>
        </is>
      </c>
      <c r="D186" s="5">
        <f>COUNTIFS(Objects!$B$2:$B$1089,$A186,Objects!$F$2:$F$1089,$B186,Objects!$H$2:$H$1089,$C186)</f>
        <v/>
      </c>
      <c r="E186" s="5">
        <f>_xlfn.MINIFS(Objects!$K$2:$K$1089,Objects!$B$2:$B$1089,$A186,Objects!$F$2:$F$1089,$B186,Objects!$H$2:$H$1089,$C186)</f>
        <v/>
      </c>
      <c r="F186" s="5">
        <f>_xlfn.MAXIFS(Objects!$K$2:$K$1089,Objects!$B$2:$B$1089,$A186,Objects!$F$2:$F$1089,$B186,Objects!$H$2:$H$1089,$C186)</f>
        <v/>
      </c>
      <c r="G186" s="5">
        <f>_xlfn.MINIFS(Objects!$L$2:$L$1089,Objects!$B$2:$B$1089,$A186,Objects!$F$2:$F$1089,$B186,Objects!$H$2:$H$1089,$C186)</f>
        <v/>
      </c>
      <c r="H186" s="5">
        <f>_xlfn.MAXIFS(Objects!$L$2:$L$1089,Objects!$B$2:$B$1089,$A186,Objects!$F$2:$F$1089,$B186,Objects!$H$2:$H$1089,$C186)</f>
        <v/>
      </c>
      <c r="I186" s="5">
        <f>IF(OR(C186="(none)",B186="raft",B186="sump_pit"),"n/a",IF(OR(B186="column",B186="shear_wall",B186="isolated_footing",B186="combined_footing"),IF(AND(F186-E186&lt;=3,H186-G186&lt;=3),"yes","no"),IF(H186-G186&lt;=3,"yes (thickness)","no (thickness)")))</f>
        <v/>
      </c>
      <c r="J186" s="6">
        <f>SUMIFS(Objects!$K$2:$K$1089,Objects!$B$2:$B$1089,$A186,Objects!$F$2:$F$1089,$B186,Objects!$H$2:$H$1089,$C186)/100</f>
        <v/>
      </c>
      <c r="K186" s="5">
        <f>COUNTIFS(Objects!$B$2:$B$1089,$A186,Objects!$F$2:$F$1089,$B186,Objects!$H$2:$H$1089,$C186,Objects!$I$2:$I$1089,"inferred*")</f>
        <v/>
      </c>
    </row>
    <row r="187">
      <c r="A187" s="5" t="inlineStr">
        <is>
          <t>128</t>
        </is>
      </c>
      <c r="B187" s="5" t="inlineStr">
        <is>
          <t>retaining_wall</t>
        </is>
      </c>
      <c r="C187" s="5" t="inlineStr">
        <is>
          <t>VP20</t>
        </is>
      </c>
      <c r="D187" s="5">
        <f>COUNTIFS(Objects!$B$2:$B$1089,$A187,Objects!$F$2:$F$1089,$B187,Objects!$H$2:$H$1089,$C187)</f>
        <v/>
      </c>
      <c r="E187" s="5">
        <f>_xlfn.MINIFS(Objects!$K$2:$K$1089,Objects!$B$2:$B$1089,$A187,Objects!$F$2:$F$1089,$B187,Objects!$H$2:$H$1089,$C187)</f>
        <v/>
      </c>
      <c r="F187" s="5">
        <f>_xlfn.MAXIFS(Objects!$K$2:$K$1089,Objects!$B$2:$B$1089,$A187,Objects!$F$2:$F$1089,$B187,Objects!$H$2:$H$1089,$C187)</f>
        <v/>
      </c>
      <c r="G187" s="5">
        <f>_xlfn.MINIFS(Objects!$L$2:$L$1089,Objects!$B$2:$B$1089,$A187,Objects!$F$2:$F$1089,$B187,Objects!$H$2:$H$1089,$C187)</f>
        <v/>
      </c>
      <c r="H187" s="5">
        <f>_xlfn.MAXIFS(Objects!$L$2:$L$1089,Objects!$B$2:$B$1089,$A187,Objects!$F$2:$F$1089,$B187,Objects!$H$2:$H$1089,$C187)</f>
        <v/>
      </c>
      <c r="I187" s="5">
        <f>IF(OR(C187="(none)",B187="raft",B187="sump_pit"),"n/a",IF(OR(B187="column",B187="shear_wall",B187="isolated_footing",B187="combined_footing"),IF(AND(F187-E187&lt;=3,H187-G187&lt;=3),"yes","no"),IF(H187-G187&lt;=3,"yes (thickness)","no (thickness)")))</f>
        <v/>
      </c>
      <c r="J187" s="6">
        <f>SUMIFS(Objects!$K$2:$K$1089,Objects!$B$2:$B$1089,$A187,Objects!$F$2:$F$1089,$B187,Objects!$H$2:$H$1089,$C187)/100</f>
        <v/>
      </c>
      <c r="K187" s="5">
        <f>COUNTIFS(Objects!$B$2:$B$1089,$A187,Objects!$F$2:$F$1089,$B187,Objects!$H$2:$H$1089,$C187,Objects!$I$2:$I$1089,"inferred*")</f>
        <v/>
      </c>
    </row>
    <row r="188">
      <c r="A188" s="5" t="inlineStr">
        <is>
          <t>128</t>
        </is>
      </c>
      <c r="B188" s="5" t="inlineStr">
        <is>
          <t>isolated_footing</t>
        </is>
      </c>
      <c r="C188" s="5" t="inlineStr">
        <is>
          <t>(none)</t>
        </is>
      </c>
      <c r="D188" s="5">
        <f>COUNTIFS(Objects!$B$2:$B$1089,$A188,Objects!$F$2:$F$1089,$B188,Objects!$H$2:$H$1089,$C188)</f>
        <v/>
      </c>
      <c r="E188" s="5">
        <f>_xlfn.MINIFS(Objects!$K$2:$K$1089,Objects!$B$2:$B$1089,$A188,Objects!$F$2:$F$1089,$B188,Objects!$H$2:$H$1089,$C188)</f>
        <v/>
      </c>
      <c r="F188" s="5">
        <f>_xlfn.MAXIFS(Objects!$K$2:$K$1089,Objects!$B$2:$B$1089,$A188,Objects!$F$2:$F$1089,$B188,Objects!$H$2:$H$1089,$C188)</f>
        <v/>
      </c>
      <c r="G188" s="5">
        <f>_xlfn.MINIFS(Objects!$L$2:$L$1089,Objects!$B$2:$B$1089,$A188,Objects!$F$2:$F$1089,$B188,Objects!$H$2:$H$1089,$C188)</f>
        <v/>
      </c>
      <c r="H188" s="5">
        <f>_xlfn.MAXIFS(Objects!$L$2:$L$1089,Objects!$B$2:$B$1089,$A188,Objects!$F$2:$F$1089,$B188,Objects!$H$2:$H$1089,$C188)</f>
        <v/>
      </c>
      <c r="I188" s="5">
        <f>IF(OR(C188="(none)",B188="raft",B188="sump_pit"),"n/a",IF(OR(B188="column",B188="shear_wall",B188="isolated_footing",B188="combined_footing"),IF(AND(F188-E188&lt;=3,H188-G188&lt;=3),"yes","no"),IF(H188-G188&lt;=3,"yes (thickness)","no (thickness)")))</f>
        <v/>
      </c>
      <c r="J188" s="6">
        <f>SUMIFS(Objects!$K$2:$K$1089,Objects!$B$2:$B$1089,$A188,Objects!$F$2:$F$1089,$B188,Objects!$H$2:$H$1089,$C188)/100</f>
        <v/>
      </c>
      <c r="K188" s="5">
        <f>COUNTIFS(Objects!$B$2:$B$1089,$A188,Objects!$F$2:$F$1089,$B188,Objects!$H$2:$H$1089,$C188,Objects!$I$2:$I$1089,"inferred*")</f>
        <v/>
      </c>
    </row>
    <row r="189">
      <c r="A189" s="5" t="inlineStr">
        <is>
          <t>128</t>
        </is>
      </c>
      <c r="B189" s="5" t="inlineStr">
        <is>
          <t>isolated_footing</t>
        </is>
      </c>
      <c r="C189" s="5" t="inlineStr">
        <is>
          <t>S11</t>
        </is>
      </c>
      <c r="D189" s="5">
        <f>COUNTIFS(Objects!$B$2:$B$1089,$A189,Objects!$F$2:$F$1089,$B189,Objects!$H$2:$H$1089,$C189)</f>
        <v/>
      </c>
      <c r="E189" s="5">
        <f>_xlfn.MINIFS(Objects!$K$2:$K$1089,Objects!$B$2:$B$1089,$A189,Objects!$F$2:$F$1089,$B189,Objects!$H$2:$H$1089,$C189)</f>
        <v/>
      </c>
      <c r="F189" s="5">
        <f>_xlfn.MAXIFS(Objects!$K$2:$K$1089,Objects!$B$2:$B$1089,$A189,Objects!$F$2:$F$1089,$B189,Objects!$H$2:$H$1089,$C189)</f>
        <v/>
      </c>
      <c r="G189" s="5">
        <f>_xlfn.MINIFS(Objects!$L$2:$L$1089,Objects!$B$2:$B$1089,$A189,Objects!$F$2:$F$1089,$B189,Objects!$H$2:$H$1089,$C189)</f>
        <v/>
      </c>
      <c r="H189" s="5">
        <f>_xlfn.MAXIFS(Objects!$L$2:$L$1089,Objects!$B$2:$B$1089,$A189,Objects!$F$2:$F$1089,$B189,Objects!$H$2:$H$1089,$C189)</f>
        <v/>
      </c>
      <c r="I189" s="5">
        <f>IF(OR(C189="(none)",B189="raft",B189="sump_pit"),"n/a",IF(OR(B189="column",B189="shear_wall",B189="isolated_footing",B189="combined_footing"),IF(AND(F189-E189&lt;=3,H189-G189&lt;=3),"yes","no"),IF(H189-G189&lt;=3,"yes (thickness)","no (thickness)")))</f>
        <v/>
      </c>
      <c r="J189" s="6">
        <f>SUMIFS(Objects!$K$2:$K$1089,Objects!$B$2:$B$1089,$A189,Objects!$F$2:$F$1089,$B189,Objects!$H$2:$H$1089,$C189)/100</f>
        <v/>
      </c>
      <c r="K189" s="5">
        <f>COUNTIFS(Objects!$B$2:$B$1089,$A189,Objects!$F$2:$F$1089,$B189,Objects!$H$2:$H$1089,$C189,Objects!$I$2:$I$1089,"inferred*")</f>
        <v/>
      </c>
    </row>
    <row r="190">
      <c r="A190" s="5" t="inlineStr">
        <is>
          <t>128</t>
        </is>
      </c>
      <c r="B190" s="5" t="inlineStr">
        <is>
          <t>isolated_footing</t>
        </is>
      </c>
      <c r="C190" s="5" t="inlineStr">
        <is>
          <t>S2</t>
        </is>
      </c>
      <c r="D190" s="5">
        <f>COUNTIFS(Objects!$B$2:$B$1089,$A190,Objects!$F$2:$F$1089,$B190,Objects!$H$2:$H$1089,$C190)</f>
        <v/>
      </c>
      <c r="E190" s="5">
        <f>_xlfn.MINIFS(Objects!$K$2:$K$1089,Objects!$B$2:$B$1089,$A190,Objects!$F$2:$F$1089,$B190,Objects!$H$2:$H$1089,$C190)</f>
        <v/>
      </c>
      <c r="F190" s="5">
        <f>_xlfn.MAXIFS(Objects!$K$2:$K$1089,Objects!$B$2:$B$1089,$A190,Objects!$F$2:$F$1089,$B190,Objects!$H$2:$H$1089,$C190)</f>
        <v/>
      </c>
      <c r="G190" s="5">
        <f>_xlfn.MINIFS(Objects!$L$2:$L$1089,Objects!$B$2:$B$1089,$A190,Objects!$F$2:$F$1089,$B190,Objects!$H$2:$H$1089,$C190)</f>
        <v/>
      </c>
      <c r="H190" s="5">
        <f>_xlfn.MAXIFS(Objects!$L$2:$L$1089,Objects!$B$2:$B$1089,$A190,Objects!$F$2:$F$1089,$B190,Objects!$H$2:$H$1089,$C190)</f>
        <v/>
      </c>
      <c r="I190" s="5">
        <f>IF(OR(C190="(none)",B190="raft",B190="sump_pit"),"n/a",IF(OR(B190="column",B190="shear_wall",B190="isolated_footing",B190="combined_footing"),IF(AND(F190-E190&lt;=3,H190-G190&lt;=3),"yes","no"),IF(H190-G190&lt;=3,"yes (thickness)","no (thickness)")))</f>
        <v/>
      </c>
      <c r="J190" s="6">
        <f>SUMIFS(Objects!$K$2:$K$1089,Objects!$B$2:$B$1089,$A190,Objects!$F$2:$F$1089,$B190,Objects!$H$2:$H$1089,$C190)/100</f>
        <v/>
      </c>
      <c r="K190" s="5">
        <f>COUNTIFS(Objects!$B$2:$B$1089,$A190,Objects!$F$2:$F$1089,$B190,Objects!$H$2:$H$1089,$C190,Objects!$I$2:$I$1089,"inferred*")</f>
        <v/>
      </c>
    </row>
    <row r="191">
      <c r="A191" s="5" t="inlineStr">
        <is>
          <t>128</t>
        </is>
      </c>
      <c r="B191" s="5" t="inlineStr">
        <is>
          <t>isolated_footing</t>
        </is>
      </c>
      <c r="C191" s="5" t="inlineStr">
        <is>
          <t>S5</t>
        </is>
      </c>
      <c r="D191" s="5">
        <f>COUNTIFS(Objects!$B$2:$B$1089,$A191,Objects!$F$2:$F$1089,$B191,Objects!$H$2:$H$1089,$C191)</f>
        <v/>
      </c>
      <c r="E191" s="5">
        <f>_xlfn.MINIFS(Objects!$K$2:$K$1089,Objects!$B$2:$B$1089,$A191,Objects!$F$2:$F$1089,$B191,Objects!$H$2:$H$1089,$C191)</f>
        <v/>
      </c>
      <c r="F191" s="5">
        <f>_xlfn.MAXIFS(Objects!$K$2:$K$1089,Objects!$B$2:$B$1089,$A191,Objects!$F$2:$F$1089,$B191,Objects!$H$2:$H$1089,$C191)</f>
        <v/>
      </c>
      <c r="G191" s="5">
        <f>_xlfn.MINIFS(Objects!$L$2:$L$1089,Objects!$B$2:$B$1089,$A191,Objects!$F$2:$F$1089,$B191,Objects!$H$2:$H$1089,$C191)</f>
        <v/>
      </c>
      <c r="H191" s="5">
        <f>_xlfn.MAXIFS(Objects!$L$2:$L$1089,Objects!$B$2:$B$1089,$A191,Objects!$F$2:$F$1089,$B191,Objects!$H$2:$H$1089,$C191)</f>
        <v/>
      </c>
      <c r="I191" s="5">
        <f>IF(OR(C191="(none)",B191="raft",B191="sump_pit"),"n/a",IF(OR(B191="column",B191="shear_wall",B191="isolated_footing",B191="combined_footing"),IF(AND(F191-E191&lt;=3,H191-G191&lt;=3),"yes","no"),IF(H191-G191&lt;=3,"yes (thickness)","no (thickness)")))</f>
        <v/>
      </c>
      <c r="J191" s="6">
        <f>SUMIFS(Objects!$K$2:$K$1089,Objects!$B$2:$B$1089,$A191,Objects!$F$2:$F$1089,$B191,Objects!$H$2:$H$1089,$C191)/100</f>
        <v/>
      </c>
      <c r="K191" s="5">
        <f>COUNTIFS(Objects!$B$2:$B$1089,$A191,Objects!$F$2:$F$1089,$B191,Objects!$H$2:$H$1089,$C191,Objects!$I$2:$I$1089,"inferred*")</f>
        <v/>
      </c>
    </row>
    <row r="192">
      <c r="A192" s="5" t="inlineStr">
        <is>
          <t>128</t>
        </is>
      </c>
      <c r="B192" s="5" t="inlineStr">
        <is>
          <t>combined_footing</t>
        </is>
      </c>
      <c r="C192" s="5" t="inlineStr">
        <is>
          <t>SC1</t>
        </is>
      </c>
      <c r="D192" s="5">
        <f>COUNTIFS(Objects!$B$2:$B$1089,$A192,Objects!$F$2:$F$1089,$B192,Objects!$H$2:$H$1089,$C192)</f>
        <v/>
      </c>
      <c r="E192" s="5">
        <f>_xlfn.MINIFS(Objects!$K$2:$K$1089,Objects!$B$2:$B$1089,$A192,Objects!$F$2:$F$1089,$B192,Objects!$H$2:$H$1089,$C192)</f>
        <v/>
      </c>
      <c r="F192" s="5">
        <f>_xlfn.MAXIFS(Objects!$K$2:$K$1089,Objects!$B$2:$B$1089,$A192,Objects!$F$2:$F$1089,$B192,Objects!$H$2:$H$1089,$C192)</f>
        <v/>
      </c>
      <c r="G192" s="5">
        <f>_xlfn.MINIFS(Objects!$L$2:$L$1089,Objects!$B$2:$B$1089,$A192,Objects!$F$2:$F$1089,$B192,Objects!$H$2:$H$1089,$C192)</f>
        <v/>
      </c>
      <c r="H192" s="5">
        <f>_xlfn.MAXIFS(Objects!$L$2:$L$1089,Objects!$B$2:$B$1089,$A192,Objects!$F$2:$F$1089,$B192,Objects!$H$2:$H$1089,$C192)</f>
        <v/>
      </c>
      <c r="I192" s="5">
        <f>IF(OR(C192="(none)",B192="raft",B192="sump_pit"),"n/a",IF(OR(B192="column",B192="shear_wall",B192="isolated_footing",B192="combined_footing"),IF(AND(F192-E192&lt;=3,H192-G192&lt;=3),"yes","no"),IF(H192-G192&lt;=3,"yes (thickness)","no (thickness)")))</f>
        <v/>
      </c>
      <c r="J192" s="6">
        <f>SUMIFS(Objects!$K$2:$K$1089,Objects!$B$2:$B$1089,$A192,Objects!$F$2:$F$1089,$B192,Objects!$H$2:$H$1089,$C192)/100</f>
        <v/>
      </c>
      <c r="K192" s="5">
        <f>COUNTIFS(Objects!$B$2:$B$1089,$A192,Objects!$F$2:$F$1089,$B192,Objects!$H$2:$H$1089,$C192,Objects!$I$2:$I$1089,"inferred*")</f>
        <v/>
      </c>
    </row>
    <row r="193">
      <c r="A193" s="5" t="inlineStr">
        <is>
          <t>128</t>
        </is>
      </c>
      <c r="B193" s="5" t="inlineStr">
        <is>
          <t>combined_footing</t>
        </is>
      </c>
      <c r="C193" s="5" t="inlineStr">
        <is>
          <t>SC3</t>
        </is>
      </c>
      <c r="D193" s="5">
        <f>COUNTIFS(Objects!$B$2:$B$1089,$A193,Objects!$F$2:$F$1089,$B193,Objects!$H$2:$H$1089,$C193)</f>
        <v/>
      </c>
      <c r="E193" s="5">
        <f>_xlfn.MINIFS(Objects!$K$2:$K$1089,Objects!$B$2:$B$1089,$A193,Objects!$F$2:$F$1089,$B193,Objects!$H$2:$H$1089,$C193)</f>
        <v/>
      </c>
      <c r="F193" s="5">
        <f>_xlfn.MAXIFS(Objects!$K$2:$K$1089,Objects!$B$2:$B$1089,$A193,Objects!$F$2:$F$1089,$B193,Objects!$H$2:$H$1089,$C193)</f>
        <v/>
      </c>
      <c r="G193" s="5">
        <f>_xlfn.MINIFS(Objects!$L$2:$L$1089,Objects!$B$2:$B$1089,$A193,Objects!$F$2:$F$1089,$B193,Objects!$H$2:$H$1089,$C193)</f>
        <v/>
      </c>
      <c r="H193" s="5">
        <f>_xlfn.MAXIFS(Objects!$L$2:$L$1089,Objects!$B$2:$B$1089,$A193,Objects!$F$2:$F$1089,$B193,Objects!$H$2:$H$1089,$C193)</f>
        <v/>
      </c>
      <c r="I193" s="5">
        <f>IF(OR(C193="(none)",B193="raft",B193="sump_pit"),"n/a",IF(OR(B193="column",B193="shear_wall",B193="isolated_footing",B193="combined_footing"),IF(AND(F193-E193&lt;=3,H193-G193&lt;=3),"yes","no"),IF(H193-G193&lt;=3,"yes (thickness)","no (thickness)")))</f>
        <v/>
      </c>
      <c r="J193" s="6">
        <f>SUMIFS(Objects!$K$2:$K$1089,Objects!$B$2:$B$1089,$A193,Objects!$F$2:$F$1089,$B193,Objects!$H$2:$H$1089,$C193)/100</f>
        <v/>
      </c>
      <c r="K193" s="5">
        <f>COUNTIFS(Objects!$B$2:$B$1089,$A193,Objects!$F$2:$F$1089,$B193,Objects!$H$2:$H$1089,$C193,Objects!$I$2:$I$1089,"inferred*")</f>
        <v/>
      </c>
    </row>
    <row r="194">
      <c r="A194" s="5" t="inlineStr">
        <is>
          <t>128</t>
        </is>
      </c>
      <c r="B194" s="5" t="inlineStr">
        <is>
          <t>strip_footing</t>
        </is>
      </c>
      <c r="C194" s="5" t="inlineStr">
        <is>
          <t>(none)</t>
        </is>
      </c>
      <c r="D194" s="5">
        <f>COUNTIFS(Objects!$B$2:$B$1089,$A194,Objects!$F$2:$F$1089,$B194,Objects!$H$2:$H$1089,$C194)</f>
        <v/>
      </c>
      <c r="E194" s="5">
        <f>_xlfn.MINIFS(Objects!$K$2:$K$1089,Objects!$B$2:$B$1089,$A194,Objects!$F$2:$F$1089,$B194,Objects!$H$2:$H$1089,$C194)</f>
        <v/>
      </c>
      <c r="F194" s="5">
        <f>_xlfn.MAXIFS(Objects!$K$2:$K$1089,Objects!$B$2:$B$1089,$A194,Objects!$F$2:$F$1089,$B194,Objects!$H$2:$H$1089,$C194)</f>
        <v/>
      </c>
      <c r="G194" s="5">
        <f>_xlfn.MINIFS(Objects!$L$2:$L$1089,Objects!$B$2:$B$1089,$A194,Objects!$F$2:$F$1089,$B194,Objects!$H$2:$H$1089,$C194)</f>
        <v/>
      </c>
      <c r="H194" s="5">
        <f>_xlfn.MAXIFS(Objects!$L$2:$L$1089,Objects!$B$2:$B$1089,$A194,Objects!$F$2:$F$1089,$B194,Objects!$H$2:$H$1089,$C194)</f>
        <v/>
      </c>
      <c r="I194" s="5">
        <f>IF(OR(C194="(none)",B194="raft",B194="sump_pit"),"n/a",IF(OR(B194="column",B194="shear_wall",B194="isolated_footing",B194="combined_footing"),IF(AND(F194-E194&lt;=3,H194-G194&lt;=3),"yes","no"),IF(H194-G194&lt;=3,"yes (thickness)","no (thickness)")))</f>
        <v/>
      </c>
      <c r="J194" s="6">
        <f>SUMIFS(Objects!$K$2:$K$1089,Objects!$B$2:$B$1089,$A194,Objects!$F$2:$F$1089,$B194,Objects!$H$2:$H$1089,$C194)/100</f>
        <v/>
      </c>
      <c r="K194" s="5">
        <f>COUNTIFS(Objects!$B$2:$B$1089,$A194,Objects!$F$2:$F$1089,$B194,Objects!$H$2:$H$1089,$C194,Objects!$I$2:$I$1089,"inferred*")</f>
        <v/>
      </c>
    </row>
    <row r="195">
      <c r="A195" s="5" t="inlineStr">
        <is>
          <t>128</t>
        </is>
      </c>
      <c r="B195" s="5" t="inlineStr">
        <is>
          <t>strip_footing</t>
        </is>
      </c>
      <c r="C195" s="5" t="inlineStr">
        <is>
          <t>SF1</t>
        </is>
      </c>
      <c r="D195" s="5">
        <f>COUNTIFS(Objects!$B$2:$B$1089,$A195,Objects!$F$2:$F$1089,$B195,Objects!$H$2:$H$1089,$C195)</f>
        <v/>
      </c>
      <c r="E195" s="5">
        <f>_xlfn.MINIFS(Objects!$K$2:$K$1089,Objects!$B$2:$B$1089,$A195,Objects!$F$2:$F$1089,$B195,Objects!$H$2:$H$1089,$C195)</f>
        <v/>
      </c>
      <c r="F195" s="5">
        <f>_xlfn.MAXIFS(Objects!$K$2:$K$1089,Objects!$B$2:$B$1089,$A195,Objects!$F$2:$F$1089,$B195,Objects!$H$2:$H$1089,$C195)</f>
        <v/>
      </c>
      <c r="G195" s="5">
        <f>_xlfn.MINIFS(Objects!$L$2:$L$1089,Objects!$B$2:$B$1089,$A195,Objects!$F$2:$F$1089,$B195,Objects!$H$2:$H$1089,$C195)</f>
        <v/>
      </c>
      <c r="H195" s="5">
        <f>_xlfn.MAXIFS(Objects!$L$2:$L$1089,Objects!$B$2:$B$1089,$A195,Objects!$F$2:$F$1089,$B195,Objects!$H$2:$H$1089,$C195)</f>
        <v/>
      </c>
      <c r="I195" s="5">
        <f>IF(OR(C195="(none)",B195="raft",B195="sump_pit"),"n/a",IF(OR(B195="column",B195="shear_wall",B195="isolated_footing",B195="combined_footing"),IF(AND(F195-E195&lt;=3,H195-G195&lt;=3),"yes","no"),IF(H195-G195&lt;=3,"yes (thickness)","no (thickness)")))</f>
        <v/>
      </c>
      <c r="J195" s="6">
        <f>SUMIFS(Objects!$K$2:$K$1089,Objects!$B$2:$B$1089,$A195,Objects!$F$2:$F$1089,$B195,Objects!$H$2:$H$1089,$C195)/100</f>
        <v/>
      </c>
      <c r="K195" s="5">
        <f>COUNTIFS(Objects!$B$2:$B$1089,$A195,Objects!$F$2:$F$1089,$B195,Objects!$H$2:$H$1089,$C195,Objects!$I$2:$I$1089,"inferred*")</f>
        <v/>
      </c>
    </row>
    <row r="196">
      <c r="A196" s="5" t="inlineStr">
        <is>
          <t>128</t>
        </is>
      </c>
      <c r="B196" s="5" t="inlineStr">
        <is>
          <t>grade_beam</t>
        </is>
      </c>
      <c r="C196" s="5" t="inlineStr">
        <is>
          <t>(none)</t>
        </is>
      </c>
      <c r="D196" s="5">
        <f>COUNTIFS(Objects!$B$2:$B$1089,$A196,Objects!$F$2:$F$1089,$B196,Objects!$H$2:$H$1089,$C196)</f>
        <v/>
      </c>
      <c r="E196" s="5">
        <f>_xlfn.MINIFS(Objects!$K$2:$K$1089,Objects!$B$2:$B$1089,$A196,Objects!$F$2:$F$1089,$B196,Objects!$H$2:$H$1089,$C196)</f>
        <v/>
      </c>
      <c r="F196" s="5">
        <f>_xlfn.MAXIFS(Objects!$K$2:$K$1089,Objects!$B$2:$B$1089,$A196,Objects!$F$2:$F$1089,$B196,Objects!$H$2:$H$1089,$C196)</f>
        <v/>
      </c>
      <c r="G196" s="5">
        <f>_xlfn.MINIFS(Objects!$L$2:$L$1089,Objects!$B$2:$B$1089,$A196,Objects!$F$2:$F$1089,$B196,Objects!$H$2:$H$1089,$C196)</f>
        <v/>
      </c>
      <c r="H196" s="5">
        <f>_xlfn.MAXIFS(Objects!$L$2:$L$1089,Objects!$B$2:$B$1089,$A196,Objects!$F$2:$F$1089,$B196,Objects!$H$2:$H$1089,$C196)</f>
        <v/>
      </c>
      <c r="I196" s="5">
        <f>IF(OR(C196="(none)",B196="raft",B196="sump_pit"),"n/a",IF(OR(B196="column",B196="shear_wall",B196="isolated_footing",B196="combined_footing"),IF(AND(F196-E196&lt;=3,H196-G196&lt;=3),"yes","no"),IF(H196-G196&lt;=3,"yes (thickness)","no (thickness)")))</f>
        <v/>
      </c>
      <c r="J196" s="6">
        <f>SUMIFS(Objects!$K$2:$K$1089,Objects!$B$2:$B$1089,$A196,Objects!$F$2:$F$1089,$B196,Objects!$H$2:$H$1089,$C196)/100</f>
        <v/>
      </c>
      <c r="K196" s="5">
        <f>COUNTIFS(Objects!$B$2:$B$1089,$A196,Objects!$F$2:$F$1089,$B196,Objects!$H$2:$H$1089,$C196,Objects!$I$2:$I$1089,"inferred*")</f>
        <v/>
      </c>
    </row>
    <row r="197">
      <c r="A197" s="5" t="inlineStr">
        <is>
          <t>128</t>
        </is>
      </c>
      <c r="B197" s="5" t="inlineStr">
        <is>
          <t>grade_beam</t>
        </is>
      </c>
      <c r="C197" s="5" t="inlineStr">
        <is>
          <t>LG25x40</t>
        </is>
      </c>
      <c r="D197" s="5">
        <f>COUNTIFS(Objects!$B$2:$B$1089,$A197,Objects!$F$2:$F$1089,$B197,Objects!$H$2:$H$1089,$C197)</f>
        <v/>
      </c>
      <c r="E197" s="5">
        <f>_xlfn.MINIFS(Objects!$K$2:$K$1089,Objects!$B$2:$B$1089,$A197,Objects!$F$2:$F$1089,$B197,Objects!$H$2:$H$1089,$C197)</f>
        <v/>
      </c>
      <c r="F197" s="5">
        <f>_xlfn.MAXIFS(Objects!$K$2:$K$1089,Objects!$B$2:$B$1089,$A197,Objects!$F$2:$F$1089,$B197,Objects!$H$2:$H$1089,$C197)</f>
        <v/>
      </c>
      <c r="G197" s="5">
        <f>_xlfn.MINIFS(Objects!$L$2:$L$1089,Objects!$B$2:$B$1089,$A197,Objects!$F$2:$F$1089,$B197,Objects!$H$2:$H$1089,$C197)</f>
        <v/>
      </c>
      <c r="H197" s="5">
        <f>_xlfn.MAXIFS(Objects!$L$2:$L$1089,Objects!$B$2:$B$1089,$A197,Objects!$F$2:$F$1089,$B197,Objects!$H$2:$H$1089,$C197)</f>
        <v/>
      </c>
      <c r="I197" s="5">
        <f>IF(OR(C197="(none)",B197="raft",B197="sump_pit"),"n/a",IF(OR(B197="column",B197="shear_wall",B197="isolated_footing",B197="combined_footing"),IF(AND(F197-E197&lt;=3,H197-G197&lt;=3),"yes","no"),IF(H197-G197&lt;=3,"yes (thickness)","no (thickness)")))</f>
        <v/>
      </c>
      <c r="J197" s="6">
        <f>SUMIFS(Objects!$K$2:$K$1089,Objects!$B$2:$B$1089,$A197,Objects!$F$2:$F$1089,$B197,Objects!$H$2:$H$1089,$C197)/100</f>
        <v/>
      </c>
      <c r="K197" s="5">
        <f>COUNTIFS(Objects!$B$2:$B$1089,$A197,Objects!$F$2:$F$1089,$B197,Objects!$H$2:$H$1089,$C197,Objects!$I$2:$I$1089,"inferred*")</f>
        <v/>
      </c>
    </row>
    <row r="198">
      <c r="A198" s="5" t="inlineStr">
        <is>
          <t>128</t>
        </is>
      </c>
      <c r="B198" s="5" t="inlineStr">
        <is>
          <t>grade_beam</t>
        </is>
      </c>
      <c r="C198" s="5" t="inlineStr">
        <is>
          <t>LG40x15</t>
        </is>
      </c>
      <c r="D198" s="5">
        <f>COUNTIFS(Objects!$B$2:$B$1089,$A198,Objects!$F$2:$F$1089,$B198,Objects!$H$2:$H$1089,$C198)</f>
        <v/>
      </c>
      <c r="E198" s="5">
        <f>_xlfn.MINIFS(Objects!$K$2:$K$1089,Objects!$B$2:$B$1089,$A198,Objects!$F$2:$F$1089,$B198,Objects!$H$2:$H$1089,$C198)</f>
        <v/>
      </c>
      <c r="F198" s="5">
        <f>_xlfn.MAXIFS(Objects!$K$2:$K$1089,Objects!$B$2:$B$1089,$A198,Objects!$F$2:$F$1089,$B198,Objects!$H$2:$H$1089,$C198)</f>
        <v/>
      </c>
      <c r="G198" s="5">
        <f>_xlfn.MINIFS(Objects!$L$2:$L$1089,Objects!$B$2:$B$1089,$A198,Objects!$F$2:$F$1089,$B198,Objects!$H$2:$H$1089,$C198)</f>
        <v/>
      </c>
      <c r="H198" s="5">
        <f>_xlfn.MAXIFS(Objects!$L$2:$L$1089,Objects!$B$2:$B$1089,$A198,Objects!$F$2:$F$1089,$B198,Objects!$H$2:$H$1089,$C198)</f>
        <v/>
      </c>
      <c r="I198" s="5">
        <f>IF(OR(C198="(none)",B198="raft",B198="sump_pit"),"n/a",IF(OR(B198="column",B198="shear_wall",B198="isolated_footing",B198="combined_footing"),IF(AND(F198-E198&lt;=3,H198-G198&lt;=3),"yes","no"),IF(H198-G198&lt;=3,"yes (thickness)","no (thickness)")))</f>
        <v/>
      </c>
      <c r="J198" s="6">
        <f>SUMIFS(Objects!$K$2:$K$1089,Objects!$B$2:$B$1089,$A198,Objects!$F$2:$F$1089,$B198,Objects!$H$2:$H$1089,$C198)/100</f>
        <v/>
      </c>
      <c r="K198" s="5">
        <f>COUNTIFS(Objects!$B$2:$B$1089,$A198,Objects!$F$2:$F$1089,$B198,Objects!$H$2:$H$1089,$C198,Objects!$I$2:$I$1089,"inferred*")</f>
        <v/>
      </c>
    </row>
    <row r="199">
      <c r="A199" s="5" t="inlineStr">
        <is>
          <t>128</t>
        </is>
      </c>
      <c r="B199" s="5" t="inlineStr">
        <is>
          <t>raft</t>
        </is>
      </c>
      <c r="C199" s="5" t="inlineStr">
        <is>
          <t>Radier 100</t>
        </is>
      </c>
      <c r="D199" s="5">
        <f>COUNTIFS(Objects!$B$2:$B$1089,$A199,Objects!$F$2:$F$1089,$B199,Objects!$H$2:$H$1089,$C199)</f>
        <v/>
      </c>
      <c r="E199" s="5">
        <f>_xlfn.MINIFS(Objects!$K$2:$K$1089,Objects!$B$2:$B$1089,$A199,Objects!$F$2:$F$1089,$B199,Objects!$H$2:$H$1089,$C199)</f>
        <v/>
      </c>
      <c r="F199" s="5">
        <f>_xlfn.MAXIFS(Objects!$K$2:$K$1089,Objects!$B$2:$B$1089,$A199,Objects!$F$2:$F$1089,$B199,Objects!$H$2:$H$1089,$C199)</f>
        <v/>
      </c>
      <c r="G199" s="5">
        <f>_xlfn.MINIFS(Objects!$L$2:$L$1089,Objects!$B$2:$B$1089,$A199,Objects!$F$2:$F$1089,$B199,Objects!$H$2:$H$1089,$C199)</f>
        <v/>
      </c>
      <c r="H199" s="5">
        <f>_xlfn.MAXIFS(Objects!$L$2:$L$1089,Objects!$B$2:$B$1089,$A199,Objects!$F$2:$F$1089,$B199,Objects!$H$2:$H$1089,$C199)</f>
        <v/>
      </c>
      <c r="I199" s="5">
        <f>IF(OR(C199="(none)",B199="raft",B199="sump_pit"),"n/a",IF(OR(B199="column",B199="shear_wall",B199="isolated_footing",B199="combined_footing"),IF(AND(F199-E199&lt;=3,H199-G199&lt;=3),"yes","no"),IF(H199-G199&lt;=3,"yes (thickness)","no (thickness)")))</f>
        <v/>
      </c>
      <c r="J199" s="6">
        <f>SUMIFS(Objects!$K$2:$K$1089,Objects!$B$2:$B$1089,$A199,Objects!$F$2:$F$1089,$B199,Objects!$H$2:$H$1089,$C199)/100</f>
        <v/>
      </c>
      <c r="K199" s="5">
        <f>COUNTIFS(Objects!$B$2:$B$1089,$A199,Objects!$F$2:$F$1089,$B199,Objects!$H$2:$H$1089,$C199,Objects!$I$2:$I$1089,"inferred*")</f>
        <v/>
      </c>
    </row>
    <row r="200">
      <c r="A200" s="5" t="inlineStr">
        <is>
          <t>129</t>
        </is>
      </c>
      <c r="B200" s="5" t="inlineStr">
        <is>
          <t>column</t>
        </is>
      </c>
      <c r="C200" s="5" t="inlineStr">
        <is>
          <t>(none)</t>
        </is>
      </c>
      <c r="D200" s="5">
        <f>COUNTIFS(Objects!$B$2:$B$1089,$A200,Objects!$F$2:$F$1089,$B200,Objects!$H$2:$H$1089,$C200)</f>
        <v/>
      </c>
      <c r="E200" s="5">
        <f>_xlfn.MINIFS(Objects!$K$2:$K$1089,Objects!$B$2:$B$1089,$A200,Objects!$F$2:$F$1089,$B200,Objects!$H$2:$H$1089,$C200)</f>
        <v/>
      </c>
      <c r="F200" s="5">
        <f>_xlfn.MAXIFS(Objects!$K$2:$K$1089,Objects!$B$2:$B$1089,$A200,Objects!$F$2:$F$1089,$B200,Objects!$H$2:$H$1089,$C200)</f>
        <v/>
      </c>
      <c r="G200" s="5">
        <f>_xlfn.MINIFS(Objects!$L$2:$L$1089,Objects!$B$2:$B$1089,$A200,Objects!$F$2:$F$1089,$B200,Objects!$H$2:$H$1089,$C200)</f>
        <v/>
      </c>
      <c r="H200" s="5">
        <f>_xlfn.MAXIFS(Objects!$L$2:$L$1089,Objects!$B$2:$B$1089,$A200,Objects!$F$2:$F$1089,$B200,Objects!$H$2:$H$1089,$C200)</f>
        <v/>
      </c>
      <c r="I200" s="5">
        <f>IF(OR(C200="(none)",B200="raft",B200="sump_pit"),"n/a",IF(OR(B200="column",B200="shear_wall",B200="isolated_footing",B200="combined_footing"),IF(AND(F200-E200&lt;=3,H200-G200&lt;=3),"yes","no"),IF(H200-G200&lt;=3,"yes (thickness)","no (thickness)")))</f>
        <v/>
      </c>
      <c r="J200" s="6">
        <f>SUMIFS(Objects!$K$2:$K$1089,Objects!$B$2:$B$1089,$A200,Objects!$F$2:$F$1089,$B200,Objects!$H$2:$H$1089,$C200)/100</f>
        <v/>
      </c>
      <c r="K200" s="5">
        <f>COUNTIFS(Objects!$B$2:$B$1089,$A200,Objects!$F$2:$F$1089,$B200,Objects!$H$2:$H$1089,$C200,Objects!$I$2:$I$1089,"inferred*")</f>
        <v/>
      </c>
    </row>
    <row r="201">
      <c r="A201" s="5" t="inlineStr">
        <is>
          <t>129</t>
        </is>
      </c>
      <c r="B201" s="5" t="inlineStr">
        <is>
          <t>column</t>
        </is>
      </c>
      <c r="C201" s="5" t="inlineStr">
        <is>
          <t>P1/129</t>
        </is>
      </c>
      <c r="D201" s="5">
        <f>COUNTIFS(Objects!$B$2:$B$1089,$A201,Objects!$F$2:$F$1089,$B201,Objects!$H$2:$H$1089,$C201)</f>
        <v/>
      </c>
      <c r="E201" s="5">
        <f>_xlfn.MINIFS(Objects!$K$2:$K$1089,Objects!$B$2:$B$1089,$A201,Objects!$F$2:$F$1089,$B201,Objects!$H$2:$H$1089,$C201)</f>
        <v/>
      </c>
      <c r="F201" s="5">
        <f>_xlfn.MAXIFS(Objects!$K$2:$K$1089,Objects!$B$2:$B$1089,$A201,Objects!$F$2:$F$1089,$B201,Objects!$H$2:$H$1089,$C201)</f>
        <v/>
      </c>
      <c r="G201" s="5">
        <f>_xlfn.MINIFS(Objects!$L$2:$L$1089,Objects!$B$2:$B$1089,$A201,Objects!$F$2:$F$1089,$B201,Objects!$H$2:$H$1089,$C201)</f>
        <v/>
      </c>
      <c r="H201" s="5">
        <f>_xlfn.MAXIFS(Objects!$L$2:$L$1089,Objects!$B$2:$B$1089,$A201,Objects!$F$2:$F$1089,$B201,Objects!$H$2:$H$1089,$C201)</f>
        <v/>
      </c>
      <c r="I201" s="5">
        <f>IF(OR(C201="(none)",B201="raft",B201="sump_pit"),"n/a",IF(OR(B201="column",B201="shear_wall",B201="isolated_footing",B201="combined_footing"),IF(AND(F201-E201&lt;=3,H201-G201&lt;=3),"yes","no"),IF(H201-G201&lt;=3,"yes (thickness)","no (thickness)")))</f>
        <v/>
      </c>
      <c r="J201" s="6">
        <f>SUMIFS(Objects!$K$2:$K$1089,Objects!$B$2:$B$1089,$A201,Objects!$F$2:$F$1089,$B201,Objects!$H$2:$H$1089,$C201)/100</f>
        <v/>
      </c>
      <c r="K201" s="5">
        <f>COUNTIFS(Objects!$B$2:$B$1089,$A201,Objects!$F$2:$F$1089,$B201,Objects!$H$2:$H$1089,$C201,Objects!$I$2:$I$1089,"inferred*")</f>
        <v/>
      </c>
    </row>
    <row r="202">
      <c r="A202" s="5" t="inlineStr">
        <is>
          <t>129</t>
        </is>
      </c>
      <c r="B202" s="5" t="inlineStr">
        <is>
          <t>column</t>
        </is>
      </c>
      <c r="C202" s="5" t="inlineStr">
        <is>
          <t>P2/129</t>
        </is>
      </c>
      <c r="D202" s="5">
        <f>COUNTIFS(Objects!$B$2:$B$1089,$A202,Objects!$F$2:$F$1089,$B202,Objects!$H$2:$H$1089,$C202)</f>
        <v/>
      </c>
      <c r="E202" s="5">
        <f>_xlfn.MINIFS(Objects!$K$2:$K$1089,Objects!$B$2:$B$1089,$A202,Objects!$F$2:$F$1089,$B202,Objects!$H$2:$H$1089,$C202)</f>
        <v/>
      </c>
      <c r="F202" s="5">
        <f>_xlfn.MAXIFS(Objects!$K$2:$K$1089,Objects!$B$2:$B$1089,$A202,Objects!$F$2:$F$1089,$B202,Objects!$H$2:$H$1089,$C202)</f>
        <v/>
      </c>
      <c r="G202" s="5">
        <f>_xlfn.MINIFS(Objects!$L$2:$L$1089,Objects!$B$2:$B$1089,$A202,Objects!$F$2:$F$1089,$B202,Objects!$H$2:$H$1089,$C202)</f>
        <v/>
      </c>
      <c r="H202" s="5">
        <f>_xlfn.MAXIFS(Objects!$L$2:$L$1089,Objects!$B$2:$B$1089,$A202,Objects!$F$2:$F$1089,$B202,Objects!$H$2:$H$1089,$C202)</f>
        <v/>
      </c>
      <c r="I202" s="5">
        <f>IF(OR(C202="(none)",B202="raft",B202="sump_pit"),"n/a",IF(OR(B202="column",B202="shear_wall",B202="isolated_footing",B202="combined_footing"),IF(AND(F202-E202&lt;=3,H202-G202&lt;=3),"yes","no"),IF(H202-G202&lt;=3,"yes (thickness)","no (thickness)")))</f>
        <v/>
      </c>
      <c r="J202" s="6">
        <f>SUMIFS(Objects!$K$2:$K$1089,Objects!$B$2:$B$1089,$A202,Objects!$F$2:$F$1089,$B202,Objects!$H$2:$H$1089,$C202)/100</f>
        <v/>
      </c>
      <c r="K202" s="5">
        <f>COUNTIFS(Objects!$B$2:$B$1089,$A202,Objects!$F$2:$F$1089,$B202,Objects!$H$2:$H$1089,$C202,Objects!$I$2:$I$1089,"inferred*")</f>
        <v/>
      </c>
    </row>
    <row r="203">
      <c r="A203" s="5" t="inlineStr">
        <is>
          <t>129</t>
        </is>
      </c>
      <c r="B203" s="5" t="inlineStr">
        <is>
          <t>shear_wall</t>
        </is>
      </c>
      <c r="C203" s="5" t="inlineStr">
        <is>
          <t>(none)</t>
        </is>
      </c>
      <c r="D203" s="5">
        <f>COUNTIFS(Objects!$B$2:$B$1089,$A203,Objects!$F$2:$F$1089,$B203,Objects!$H$2:$H$1089,$C203)</f>
        <v/>
      </c>
      <c r="E203" s="5">
        <f>_xlfn.MINIFS(Objects!$K$2:$K$1089,Objects!$B$2:$B$1089,$A203,Objects!$F$2:$F$1089,$B203,Objects!$H$2:$H$1089,$C203)</f>
        <v/>
      </c>
      <c r="F203" s="5">
        <f>_xlfn.MAXIFS(Objects!$K$2:$K$1089,Objects!$B$2:$B$1089,$A203,Objects!$F$2:$F$1089,$B203,Objects!$H$2:$H$1089,$C203)</f>
        <v/>
      </c>
      <c r="G203" s="5">
        <f>_xlfn.MINIFS(Objects!$L$2:$L$1089,Objects!$B$2:$B$1089,$A203,Objects!$F$2:$F$1089,$B203,Objects!$H$2:$H$1089,$C203)</f>
        <v/>
      </c>
      <c r="H203" s="5">
        <f>_xlfn.MAXIFS(Objects!$L$2:$L$1089,Objects!$B$2:$B$1089,$A203,Objects!$F$2:$F$1089,$B203,Objects!$H$2:$H$1089,$C203)</f>
        <v/>
      </c>
      <c r="I203" s="5">
        <f>IF(OR(C203="(none)",B203="raft",B203="sump_pit"),"n/a",IF(OR(B203="column",B203="shear_wall",B203="isolated_footing",B203="combined_footing"),IF(AND(F203-E203&lt;=3,H203-G203&lt;=3),"yes","no"),IF(H203-G203&lt;=3,"yes (thickness)","no (thickness)")))</f>
        <v/>
      </c>
      <c r="J203" s="6">
        <f>SUMIFS(Objects!$K$2:$K$1089,Objects!$B$2:$B$1089,$A203,Objects!$F$2:$F$1089,$B203,Objects!$H$2:$H$1089,$C203)/100</f>
        <v/>
      </c>
      <c r="K203" s="5">
        <f>COUNTIFS(Objects!$B$2:$B$1089,$A203,Objects!$F$2:$F$1089,$B203,Objects!$H$2:$H$1089,$C203,Objects!$I$2:$I$1089,"inferred*")</f>
        <v/>
      </c>
    </row>
    <row r="204">
      <c r="A204" s="5" t="inlineStr">
        <is>
          <t>129</t>
        </is>
      </c>
      <c r="B204" s="5" t="inlineStr">
        <is>
          <t>shear_wall</t>
        </is>
      </c>
      <c r="C204" s="5" t="inlineStr">
        <is>
          <t>V1/129</t>
        </is>
      </c>
      <c r="D204" s="5">
        <f>COUNTIFS(Objects!$B$2:$B$1089,$A204,Objects!$F$2:$F$1089,$B204,Objects!$H$2:$H$1089,$C204)</f>
        <v/>
      </c>
      <c r="E204" s="5">
        <f>_xlfn.MINIFS(Objects!$K$2:$K$1089,Objects!$B$2:$B$1089,$A204,Objects!$F$2:$F$1089,$B204,Objects!$H$2:$H$1089,$C204)</f>
        <v/>
      </c>
      <c r="F204" s="5">
        <f>_xlfn.MAXIFS(Objects!$K$2:$K$1089,Objects!$B$2:$B$1089,$A204,Objects!$F$2:$F$1089,$B204,Objects!$H$2:$H$1089,$C204)</f>
        <v/>
      </c>
      <c r="G204" s="5">
        <f>_xlfn.MINIFS(Objects!$L$2:$L$1089,Objects!$B$2:$B$1089,$A204,Objects!$F$2:$F$1089,$B204,Objects!$H$2:$H$1089,$C204)</f>
        <v/>
      </c>
      <c r="H204" s="5">
        <f>_xlfn.MAXIFS(Objects!$L$2:$L$1089,Objects!$B$2:$B$1089,$A204,Objects!$F$2:$F$1089,$B204,Objects!$H$2:$H$1089,$C204)</f>
        <v/>
      </c>
      <c r="I204" s="5">
        <f>IF(OR(C204="(none)",B204="raft",B204="sump_pit"),"n/a",IF(OR(B204="column",B204="shear_wall",B204="isolated_footing",B204="combined_footing"),IF(AND(F204-E204&lt;=3,H204-G204&lt;=3),"yes","no"),IF(H204-G204&lt;=3,"yes (thickness)","no (thickness)")))</f>
        <v/>
      </c>
      <c r="J204" s="6">
        <f>SUMIFS(Objects!$K$2:$K$1089,Objects!$B$2:$B$1089,$A204,Objects!$F$2:$F$1089,$B204,Objects!$H$2:$H$1089,$C204)/100</f>
        <v/>
      </c>
      <c r="K204" s="5">
        <f>COUNTIFS(Objects!$B$2:$B$1089,$A204,Objects!$F$2:$F$1089,$B204,Objects!$H$2:$H$1089,$C204,Objects!$I$2:$I$1089,"inferred*")</f>
        <v/>
      </c>
    </row>
    <row r="205">
      <c r="A205" s="5" t="inlineStr">
        <is>
          <t>129</t>
        </is>
      </c>
      <c r="B205" s="5" t="inlineStr">
        <is>
          <t>shear_wall</t>
        </is>
      </c>
      <c r="C205" s="5" t="inlineStr">
        <is>
          <t>V3/129</t>
        </is>
      </c>
      <c r="D205" s="5">
        <f>COUNTIFS(Objects!$B$2:$B$1089,$A205,Objects!$F$2:$F$1089,$B205,Objects!$H$2:$H$1089,$C205)</f>
        <v/>
      </c>
      <c r="E205" s="5">
        <f>_xlfn.MINIFS(Objects!$K$2:$K$1089,Objects!$B$2:$B$1089,$A205,Objects!$F$2:$F$1089,$B205,Objects!$H$2:$H$1089,$C205)</f>
        <v/>
      </c>
      <c r="F205" s="5">
        <f>_xlfn.MAXIFS(Objects!$K$2:$K$1089,Objects!$B$2:$B$1089,$A205,Objects!$F$2:$F$1089,$B205,Objects!$H$2:$H$1089,$C205)</f>
        <v/>
      </c>
      <c r="G205" s="5">
        <f>_xlfn.MINIFS(Objects!$L$2:$L$1089,Objects!$B$2:$B$1089,$A205,Objects!$F$2:$F$1089,$B205,Objects!$H$2:$H$1089,$C205)</f>
        <v/>
      </c>
      <c r="H205" s="5">
        <f>_xlfn.MAXIFS(Objects!$L$2:$L$1089,Objects!$B$2:$B$1089,$A205,Objects!$F$2:$F$1089,$B205,Objects!$H$2:$H$1089,$C205)</f>
        <v/>
      </c>
      <c r="I205" s="5">
        <f>IF(OR(C205="(none)",B205="raft",B205="sump_pit"),"n/a",IF(OR(B205="column",B205="shear_wall",B205="isolated_footing",B205="combined_footing"),IF(AND(F205-E205&lt;=3,H205-G205&lt;=3),"yes","no"),IF(H205-G205&lt;=3,"yes (thickness)","no (thickness)")))</f>
        <v/>
      </c>
      <c r="J205" s="6">
        <f>SUMIFS(Objects!$K$2:$K$1089,Objects!$B$2:$B$1089,$A205,Objects!$F$2:$F$1089,$B205,Objects!$H$2:$H$1089,$C205)/100</f>
        <v/>
      </c>
      <c r="K205" s="5">
        <f>COUNTIFS(Objects!$B$2:$B$1089,$A205,Objects!$F$2:$F$1089,$B205,Objects!$H$2:$H$1089,$C205,Objects!$I$2:$I$1089,"inferred*")</f>
        <v/>
      </c>
    </row>
    <row r="206">
      <c r="A206" s="5" t="inlineStr">
        <is>
          <t>129</t>
        </is>
      </c>
      <c r="B206" s="5" t="inlineStr">
        <is>
          <t>shear_wall</t>
        </is>
      </c>
      <c r="C206" s="5" t="inlineStr">
        <is>
          <t>V5/129</t>
        </is>
      </c>
      <c r="D206" s="5">
        <f>COUNTIFS(Objects!$B$2:$B$1089,$A206,Objects!$F$2:$F$1089,$B206,Objects!$H$2:$H$1089,$C206)</f>
        <v/>
      </c>
      <c r="E206" s="5">
        <f>_xlfn.MINIFS(Objects!$K$2:$K$1089,Objects!$B$2:$B$1089,$A206,Objects!$F$2:$F$1089,$B206,Objects!$H$2:$H$1089,$C206)</f>
        <v/>
      </c>
      <c r="F206" s="5">
        <f>_xlfn.MAXIFS(Objects!$K$2:$K$1089,Objects!$B$2:$B$1089,$A206,Objects!$F$2:$F$1089,$B206,Objects!$H$2:$H$1089,$C206)</f>
        <v/>
      </c>
      <c r="G206" s="5">
        <f>_xlfn.MINIFS(Objects!$L$2:$L$1089,Objects!$B$2:$B$1089,$A206,Objects!$F$2:$F$1089,$B206,Objects!$H$2:$H$1089,$C206)</f>
        <v/>
      </c>
      <c r="H206" s="5">
        <f>_xlfn.MAXIFS(Objects!$L$2:$L$1089,Objects!$B$2:$B$1089,$A206,Objects!$F$2:$F$1089,$B206,Objects!$H$2:$H$1089,$C206)</f>
        <v/>
      </c>
      <c r="I206" s="5">
        <f>IF(OR(C206="(none)",B206="raft",B206="sump_pit"),"n/a",IF(OR(B206="column",B206="shear_wall",B206="isolated_footing",B206="combined_footing"),IF(AND(F206-E206&lt;=3,H206-G206&lt;=3),"yes","no"),IF(H206-G206&lt;=3,"yes (thickness)","no (thickness)")))</f>
        <v/>
      </c>
      <c r="J206" s="6">
        <f>SUMIFS(Objects!$K$2:$K$1089,Objects!$B$2:$B$1089,$A206,Objects!$F$2:$F$1089,$B206,Objects!$H$2:$H$1089,$C206)/100</f>
        <v/>
      </c>
      <c r="K206" s="5">
        <f>COUNTIFS(Objects!$B$2:$B$1089,$A206,Objects!$F$2:$F$1089,$B206,Objects!$H$2:$H$1089,$C206,Objects!$I$2:$I$1089,"inferred*")</f>
        <v/>
      </c>
    </row>
    <row r="207">
      <c r="A207" s="5" t="inlineStr">
        <is>
          <t>129</t>
        </is>
      </c>
      <c r="B207" s="5" t="inlineStr">
        <is>
          <t>shear_wall</t>
        </is>
      </c>
      <c r="C207" s="5" t="inlineStr">
        <is>
          <t>V6/129</t>
        </is>
      </c>
      <c r="D207" s="5">
        <f>COUNTIFS(Objects!$B$2:$B$1089,$A207,Objects!$F$2:$F$1089,$B207,Objects!$H$2:$H$1089,$C207)</f>
        <v/>
      </c>
      <c r="E207" s="5">
        <f>_xlfn.MINIFS(Objects!$K$2:$K$1089,Objects!$B$2:$B$1089,$A207,Objects!$F$2:$F$1089,$B207,Objects!$H$2:$H$1089,$C207)</f>
        <v/>
      </c>
      <c r="F207" s="5">
        <f>_xlfn.MAXIFS(Objects!$K$2:$K$1089,Objects!$B$2:$B$1089,$A207,Objects!$F$2:$F$1089,$B207,Objects!$H$2:$H$1089,$C207)</f>
        <v/>
      </c>
      <c r="G207" s="5">
        <f>_xlfn.MINIFS(Objects!$L$2:$L$1089,Objects!$B$2:$B$1089,$A207,Objects!$F$2:$F$1089,$B207,Objects!$H$2:$H$1089,$C207)</f>
        <v/>
      </c>
      <c r="H207" s="5">
        <f>_xlfn.MAXIFS(Objects!$L$2:$L$1089,Objects!$B$2:$B$1089,$A207,Objects!$F$2:$F$1089,$B207,Objects!$H$2:$H$1089,$C207)</f>
        <v/>
      </c>
      <c r="I207" s="5">
        <f>IF(OR(C207="(none)",B207="raft",B207="sump_pit"),"n/a",IF(OR(B207="column",B207="shear_wall",B207="isolated_footing",B207="combined_footing"),IF(AND(F207-E207&lt;=3,H207-G207&lt;=3),"yes","no"),IF(H207-G207&lt;=3,"yes (thickness)","no (thickness)")))</f>
        <v/>
      </c>
      <c r="J207" s="6">
        <f>SUMIFS(Objects!$K$2:$K$1089,Objects!$B$2:$B$1089,$A207,Objects!$F$2:$F$1089,$B207,Objects!$H$2:$H$1089,$C207)/100</f>
        <v/>
      </c>
      <c r="K207" s="5">
        <f>COUNTIFS(Objects!$B$2:$B$1089,$A207,Objects!$F$2:$F$1089,$B207,Objects!$H$2:$H$1089,$C207,Objects!$I$2:$I$1089,"inferred*")</f>
        <v/>
      </c>
    </row>
    <row r="208">
      <c r="A208" s="5" t="inlineStr">
        <is>
          <t>129</t>
        </is>
      </c>
      <c r="B208" s="5" t="inlineStr">
        <is>
          <t>shear_wall</t>
        </is>
      </c>
      <c r="C208" s="5" t="inlineStr">
        <is>
          <t>V8/129</t>
        </is>
      </c>
      <c r="D208" s="5">
        <f>COUNTIFS(Objects!$B$2:$B$1089,$A208,Objects!$F$2:$F$1089,$B208,Objects!$H$2:$H$1089,$C208)</f>
        <v/>
      </c>
      <c r="E208" s="5">
        <f>_xlfn.MINIFS(Objects!$K$2:$K$1089,Objects!$B$2:$B$1089,$A208,Objects!$F$2:$F$1089,$B208,Objects!$H$2:$H$1089,$C208)</f>
        <v/>
      </c>
      <c r="F208" s="5">
        <f>_xlfn.MAXIFS(Objects!$K$2:$K$1089,Objects!$B$2:$B$1089,$A208,Objects!$F$2:$F$1089,$B208,Objects!$H$2:$H$1089,$C208)</f>
        <v/>
      </c>
      <c r="G208" s="5">
        <f>_xlfn.MINIFS(Objects!$L$2:$L$1089,Objects!$B$2:$B$1089,$A208,Objects!$F$2:$F$1089,$B208,Objects!$H$2:$H$1089,$C208)</f>
        <v/>
      </c>
      <c r="H208" s="5">
        <f>_xlfn.MAXIFS(Objects!$L$2:$L$1089,Objects!$B$2:$B$1089,$A208,Objects!$F$2:$F$1089,$B208,Objects!$H$2:$H$1089,$C208)</f>
        <v/>
      </c>
      <c r="I208" s="5">
        <f>IF(OR(C208="(none)",B208="raft",B208="sump_pit"),"n/a",IF(OR(B208="column",B208="shear_wall",B208="isolated_footing",B208="combined_footing"),IF(AND(F208-E208&lt;=3,H208-G208&lt;=3),"yes","no"),IF(H208-G208&lt;=3,"yes (thickness)","no (thickness)")))</f>
        <v/>
      </c>
      <c r="J208" s="6">
        <f>SUMIFS(Objects!$K$2:$K$1089,Objects!$B$2:$B$1089,$A208,Objects!$F$2:$F$1089,$B208,Objects!$H$2:$H$1089,$C208)/100</f>
        <v/>
      </c>
      <c r="K208" s="5">
        <f>COUNTIFS(Objects!$B$2:$B$1089,$A208,Objects!$F$2:$F$1089,$B208,Objects!$H$2:$H$1089,$C208,Objects!$I$2:$I$1089,"inferred*")</f>
        <v/>
      </c>
    </row>
    <row r="209">
      <c r="A209" s="5" t="inlineStr">
        <is>
          <t>129</t>
        </is>
      </c>
      <c r="B209" s="5" t="inlineStr">
        <is>
          <t>retaining_wall</t>
        </is>
      </c>
      <c r="C209" s="5" t="inlineStr">
        <is>
          <t>VP20</t>
        </is>
      </c>
      <c r="D209" s="5">
        <f>COUNTIFS(Objects!$B$2:$B$1089,$A209,Objects!$F$2:$F$1089,$B209,Objects!$H$2:$H$1089,$C209)</f>
        <v/>
      </c>
      <c r="E209" s="5">
        <f>_xlfn.MINIFS(Objects!$K$2:$K$1089,Objects!$B$2:$B$1089,$A209,Objects!$F$2:$F$1089,$B209,Objects!$H$2:$H$1089,$C209)</f>
        <v/>
      </c>
      <c r="F209" s="5">
        <f>_xlfn.MAXIFS(Objects!$K$2:$K$1089,Objects!$B$2:$B$1089,$A209,Objects!$F$2:$F$1089,$B209,Objects!$H$2:$H$1089,$C209)</f>
        <v/>
      </c>
      <c r="G209" s="5">
        <f>_xlfn.MINIFS(Objects!$L$2:$L$1089,Objects!$B$2:$B$1089,$A209,Objects!$F$2:$F$1089,$B209,Objects!$H$2:$H$1089,$C209)</f>
        <v/>
      </c>
      <c r="H209" s="5">
        <f>_xlfn.MAXIFS(Objects!$L$2:$L$1089,Objects!$B$2:$B$1089,$A209,Objects!$F$2:$F$1089,$B209,Objects!$H$2:$H$1089,$C209)</f>
        <v/>
      </c>
      <c r="I209" s="5">
        <f>IF(OR(C209="(none)",B209="raft",B209="sump_pit"),"n/a",IF(OR(B209="column",B209="shear_wall",B209="isolated_footing",B209="combined_footing"),IF(AND(F209-E209&lt;=3,H209-G209&lt;=3),"yes","no"),IF(H209-G209&lt;=3,"yes (thickness)","no (thickness)")))</f>
        <v/>
      </c>
      <c r="J209" s="6">
        <f>SUMIFS(Objects!$K$2:$K$1089,Objects!$B$2:$B$1089,$A209,Objects!$F$2:$F$1089,$B209,Objects!$H$2:$H$1089,$C209)/100</f>
        <v/>
      </c>
      <c r="K209" s="5">
        <f>COUNTIFS(Objects!$B$2:$B$1089,$A209,Objects!$F$2:$F$1089,$B209,Objects!$H$2:$H$1089,$C209,Objects!$I$2:$I$1089,"inferred*")</f>
        <v/>
      </c>
    </row>
    <row r="210">
      <c r="A210" s="5" t="inlineStr">
        <is>
          <t>129</t>
        </is>
      </c>
      <c r="B210" s="5" t="inlineStr">
        <is>
          <t>isolated_footing</t>
        </is>
      </c>
      <c r="C210" s="5" t="inlineStr">
        <is>
          <t>S11</t>
        </is>
      </c>
      <c r="D210" s="5">
        <f>COUNTIFS(Objects!$B$2:$B$1089,$A210,Objects!$F$2:$F$1089,$B210,Objects!$H$2:$H$1089,$C210)</f>
        <v/>
      </c>
      <c r="E210" s="5">
        <f>_xlfn.MINIFS(Objects!$K$2:$K$1089,Objects!$B$2:$B$1089,$A210,Objects!$F$2:$F$1089,$B210,Objects!$H$2:$H$1089,$C210)</f>
        <v/>
      </c>
      <c r="F210" s="5">
        <f>_xlfn.MAXIFS(Objects!$K$2:$K$1089,Objects!$B$2:$B$1089,$A210,Objects!$F$2:$F$1089,$B210,Objects!$H$2:$H$1089,$C210)</f>
        <v/>
      </c>
      <c r="G210" s="5">
        <f>_xlfn.MINIFS(Objects!$L$2:$L$1089,Objects!$B$2:$B$1089,$A210,Objects!$F$2:$F$1089,$B210,Objects!$H$2:$H$1089,$C210)</f>
        <v/>
      </c>
      <c r="H210" s="5">
        <f>_xlfn.MAXIFS(Objects!$L$2:$L$1089,Objects!$B$2:$B$1089,$A210,Objects!$F$2:$F$1089,$B210,Objects!$H$2:$H$1089,$C210)</f>
        <v/>
      </c>
      <c r="I210" s="5">
        <f>IF(OR(C210="(none)",B210="raft",B210="sump_pit"),"n/a",IF(OR(B210="column",B210="shear_wall",B210="isolated_footing",B210="combined_footing"),IF(AND(F210-E210&lt;=3,H210-G210&lt;=3),"yes","no"),IF(H210-G210&lt;=3,"yes (thickness)","no (thickness)")))</f>
        <v/>
      </c>
      <c r="J210" s="6">
        <f>SUMIFS(Objects!$K$2:$K$1089,Objects!$B$2:$B$1089,$A210,Objects!$F$2:$F$1089,$B210,Objects!$H$2:$H$1089,$C210)/100</f>
        <v/>
      </c>
      <c r="K210" s="5">
        <f>COUNTIFS(Objects!$B$2:$B$1089,$A210,Objects!$F$2:$F$1089,$B210,Objects!$H$2:$H$1089,$C210,Objects!$I$2:$I$1089,"inferred*")</f>
        <v/>
      </c>
    </row>
    <row r="211">
      <c r="A211" s="5" t="inlineStr">
        <is>
          <t>129</t>
        </is>
      </c>
      <c r="B211" s="5" t="inlineStr">
        <is>
          <t>isolated_footing</t>
        </is>
      </c>
      <c r="C211" s="5" t="inlineStr">
        <is>
          <t>S18</t>
        </is>
      </c>
      <c r="D211" s="5">
        <f>COUNTIFS(Objects!$B$2:$B$1089,$A211,Objects!$F$2:$F$1089,$B211,Objects!$H$2:$H$1089,$C211)</f>
        <v/>
      </c>
      <c r="E211" s="5">
        <f>_xlfn.MINIFS(Objects!$K$2:$K$1089,Objects!$B$2:$B$1089,$A211,Objects!$F$2:$F$1089,$B211,Objects!$H$2:$H$1089,$C211)</f>
        <v/>
      </c>
      <c r="F211" s="5">
        <f>_xlfn.MAXIFS(Objects!$K$2:$K$1089,Objects!$B$2:$B$1089,$A211,Objects!$F$2:$F$1089,$B211,Objects!$H$2:$H$1089,$C211)</f>
        <v/>
      </c>
      <c r="G211" s="5">
        <f>_xlfn.MINIFS(Objects!$L$2:$L$1089,Objects!$B$2:$B$1089,$A211,Objects!$F$2:$F$1089,$B211,Objects!$H$2:$H$1089,$C211)</f>
        <v/>
      </c>
      <c r="H211" s="5">
        <f>_xlfn.MAXIFS(Objects!$L$2:$L$1089,Objects!$B$2:$B$1089,$A211,Objects!$F$2:$F$1089,$B211,Objects!$H$2:$H$1089,$C211)</f>
        <v/>
      </c>
      <c r="I211" s="5">
        <f>IF(OR(C211="(none)",B211="raft",B211="sump_pit"),"n/a",IF(OR(B211="column",B211="shear_wall",B211="isolated_footing",B211="combined_footing"),IF(AND(F211-E211&lt;=3,H211-G211&lt;=3),"yes","no"),IF(H211-G211&lt;=3,"yes (thickness)","no (thickness)")))</f>
        <v/>
      </c>
      <c r="J211" s="6">
        <f>SUMIFS(Objects!$K$2:$K$1089,Objects!$B$2:$B$1089,$A211,Objects!$F$2:$F$1089,$B211,Objects!$H$2:$H$1089,$C211)/100</f>
        <v/>
      </c>
      <c r="K211" s="5">
        <f>COUNTIFS(Objects!$B$2:$B$1089,$A211,Objects!$F$2:$F$1089,$B211,Objects!$H$2:$H$1089,$C211,Objects!$I$2:$I$1089,"inferred*")</f>
        <v/>
      </c>
    </row>
    <row r="212">
      <c r="A212" s="5" t="inlineStr">
        <is>
          <t>129</t>
        </is>
      </c>
      <c r="B212" s="5" t="inlineStr">
        <is>
          <t>isolated_footing</t>
        </is>
      </c>
      <c r="C212" s="5" t="inlineStr">
        <is>
          <t>S19</t>
        </is>
      </c>
      <c r="D212" s="5">
        <f>COUNTIFS(Objects!$B$2:$B$1089,$A212,Objects!$F$2:$F$1089,$B212,Objects!$H$2:$H$1089,$C212)</f>
        <v/>
      </c>
      <c r="E212" s="5">
        <f>_xlfn.MINIFS(Objects!$K$2:$K$1089,Objects!$B$2:$B$1089,$A212,Objects!$F$2:$F$1089,$B212,Objects!$H$2:$H$1089,$C212)</f>
        <v/>
      </c>
      <c r="F212" s="5">
        <f>_xlfn.MAXIFS(Objects!$K$2:$K$1089,Objects!$B$2:$B$1089,$A212,Objects!$F$2:$F$1089,$B212,Objects!$H$2:$H$1089,$C212)</f>
        <v/>
      </c>
      <c r="G212" s="5">
        <f>_xlfn.MINIFS(Objects!$L$2:$L$1089,Objects!$B$2:$B$1089,$A212,Objects!$F$2:$F$1089,$B212,Objects!$H$2:$H$1089,$C212)</f>
        <v/>
      </c>
      <c r="H212" s="5">
        <f>_xlfn.MAXIFS(Objects!$L$2:$L$1089,Objects!$B$2:$B$1089,$A212,Objects!$F$2:$F$1089,$B212,Objects!$H$2:$H$1089,$C212)</f>
        <v/>
      </c>
      <c r="I212" s="5">
        <f>IF(OR(C212="(none)",B212="raft",B212="sump_pit"),"n/a",IF(OR(B212="column",B212="shear_wall",B212="isolated_footing",B212="combined_footing"),IF(AND(F212-E212&lt;=3,H212-G212&lt;=3),"yes","no"),IF(H212-G212&lt;=3,"yes (thickness)","no (thickness)")))</f>
        <v/>
      </c>
      <c r="J212" s="6">
        <f>SUMIFS(Objects!$K$2:$K$1089,Objects!$B$2:$B$1089,$A212,Objects!$F$2:$F$1089,$B212,Objects!$H$2:$H$1089,$C212)/100</f>
        <v/>
      </c>
      <c r="K212" s="5">
        <f>COUNTIFS(Objects!$B$2:$B$1089,$A212,Objects!$F$2:$F$1089,$B212,Objects!$H$2:$H$1089,$C212,Objects!$I$2:$I$1089,"inferred*")</f>
        <v/>
      </c>
    </row>
    <row r="213">
      <c r="A213" s="5" t="inlineStr">
        <is>
          <t>129</t>
        </is>
      </c>
      <c r="B213" s="5" t="inlineStr">
        <is>
          <t>isolated_footing</t>
        </is>
      </c>
      <c r="C213" s="5" t="inlineStr">
        <is>
          <t>S2</t>
        </is>
      </c>
      <c r="D213" s="5">
        <f>COUNTIFS(Objects!$B$2:$B$1089,$A213,Objects!$F$2:$F$1089,$B213,Objects!$H$2:$H$1089,$C213)</f>
        <v/>
      </c>
      <c r="E213" s="5">
        <f>_xlfn.MINIFS(Objects!$K$2:$K$1089,Objects!$B$2:$B$1089,$A213,Objects!$F$2:$F$1089,$B213,Objects!$H$2:$H$1089,$C213)</f>
        <v/>
      </c>
      <c r="F213" s="5">
        <f>_xlfn.MAXIFS(Objects!$K$2:$K$1089,Objects!$B$2:$B$1089,$A213,Objects!$F$2:$F$1089,$B213,Objects!$H$2:$H$1089,$C213)</f>
        <v/>
      </c>
      <c r="G213" s="5">
        <f>_xlfn.MINIFS(Objects!$L$2:$L$1089,Objects!$B$2:$B$1089,$A213,Objects!$F$2:$F$1089,$B213,Objects!$H$2:$H$1089,$C213)</f>
        <v/>
      </c>
      <c r="H213" s="5">
        <f>_xlfn.MAXIFS(Objects!$L$2:$L$1089,Objects!$B$2:$B$1089,$A213,Objects!$F$2:$F$1089,$B213,Objects!$H$2:$H$1089,$C213)</f>
        <v/>
      </c>
      <c r="I213" s="5">
        <f>IF(OR(C213="(none)",B213="raft",B213="sump_pit"),"n/a",IF(OR(B213="column",B213="shear_wall",B213="isolated_footing",B213="combined_footing"),IF(AND(F213-E213&lt;=3,H213-G213&lt;=3),"yes","no"),IF(H213-G213&lt;=3,"yes (thickness)","no (thickness)")))</f>
        <v/>
      </c>
      <c r="J213" s="6">
        <f>SUMIFS(Objects!$K$2:$K$1089,Objects!$B$2:$B$1089,$A213,Objects!$F$2:$F$1089,$B213,Objects!$H$2:$H$1089,$C213)/100</f>
        <v/>
      </c>
      <c r="K213" s="5">
        <f>COUNTIFS(Objects!$B$2:$B$1089,$A213,Objects!$F$2:$F$1089,$B213,Objects!$H$2:$H$1089,$C213,Objects!$I$2:$I$1089,"inferred*")</f>
        <v/>
      </c>
    </row>
    <row r="214">
      <c r="A214" s="5" t="inlineStr">
        <is>
          <t>129</t>
        </is>
      </c>
      <c r="B214" s="5" t="inlineStr">
        <is>
          <t>combined_footing</t>
        </is>
      </c>
      <c r="C214" s="5" t="inlineStr">
        <is>
          <t>SC1</t>
        </is>
      </c>
      <c r="D214" s="5">
        <f>COUNTIFS(Objects!$B$2:$B$1089,$A214,Objects!$F$2:$F$1089,$B214,Objects!$H$2:$H$1089,$C214)</f>
        <v/>
      </c>
      <c r="E214" s="5">
        <f>_xlfn.MINIFS(Objects!$K$2:$K$1089,Objects!$B$2:$B$1089,$A214,Objects!$F$2:$F$1089,$B214,Objects!$H$2:$H$1089,$C214)</f>
        <v/>
      </c>
      <c r="F214" s="5">
        <f>_xlfn.MAXIFS(Objects!$K$2:$K$1089,Objects!$B$2:$B$1089,$A214,Objects!$F$2:$F$1089,$B214,Objects!$H$2:$H$1089,$C214)</f>
        <v/>
      </c>
      <c r="G214" s="5">
        <f>_xlfn.MINIFS(Objects!$L$2:$L$1089,Objects!$B$2:$B$1089,$A214,Objects!$F$2:$F$1089,$B214,Objects!$H$2:$H$1089,$C214)</f>
        <v/>
      </c>
      <c r="H214" s="5">
        <f>_xlfn.MAXIFS(Objects!$L$2:$L$1089,Objects!$B$2:$B$1089,$A214,Objects!$F$2:$F$1089,$B214,Objects!$H$2:$H$1089,$C214)</f>
        <v/>
      </c>
      <c r="I214" s="5">
        <f>IF(OR(C214="(none)",B214="raft",B214="sump_pit"),"n/a",IF(OR(B214="column",B214="shear_wall",B214="isolated_footing",B214="combined_footing"),IF(AND(F214-E214&lt;=3,H214-G214&lt;=3),"yes","no"),IF(H214-G214&lt;=3,"yes (thickness)","no (thickness)")))</f>
        <v/>
      </c>
      <c r="J214" s="6">
        <f>SUMIFS(Objects!$K$2:$K$1089,Objects!$B$2:$B$1089,$A214,Objects!$F$2:$F$1089,$B214,Objects!$H$2:$H$1089,$C214)/100</f>
        <v/>
      </c>
      <c r="K214" s="5">
        <f>COUNTIFS(Objects!$B$2:$B$1089,$A214,Objects!$F$2:$F$1089,$B214,Objects!$H$2:$H$1089,$C214,Objects!$I$2:$I$1089,"inferred*")</f>
        <v/>
      </c>
    </row>
    <row r="215">
      <c r="A215" s="5" t="inlineStr">
        <is>
          <t>129</t>
        </is>
      </c>
      <c r="B215" s="5" t="inlineStr">
        <is>
          <t>combined_footing</t>
        </is>
      </c>
      <c r="C215" s="5" t="inlineStr">
        <is>
          <t>SC2</t>
        </is>
      </c>
      <c r="D215" s="5">
        <f>COUNTIFS(Objects!$B$2:$B$1089,$A215,Objects!$F$2:$F$1089,$B215,Objects!$H$2:$H$1089,$C215)</f>
        <v/>
      </c>
      <c r="E215" s="5">
        <f>_xlfn.MINIFS(Objects!$K$2:$K$1089,Objects!$B$2:$B$1089,$A215,Objects!$F$2:$F$1089,$B215,Objects!$H$2:$H$1089,$C215)</f>
        <v/>
      </c>
      <c r="F215" s="5">
        <f>_xlfn.MAXIFS(Objects!$K$2:$K$1089,Objects!$B$2:$B$1089,$A215,Objects!$F$2:$F$1089,$B215,Objects!$H$2:$H$1089,$C215)</f>
        <v/>
      </c>
      <c r="G215" s="5">
        <f>_xlfn.MINIFS(Objects!$L$2:$L$1089,Objects!$B$2:$B$1089,$A215,Objects!$F$2:$F$1089,$B215,Objects!$H$2:$H$1089,$C215)</f>
        <v/>
      </c>
      <c r="H215" s="5">
        <f>_xlfn.MAXIFS(Objects!$L$2:$L$1089,Objects!$B$2:$B$1089,$A215,Objects!$F$2:$F$1089,$B215,Objects!$H$2:$H$1089,$C215)</f>
        <v/>
      </c>
      <c r="I215" s="5">
        <f>IF(OR(C215="(none)",B215="raft",B215="sump_pit"),"n/a",IF(OR(B215="column",B215="shear_wall",B215="isolated_footing",B215="combined_footing"),IF(AND(F215-E215&lt;=3,H215-G215&lt;=3),"yes","no"),IF(H215-G215&lt;=3,"yes (thickness)","no (thickness)")))</f>
        <v/>
      </c>
      <c r="J215" s="6">
        <f>SUMIFS(Objects!$K$2:$K$1089,Objects!$B$2:$B$1089,$A215,Objects!$F$2:$F$1089,$B215,Objects!$H$2:$H$1089,$C215)/100</f>
        <v/>
      </c>
      <c r="K215" s="5">
        <f>COUNTIFS(Objects!$B$2:$B$1089,$A215,Objects!$F$2:$F$1089,$B215,Objects!$H$2:$H$1089,$C215,Objects!$I$2:$I$1089,"inferred*")</f>
        <v/>
      </c>
    </row>
    <row r="216">
      <c r="A216" s="5" t="inlineStr">
        <is>
          <t>129</t>
        </is>
      </c>
      <c r="B216" s="5" t="inlineStr">
        <is>
          <t>combined_footing</t>
        </is>
      </c>
      <c r="C216" s="5" t="inlineStr">
        <is>
          <t>SC7</t>
        </is>
      </c>
      <c r="D216" s="5">
        <f>COUNTIFS(Objects!$B$2:$B$1089,$A216,Objects!$F$2:$F$1089,$B216,Objects!$H$2:$H$1089,$C216)</f>
        <v/>
      </c>
      <c r="E216" s="5">
        <f>_xlfn.MINIFS(Objects!$K$2:$K$1089,Objects!$B$2:$B$1089,$A216,Objects!$F$2:$F$1089,$B216,Objects!$H$2:$H$1089,$C216)</f>
        <v/>
      </c>
      <c r="F216" s="5">
        <f>_xlfn.MAXIFS(Objects!$K$2:$K$1089,Objects!$B$2:$B$1089,$A216,Objects!$F$2:$F$1089,$B216,Objects!$H$2:$H$1089,$C216)</f>
        <v/>
      </c>
      <c r="G216" s="5">
        <f>_xlfn.MINIFS(Objects!$L$2:$L$1089,Objects!$B$2:$B$1089,$A216,Objects!$F$2:$F$1089,$B216,Objects!$H$2:$H$1089,$C216)</f>
        <v/>
      </c>
      <c r="H216" s="5">
        <f>_xlfn.MAXIFS(Objects!$L$2:$L$1089,Objects!$B$2:$B$1089,$A216,Objects!$F$2:$F$1089,$B216,Objects!$H$2:$H$1089,$C216)</f>
        <v/>
      </c>
      <c r="I216" s="5">
        <f>IF(OR(C216="(none)",B216="raft",B216="sump_pit"),"n/a",IF(OR(B216="column",B216="shear_wall",B216="isolated_footing",B216="combined_footing"),IF(AND(F216-E216&lt;=3,H216-G216&lt;=3),"yes","no"),IF(H216-G216&lt;=3,"yes (thickness)","no (thickness)")))</f>
        <v/>
      </c>
      <c r="J216" s="6">
        <f>SUMIFS(Objects!$K$2:$K$1089,Objects!$B$2:$B$1089,$A216,Objects!$F$2:$F$1089,$B216,Objects!$H$2:$H$1089,$C216)/100</f>
        <v/>
      </c>
      <c r="K216" s="5">
        <f>COUNTIFS(Objects!$B$2:$B$1089,$A216,Objects!$F$2:$F$1089,$B216,Objects!$H$2:$H$1089,$C216,Objects!$I$2:$I$1089,"inferred*")</f>
        <v/>
      </c>
    </row>
    <row r="217">
      <c r="A217" s="5" t="inlineStr">
        <is>
          <t>129</t>
        </is>
      </c>
      <c r="B217" s="5" t="inlineStr">
        <is>
          <t>strip_footing</t>
        </is>
      </c>
      <c r="C217" s="5" t="inlineStr">
        <is>
          <t>(none)</t>
        </is>
      </c>
      <c r="D217" s="5">
        <f>COUNTIFS(Objects!$B$2:$B$1089,$A217,Objects!$F$2:$F$1089,$B217,Objects!$H$2:$H$1089,$C217)</f>
        <v/>
      </c>
      <c r="E217" s="5">
        <f>_xlfn.MINIFS(Objects!$K$2:$K$1089,Objects!$B$2:$B$1089,$A217,Objects!$F$2:$F$1089,$B217,Objects!$H$2:$H$1089,$C217)</f>
        <v/>
      </c>
      <c r="F217" s="5">
        <f>_xlfn.MAXIFS(Objects!$K$2:$K$1089,Objects!$B$2:$B$1089,$A217,Objects!$F$2:$F$1089,$B217,Objects!$H$2:$H$1089,$C217)</f>
        <v/>
      </c>
      <c r="G217" s="5">
        <f>_xlfn.MINIFS(Objects!$L$2:$L$1089,Objects!$B$2:$B$1089,$A217,Objects!$F$2:$F$1089,$B217,Objects!$H$2:$H$1089,$C217)</f>
        <v/>
      </c>
      <c r="H217" s="5">
        <f>_xlfn.MAXIFS(Objects!$L$2:$L$1089,Objects!$B$2:$B$1089,$A217,Objects!$F$2:$F$1089,$B217,Objects!$H$2:$H$1089,$C217)</f>
        <v/>
      </c>
      <c r="I217" s="5">
        <f>IF(OR(C217="(none)",B217="raft",B217="sump_pit"),"n/a",IF(OR(B217="column",B217="shear_wall",B217="isolated_footing",B217="combined_footing"),IF(AND(F217-E217&lt;=3,H217-G217&lt;=3),"yes","no"),IF(H217-G217&lt;=3,"yes (thickness)","no (thickness)")))</f>
        <v/>
      </c>
      <c r="J217" s="6">
        <f>SUMIFS(Objects!$K$2:$K$1089,Objects!$B$2:$B$1089,$A217,Objects!$F$2:$F$1089,$B217,Objects!$H$2:$H$1089,$C217)/100</f>
        <v/>
      </c>
      <c r="K217" s="5">
        <f>COUNTIFS(Objects!$B$2:$B$1089,$A217,Objects!$F$2:$F$1089,$B217,Objects!$H$2:$H$1089,$C217,Objects!$I$2:$I$1089,"inferred*")</f>
        <v/>
      </c>
    </row>
    <row r="218">
      <c r="A218" s="5" t="inlineStr">
        <is>
          <t>129</t>
        </is>
      </c>
      <c r="B218" s="5" t="inlineStr">
        <is>
          <t>strip_footing</t>
        </is>
      </c>
      <c r="C218" s="5" t="inlineStr">
        <is>
          <t>SF1</t>
        </is>
      </c>
      <c r="D218" s="5">
        <f>COUNTIFS(Objects!$B$2:$B$1089,$A218,Objects!$F$2:$F$1089,$B218,Objects!$H$2:$H$1089,$C218)</f>
        <v/>
      </c>
      <c r="E218" s="5">
        <f>_xlfn.MINIFS(Objects!$K$2:$K$1089,Objects!$B$2:$B$1089,$A218,Objects!$F$2:$F$1089,$B218,Objects!$H$2:$H$1089,$C218)</f>
        <v/>
      </c>
      <c r="F218" s="5">
        <f>_xlfn.MAXIFS(Objects!$K$2:$K$1089,Objects!$B$2:$B$1089,$A218,Objects!$F$2:$F$1089,$B218,Objects!$H$2:$H$1089,$C218)</f>
        <v/>
      </c>
      <c r="G218" s="5">
        <f>_xlfn.MINIFS(Objects!$L$2:$L$1089,Objects!$B$2:$B$1089,$A218,Objects!$F$2:$F$1089,$B218,Objects!$H$2:$H$1089,$C218)</f>
        <v/>
      </c>
      <c r="H218" s="5">
        <f>_xlfn.MAXIFS(Objects!$L$2:$L$1089,Objects!$B$2:$B$1089,$A218,Objects!$F$2:$F$1089,$B218,Objects!$H$2:$H$1089,$C218)</f>
        <v/>
      </c>
      <c r="I218" s="5">
        <f>IF(OR(C218="(none)",B218="raft",B218="sump_pit"),"n/a",IF(OR(B218="column",B218="shear_wall",B218="isolated_footing",B218="combined_footing"),IF(AND(F218-E218&lt;=3,H218-G218&lt;=3),"yes","no"),IF(H218-G218&lt;=3,"yes (thickness)","no (thickness)")))</f>
        <v/>
      </c>
      <c r="J218" s="6">
        <f>SUMIFS(Objects!$K$2:$K$1089,Objects!$B$2:$B$1089,$A218,Objects!$F$2:$F$1089,$B218,Objects!$H$2:$H$1089,$C218)/100</f>
        <v/>
      </c>
      <c r="K218" s="5">
        <f>COUNTIFS(Objects!$B$2:$B$1089,$A218,Objects!$F$2:$F$1089,$B218,Objects!$H$2:$H$1089,$C218,Objects!$I$2:$I$1089,"inferred*")</f>
        <v/>
      </c>
    </row>
    <row r="219">
      <c r="A219" s="5" t="inlineStr">
        <is>
          <t>129</t>
        </is>
      </c>
      <c r="B219" s="5" t="inlineStr">
        <is>
          <t>grade_beam</t>
        </is>
      </c>
      <c r="C219" s="5" t="inlineStr">
        <is>
          <t>LG25x40</t>
        </is>
      </c>
      <c r="D219" s="5">
        <f>COUNTIFS(Objects!$B$2:$B$1089,$A219,Objects!$F$2:$F$1089,$B219,Objects!$H$2:$H$1089,$C219)</f>
        <v/>
      </c>
      <c r="E219" s="5">
        <f>_xlfn.MINIFS(Objects!$K$2:$K$1089,Objects!$B$2:$B$1089,$A219,Objects!$F$2:$F$1089,$B219,Objects!$H$2:$H$1089,$C219)</f>
        <v/>
      </c>
      <c r="F219" s="5">
        <f>_xlfn.MAXIFS(Objects!$K$2:$K$1089,Objects!$B$2:$B$1089,$A219,Objects!$F$2:$F$1089,$B219,Objects!$H$2:$H$1089,$C219)</f>
        <v/>
      </c>
      <c r="G219" s="5">
        <f>_xlfn.MINIFS(Objects!$L$2:$L$1089,Objects!$B$2:$B$1089,$A219,Objects!$F$2:$F$1089,$B219,Objects!$H$2:$H$1089,$C219)</f>
        <v/>
      </c>
      <c r="H219" s="5">
        <f>_xlfn.MAXIFS(Objects!$L$2:$L$1089,Objects!$B$2:$B$1089,$A219,Objects!$F$2:$F$1089,$B219,Objects!$H$2:$H$1089,$C219)</f>
        <v/>
      </c>
      <c r="I219" s="5">
        <f>IF(OR(C219="(none)",B219="raft",B219="sump_pit"),"n/a",IF(OR(B219="column",B219="shear_wall",B219="isolated_footing",B219="combined_footing"),IF(AND(F219-E219&lt;=3,H219-G219&lt;=3),"yes","no"),IF(H219-G219&lt;=3,"yes (thickness)","no (thickness)")))</f>
        <v/>
      </c>
      <c r="J219" s="6">
        <f>SUMIFS(Objects!$K$2:$K$1089,Objects!$B$2:$B$1089,$A219,Objects!$F$2:$F$1089,$B219,Objects!$H$2:$H$1089,$C219)/100</f>
        <v/>
      </c>
      <c r="K219" s="5">
        <f>COUNTIFS(Objects!$B$2:$B$1089,$A219,Objects!$F$2:$F$1089,$B219,Objects!$H$2:$H$1089,$C219,Objects!$I$2:$I$1089,"inferred*")</f>
        <v/>
      </c>
    </row>
    <row r="220">
      <c r="A220" s="5" t="inlineStr">
        <is>
          <t>129</t>
        </is>
      </c>
      <c r="B220" s="5" t="inlineStr">
        <is>
          <t>grade_beam</t>
        </is>
      </c>
      <c r="C220" s="5" t="inlineStr">
        <is>
          <t>LG40x15</t>
        </is>
      </c>
      <c r="D220" s="5">
        <f>COUNTIFS(Objects!$B$2:$B$1089,$A220,Objects!$F$2:$F$1089,$B220,Objects!$H$2:$H$1089,$C220)</f>
        <v/>
      </c>
      <c r="E220" s="5">
        <f>_xlfn.MINIFS(Objects!$K$2:$K$1089,Objects!$B$2:$B$1089,$A220,Objects!$F$2:$F$1089,$B220,Objects!$H$2:$H$1089,$C220)</f>
        <v/>
      </c>
      <c r="F220" s="5">
        <f>_xlfn.MAXIFS(Objects!$K$2:$K$1089,Objects!$B$2:$B$1089,$A220,Objects!$F$2:$F$1089,$B220,Objects!$H$2:$H$1089,$C220)</f>
        <v/>
      </c>
      <c r="G220" s="5">
        <f>_xlfn.MINIFS(Objects!$L$2:$L$1089,Objects!$B$2:$B$1089,$A220,Objects!$F$2:$F$1089,$B220,Objects!$H$2:$H$1089,$C220)</f>
        <v/>
      </c>
      <c r="H220" s="5">
        <f>_xlfn.MAXIFS(Objects!$L$2:$L$1089,Objects!$B$2:$B$1089,$A220,Objects!$F$2:$F$1089,$B220,Objects!$H$2:$H$1089,$C220)</f>
        <v/>
      </c>
      <c r="I220" s="5">
        <f>IF(OR(C220="(none)",B220="raft",B220="sump_pit"),"n/a",IF(OR(B220="column",B220="shear_wall",B220="isolated_footing",B220="combined_footing"),IF(AND(F220-E220&lt;=3,H220-G220&lt;=3),"yes","no"),IF(H220-G220&lt;=3,"yes (thickness)","no (thickness)")))</f>
        <v/>
      </c>
      <c r="J220" s="6">
        <f>SUMIFS(Objects!$K$2:$K$1089,Objects!$B$2:$B$1089,$A220,Objects!$F$2:$F$1089,$B220,Objects!$H$2:$H$1089,$C220)/100</f>
        <v/>
      </c>
      <c r="K220" s="5">
        <f>COUNTIFS(Objects!$B$2:$B$1089,$A220,Objects!$F$2:$F$1089,$B220,Objects!$H$2:$H$1089,$C220,Objects!$I$2:$I$1089,"inferred*")</f>
        <v/>
      </c>
    </row>
    <row r="221">
      <c r="A221" s="5" t="inlineStr">
        <is>
          <t>129</t>
        </is>
      </c>
      <c r="B221" s="5" t="inlineStr">
        <is>
          <t>raft</t>
        </is>
      </c>
      <c r="C221" s="5" t="inlineStr">
        <is>
          <t>Radier 100</t>
        </is>
      </c>
      <c r="D221" s="5">
        <f>COUNTIFS(Objects!$B$2:$B$1089,$A221,Objects!$F$2:$F$1089,$B221,Objects!$H$2:$H$1089,$C221)</f>
        <v/>
      </c>
      <c r="E221" s="5">
        <f>_xlfn.MINIFS(Objects!$K$2:$K$1089,Objects!$B$2:$B$1089,$A221,Objects!$F$2:$F$1089,$B221,Objects!$H$2:$H$1089,$C221)</f>
        <v/>
      </c>
      <c r="F221" s="5">
        <f>_xlfn.MAXIFS(Objects!$K$2:$K$1089,Objects!$B$2:$B$1089,$A221,Objects!$F$2:$F$1089,$B221,Objects!$H$2:$H$1089,$C221)</f>
        <v/>
      </c>
      <c r="G221" s="5">
        <f>_xlfn.MINIFS(Objects!$L$2:$L$1089,Objects!$B$2:$B$1089,$A221,Objects!$F$2:$F$1089,$B221,Objects!$H$2:$H$1089,$C221)</f>
        <v/>
      </c>
      <c r="H221" s="5">
        <f>_xlfn.MAXIFS(Objects!$L$2:$L$1089,Objects!$B$2:$B$1089,$A221,Objects!$F$2:$F$1089,$B221,Objects!$H$2:$H$1089,$C221)</f>
        <v/>
      </c>
      <c r="I221" s="5">
        <f>IF(OR(C221="(none)",B221="raft",B221="sump_pit"),"n/a",IF(OR(B221="column",B221="shear_wall",B221="isolated_footing",B221="combined_footing"),IF(AND(F221-E221&lt;=3,H221-G221&lt;=3),"yes","no"),IF(H221-G221&lt;=3,"yes (thickness)","no (thickness)")))</f>
        <v/>
      </c>
      <c r="J221" s="6">
        <f>SUMIFS(Objects!$K$2:$K$1089,Objects!$B$2:$B$1089,$A221,Objects!$F$2:$F$1089,$B221,Objects!$H$2:$H$1089,$C221)/100</f>
        <v/>
      </c>
      <c r="K221" s="5">
        <f>COUNTIFS(Objects!$B$2:$B$1089,$A221,Objects!$F$2:$F$1089,$B221,Objects!$H$2:$H$1089,$C221,Objects!$I$2:$I$1089,"inferred*")</f>
        <v/>
      </c>
    </row>
    <row r="222">
      <c r="A222" s="5" t="inlineStr">
        <is>
          <t>130</t>
        </is>
      </c>
      <c r="B222" s="5" t="inlineStr">
        <is>
          <t>column</t>
        </is>
      </c>
      <c r="C222" s="5" t="inlineStr">
        <is>
          <t>P1/130</t>
        </is>
      </c>
      <c r="D222" s="5">
        <f>COUNTIFS(Objects!$B$2:$B$1089,$A222,Objects!$F$2:$F$1089,$B222,Objects!$H$2:$H$1089,$C222)</f>
        <v/>
      </c>
      <c r="E222" s="5">
        <f>_xlfn.MINIFS(Objects!$K$2:$K$1089,Objects!$B$2:$B$1089,$A222,Objects!$F$2:$F$1089,$B222,Objects!$H$2:$H$1089,$C222)</f>
        <v/>
      </c>
      <c r="F222" s="5">
        <f>_xlfn.MAXIFS(Objects!$K$2:$K$1089,Objects!$B$2:$B$1089,$A222,Objects!$F$2:$F$1089,$B222,Objects!$H$2:$H$1089,$C222)</f>
        <v/>
      </c>
      <c r="G222" s="5">
        <f>_xlfn.MINIFS(Objects!$L$2:$L$1089,Objects!$B$2:$B$1089,$A222,Objects!$F$2:$F$1089,$B222,Objects!$H$2:$H$1089,$C222)</f>
        <v/>
      </c>
      <c r="H222" s="5">
        <f>_xlfn.MAXIFS(Objects!$L$2:$L$1089,Objects!$B$2:$B$1089,$A222,Objects!$F$2:$F$1089,$B222,Objects!$H$2:$H$1089,$C222)</f>
        <v/>
      </c>
      <c r="I222" s="5">
        <f>IF(OR(C222="(none)",B222="raft",B222="sump_pit"),"n/a",IF(OR(B222="column",B222="shear_wall",B222="isolated_footing",B222="combined_footing"),IF(AND(F222-E222&lt;=3,H222-G222&lt;=3),"yes","no"),IF(H222-G222&lt;=3,"yes (thickness)","no (thickness)")))</f>
        <v/>
      </c>
      <c r="J222" s="6">
        <f>SUMIFS(Objects!$K$2:$K$1089,Objects!$B$2:$B$1089,$A222,Objects!$F$2:$F$1089,$B222,Objects!$H$2:$H$1089,$C222)/100</f>
        <v/>
      </c>
      <c r="K222" s="5">
        <f>COUNTIFS(Objects!$B$2:$B$1089,$A222,Objects!$F$2:$F$1089,$B222,Objects!$H$2:$H$1089,$C222,Objects!$I$2:$I$1089,"inferred*")</f>
        <v/>
      </c>
    </row>
    <row r="223">
      <c r="A223" s="5" t="inlineStr">
        <is>
          <t>130</t>
        </is>
      </c>
      <c r="B223" s="5" t="inlineStr">
        <is>
          <t>column</t>
        </is>
      </c>
      <c r="C223" s="5" t="inlineStr">
        <is>
          <t>P3/130</t>
        </is>
      </c>
      <c r="D223" s="5">
        <f>COUNTIFS(Objects!$B$2:$B$1089,$A223,Objects!$F$2:$F$1089,$B223,Objects!$H$2:$H$1089,$C223)</f>
        <v/>
      </c>
      <c r="E223" s="5">
        <f>_xlfn.MINIFS(Objects!$K$2:$K$1089,Objects!$B$2:$B$1089,$A223,Objects!$F$2:$F$1089,$B223,Objects!$H$2:$H$1089,$C223)</f>
        <v/>
      </c>
      <c r="F223" s="5">
        <f>_xlfn.MAXIFS(Objects!$K$2:$K$1089,Objects!$B$2:$B$1089,$A223,Objects!$F$2:$F$1089,$B223,Objects!$H$2:$H$1089,$C223)</f>
        <v/>
      </c>
      <c r="G223" s="5">
        <f>_xlfn.MINIFS(Objects!$L$2:$L$1089,Objects!$B$2:$B$1089,$A223,Objects!$F$2:$F$1089,$B223,Objects!$H$2:$H$1089,$C223)</f>
        <v/>
      </c>
      <c r="H223" s="5">
        <f>_xlfn.MAXIFS(Objects!$L$2:$L$1089,Objects!$B$2:$B$1089,$A223,Objects!$F$2:$F$1089,$B223,Objects!$H$2:$H$1089,$C223)</f>
        <v/>
      </c>
      <c r="I223" s="5">
        <f>IF(OR(C223="(none)",B223="raft",B223="sump_pit"),"n/a",IF(OR(B223="column",B223="shear_wall",B223="isolated_footing",B223="combined_footing"),IF(AND(F223-E223&lt;=3,H223-G223&lt;=3),"yes","no"),IF(H223-G223&lt;=3,"yes (thickness)","no (thickness)")))</f>
        <v/>
      </c>
      <c r="J223" s="6">
        <f>SUMIFS(Objects!$K$2:$K$1089,Objects!$B$2:$B$1089,$A223,Objects!$F$2:$F$1089,$B223,Objects!$H$2:$H$1089,$C223)/100</f>
        <v/>
      </c>
      <c r="K223" s="5">
        <f>COUNTIFS(Objects!$B$2:$B$1089,$A223,Objects!$F$2:$F$1089,$B223,Objects!$H$2:$H$1089,$C223,Objects!$I$2:$I$1089,"inferred*")</f>
        <v/>
      </c>
    </row>
    <row r="224">
      <c r="A224" s="5" t="inlineStr">
        <is>
          <t>130</t>
        </is>
      </c>
      <c r="B224" s="5" t="inlineStr">
        <is>
          <t>shear_wall</t>
        </is>
      </c>
      <c r="C224" s="5" t="inlineStr">
        <is>
          <t>(none)</t>
        </is>
      </c>
      <c r="D224" s="5">
        <f>COUNTIFS(Objects!$B$2:$B$1089,$A224,Objects!$F$2:$F$1089,$B224,Objects!$H$2:$H$1089,$C224)</f>
        <v/>
      </c>
      <c r="E224" s="5">
        <f>_xlfn.MINIFS(Objects!$K$2:$K$1089,Objects!$B$2:$B$1089,$A224,Objects!$F$2:$F$1089,$B224,Objects!$H$2:$H$1089,$C224)</f>
        <v/>
      </c>
      <c r="F224" s="5">
        <f>_xlfn.MAXIFS(Objects!$K$2:$K$1089,Objects!$B$2:$B$1089,$A224,Objects!$F$2:$F$1089,$B224,Objects!$H$2:$H$1089,$C224)</f>
        <v/>
      </c>
      <c r="G224" s="5">
        <f>_xlfn.MINIFS(Objects!$L$2:$L$1089,Objects!$B$2:$B$1089,$A224,Objects!$F$2:$F$1089,$B224,Objects!$H$2:$H$1089,$C224)</f>
        <v/>
      </c>
      <c r="H224" s="5">
        <f>_xlfn.MAXIFS(Objects!$L$2:$L$1089,Objects!$B$2:$B$1089,$A224,Objects!$F$2:$F$1089,$B224,Objects!$H$2:$H$1089,$C224)</f>
        <v/>
      </c>
      <c r="I224" s="5">
        <f>IF(OR(C224="(none)",B224="raft",B224="sump_pit"),"n/a",IF(OR(B224="column",B224="shear_wall",B224="isolated_footing",B224="combined_footing"),IF(AND(F224-E224&lt;=3,H224-G224&lt;=3),"yes","no"),IF(H224-G224&lt;=3,"yes (thickness)","no (thickness)")))</f>
        <v/>
      </c>
      <c r="J224" s="6">
        <f>SUMIFS(Objects!$K$2:$K$1089,Objects!$B$2:$B$1089,$A224,Objects!$F$2:$F$1089,$B224,Objects!$H$2:$H$1089,$C224)/100</f>
        <v/>
      </c>
      <c r="K224" s="5">
        <f>COUNTIFS(Objects!$B$2:$B$1089,$A224,Objects!$F$2:$F$1089,$B224,Objects!$H$2:$H$1089,$C224,Objects!$I$2:$I$1089,"inferred*")</f>
        <v/>
      </c>
    </row>
    <row r="225">
      <c r="A225" s="5" t="inlineStr">
        <is>
          <t>130</t>
        </is>
      </c>
      <c r="B225" s="5" t="inlineStr">
        <is>
          <t>shear_wall</t>
        </is>
      </c>
      <c r="C225" s="5" t="inlineStr">
        <is>
          <t>V1/130</t>
        </is>
      </c>
      <c r="D225" s="5">
        <f>COUNTIFS(Objects!$B$2:$B$1089,$A225,Objects!$F$2:$F$1089,$B225,Objects!$H$2:$H$1089,$C225)</f>
        <v/>
      </c>
      <c r="E225" s="5">
        <f>_xlfn.MINIFS(Objects!$K$2:$K$1089,Objects!$B$2:$B$1089,$A225,Objects!$F$2:$F$1089,$B225,Objects!$H$2:$H$1089,$C225)</f>
        <v/>
      </c>
      <c r="F225" s="5">
        <f>_xlfn.MAXIFS(Objects!$K$2:$K$1089,Objects!$B$2:$B$1089,$A225,Objects!$F$2:$F$1089,$B225,Objects!$H$2:$H$1089,$C225)</f>
        <v/>
      </c>
      <c r="G225" s="5">
        <f>_xlfn.MINIFS(Objects!$L$2:$L$1089,Objects!$B$2:$B$1089,$A225,Objects!$F$2:$F$1089,$B225,Objects!$H$2:$H$1089,$C225)</f>
        <v/>
      </c>
      <c r="H225" s="5">
        <f>_xlfn.MAXIFS(Objects!$L$2:$L$1089,Objects!$B$2:$B$1089,$A225,Objects!$F$2:$F$1089,$B225,Objects!$H$2:$H$1089,$C225)</f>
        <v/>
      </c>
      <c r="I225" s="5">
        <f>IF(OR(C225="(none)",B225="raft",B225="sump_pit"),"n/a",IF(OR(B225="column",B225="shear_wall",B225="isolated_footing",B225="combined_footing"),IF(AND(F225-E225&lt;=3,H225-G225&lt;=3),"yes","no"),IF(H225-G225&lt;=3,"yes (thickness)","no (thickness)")))</f>
        <v/>
      </c>
      <c r="J225" s="6">
        <f>SUMIFS(Objects!$K$2:$K$1089,Objects!$B$2:$B$1089,$A225,Objects!$F$2:$F$1089,$B225,Objects!$H$2:$H$1089,$C225)/100</f>
        <v/>
      </c>
      <c r="K225" s="5">
        <f>COUNTIFS(Objects!$B$2:$B$1089,$A225,Objects!$F$2:$F$1089,$B225,Objects!$H$2:$H$1089,$C225,Objects!$I$2:$I$1089,"inferred*")</f>
        <v/>
      </c>
    </row>
    <row r="226">
      <c r="A226" s="5" t="inlineStr">
        <is>
          <t>130</t>
        </is>
      </c>
      <c r="B226" s="5" t="inlineStr">
        <is>
          <t>shear_wall</t>
        </is>
      </c>
      <c r="C226" s="5" t="inlineStr">
        <is>
          <t>V1/130|V6/130</t>
        </is>
      </c>
      <c r="D226" s="5">
        <f>COUNTIFS(Objects!$B$2:$B$1089,$A226,Objects!$F$2:$F$1089,$B226,Objects!$H$2:$H$1089,$C226)</f>
        <v/>
      </c>
      <c r="E226" s="5">
        <f>_xlfn.MINIFS(Objects!$K$2:$K$1089,Objects!$B$2:$B$1089,$A226,Objects!$F$2:$F$1089,$B226,Objects!$H$2:$H$1089,$C226)</f>
        <v/>
      </c>
      <c r="F226" s="5">
        <f>_xlfn.MAXIFS(Objects!$K$2:$K$1089,Objects!$B$2:$B$1089,$A226,Objects!$F$2:$F$1089,$B226,Objects!$H$2:$H$1089,$C226)</f>
        <v/>
      </c>
      <c r="G226" s="5">
        <f>_xlfn.MINIFS(Objects!$L$2:$L$1089,Objects!$B$2:$B$1089,$A226,Objects!$F$2:$F$1089,$B226,Objects!$H$2:$H$1089,$C226)</f>
        <v/>
      </c>
      <c r="H226" s="5">
        <f>_xlfn.MAXIFS(Objects!$L$2:$L$1089,Objects!$B$2:$B$1089,$A226,Objects!$F$2:$F$1089,$B226,Objects!$H$2:$H$1089,$C226)</f>
        <v/>
      </c>
      <c r="I226" s="5">
        <f>IF(OR(C226="(none)",B226="raft",B226="sump_pit"),"n/a",IF(OR(B226="column",B226="shear_wall",B226="isolated_footing",B226="combined_footing"),IF(AND(F226-E226&lt;=3,H226-G226&lt;=3),"yes","no"),IF(H226-G226&lt;=3,"yes (thickness)","no (thickness)")))</f>
        <v/>
      </c>
      <c r="J226" s="6">
        <f>SUMIFS(Objects!$K$2:$K$1089,Objects!$B$2:$B$1089,$A226,Objects!$F$2:$F$1089,$B226,Objects!$H$2:$H$1089,$C226)/100</f>
        <v/>
      </c>
      <c r="K226" s="5">
        <f>COUNTIFS(Objects!$B$2:$B$1089,$A226,Objects!$F$2:$F$1089,$B226,Objects!$H$2:$H$1089,$C226,Objects!$I$2:$I$1089,"inferred*")</f>
        <v/>
      </c>
    </row>
    <row r="227">
      <c r="A227" s="5" t="inlineStr">
        <is>
          <t>130</t>
        </is>
      </c>
      <c r="B227" s="5" t="inlineStr">
        <is>
          <t>shear_wall</t>
        </is>
      </c>
      <c r="C227" s="5" t="inlineStr">
        <is>
          <t>V3/130</t>
        </is>
      </c>
      <c r="D227" s="5">
        <f>COUNTIFS(Objects!$B$2:$B$1089,$A227,Objects!$F$2:$F$1089,$B227,Objects!$H$2:$H$1089,$C227)</f>
        <v/>
      </c>
      <c r="E227" s="5">
        <f>_xlfn.MINIFS(Objects!$K$2:$K$1089,Objects!$B$2:$B$1089,$A227,Objects!$F$2:$F$1089,$B227,Objects!$H$2:$H$1089,$C227)</f>
        <v/>
      </c>
      <c r="F227" s="5">
        <f>_xlfn.MAXIFS(Objects!$K$2:$K$1089,Objects!$B$2:$B$1089,$A227,Objects!$F$2:$F$1089,$B227,Objects!$H$2:$H$1089,$C227)</f>
        <v/>
      </c>
      <c r="G227" s="5">
        <f>_xlfn.MINIFS(Objects!$L$2:$L$1089,Objects!$B$2:$B$1089,$A227,Objects!$F$2:$F$1089,$B227,Objects!$H$2:$H$1089,$C227)</f>
        <v/>
      </c>
      <c r="H227" s="5">
        <f>_xlfn.MAXIFS(Objects!$L$2:$L$1089,Objects!$B$2:$B$1089,$A227,Objects!$F$2:$F$1089,$B227,Objects!$H$2:$H$1089,$C227)</f>
        <v/>
      </c>
      <c r="I227" s="5">
        <f>IF(OR(C227="(none)",B227="raft",B227="sump_pit"),"n/a",IF(OR(B227="column",B227="shear_wall",B227="isolated_footing",B227="combined_footing"),IF(AND(F227-E227&lt;=3,H227-G227&lt;=3),"yes","no"),IF(H227-G227&lt;=3,"yes (thickness)","no (thickness)")))</f>
        <v/>
      </c>
      <c r="J227" s="6">
        <f>SUMIFS(Objects!$K$2:$K$1089,Objects!$B$2:$B$1089,$A227,Objects!$F$2:$F$1089,$B227,Objects!$H$2:$H$1089,$C227)/100</f>
        <v/>
      </c>
      <c r="K227" s="5">
        <f>COUNTIFS(Objects!$B$2:$B$1089,$A227,Objects!$F$2:$F$1089,$B227,Objects!$H$2:$H$1089,$C227,Objects!$I$2:$I$1089,"inferred*")</f>
        <v/>
      </c>
    </row>
    <row r="228">
      <c r="A228" s="5" t="inlineStr">
        <is>
          <t>130</t>
        </is>
      </c>
      <c r="B228" s="5" t="inlineStr">
        <is>
          <t>shear_wall</t>
        </is>
      </c>
      <c r="C228" s="5" t="inlineStr">
        <is>
          <t>V4/130</t>
        </is>
      </c>
      <c r="D228" s="5">
        <f>COUNTIFS(Objects!$B$2:$B$1089,$A228,Objects!$F$2:$F$1089,$B228,Objects!$H$2:$H$1089,$C228)</f>
        <v/>
      </c>
      <c r="E228" s="5">
        <f>_xlfn.MINIFS(Objects!$K$2:$K$1089,Objects!$B$2:$B$1089,$A228,Objects!$F$2:$F$1089,$B228,Objects!$H$2:$H$1089,$C228)</f>
        <v/>
      </c>
      <c r="F228" s="5">
        <f>_xlfn.MAXIFS(Objects!$K$2:$K$1089,Objects!$B$2:$B$1089,$A228,Objects!$F$2:$F$1089,$B228,Objects!$H$2:$H$1089,$C228)</f>
        <v/>
      </c>
      <c r="G228" s="5">
        <f>_xlfn.MINIFS(Objects!$L$2:$L$1089,Objects!$B$2:$B$1089,$A228,Objects!$F$2:$F$1089,$B228,Objects!$H$2:$H$1089,$C228)</f>
        <v/>
      </c>
      <c r="H228" s="5">
        <f>_xlfn.MAXIFS(Objects!$L$2:$L$1089,Objects!$B$2:$B$1089,$A228,Objects!$F$2:$F$1089,$B228,Objects!$H$2:$H$1089,$C228)</f>
        <v/>
      </c>
      <c r="I228" s="5">
        <f>IF(OR(C228="(none)",B228="raft",B228="sump_pit"),"n/a",IF(OR(B228="column",B228="shear_wall",B228="isolated_footing",B228="combined_footing"),IF(AND(F228-E228&lt;=3,H228-G228&lt;=3),"yes","no"),IF(H228-G228&lt;=3,"yes (thickness)","no (thickness)")))</f>
        <v/>
      </c>
      <c r="J228" s="6">
        <f>SUMIFS(Objects!$K$2:$K$1089,Objects!$B$2:$B$1089,$A228,Objects!$F$2:$F$1089,$B228,Objects!$H$2:$H$1089,$C228)/100</f>
        <v/>
      </c>
      <c r="K228" s="5">
        <f>COUNTIFS(Objects!$B$2:$B$1089,$A228,Objects!$F$2:$F$1089,$B228,Objects!$H$2:$H$1089,$C228,Objects!$I$2:$I$1089,"inferred*")</f>
        <v/>
      </c>
    </row>
    <row r="229">
      <c r="A229" s="5" t="inlineStr">
        <is>
          <t>130</t>
        </is>
      </c>
      <c r="B229" s="5" t="inlineStr">
        <is>
          <t>shear_wall</t>
        </is>
      </c>
      <c r="C229" s="5" t="inlineStr">
        <is>
          <t>V6/130</t>
        </is>
      </c>
      <c r="D229" s="5">
        <f>COUNTIFS(Objects!$B$2:$B$1089,$A229,Objects!$F$2:$F$1089,$B229,Objects!$H$2:$H$1089,$C229)</f>
        <v/>
      </c>
      <c r="E229" s="5">
        <f>_xlfn.MINIFS(Objects!$K$2:$K$1089,Objects!$B$2:$B$1089,$A229,Objects!$F$2:$F$1089,$B229,Objects!$H$2:$H$1089,$C229)</f>
        <v/>
      </c>
      <c r="F229" s="5">
        <f>_xlfn.MAXIFS(Objects!$K$2:$K$1089,Objects!$B$2:$B$1089,$A229,Objects!$F$2:$F$1089,$B229,Objects!$H$2:$H$1089,$C229)</f>
        <v/>
      </c>
      <c r="G229" s="5">
        <f>_xlfn.MINIFS(Objects!$L$2:$L$1089,Objects!$B$2:$B$1089,$A229,Objects!$F$2:$F$1089,$B229,Objects!$H$2:$H$1089,$C229)</f>
        <v/>
      </c>
      <c r="H229" s="5">
        <f>_xlfn.MAXIFS(Objects!$L$2:$L$1089,Objects!$B$2:$B$1089,$A229,Objects!$F$2:$F$1089,$B229,Objects!$H$2:$H$1089,$C229)</f>
        <v/>
      </c>
      <c r="I229" s="5">
        <f>IF(OR(C229="(none)",B229="raft",B229="sump_pit"),"n/a",IF(OR(B229="column",B229="shear_wall",B229="isolated_footing",B229="combined_footing"),IF(AND(F229-E229&lt;=3,H229-G229&lt;=3),"yes","no"),IF(H229-G229&lt;=3,"yes (thickness)","no (thickness)")))</f>
        <v/>
      </c>
      <c r="J229" s="6">
        <f>SUMIFS(Objects!$K$2:$K$1089,Objects!$B$2:$B$1089,$A229,Objects!$F$2:$F$1089,$B229,Objects!$H$2:$H$1089,$C229)/100</f>
        <v/>
      </c>
      <c r="K229" s="5">
        <f>COUNTIFS(Objects!$B$2:$B$1089,$A229,Objects!$F$2:$F$1089,$B229,Objects!$H$2:$H$1089,$C229,Objects!$I$2:$I$1089,"inferred*")</f>
        <v/>
      </c>
    </row>
    <row r="230">
      <c r="A230" s="5" t="inlineStr">
        <is>
          <t>130</t>
        </is>
      </c>
      <c r="B230" s="5" t="inlineStr">
        <is>
          <t>retaining_wall</t>
        </is>
      </c>
      <c r="C230" s="5" t="inlineStr">
        <is>
          <t>VP20</t>
        </is>
      </c>
      <c r="D230" s="5">
        <f>COUNTIFS(Objects!$B$2:$B$1089,$A230,Objects!$F$2:$F$1089,$B230,Objects!$H$2:$H$1089,$C230)</f>
        <v/>
      </c>
      <c r="E230" s="5">
        <f>_xlfn.MINIFS(Objects!$K$2:$K$1089,Objects!$B$2:$B$1089,$A230,Objects!$F$2:$F$1089,$B230,Objects!$H$2:$H$1089,$C230)</f>
        <v/>
      </c>
      <c r="F230" s="5">
        <f>_xlfn.MAXIFS(Objects!$K$2:$K$1089,Objects!$B$2:$B$1089,$A230,Objects!$F$2:$F$1089,$B230,Objects!$H$2:$H$1089,$C230)</f>
        <v/>
      </c>
      <c r="G230" s="5">
        <f>_xlfn.MINIFS(Objects!$L$2:$L$1089,Objects!$B$2:$B$1089,$A230,Objects!$F$2:$F$1089,$B230,Objects!$H$2:$H$1089,$C230)</f>
        <v/>
      </c>
      <c r="H230" s="5">
        <f>_xlfn.MAXIFS(Objects!$L$2:$L$1089,Objects!$B$2:$B$1089,$A230,Objects!$F$2:$F$1089,$B230,Objects!$H$2:$H$1089,$C230)</f>
        <v/>
      </c>
      <c r="I230" s="5">
        <f>IF(OR(C230="(none)",B230="raft",B230="sump_pit"),"n/a",IF(OR(B230="column",B230="shear_wall",B230="isolated_footing",B230="combined_footing"),IF(AND(F230-E230&lt;=3,H230-G230&lt;=3),"yes","no"),IF(H230-G230&lt;=3,"yes (thickness)","no (thickness)")))</f>
        <v/>
      </c>
      <c r="J230" s="6">
        <f>SUMIFS(Objects!$K$2:$K$1089,Objects!$B$2:$B$1089,$A230,Objects!$F$2:$F$1089,$B230,Objects!$H$2:$H$1089,$C230)/100</f>
        <v/>
      </c>
      <c r="K230" s="5">
        <f>COUNTIFS(Objects!$B$2:$B$1089,$A230,Objects!$F$2:$F$1089,$B230,Objects!$H$2:$H$1089,$C230,Objects!$I$2:$I$1089,"inferred*")</f>
        <v/>
      </c>
    </row>
    <row r="231">
      <c r="A231" s="5" t="inlineStr">
        <is>
          <t>130</t>
        </is>
      </c>
      <c r="B231" s="5" t="inlineStr">
        <is>
          <t>isolated_footing</t>
        </is>
      </c>
      <c r="C231" s="5" t="inlineStr">
        <is>
          <t>(none)</t>
        </is>
      </c>
      <c r="D231" s="5">
        <f>COUNTIFS(Objects!$B$2:$B$1089,$A231,Objects!$F$2:$F$1089,$B231,Objects!$H$2:$H$1089,$C231)</f>
        <v/>
      </c>
      <c r="E231" s="5">
        <f>_xlfn.MINIFS(Objects!$K$2:$K$1089,Objects!$B$2:$B$1089,$A231,Objects!$F$2:$F$1089,$B231,Objects!$H$2:$H$1089,$C231)</f>
        <v/>
      </c>
      <c r="F231" s="5">
        <f>_xlfn.MAXIFS(Objects!$K$2:$K$1089,Objects!$B$2:$B$1089,$A231,Objects!$F$2:$F$1089,$B231,Objects!$H$2:$H$1089,$C231)</f>
        <v/>
      </c>
      <c r="G231" s="5">
        <f>_xlfn.MINIFS(Objects!$L$2:$L$1089,Objects!$B$2:$B$1089,$A231,Objects!$F$2:$F$1089,$B231,Objects!$H$2:$H$1089,$C231)</f>
        <v/>
      </c>
      <c r="H231" s="5">
        <f>_xlfn.MAXIFS(Objects!$L$2:$L$1089,Objects!$B$2:$B$1089,$A231,Objects!$F$2:$F$1089,$B231,Objects!$H$2:$H$1089,$C231)</f>
        <v/>
      </c>
      <c r="I231" s="5">
        <f>IF(OR(C231="(none)",B231="raft",B231="sump_pit"),"n/a",IF(OR(B231="column",B231="shear_wall",B231="isolated_footing",B231="combined_footing"),IF(AND(F231-E231&lt;=3,H231-G231&lt;=3),"yes","no"),IF(H231-G231&lt;=3,"yes (thickness)","no (thickness)")))</f>
        <v/>
      </c>
      <c r="J231" s="6">
        <f>SUMIFS(Objects!$K$2:$K$1089,Objects!$B$2:$B$1089,$A231,Objects!$F$2:$F$1089,$B231,Objects!$H$2:$H$1089,$C231)/100</f>
        <v/>
      </c>
      <c r="K231" s="5">
        <f>COUNTIFS(Objects!$B$2:$B$1089,$A231,Objects!$F$2:$F$1089,$B231,Objects!$H$2:$H$1089,$C231,Objects!$I$2:$I$1089,"inferred*")</f>
        <v/>
      </c>
    </row>
    <row r="232">
      <c r="A232" s="5" t="inlineStr">
        <is>
          <t>130</t>
        </is>
      </c>
      <c r="B232" s="5" t="inlineStr">
        <is>
          <t>isolated_footing</t>
        </is>
      </c>
      <c r="C232" s="5" t="inlineStr">
        <is>
          <t>S18</t>
        </is>
      </c>
      <c r="D232" s="5">
        <f>COUNTIFS(Objects!$B$2:$B$1089,$A232,Objects!$F$2:$F$1089,$B232,Objects!$H$2:$H$1089,$C232)</f>
        <v/>
      </c>
      <c r="E232" s="5">
        <f>_xlfn.MINIFS(Objects!$K$2:$K$1089,Objects!$B$2:$B$1089,$A232,Objects!$F$2:$F$1089,$B232,Objects!$H$2:$H$1089,$C232)</f>
        <v/>
      </c>
      <c r="F232" s="5">
        <f>_xlfn.MAXIFS(Objects!$K$2:$K$1089,Objects!$B$2:$B$1089,$A232,Objects!$F$2:$F$1089,$B232,Objects!$H$2:$H$1089,$C232)</f>
        <v/>
      </c>
      <c r="G232" s="5">
        <f>_xlfn.MINIFS(Objects!$L$2:$L$1089,Objects!$B$2:$B$1089,$A232,Objects!$F$2:$F$1089,$B232,Objects!$H$2:$H$1089,$C232)</f>
        <v/>
      </c>
      <c r="H232" s="5">
        <f>_xlfn.MAXIFS(Objects!$L$2:$L$1089,Objects!$B$2:$B$1089,$A232,Objects!$F$2:$F$1089,$B232,Objects!$H$2:$H$1089,$C232)</f>
        <v/>
      </c>
      <c r="I232" s="5">
        <f>IF(OR(C232="(none)",B232="raft",B232="sump_pit"),"n/a",IF(OR(B232="column",B232="shear_wall",B232="isolated_footing",B232="combined_footing"),IF(AND(F232-E232&lt;=3,H232-G232&lt;=3),"yes","no"),IF(H232-G232&lt;=3,"yes (thickness)","no (thickness)")))</f>
        <v/>
      </c>
      <c r="J232" s="6">
        <f>SUMIFS(Objects!$K$2:$K$1089,Objects!$B$2:$B$1089,$A232,Objects!$F$2:$F$1089,$B232,Objects!$H$2:$H$1089,$C232)/100</f>
        <v/>
      </c>
      <c r="K232" s="5">
        <f>COUNTIFS(Objects!$B$2:$B$1089,$A232,Objects!$F$2:$F$1089,$B232,Objects!$H$2:$H$1089,$C232,Objects!$I$2:$I$1089,"inferred*")</f>
        <v/>
      </c>
    </row>
    <row r="233">
      <c r="A233" s="5" t="inlineStr">
        <is>
          <t>130</t>
        </is>
      </c>
      <c r="B233" s="5" t="inlineStr">
        <is>
          <t>isolated_footing</t>
        </is>
      </c>
      <c r="C233" s="5" t="inlineStr">
        <is>
          <t>S2</t>
        </is>
      </c>
      <c r="D233" s="5">
        <f>COUNTIFS(Objects!$B$2:$B$1089,$A233,Objects!$F$2:$F$1089,$B233,Objects!$H$2:$H$1089,$C233)</f>
        <v/>
      </c>
      <c r="E233" s="5">
        <f>_xlfn.MINIFS(Objects!$K$2:$K$1089,Objects!$B$2:$B$1089,$A233,Objects!$F$2:$F$1089,$B233,Objects!$H$2:$H$1089,$C233)</f>
        <v/>
      </c>
      <c r="F233" s="5">
        <f>_xlfn.MAXIFS(Objects!$K$2:$K$1089,Objects!$B$2:$B$1089,$A233,Objects!$F$2:$F$1089,$B233,Objects!$H$2:$H$1089,$C233)</f>
        <v/>
      </c>
      <c r="G233" s="5">
        <f>_xlfn.MINIFS(Objects!$L$2:$L$1089,Objects!$B$2:$B$1089,$A233,Objects!$F$2:$F$1089,$B233,Objects!$H$2:$H$1089,$C233)</f>
        <v/>
      </c>
      <c r="H233" s="5">
        <f>_xlfn.MAXIFS(Objects!$L$2:$L$1089,Objects!$B$2:$B$1089,$A233,Objects!$F$2:$F$1089,$B233,Objects!$H$2:$H$1089,$C233)</f>
        <v/>
      </c>
      <c r="I233" s="5">
        <f>IF(OR(C233="(none)",B233="raft",B233="sump_pit"),"n/a",IF(OR(B233="column",B233="shear_wall",B233="isolated_footing",B233="combined_footing"),IF(AND(F233-E233&lt;=3,H233-G233&lt;=3),"yes","no"),IF(H233-G233&lt;=3,"yes (thickness)","no (thickness)")))</f>
        <v/>
      </c>
      <c r="J233" s="6">
        <f>SUMIFS(Objects!$K$2:$K$1089,Objects!$B$2:$B$1089,$A233,Objects!$F$2:$F$1089,$B233,Objects!$H$2:$H$1089,$C233)/100</f>
        <v/>
      </c>
      <c r="K233" s="5">
        <f>COUNTIFS(Objects!$B$2:$B$1089,$A233,Objects!$F$2:$F$1089,$B233,Objects!$H$2:$H$1089,$C233,Objects!$I$2:$I$1089,"inferred*")</f>
        <v/>
      </c>
    </row>
    <row r="234">
      <c r="A234" s="5" t="inlineStr">
        <is>
          <t>130</t>
        </is>
      </c>
      <c r="B234" s="5" t="inlineStr">
        <is>
          <t>isolated_footing</t>
        </is>
      </c>
      <c r="C234" s="5" t="inlineStr">
        <is>
          <t>S20</t>
        </is>
      </c>
      <c r="D234" s="5">
        <f>COUNTIFS(Objects!$B$2:$B$1089,$A234,Objects!$F$2:$F$1089,$B234,Objects!$H$2:$H$1089,$C234)</f>
        <v/>
      </c>
      <c r="E234" s="5">
        <f>_xlfn.MINIFS(Objects!$K$2:$K$1089,Objects!$B$2:$B$1089,$A234,Objects!$F$2:$F$1089,$B234,Objects!$H$2:$H$1089,$C234)</f>
        <v/>
      </c>
      <c r="F234" s="5">
        <f>_xlfn.MAXIFS(Objects!$K$2:$K$1089,Objects!$B$2:$B$1089,$A234,Objects!$F$2:$F$1089,$B234,Objects!$H$2:$H$1089,$C234)</f>
        <v/>
      </c>
      <c r="G234" s="5">
        <f>_xlfn.MINIFS(Objects!$L$2:$L$1089,Objects!$B$2:$B$1089,$A234,Objects!$F$2:$F$1089,$B234,Objects!$H$2:$H$1089,$C234)</f>
        <v/>
      </c>
      <c r="H234" s="5">
        <f>_xlfn.MAXIFS(Objects!$L$2:$L$1089,Objects!$B$2:$B$1089,$A234,Objects!$F$2:$F$1089,$B234,Objects!$H$2:$H$1089,$C234)</f>
        <v/>
      </c>
      <c r="I234" s="5">
        <f>IF(OR(C234="(none)",B234="raft",B234="sump_pit"),"n/a",IF(OR(B234="column",B234="shear_wall",B234="isolated_footing",B234="combined_footing"),IF(AND(F234-E234&lt;=3,H234-G234&lt;=3),"yes","no"),IF(H234-G234&lt;=3,"yes (thickness)","no (thickness)")))</f>
        <v/>
      </c>
      <c r="J234" s="6">
        <f>SUMIFS(Objects!$K$2:$K$1089,Objects!$B$2:$B$1089,$A234,Objects!$F$2:$F$1089,$B234,Objects!$H$2:$H$1089,$C234)/100</f>
        <v/>
      </c>
      <c r="K234" s="5">
        <f>COUNTIFS(Objects!$B$2:$B$1089,$A234,Objects!$F$2:$F$1089,$B234,Objects!$H$2:$H$1089,$C234,Objects!$I$2:$I$1089,"inferred*")</f>
        <v/>
      </c>
    </row>
    <row r="235">
      <c r="A235" s="5" t="inlineStr">
        <is>
          <t>130</t>
        </is>
      </c>
      <c r="B235" s="5" t="inlineStr">
        <is>
          <t>isolated_footing</t>
        </is>
      </c>
      <c r="C235" s="5" t="inlineStr">
        <is>
          <t>S4</t>
        </is>
      </c>
      <c r="D235" s="5">
        <f>COUNTIFS(Objects!$B$2:$B$1089,$A235,Objects!$F$2:$F$1089,$B235,Objects!$H$2:$H$1089,$C235)</f>
        <v/>
      </c>
      <c r="E235" s="5">
        <f>_xlfn.MINIFS(Objects!$K$2:$K$1089,Objects!$B$2:$B$1089,$A235,Objects!$F$2:$F$1089,$B235,Objects!$H$2:$H$1089,$C235)</f>
        <v/>
      </c>
      <c r="F235" s="5">
        <f>_xlfn.MAXIFS(Objects!$K$2:$K$1089,Objects!$B$2:$B$1089,$A235,Objects!$F$2:$F$1089,$B235,Objects!$H$2:$H$1089,$C235)</f>
        <v/>
      </c>
      <c r="G235" s="5">
        <f>_xlfn.MINIFS(Objects!$L$2:$L$1089,Objects!$B$2:$B$1089,$A235,Objects!$F$2:$F$1089,$B235,Objects!$H$2:$H$1089,$C235)</f>
        <v/>
      </c>
      <c r="H235" s="5">
        <f>_xlfn.MAXIFS(Objects!$L$2:$L$1089,Objects!$B$2:$B$1089,$A235,Objects!$F$2:$F$1089,$B235,Objects!$H$2:$H$1089,$C235)</f>
        <v/>
      </c>
      <c r="I235" s="5">
        <f>IF(OR(C235="(none)",B235="raft",B235="sump_pit"),"n/a",IF(OR(B235="column",B235="shear_wall",B235="isolated_footing",B235="combined_footing"),IF(AND(F235-E235&lt;=3,H235-G235&lt;=3),"yes","no"),IF(H235-G235&lt;=3,"yes (thickness)","no (thickness)")))</f>
        <v/>
      </c>
      <c r="J235" s="6">
        <f>SUMIFS(Objects!$K$2:$K$1089,Objects!$B$2:$B$1089,$A235,Objects!$F$2:$F$1089,$B235,Objects!$H$2:$H$1089,$C235)/100</f>
        <v/>
      </c>
      <c r="K235" s="5">
        <f>COUNTIFS(Objects!$B$2:$B$1089,$A235,Objects!$F$2:$F$1089,$B235,Objects!$H$2:$H$1089,$C235,Objects!$I$2:$I$1089,"inferred*")</f>
        <v/>
      </c>
    </row>
    <row r="236">
      <c r="A236" s="5" t="inlineStr">
        <is>
          <t>130</t>
        </is>
      </c>
      <c r="B236" s="5" t="inlineStr">
        <is>
          <t>combined_footing</t>
        </is>
      </c>
      <c r="C236" s="5" t="inlineStr">
        <is>
          <t>SC1</t>
        </is>
      </c>
      <c r="D236" s="5">
        <f>COUNTIFS(Objects!$B$2:$B$1089,$A236,Objects!$F$2:$F$1089,$B236,Objects!$H$2:$H$1089,$C236)</f>
        <v/>
      </c>
      <c r="E236" s="5">
        <f>_xlfn.MINIFS(Objects!$K$2:$K$1089,Objects!$B$2:$B$1089,$A236,Objects!$F$2:$F$1089,$B236,Objects!$H$2:$H$1089,$C236)</f>
        <v/>
      </c>
      <c r="F236" s="5">
        <f>_xlfn.MAXIFS(Objects!$K$2:$K$1089,Objects!$B$2:$B$1089,$A236,Objects!$F$2:$F$1089,$B236,Objects!$H$2:$H$1089,$C236)</f>
        <v/>
      </c>
      <c r="G236" s="5">
        <f>_xlfn.MINIFS(Objects!$L$2:$L$1089,Objects!$B$2:$B$1089,$A236,Objects!$F$2:$F$1089,$B236,Objects!$H$2:$H$1089,$C236)</f>
        <v/>
      </c>
      <c r="H236" s="5">
        <f>_xlfn.MAXIFS(Objects!$L$2:$L$1089,Objects!$B$2:$B$1089,$A236,Objects!$F$2:$F$1089,$B236,Objects!$H$2:$H$1089,$C236)</f>
        <v/>
      </c>
      <c r="I236" s="5">
        <f>IF(OR(C236="(none)",B236="raft",B236="sump_pit"),"n/a",IF(OR(B236="column",B236="shear_wall",B236="isolated_footing",B236="combined_footing"),IF(AND(F236-E236&lt;=3,H236-G236&lt;=3),"yes","no"),IF(H236-G236&lt;=3,"yes (thickness)","no (thickness)")))</f>
        <v/>
      </c>
      <c r="J236" s="6">
        <f>SUMIFS(Objects!$K$2:$K$1089,Objects!$B$2:$B$1089,$A236,Objects!$F$2:$F$1089,$B236,Objects!$H$2:$H$1089,$C236)/100</f>
        <v/>
      </c>
      <c r="K236" s="5">
        <f>COUNTIFS(Objects!$B$2:$B$1089,$A236,Objects!$F$2:$F$1089,$B236,Objects!$H$2:$H$1089,$C236,Objects!$I$2:$I$1089,"inferred*")</f>
        <v/>
      </c>
    </row>
    <row r="237">
      <c r="A237" s="5" t="inlineStr">
        <is>
          <t>130</t>
        </is>
      </c>
      <c r="B237" s="5" t="inlineStr">
        <is>
          <t>combined_footing</t>
        </is>
      </c>
      <c r="C237" s="5" t="inlineStr">
        <is>
          <t>SC2</t>
        </is>
      </c>
      <c r="D237" s="5">
        <f>COUNTIFS(Objects!$B$2:$B$1089,$A237,Objects!$F$2:$F$1089,$B237,Objects!$H$2:$H$1089,$C237)</f>
        <v/>
      </c>
      <c r="E237" s="5">
        <f>_xlfn.MINIFS(Objects!$K$2:$K$1089,Objects!$B$2:$B$1089,$A237,Objects!$F$2:$F$1089,$B237,Objects!$H$2:$H$1089,$C237)</f>
        <v/>
      </c>
      <c r="F237" s="5">
        <f>_xlfn.MAXIFS(Objects!$K$2:$K$1089,Objects!$B$2:$B$1089,$A237,Objects!$F$2:$F$1089,$B237,Objects!$H$2:$H$1089,$C237)</f>
        <v/>
      </c>
      <c r="G237" s="5">
        <f>_xlfn.MINIFS(Objects!$L$2:$L$1089,Objects!$B$2:$B$1089,$A237,Objects!$F$2:$F$1089,$B237,Objects!$H$2:$H$1089,$C237)</f>
        <v/>
      </c>
      <c r="H237" s="5">
        <f>_xlfn.MAXIFS(Objects!$L$2:$L$1089,Objects!$B$2:$B$1089,$A237,Objects!$F$2:$F$1089,$B237,Objects!$H$2:$H$1089,$C237)</f>
        <v/>
      </c>
      <c r="I237" s="5">
        <f>IF(OR(C237="(none)",B237="raft",B237="sump_pit"),"n/a",IF(OR(B237="column",B237="shear_wall",B237="isolated_footing",B237="combined_footing"),IF(AND(F237-E237&lt;=3,H237-G237&lt;=3),"yes","no"),IF(H237-G237&lt;=3,"yes (thickness)","no (thickness)")))</f>
        <v/>
      </c>
      <c r="J237" s="6">
        <f>SUMIFS(Objects!$K$2:$K$1089,Objects!$B$2:$B$1089,$A237,Objects!$F$2:$F$1089,$B237,Objects!$H$2:$H$1089,$C237)/100</f>
        <v/>
      </c>
      <c r="K237" s="5">
        <f>COUNTIFS(Objects!$B$2:$B$1089,$A237,Objects!$F$2:$F$1089,$B237,Objects!$H$2:$H$1089,$C237,Objects!$I$2:$I$1089,"inferred*")</f>
        <v/>
      </c>
    </row>
    <row r="238">
      <c r="A238" s="5" t="inlineStr">
        <is>
          <t>130</t>
        </is>
      </c>
      <c r="B238" s="5" t="inlineStr">
        <is>
          <t>combined_footing</t>
        </is>
      </c>
      <c r="C238" s="5" t="inlineStr">
        <is>
          <t>SC9</t>
        </is>
      </c>
      <c r="D238" s="5">
        <f>COUNTIFS(Objects!$B$2:$B$1089,$A238,Objects!$F$2:$F$1089,$B238,Objects!$H$2:$H$1089,$C238)</f>
        <v/>
      </c>
      <c r="E238" s="5">
        <f>_xlfn.MINIFS(Objects!$K$2:$K$1089,Objects!$B$2:$B$1089,$A238,Objects!$F$2:$F$1089,$B238,Objects!$H$2:$H$1089,$C238)</f>
        <v/>
      </c>
      <c r="F238" s="5">
        <f>_xlfn.MAXIFS(Objects!$K$2:$K$1089,Objects!$B$2:$B$1089,$A238,Objects!$F$2:$F$1089,$B238,Objects!$H$2:$H$1089,$C238)</f>
        <v/>
      </c>
      <c r="G238" s="5">
        <f>_xlfn.MINIFS(Objects!$L$2:$L$1089,Objects!$B$2:$B$1089,$A238,Objects!$F$2:$F$1089,$B238,Objects!$H$2:$H$1089,$C238)</f>
        <v/>
      </c>
      <c r="H238" s="5">
        <f>_xlfn.MAXIFS(Objects!$L$2:$L$1089,Objects!$B$2:$B$1089,$A238,Objects!$F$2:$F$1089,$B238,Objects!$H$2:$H$1089,$C238)</f>
        <v/>
      </c>
      <c r="I238" s="5">
        <f>IF(OR(C238="(none)",B238="raft",B238="sump_pit"),"n/a",IF(OR(B238="column",B238="shear_wall",B238="isolated_footing",B238="combined_footing"),IF(AND(F238-E238&lt;=3,H238-G238&lt;=3),"yes","no"),IF(H238-G238&lt;=3,"yes (thickness)","no (thickness)")))</f>
        <v/>
      </c>
      <c r="J238" s="6">
        <f>SUMIFS(Objects!$K$2:$K$1089,Objects!$B$2:$B$1089,$A238,Objects!$F$2:$F$1089,$B238,Objects!$H$2:$H$1089,$C238)/100</f>
        <v/>
      </c>
      <c r="K238" s="5">
        <f>COUNTIFS(Objects!$B$2:$B$1089,$A238,Objects!$F$2:$F$1089,$B238,Objects!$H$2:$H$1089,$C238,Objects!$I$2:$I$1089,"inferred*")</f>
        <v/>
      </c>
    </row>
    <row r="239">
      <c r="A239" s="5" t="inlineStr">
        <is>
          <t>130</t>
        </is>
      </c>
      <c r="B239" s="5" t="inlineStr">
        <is>
          <t>strip_footing</t>
        </is>
      </c>
      <c r="C239" s="5" t="inlineStr">
        <is>
          <t>(none)</t>
        </is>
      </c>
      <c r="D239" s="5">
        <f>COUNTIFS(Objects!$B$2:$B$1089,$A239,Objects!$F$2:$F$1089,$B239,Objects!$H$2:$H$1089,$C239)</f>
        <v/>
      </c>
      <c r="E239" s="5">
        <f>_xlfn.MINIFS(Objects!$K$2:$K$1089,Objects!$B$2:$B$1089,$A239,Objects!$F$2:$F$1089,$B239,Objects!$H$2:$H$1089,$C239)</f>
        <v/>
      </c>
      <c r="F239" s="5">
        <f>_xlfn.MAXIFS(Objects!$K$2:$K$1089,Objects!$B$2:$B$1089,$A239,Objects!$F$2:$F$1089,$B239,Objects!$H$2:$H$1089,$C239)</f>
        <v/>
      </c>
      <c r="G239" s="5">
        <f>_xlfn.MINIFS(Objects!$L$2:$L$1089,Objects!$B$2:$B$1089,$A239,Objects!$F$2:$F$1089,$B239,Objects!$H$2:$H$1089,$C239)</f>
        <v/>
      </c>
      <c r="H239" s="5">
        <f>_xlfn.MAXIFS(Objects!$L$2:$L$1089,Objects!$B$2:$B$1089,$A239,Objects!$F$2:$F$1089,$B239,Objects!$H$2:$H$1089,$C239)</f>
        <v/>
      </c>
      <c r="I239" s="5">
        <f>IF(OR(C239="(none)",B239="raft",B239="sump_pit"),"n/a",IF(OR(B239="column",B239="shear_wall",B239="isolated_footing",B239="combined_footing"),IF(AND(F239-E239&lt;=3,H239-G239&lt;=3),"yes","no"),IF(H239-G239&lt;=3,"yes (thickness)","no (thickness)")))</f>
        <v/>
      </c>
      <c r="J239" s="6">
        <f>SUMIFS(Objects!$K$2:$K$1089,Objects!$B$2:$B$1089,$A239,Objects!$F$2:$F$1089,$B239,Objects!$H$2:$H$1089,$C239)/100</f>
        <v/>
      </c>
      <c r="K239" s="5">
        <f>COUNTIFS(Objects!$B$2:$B$1089,$A239,Objects!$F$2:$F$1089,$B239,Objects!$H$2:$H$1089,$C239,Objects!$I$2:$I$1089,"inferred*")</f>
        <v/>
      </c>
    </row>
    <row r="240">
      <c r="A240" s="5" t="inlineStr">
        <is>
          <t>130</t>
        </is>
      </c>
      <c r="B240" s="5" t="inlineStr">
        <is>
          <t>strip_footing</t>
        </is>
      </c>
      <c r="C240" s="5" t="inlineStr">
        <is>
          <t>SF1</t>
        </is>
      </c>
      <c r="D240" s="5">
        <f>COUNTIFS(Objects!$B$2:$B$1089,$A240,Objects!$F$2:$F$1089,$B240,Objects!$H$2:$H$1089,$C240)</f>
        <v/>
      </c>
      <c r="E240" s="5">
        <f>_xlfn.MINIFS(Objects!$K$2:$K$1089,Objects!$B$2:$B$1089,$A240,Objects!$F$2:$F$1089,$B240,Objects!$H$2:$H$1089,$C240)</f>
        <v/>
      </c>
      <c r="F240" s="5">
        <f>_xlfn.MAXIFS(Objects!$K$2:$K$1089,Objects!$B$2:$B$1089,$A240,Objects!$F$2:$F$1089,$B240,Objects!$H$2:$H$1089,$C240)</f>
        <v/>
      </c>
      <c r="G240" s="5">
        <f>_xlfn.MINIFS(Objects!$L$2:$L$1089,Objects!$B$2:$B$1089,$A240,Objects!$F$2:$F$1089,$B240,Objects!$H$2:$H$1089,$C240)</f>
        <v/>
      </c>
      <c r="H240" s="5">
        <f>_xlfn.MAXIFS(Objects!$L$2:$L$1089,Objects!$B$2:$B$1089,$A240,Objects!$F$2:$F$1089,$B240,Objects!$H$2:$H$1089,$C240)</f>
        <v/>
      </c>
      <c r="I240" s="5">
        <f>IF(OR(C240="(none)",B240="raft",B240="sump_pit"),"n/a",IF(OR(B240="column",B240="shear_wall",B240="isolated_footing",B240="combined_footing"),IF(AND(F240-E240&lt;=3,H240-G240&lt;=3),"yes","no"),IF(H240-G240&lt;=3,"yes (thickness)","no (thickness)")))</f>
        <v/>
      </c>
      <c r="J240" s="6">
        <f>SUMIFS(Objects!$K$2:$K$1089,Objects!$B$2:$B$1089,$A240,Objects!$F$2:$F$1089,$B240,Objects!$H$2:$H$1089,$C240)/100</f>
        <v/>
      </c>
      <c r="K240" s="5">
        <f>COUNTIFS(Objects!$B$2:$B$1089,$A240,Objects!$F$2:$F$1089,$B240,Objects!$H$2:$H$1089,$C240,Objects!$I$2:$I$1089,"inferred*")</f>
        <v/>
      </c>
    </row>
    <row r="241">
      <c r="A241" s="5" t="inlineStr">
        <is>
          <t>130</t>
        </is>
      </c>
      <c r="B241" s="5" t="inlineStr">
        <is>
          <t>grade_beam</t>
        </is>
      </c>
      <c r="C241" s="5" t="inlineStr">
        <is>
          <t>LG40x15</t>
        </is>
      </c>
      <c r="D241" s="5">
        <f>COUNTIFS(Objects!$B$2:$B$1089,$A241,Objects!$F$2:$F$1089,$B241,Objects!$H$2:$H$1089,$C241)</f>
        <v/>
      </c>
      <c r="E241" s="5">
        <f>_xlfn.MINIFS(Objects!$K$2:$K$1089,Objects!$B$2:$B$1089,$A241,Objects!$F$2:$F$1089,$B241,Objects!$H$2:$H$1089,$C241)</f>
        <v/>
      </c>
      <c r="F241" s="5">
        <f>_xlfn.MAXIFS(Objects!$K$2:$K$1089,Objects!$B$2:$B$1089,$A241,Objects!$F$2:$F$1089,$B241,Objects!$H$2:$H$1089,$C241)</f>
        <v/>
      </c>
      <c r="G241" s="5">
        <f>_xlfn.MINIFS(Objects!$L$2:$L$1089,Objects!$B$2:$B$1089,$A241,Objects!$F$2:$F$1089,$B241,Objects!$H$2:$H$1089,$C241)</f>
        <v/>
      </c>
      <c r="H241" s="5">
        <f>_xlfn.MAXIFS(Objects!$L$2:$L$1089,Objects!$B$2:$B$1089,$A241,Objects!$F$2:$F$1089,$B241,Objects!$H$2:$H$1089,$C241)</f>
        <v/>
      </c>
      <c r="I241" s="5">
        <f>IF(OR(C241="(none)",B241="raft",B241="sump_pit"),"n/a",IF(OR(B241="column",B241="shear_wall",B241="isolated_footing",B241="combined_footing"),IF(AND(F241-E241&lt;=3,H241-G241&lt;=3),"yes","no"),IF(H241-G241&lt;=3,"yes (thickness)","no (thickness)")))</f>
        <v/>
      </c>
      <c r="J241" s="6">
        <f>SUMIFS(Objects!$K$2:$K$1089,Objects!$B$2:$B$1089,$A241,Objects!$F$2:$F$1089,$B241,Objects!$H$2:$H$1089,$C241)/100</f>
        <v/>
      </c>
      <c r="K241" s="5">
        <f>COUNTIFS(Objects!$B$2:$B$1089,$A241,Objects!$F$2:$F$1089,$B241,Objects!$H$2:$H$1089,$C241,Objects!$I$2:$I$1089,"inferred*")</f>
        <v/>
      </c>
    </row>
    <row r="242">
      <c r="A242" s="5" t="inlineStr">
        <is>
          <t>130</t>
        </is>
      </c>
      <c r="B242" s="5" t="inlineStr">
        <is>
          <t>raft</t>
        </is>
      </c>
      <c r="C242" s="5" t="inlineStr">
        <is>
          <t>Radier 100</t>
        </is>
      </c>
      <c r="D242" s="5">
        <f>COUNTIFS(Objects!$B$2:$B$1089,$A242,Objects!$F$2:$F$1089,$B242,Objects!$H$2:$H$1089,$C242)</f>
        <v/>
      </c>
      <c r="E242" s="5">
        <f>_xlfn.MINIFS(Objects!$K$2:$K$1089,Objects!$B$2:$B$1089,$A242,Objects!$F$2:$F$1089,$B242,Objects!$H$2:$H$1089,$C242)</f>
        <v/>
      </c>
      <c r="F242" s="5">
        <f>_xlfn.MAXIFS(Objects!$K$2:$K$1089,Objects!$B$2:$B$1089,$A242,Objects!$F$2:$F$1089,$B242,Objects!$H$2:$H$1089,$C242)</f>
        <v/>
      </c>
      <c r="G242" s="5">
        <f>_xlfn.MINIFS(Objects!$L$2:$L$1089,Objects!$B$2:$B$1089,$A242,Objects!$F$2:$F$1089,$B242,Objects!$H$2:$H$1089,$C242)</f>
        <v/>
      </c>
      <c r="H242" s="5">
        <f>_xlfn.MAXIFS(Objects!$L$2:$L$1089,Objects!$B$2:$B$1089,$A242,Objects!$F$2:$F$1089,$B242,Objects!$H$2:$H$1089,$C242)</f>
        <v/>
      </c>
      <c r="I242" s="5">
        <f>IF(OR(C242="(none)",B242="raft",B242="sump_pit"),"n/a",IF(OR(B242="column",B242="shear_wall",B242="isolated_footing",B242="combined_footing"),IF(AND(F242-E242&lt;=3,H242-G242&lt;=3),"yes","no"),IF(H242-G242&lt;=3,"yes (thickness)","no (thickness)")))</f>
        <v/>
      </c>
      <c r="J242" s="6">
        <f>SUMIFS(Objects!$K$2:$K$1089,Objects!$B$2:$B$1089,$A242,Objects!$F$2:$F$1089,$B242,Objects!$H$2:$H$1089,$C242)/100</f>
        <v/>
      </c>
      <c r="K242" s="5">
        <f>COUNTIFS(Objects!$B$2:$B$1089,$A242,Objects!$F$2:$F$1089,$B242,Objects!$H$2:$H$1089,$C242,Objects!$I$2:$I$1089,"inferred*")</f>
        <v/>
      </c>
    </row>
    <row r="243">
      <c r="A243" s="5" t="inlineStr">
        <is>
          <t>130</t>
        </is>
      </c>
      <c r="B243" s="5" t="inlineStr">
        <is>
          <t>sump_pit</t>
        </is>
      </c>
      <c r="C243" s="5" t="inlineStr">
        <is>
          <t>(none)</t>
        </is>
      </c>
      <c r="D243" s="5">
        <f>COUNTIFS(Objects!$B$2:$B$1089,$A243,Objects!$F$2:$F$1089,$B243,Objects!$H$2:$H$1089,$C243)</f>
        <v/>
      </c>
      <c r="E243" s="5">
        <f>_xlfn.MINIFS(Objects!$K$2:$K$1089,Objects!$B$2:$B$1089,$A243,Objects!$F$2:$F$1089,$B243,Objects!$H$2:$H$1089,$C243)</f>
        <v/>
      </c>
      <c r="F243" s="5">
        <f>_xlfn.MAXIFS(Objects!$K$2:$K$1089,Objects!$B$2:$B$1089,$A243,Objects!$F$2:$F$1089,$B243,Objects!$H$2:$H$1089,$C243)</f>
        <v/>
      </c>
      <c r="G243" s="5">
        <f>_xlfn.MINIFS(Objects!$L$2:$L$1089,Objects!$B$2:$B$1089,$A243,Objects!$F$2:$F$1089,$B243,Objects!$H$2:$H$1089,$C243)</f>
        <v/>
      </c>
      <c r="H243" s="5">
        <f>_xlfn.MAXIFS(Objects!$L$2:$L$1089,Objects!$B$2:$B$1089,$A243,Objects!$F$2:$F$1089,$B243,Objects!$H$2:$H$1089,$C243)</f>
        <v/>
      </c>
      <c r="I243" s="5">
        <f>IF(OR(C243="(none)",B243="raft",B243="sump_pit"),"n/a",IF(OR(B243="column",B243="shear_wall",B243="isolated_footing",B243="combined_footing"),IF(AND(F243-E243&lt;=3,H243-G243&lt;=3),"yes","no"),IF(H243-G243&lt;=3,"yes (thickness)","no (thickness)")))</f>
        <v/>
      </c>
      <c r="J243" s="6">
        <f>SUMIFS(Objects!$K$2:$K$1089,Objects!$B$2:$B$1089,$A243,Objects!$F$2:$F$1089,$B243,Objects!$H$2:$H$1089,$C243)/100</f>
        <v/>
      </c>
      <c r="K243" s="5">
        <f>COUNTIFS(Objects!$B$2:$B$1089,$A243,Objects!$F$2:$F$1089,$B243,Objects!$H$2:$H$1089,$C243,Objects!$I$2:$I$1089,"inferred*")</f>
        <v/>
      </c>
    </row>
    <row r="244">
      <c r="A244" s="5" t="inlineStr">
        <is>
          <t>130</t>
        </is>
      </c>
      <c r="B244" s="5" t="inlineStr">
        <is>
          <t>sump_pit</t>
        </is>
      </c>
      <c r="C244" s="5" t="inlineStr">
        <is>
          <t>Fosse</t>
        </is>
      </c>
      <c r="D244" s="5">
        <f>COUNTIFS(Objects!$B$2:$B$1089,$A244,Objects!$F$2:$F$1089,$B244,Objects!$H$2:$H$1089,$C244)</f>
        <v/>
      </c>
      <c r="E244" s="5">
        <f>_xlfn.MINIFS(Objects!$K$2:$K$1089,Objects!$B$2:$B$1089,$A244,Objects!$F$2:$F$1089,$B244,Objects!$H$2:$H$1089,$C244)</f>
        <v/>
      </c>
      <c r="F244" s="5">
        <f>_xlfn.MAXIFS(Objects!$K$2:$K$1089,Objects!$B$2:$B$1089,$A244,Objects!$F$2:$F$1089,$B244,Objects!$H$2:$H$1089,$C244)</f>
        <v/>
      </c>
      <c r="G244" s="5">
        <f>_xlfn.MINIFS(Objects!$L$2:$L$1089,Objects!$B$2:$B$1089,$A244,Objects!$F$2:$F$1089,$B244,Objects!$H$2:$H$1089,$C244)</f>
        <v/>
      </c>
      <c r="H244" s="5">
        <f>_xlfn.MAXIFS(Objects!$L$2:$L$1089,Objects!$B$2:$B$1089,$A244,Objects!$F$2:$F$1089,$B244,Objects!$H$2:$H$1089,$C244)</f>
        <v/>
      </c>
      <c r="I244" s="5">
        <f>IF(OR(C244="(none)",B244="raft",B244="sump_pit"),"n/a",IF(OR(B244="column",B244="shear_wall",B244="isolated_footing",B244="combined_footing"),IF(AND(F244-E244&lt;=3,H244-G244&lt;=3),"yes","no"),IF(H244-G244&lt;=3,"yes (thickness)","no (thickness)")))</f>
        <v/>
      </c>
      <c r="J244" s="6">
        <f>SUMIFS(Objects!$K$2:$K$1089,Objects!$B$2:$B$1089,$A244,Objects!$F$2:$F$1089,$B244,Objects!$H$2:$H$1089,$C244)/100</f>
        <v/>
      </c>
      <c r="K244" s="5">
        <f>COUNTIFS(Objects!$B$2:$B$1089,$A244,Objects!$F$2:$F$1089,$B244,Objects!$H$2:$H$1089,$C244,Objects!$I$2:$I$1089,"inferred*")</f>
        <v/>
      </c>
    </row>
    <row r="246">
      <c r="A246" s="7" t="inlineStr">
        <is>
          <t>All</t>
        </is>
      </c>
      <c r="D246" s="7">
        <f>SUM(D2:D244)</f>
        <v/>
      </c>
    </row>
    <row r="247">
      <c r="A247" s="8" t="inlineStr">
        <is>
          <t>Unnamed clusters are not listed here (see 'Clusters'). 'Same section?' allows 3 cm; columns, shear walls and footings compare length and width, walls and bands of varying length compare thickness only.</t>
        </is>
      </c>
    </row>
  </sheetData>
  <autoFilter ref="A1:K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17" customWidth="1" min="23" max="23"/>
    <col width="30" customWidth="1" min="24" max="24"/>
    <col width="9" customWidth="1" min="25" max="25"/>
  </cols>
  <sheetData>
    <row r="1" ht="30" customHeight="1">
      <c r="A1" s="4" t="inlineStr">
        <is>
          <t>Cluster</t>
        </is>
      </c>
      <c r="B1" s="4" t="inlineStr">
        <is>
          <t>Drawing kind</t>
        </is>
      </c>
      <c r="C1" s="4" t="inlineStr">
        <is>
          <t>Members</t>
        </is>
      </c>
      <c r="D1" s="4" t="inlineStr">
        <is>
          <t>Length min (cm)</t>
        </is>
      </c>
      <c r="E1" s="4" t="inlineStr">
        <is>
          <t>Length max (cm)</t>
        </is>
      </c>
      <c r="F1" s="4" t="inlineStr">
        <is>
          <t>Width min (cm)</t>
        </is>
      </c>
      <c r="G1" s="4" t="inlineStr">
        <is>
          <t>Width max (cm)</t>
        </is>
      </c>
      <c r="H1" s="4" t="inlineStr">
        <is>
          <t>Touch solids</t>
        </is>
      </c>
      <c r="I1" s="4" t="inlineStr">
        <is>
          <t>Inside an outline</t>
        </is>
      </c>
      <c r="J1" s="4" t="inlineStr">
        <is>
          <t>In a strip band</t>
        </is>
      </c>
      <c r="K1" s="4" t="inlineStr">
        <is>
          <t>On a stamped region</t>
        </is>
      </c>
      <c r="L1" s="4" t="inlineStr">
        <is>
          <t>Votes: column</t>
        </is>
      </c>
      <c r="M1" s="4" t="inlineStr">
        <is>
          <t>Votes: footing:S</t>
        </is>
      </c>
      <c r="N1" s="4" t="inlineStr">
        <is>
          <t>Votes: footing:SC</t>
        </is>
      </c>
      <c r="O1" s="4" t="inlineStr">
        <is>
          <t>Votes: grade_beam</t>
        </is>
      </c>
      <c r="P1" s="4" t="inlineStr">
        <is>
          <t>Votes: pit</t>
        </is>
      </c>
      <c r="Q1" s="4" t="inlineStr">
        <is>
          <t>Votes: raft</t>
        </is>
      </c>
      <c r="R1" s="4" t="inlineStr">
        <is>
          <t>Votes: retaining_wall+strip_footing</t>
        </is>
      </c>
      <c r="S1" s="4" t="inlineStr">
        <is>
          <t>Votes: strip_footing</t>
        </is>
      </c>
      <c r="T1" s="4" t="inlineStr">
        <is>
          <t>Votes: wall</t>
        </is>
      </c>
      <c r="U1" s="4" t="inlineStr">
        <is>
          <t>Votes total</t>
        </is>
      </c>
      <c r="V1" s="4" t="inlineStr">
        <is>
          <t>Top share</t>
        </is>
      </c>
      <c r="W1" s="4" t="inlineStr">
        <is>
          <t>Class</t>
        </is>
      </c>
      <c r="X1" s="4" t="inlineStr">
        <is>
          <t>Named by</t>
        </is>
      </c>
      <c r="Y1" s="4" t="inlineStr">
        <is>
          <t>Silhouette</t>
        </is>
      </c>
    </row>
    <row r="2">
      <c r="A2" s="5" t="n">
        <v>0</v>
      </c>
      <c r="B2" s="5" t="inlineStr">
        <is>
          <t>band 0.11 m</t>
        </is>
      </c>
      <c r="C2" s="5">
        <f>COUNTIFS(Objects!$E$2:$E$1089,$A2)</f>
        <v/>
      </c>
      <c r="D2" s="5">
        <f>_xlfn.MINIFS(Objects!$K$2:$K$1089,Objects!$E$2:$E$1089,$A2)</f>
        <v/>
      </c>
      <c r="E2" s="5">
        <f>_xlfn.MAXIFS(Objects!$K$2:$K$1089,Objects!$E$2:$E$1089,$A2)</f>
        <v/>
      </c>
      <c r="F2" s="5">
        <f>_xlfn.MINIFS(Objects!$L$2:$L$1089,Objects!$E$2:$E$1089,$A2)</f>
        <v/>
      </c>
      <c r="G2" s="5">
        <f>_xlfn.MAXIFS(Objects!$L$2:$L$1089,Objects!$E$2:$E$1089,$A2)</f>
        <v/>
      </c>
      <c r="H2" s="9">
        <f>IFERROR(COUNTIFS(Objects!$E$2:$E$1089,$A2,Objects!$P$2:$P$1089,"&gt;0")/$C2,0)</f>
        <v/>
      </c>
      <c r="I2" s="9">
        <f>IFERROR(COUNTIFS(Objects!$E$2:$E$1089,$A2,Objects!$Q$2:$Q$1089,1)/$C2,0)</f>
        <v/>
      </c>
      <c r="J2" s="9">
        <f>IFERROR(COUNTIFS(Objects!$E$2:$E$1089,$A2,Objects!$R$2:$R$1089,1)/$C2,0)</f>
        <v/>
      </c>
      <c r="K2" s="9">
        <f>IFERROR(COUNTIFS(Objects!$E$2:$E$1089,$A2,Objects!$S$2:$S$1089,1)/$C2,0)</f>
        <v/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>
        <f>SUM(L2:T2)</f>
        <v/>
      </c>
      <c r="V2" s="9">
        <f>IFERROR(MAX(L2:T2)/U2,0)</f>
        <v/>
      </c>
      <c r="W2" s="5" t="inlineStr">
        <is>
          <t>unnamed</t>
        </is>
      </c>
      <c r="X2" s="5" t="inlineStr">
        <is>
          <t>no label votes</t>
        </is>
      </c>
      <c r="Y2" s="5" t="n"/>
    </row>
    <row r="3">
      <c r="A3" s="5" t="n">
        <v>1</v>
      </c>
      <c r="B3" s="5" t="inlineStr">
        <is>
          <t>band 0.20 m</t>
        </is>
      </c>
      <c r="C3" s="5">
        <f>COUNTIFS(Objects!$E$2:$E$1089,$A3)</f>
        <v/>
      </c>
      <c r="D3" s="5">
        <f>_xlfn.MINIFS(Objects!$K$2:$K$1089,Objects!$E$2:$E$1089,$A3)</f>
        <v/>
      </c>
      <c r="E3" s="5">
        <f>_xlfn.MAXIFS(Objects!$K$2:$K$1089,Objects!$E$2:$E$1089,$A3)</f>
        <v/>
      </c>
      <c r="F3" s="5">
        <f>_xlfn.MINIFS(Objects!$L$2:$L$1089,Objects!$E$2:$E$1089,$A3)</f>
        <v/>
      </c>
      <c r="G3" s="5">
        <f>_xlfn.MAXIFS(Objects!$L$2:$L$1089,Objects!$E$2:$E$1089,$A3)</f>
        <v/>
      </c>
      <c r="H3" s="9">
        <f>IFERROR(COUNTIFS(Objects!$E$2:$E$1089,$A3,Objects!$P$2:$P$1089,"&gt;0")/$C3,0)</f>
        <v/>
      </c>
      <c r="I3" s="9">
        <f>IFERROR(COUNTIFS(Objects!$E$2:$E$1089,$A3,Objects!$Q$2:$Q$1089,1)/$C3,0)</f>
        <v/>
      </c>
      <c r="J3" s="9">
        <f>IFERROR(COUNTIFS(Objects!$E$2:$E$1089,$A3,Objects!$R$2:$R$1089,1)/$C3,0)</f>
        <v/>
      </c>
      <c r="K3" s="9">
        <f>IFERROR(COUNTIFS(Objects!$E$2:$E$1089,$A3,Objects!$S$2:$S$1089,1)/$C3,0)</f>
        <v/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>
        <f>SUM(L3:T3)</f>
        <v/>
      </c>
      <c r="V3" s="9">
        <f>IFERROR(MAX(L3:T3)/U3,0)</f>
        <v/>
      </c>
      <c r="W3" s="5" t="inlineStr">
        <is>
          <t>unnamed</t>
        </is>
      </c>
      <c r="X3" s="5" t="inlineStr">
        <is>
          <t>no label votes</t>
        </is>
      </c>
      <c r="Y3" s="5" t="n"/>
    </row>
    <row r="4">
      <c r="A4" s="5" t="n">
        <v>2</v>
      </c>
      <c r="B4" s="5" t="inlineStr">
        <is>
          <t>band 0.26 m</t>
        </is>
      </c>
      <c r="C4" s="5">
        <f>COUNTIFS(Objects!$E$2:$E$1089,$A4)</f>
        <v/>
      </c>
      <c r="D4" s="5">
        <f>_xlfn.MINIFS(Objects!$K$2:$K$1089,Objects!$E$2:$E$1089,$A4)</f>
        <v/>
      </c>
      <c r="E4" s="5">
        <f>_xlfn.MAXIFS(Objects!$K$2:$K$1089,Objects!$E$2:$E$1089,$A4)</f>
        <v/>
      </c>
      <c r="F4" s="5">
        <f>_xlfn.MINIFS(Objects!$L$2:$L$1089,Objects!$E$2:$E$1089,$A4)</f>
        <v/>
      </c>
      <c r="G4" s="5">
        <f>_xlfn.MAXIFS(Objects!$L$2:$L$1089,Objects!$E$2:$E$1089,$A4)</f>
        <v/>
      </c>
      <c r="H4" s="9">
        <f>IFERROR(COUNTIFS(Objects!$E$2:$E$1089,$A4,Objects!$P$2:$P$1089,"&gt;0")/$C4,0)</f>
        <v/>
      </c>
      <c r="I4" s="9">
        <f>IFERROR(COUNTIFS(Objects!$E$2:$E$1089,$A4,Objects!$Q$2:$Q$1089,1)/$C4,0)</f>
        <v/>
      </c>
      <c r="J4" s="9">
        <f>IFERROR(COUNTIFS(Objects!$E$2:$E$1089,$A4,Objects!$R$2:$R$1089,1)/$C4,0)</f>
        <v/>
      </c>
      <c r="K4" s="9">
        <f>IFERROR(COUNTIFS(Objects!$E$2:$E$1089,$A4,Objects!$S$2:$S$1089,1)/$C4,0)</f>
        <v/>
      </c>
      <c r="L4" s="5" t="n">
        <v>0</v>
      </c>
      <c r="M4" s="5" t="n">
        <v>0</v>
      </c>
      <c r="N4" s="5" t="n">
        <v>0</v>
      </c>
      <c r="O4" s="5" t="n">
        <v>7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1</v>
      </c>
      <c r="U4" s="5">
        <f>SUM(L4:T4)</f>
        <v/>
      </c>
      <c r="V4" s="9">
        <f>IFERROR(MAX(L4:T4)/U4,0)</f>
        <v/>
      </c>
      <c r="W4" s="5" t="inlineStr">
        <is>
          <t>grade_beam</t>
        </is>
      </c>
      <c r="X4" s="5" t="inlineStr">
        <is>
          <t>label vote</t>
        </is>
      </c>
      <c r="Y4" s="5" t="n"/>
    </row>
    <row r="5">
      <c r="A5" s="5" t="n">
        <v>3</v>
      </c>
      <c r="B5" s="5" t="inlineStr">
        <is>
          <t>band 0.31 m</t>
        </is>
      </c>
      <c r="C5" s="5">
        <f>COUNTIFS(Objects!$E$2:$E$1089,$A5)</f>
        <v/>
      </c>
      <c r="D5" s="5">
        <f>_xlfn.MINIFS(Objects!$K$2:$K$1089,Objects!$E$2:$E$1089,$A5)</f>
        <v/>
      </c>
      <c r="E5" s="5">
        <f>_xlfn.MAXIFS(Objects!$K$2:$K$1089,Objects!$E$2:$E$1089,$A5)</f>
        <v/>
      </c>
      <c r="F5" s="5">
        <f>_xlfn.MINIFS(Objects!$L$2:$L$1089,Objects!$E$2:$E$1089,$A5)</f>
        <v/>
      </c>
      <c r="G5" s="5">
        <f>_xlfn.MAXIFS(Objects!$L$2:$L$1089,Objects!$E$2:$E$1089,$A5)</f>
        <v/>
      </c>
      <c r="H5" s="9">
        <f>IFERROR(COUNTIFS(Objects!$E$2:$E$1089,$A5,Objects!$P$2:$P$1089,"&gt;0")/$C5,0)</f>
        <v/>
      </c>
      <c r="I5" s="9">
        <f>IFERROR(COUNTIFS(Objects!$E$2:$E$1089,$A5,Objects!$Q$2:$Q$1089,1)/$C5,0)</f>
        <v/>
      </c>
      <c r="J5" s="9">
        <f>IFERROR(COUNTIFS(Objects!$E$2:$E$1089,$A5,Objects!$R$2:$R$1089,1)/$C5,0)</f>
        <v/>
      </c>
      <c r="K5" s="9">
        <f>IFERROR(COUNTIFS(Objects!$E$2:$E$1089,$A5,Objects!$S$2:$S$1089,1)/$C5,0)</f>
        <v/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4</v>
      </c>
      <c r="U5" s="5">
        <f>SUM(L5:T5)</f>
        <v/>
      </c>
      <c r="V5" s="9">
        <f>IFERROR(MAX(L5:T5)/U5,0)</f>
        <v/>
      </c>
      <c r="W5" s="5" t="inlineStr">
        <is>
          <t>unnamed</t>
        </is>
      </c>
      <c r="X5" s="5" t="inlineStr">
        <is>
          <t>no label votes</t>
        </is>
      </c>
      <c r="Y5" s="5" t="n"/>
    </row>
    <row r="6">
      <c r="A6" s="5" t="n">
        <v>4</v>
      </c>
      <c r="B6" s="5" t="inlineStr">
        <is>
          <t>band 0.41 m</t>
        </is>
      </c>
      <c r="C6" s="5">
        <f>COUNTIFS(Objects!$E$2:$E$1089,$A6)</f>
        <v/>
      </c>
      <c r="D6" s="5">
        <f>_xlfn.MINIFS(Objects!$K$2:$K$1089,Objects!$E$2:$E$1089,$A6)</f>
        <v/>
      </c>
      <c r="E6" s="5">
        <f>_xlfn.MAXIFS(Objects!$K$2:$K$1089,Objects!$E$2:$E$1089,$A6)</f>
        <v/>
      </c>
      <c r="F6" s="5">
        <f>_xlfn.MINIFS(Objects!$L$2:$L$1089,Objects!$E$2:$E$1089,$A6)</f>
        <v/>
      </c>
      <c r="G6" s="5">
        <f>_xlfn.MAXIFS(Objects!$L$2:$L$1089,Objects!$E$2:$E$1089,$A6)</f>
        <v/>
      </c>
      <c r="H6" s="9">
        <f>IFERROR(COUNTIFS(Objects!$E$2:$E$1089,$A6,Objects!$P$2:$P$1089,"&gt;0")/$C6,0)</f>
        <v/>
      </c>
      <c r="I6" s="9">
        <f>IFERROR(COUNTIFS(Objects!$E$2:$E$1089,$A6,Objects!$Q$2:$Q$1089,1)/$C6,0)</f>
        <v/>
      </c>
      <c r="J6" s="9">
        <f>IFERROR(COUNTIFS(Objects!$E$2:$E$1089,$A6,Objects!$R$2:$R$1089,1)/$C6,0)</f>
        <v/>
      </c>
      <c r="K6" s="9">
        <f>IFERROR(COUNTIFS(Objects!$E$2:$E$1089,$A6,Objects!$S$2:$S$1089,1)/$C6,0)</f>
        <v/>
      </c>
      <c r="L6" s="5" t="n">
        <v>4</v>
      </c>
      <c r="M6" s="5" t="n">
        <v>5</v>
      </c>
      <c r="N6" s="5" t="n">
        <v>2</v>
      </c>
      <c r="O6" s="5" t="n">
        <v>184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45</v>
      </c>
      <c r="U6" s="5">
        <f>SUM(L6:T6)</f>
        <v/>
      </c>
      <c r="V6" s="9">
        <f>IFERROR(MAX(L6:T6)/U6,0)</f>
        <v/>
      </c>
      <c r="W6" s="5" t="inlineStr">
        <is>
          <t>grade_beam</t>
        </is>
      </c>
      <c r="X6" s="5" t="inlineStr">
        <is>
          <t>label vote</t>
        </is>
      </c>
      <c r="Y6" s="5" t="n"/>
    </row>
    <row r="7">
      <c r="A7" s="5" t="n">
        <v>5</v>
      </c>
      <c r="B7" s="5" t="inlineStr">
        <is>
          <t>band 0.49 m</t>
        </is>
      </c>
      <c r="C7" s="5">
        <f>COUNTIFS(Objects!$E$2:$E$1089,$A7)</f>
        <v/>
      </c>
      <c r="D7" s="5">
        <f>_xlfn.MINIFS(Objects!$K$2:$K$1089,Objects!$E$2:$E$1089,$A7)</f>
        <v/>
      </c>
      <c r="E7" s="5">
        <f>_xlfn.MAXIFS(Objects!$K$2:$K$1089,Objects!$E$2:$E$1089,$A7)</f>
        <v/>
      </c>
      <c r="F7" s="5">
        <f>_xlfn.MINIFS(Objects!$L$2:$L$1089,Objects!$E$2:$E$1089,$A7)</f>
        <v/>
      </c>
      <c r="G7" s="5">
        <f>_xlfn.MAXIFS(Objects!$L$2:$L$1089,Objects!$E$2:$E$1089,$A7)</f>
        <v/>
      </c>
      <c r="H7" s="9">
        <f>IFERROR(COUNTIFS(Objects!$E$2:$E$1089,$A7,Objects!$P$2:$P$1089,"&gt;0")/$C7,0)</f>
        <v/>
      </c>
      <c r="I7" s="9">
        <f>IFERROR(COUNTIFS(Objects!$E$2:$E$1089,$A7,Objects!$Q$2:$Q$1089,1)/$C7,0)</f>
        <v/>
      </c>
      <c r="J7" s="9">
        <f>IFERROR(COUNTIFS(Objects!$E$2:$E$1089,$A7,Objects!$R$2:$R$1089,1)/$C7,0)</f>
        <v/>
      </c>
      <c r="K7" s="9">
        <f>IFERROR(COUNTIFS(Objects!$E$2:$E$1089,$A7,Objects!$S$2:$S$1089,1)/$C7,0)</f>
        <v/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1</v>
      </c>
      <c r="U7" s="5">
        <f>SUM(L7:T7)</f>
        <v/>
      </c>
      <c r="V7" s="9">
        <f>IFERROR(MAX(L7:T7)/U7,0)</f>
        <v/>
      </c>
      <c r="W7" s="5" t="inlineStr">
        <is>
          <t>unnamed</t>
        </is>
      </c>
      <c r="X7" s="5" t="inlineStr">
        <is>
          <t>no label votes</t>
        </is>
      </c>
      <c r="Y7" s="5" t="n"/>
    </row>
    <row r="8">
      <c r="A8" s="5" t="n">
        <v>6</v>
      </c>
      <c r="B8" s="5" t="inlineStr">
        <is>
          <t>band 0.80 m</t>
        </is>
      </c>
      <c r="C8" s="5">
        <f>COUNTIFS(Objects!$E$2:$E$1089,$A8)</f>
        <v/>
      </c>
      <c r="D8" s="5">
        <f>_xlfn.MINIFS(Objects!$K$2:$K$1089,Objects!$E$2:$E$1089,$A8)</f>
        <v/>
      </c>
      <c r="E8" s="5">
        <f>_xlfn.MAXIFS(Objects!$K$2:$K$1089,Objects!$E$2:$E$1089,$A8)</f>
        <v/>
      </c>
      <c r="F8" s="5">
        <f>_xlfn.MINIFS(Objects!$L$2:$L$1089,Objects!$E$2:$E$1089,$A8)</f>
        <v/>
      </c>
      <c r="G8" s="5">
        <f>_xlfn.MAXIFS(Objects!$L$2:$L$1089,Objects!$E$2:$E$1089,$A8)</f>
        <v/>
      </c>
      <c r="H8" s="9">
        <f>IFERROR(COUNTIFS(Objects!$E$2:$E$1089,$A8,Objects!$P$2:$P$1089,"&gt;0")/$C8,0)</f>
        <v/>
      </c>
      <c r="I8" s="9">
        <f>IFERROR(COUNTIFS(Objects!$E$2:$E$1089,$A8,Objects!$Q$2:$Q$1089,1)/$C8,0)</f>
        <v/>
      </c>
      <c r="J8" s="9">
        <f>IFERROR(COUNTIFS(Objects!$E$2:$E$1089,$A8,Objects!$R$2:$R$1089,1)/$C8,0)</f>
        <v/>
      </c>
      <c r="K8" s="9">
        <f>IFERROR(COUNTIFS(Objects!$E$2:$E$1089,$A8,Objects!$S$2:$S$1089,1)/$C8,0)</f>
        <v/>
      </c>
      <c r="L8" s="5" t="n">
        <v>1</v>
      </c>
      <c r="M8" s="5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60</v>
      </c>
      <c r="T8" s="5" t="n">
        <v>2</v>
      </c>
      <c r="U8" s="5">
        <f>SUM(L8:T8)</f>
        <v/>
      </c>
      <c r="V8" s="9">
        <f>IFERROR(MAX(L8:T8)/U8,0)</f>
        <v/>
      </c>
      <c r="W8" s="5" t="inlineStr">
        <is>
          <t>strip_footing</t>
        </is>
      </c>
      <c r="X8" s="5" t="inlineStr">
        <is>
          <t>label vote</t>
        </is>
      </c>
      <c r="Y8" s="5" t="n"/>
    </row>
    <row r="9">
      <c r="A9" s="5" t="n">
        <v>7</v>
      </c>
      <c r="B9" s="5" t="inlineStr">
        <is>
          <t>band 0.84 m</t>
        </is>
      </c>
      <c r="C9" s="5">
        <f>COUNTIFS(Objects!$E$2:$E$1089,$A9)</f>
        <v/>
      </c>
      <c r="D9" s="5">
        <f>_xlfn.MINIFS(Objects!$K$2:$K$1089,Objects!$E$2:$E$1089,$A9)</f>
        <v/>
      </c>
      <c r="E9" s="5">
        <f>_xlfn.MAXIFS(Objects!$K$2:$K$1089,Objects!$E$2:$E$1089,$A9)</f>
        <v/>
      </c>
      <c r="F9" s="5">
        <f>_xlfn.MINIFS(Objects!$L$2:$L$1089,Objects!$E$2:$E$1089,$A9)</f>
        <v/>
      </c>
      <c r="G9" s="5">
        <f>_xlfn.MAXIFS(Objects!$L$2:$L$1089,Objects!$E$2:$E$1089,$A9)</f>
        <v/>
      </c>
      <c r="H9" s="9">
        <f>IFERROR(COUNTIFS(Objects!$E$2:$E$1089,$A9,Objects!$P$2:$P$1089,"&gt;0")/$C9,0)</f>
        <v/>
      </c>
      <c r="I9" s="9">
        <f>IFERROR(COUNTIFS(Objects!$E$2:$E$1089,$A9,Objects!$Q$2:$Q$1089,1)/$C9,0)</f>
        <v/>
      </c>
      <c r="J9" s="9">
        <f>IFERROR(COUNTIFS(Objects!$E$2:$E$1089,$A9,Objects!$R$2:$R$1089,1)/$C9,0)</f>
        <v/>
      </c>
      <c r="K9" s="9">
        <f>IFERROR(COUNTIFS(Objects!$E$2:$E$1089,$A9,Objects!$S$2:$S$1089,1)/$C9,0)</f>
        <v/>
      </c>
      <c r="L9" s="5" t="n">
        <v>0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>
        <f>SUM(L9:T9)</f>
        <v/>
      </c>
      <c r="V9" s="9">
        <f>IFERROR(MAX(L9:T9)/U9,0)</f>
        <v/>
      </c>
      <c r="W9" s="5" t="inlineStr">
        <is>
          <t>unnamed</t>
        </is>
      </c>
      <c r="X9" s="5" t="inlineStr">
        <is>
          <t>no label votes</t>
        </is>
      </c>
      <c r="Y9" s="5" t="n"/>
    </row>
    <row r="10">
      <c r="A10" s="5" t="n">
        <v>8</v>
      </c>
      <c r="B10" s="5" t="inlineStr">
        <is>
          <t>band 0.94 m</t>
        </is>
      </c>
      <c r="C10" s="5">
        <f>COUNTIFS(Objects!$E$2:$E$1089,$A10)</f>
        <v/>
      </c>
      <c r="D10" s="5">
        <f>_xlfn.MINIFS(Objects!$K$2:$K$1089,Objects!$E$2:$E$1089,$A10)</f>
        <v/>
      </c>
      <c r="E10" s="5">
        <f>_xlfn.MAXIFS(Objects!$K$2:$K$1089,Objects!$E$2:$E$1089,$A10)</f>
        <v/>
      </c>
      <c r="F10" s="5">
        <f>_xlfn.MINIFS(Objects!$L$2:$L$1089,Objects!$E$2:$E$1089,$A10)</f>
        <v/>
      </c>
      <c r="G10" s="5">
        <f>_xlfn.MAXIFS(Objects!$L$2:$L$1089,Objects!$E$2:$E$1089,$A10)</f>
        <v/>
      </c>
      <c r="H10" s="9">
        <f>IFERROR(COUNTIFS(Objects!$E$2:$E$1089,$A10,Objects!$P$2:$P$1089,"&gt;0")/$C10,0)</f>
        <v/>
      </c>
      <c r="I10" s="9">
        <f>IFERROR(COUNTIFS(Objects!$E$2:$E$1089,$A10,Objects!$Q$2:$Q$1089,1)/$C10,0)</f>
        <v/>
      </c>
      <c r="J10" s="9">
        <f>IFERROR(COUNTIFS(Objects!$E$2:$E$1089,$A10,Objects!$R$2:$R$1089,1)/$C10,0)</f>
        <v/>
      </c>
      <c r="K10" s="9">
        <f>IFERROR(COUNTIFS(Objects!$E$2:$E$1089,$A10,Objects!$S$2:$S$1089,1)/$C10,0)</f>
        <v/>
      </c>
      <c r="L10" s="5" t="n">
        <v>0</v>
      </c>
      <c r="M10" s="5" t="n">
        <v>1</v>
      </c>
      <c r="N10" s="5" t="n">
        <v>0</v>
      </c>
      <c r="O10" s="5" t="n">
        <v>0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2</v>
      </c>
      <c r="U10" s="5">
        <f>SUM(L10:T10)</f>
        <v/>
      </c>
      <c r="V10" s="9">
        <f>IFERROR(MAX(L10:T10)/U10,0)</f>
        <v/>
      </c>
      <c r="W10" s="5" t="inlineStr">
        <is>
          <t>unnamed</t>
        </is>
      </c>
      <c r="X10" s="5" t="inlineStr">
        <is>
          <t>no label votes</t>
        </is>
      </c>
      <c r="Y10" s="5" t="n"/>
    </row>
    <row r="11">
      <c r="A11" s="5" t="n">
        <v>9</v>
      </c>
      <c r="B11" s="5" t="inlineStr">
        <is>
          <t>band 0.99 m</t>
        </is>
      </c>
      <c r="C11" s="5">
        <f>COUNTIFS(Objects!$E$2:$E$1089,$A11)</f>
        <v/>
      </c>
      <c r="D11" s="5">
        <f>_xlfn.MINIFS(Objects!$K$2:$K$1089,Objects!$E$2:$E$1089,$A11)</f>
        <v/>
      </c>
      <c r="E11" s="5">
        <f>_xlfn.MAXIFS(Objects!$K$2:$K$1089,Objects!$E$2:$E$1089,$A11)</f>
        <v/>
      </c>
      <c r="F11" s="5">
        <f>_xlfn.MINIFS(Objects!$L$2:$L$1089,Objects!$E$2:$E$1089,$A11)</f>
        <v/>
      </c>
      <c r="G11" s="5">
        <f>_xlfn.MAXIFS(Objects!$L$2:$L$1089,Objects!$E$2:$E$1089,$A11)</f>
        <v/>
      </c>
      <c r="H11" s="9">
        <f>IFERROR(COUNTIFS(Objects!$E$2:$E$1089,$A11,Objects!$P$2:$P$1089,"&gt;0")/$C11,0)</f>
        <v/>
      </c>
      <c r="I11" s="9">
        <f>IFERROR(COUNTIFS(Objects!$E$2:$E$1089,$A11,Objects!$Q$2:$Q$1089,1)/$C11,0)</f>
        <v/>
      </c>
      <c r="J11" s="9">
        <f>IFERROR(COUNTIFS(Objects!$E$2:$E$1089,$A11,Objects!$R$2:$R$1089,1)/$C11,0)</f>
        <v/>
      </c>
      <c r="K11" s="9">
        <f>IFERROR(COUNTIFS(Objects!$E$2:$E$1089,$A11,Objects!$S$2:$S$1089,1)/$C11,0)</f>
        <v/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>
        <f>SUM(L11:T11)</f>
        <v/>
      </c>
      <c r="V11" s="9">
        <f>IFERROR(MAX(L11:T11)/U11,0)</f>
        <v/>
      </c>
      <c r="W11" s="5" t="inlineStr">
        <is>
          <t>unnamed</t>
        </is>
      </c>
      <c r="X11" s="5" t="inlineStr">
        <is>
          <t>no label votes</t>
        </is>
      </c>
      <c r="Y11" s="5" t="n"/>
    </row>
    <row r="12">
      <c r="A12" s="5" t="n">
        <v>10</v>
      </c>
      <c r="B12" s="5" t="inlineStr">
        <is>
          <t>band 1.21 m</t>
        </is>
      </c>
      <c r="C12" s="5">
        <f>COUNTIFS(Objects!$E$2:$E$1089,$A12)</f>
        <v/>
      </c>
      <c r="D12" s="5">
        <f>_xlfn.MINIFS(Objects!$K$2:$K$1089,Objects!$E$2:$E$1089,$A12)</f>
        <v/>
      </c>
      <c r="E12" s="5">
        <f>_xlfn.MAXIFS(Objects!$K$2:$K$1089,Objects!$E$2:$E$1089,$A12)</f>
        <v/>
      </c>
      <c r="F12" s="5">
        <f>_xlfn.MINIFS(Objects!$L$2:$L$1089,Objects!$E$2:$E$1089,$A12)</f>
        <v/>
      </c>
      <c r="G12" s="5">
        <f>_xlfn.MAXIFS(Objects!$L$2:$L$1089,Objects!$E$2:$E$1089,$A12)</f>
        <v/>
      </c>
      <c r="H12" s="9">
        <f>IFERROR(COUNTIFS(Objects!$E$2:$E$1089,$A12,Objects!$P$2:$P$1089,"&gt;0")/$C12,0)</f>
        <v/>
      </c>
      <c r="I12" s="9">
        <f>IFERROR(COUNTIFS(Objects!$E$2:$E$1089,$A12,Objects!$Q$2:$Q$1089,1)/$C12,0)</f>
        <v/>
      </c>
      <c r="J12" s="9">
        <f>IFERROR(COUNTIFS(Objects!$E$2:$E$1089,$A12,Objects!$R$2:$R$1089,1)/$C12,0)</f>
        <v/>
      </c>
      <c r="K12" s="9">
        <f>IFERROR(COUNTIFS(Objects!$E$2:$E$1089,$A12,Objects!$S$2:$S$1089,1)/$C12,0)</f>
        <v/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1</v>
      </c>
      <c r="T12" s="5" t="n">
        <v>1</v>
      </c>
      <c r="U12" s="5">
        <f>SUM(L12:T12)</f>
        <v/>
      </c>
      <c r="V12" s="9">
        <f>IFERROR(MAX(L12:T12)/U12,0)</f>
        <v/>
      </c>
      <c r="W12" s="5" t="inlineStr">
        <is>
          <t>unnamed</t>
        </is>
      </c>
      <c r="X12" s="5" t="inlineStr">
        <is>
          <t>no label votes</t>
        </is>
      </c>
      <c r="Y12" s="5" t="n"/>
    </row>
    <row r="13">
      <c r="A13" s="5" t="n">
        <v>11</v>
      </c>
      <c r="B13" s="5" t="inlineStr">
        <is>
          <t>band 1.34 m</t>
        </is>
      </c>
      <c r="C13" s="5">
        <f>COUNTIFS(Objects!$E$2:$E$1089,$A13)</f>
        <v/>
      </c>
      <c r="D13" s="5">
        <f>_xlfn.MINIFS(Objects!$K$2:$K$1089,Objects!$E$2:$E$1089,$A13)</f>
        <v/>
      </c>
      <c r="E13" s="5">
        <f>_xlfn.MAXIFS(Objects!$K$2:$K$1089,Objects!$E$2:$E$1089,$A13)</f>
        <v/>
      </c>
      <c r="F13" s="5">
        <f>_xlfn.MINIFS(Objects!$L$2:$L$1089,Objects!$E$2:$E$1089,$A13)</f>
        <v/>
      </c>
      <c r="G13" s="5">
        <f>_xlfn.MAXIFS(Objects!$L$2:$L$1089,Objects!$E$2:$E$1089,$A13)</f>
        <v/>
      </c>
      <c r="H13" s="9">
        <f>IFERROR(COUNTIFS(Objects!$E$2:$E$1089,$A13,Objects!$P$2:$P$1089,"&gt;0")/$C13,0)</f>
        <v/>
      </c>
      <c r="I13" s="9">
        <f>IFERROR(COUNTIFS(Objects!$E$2:$E$1089,$A13,Objects!$Q$2:$Q$1089,1)/$C13,0)</f>
        <v/>
      </c>
      <c r="J13" s="9">
        <f>IFERROR(COUNTIFS(Objects!$E$2:$E$1089,$A13,Objects!$R$2:$R$1089,1)/$C13,0)</f>
        <v/>
      </c>
      <c r="K13" s="9">
        <f>IFERROR(COUNTIFS(Objects!$E$2:$E$1089,$A13,Objects!$S$2:$S$1089,1)/$C13,0)</f>
        <v/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1</v>
      </c>
      <c r="U13" s="5">
        <f>SUM(L13:T13)</f>
        <v/>
      </c>
      <c r="V13" s="9">
        <f>IFERROR(MAX(L13:T13)/U13,0)</f>
        <v/>
      </c>
      <c r="W13" s="5" t="inlineStr">
        <is>
          <t>unnamed</t>
        </is>
      </c>
      <c r="X13" s="5" t="inlineStr">
        <is>
          <t>no label votes</t>
        </is>
      </c>
      <c r="Y13" s="5" t="n"/>
    </row>
    <row r="14">
      <c r="A14" s="5" t="n">
        <v>12</v>
      </c>
      <c r="B14" s="5" t="inlineStr">
        <is>
          <t>band 1.40 m</t>
        </is>
      </c>
      <c r="C14" s="5">
        <f>COUNTIFS(Objects!$E$2:$E$1089,$A14)</f>
        <v/>
      </c>
      <c r="D14" s="5">
        <f>_xlfn.MINIFS(Objects!$K$2:$K$1089,Objects!$E$2:$E$1089,$A14)</f>
        <v/>
      </c>
      <c r="E14" s="5">
        <f>_xlfn.MAXIFS(Objects!$K$2:$K$1089,Objects!$E$2:$E$1089,$A14)</f>
        <v/>
      </c>
      <c r="F14" s="5">
        <f>_xlfn.MINIFS(Objects!$L$2:$L$1089,Objects!$E$2:$E$1089,$A14)</f>
        <v/>
      </c>
      <c r="G14" s="5">
        <f>_xlfn.MAXIFS(Objects!$L$2:$L$1089,Objects!$E$2:$E$1089,$A14)</f>
        <v/>
      </c>
      <c r="H14" s="9">
        <f>IFERROR(COUNTIFS(Objects!$E$2:$E$1089,$A14,Objects!$P$2:$P$1089,"&gt;0")/$C14,0)</f>
        <v/>
      </c>
      <c r="I14" s="9">
        <f>IFERROR(COUNTIFS(Objects!$E$2:$E$1089,$A14,Objects!$Q$2:$Q$1089,1)/$C14,0)</f>
        <v/>
      </c>
      <c r="J14" s="9">
        <f>IFERROR(COUNTIFS(Objects!$E$2:$E$1089,$A14,Objects!$R$2:$R$1089,1)/$C14,0)</f>
        <v/>
      </c>
      <c r="K14" s="9">
        <f>IFERROR(COUNTIFS(Objects!$E$2:$E$1089,$A14,Objects!$S$2:$S$1089,1)/$C14,0)</f>
        <v/>
      </c>
      <c r="L14" s="5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>
        <f>SUM(L14:T14)</f>
        <v/>
      </c>
      <c r="V14" s="9">
        <f>IFERROR(MAX(L14:T14)/U14,0)</f>
        <v/>
      </c>
      <c r="W14" s="5" t="inlineStr">
        <is>
          <t>unnamed</t>
        </is>
      </c>
      <c r="X14" s="5" t="inlineStr">
        <is>
          <t>no label votes</t>
        </is>
      </c>
      <c r="Y14" s="5" t="n"/>
    </row>
    <row r="15">
      <c r="A15" s="5" t="n">
        <v>13</v>
      </c>
      <c r="B15" s="5" t="inlineStr">
        <is>
          <t>band 1.45 m</t>
        </is>
      </c>
      <c r="C15" s="5">
        <f>COUNTIFS(Objects!$E$2:$E$1089,$A15)</f>
        <v/>
      </c>
      <c r="D15" s="5">
        <f>_xlfn.MINIFS(Objects!$K$2:$K$1089,Objects!$E$2:$E$1089,$A15)</f>
        <v/>
      </c>
      <c r="E15" s="5">
        <f>_xlfn.MAXIFS(Objects!$K$2:$K$1089,Objects!$E$2:$E$1089,$A15)</f>
        <v/>
      </c>
      <c r="F15" s="5">
        <f>_xlfn.MINIFS(Objects!$L$2:$L$1089,Objects!$E$2:$E$1089,$A15)</f>
        <v/>
      </c>
      <c r="G15" s="5">
        <f>_xlfn.MAXIFS(Objects!$L$2:$L$1089,Objects!$E$2:$E$1089,$A15)</f>
        <v/>
      </c>
      <c r="H15" s="9">
        <f>IFERROR(COUNTIFS(Objects!$E$2:$E$1089,$A15,Objects!$P$2:$P$1089,"&gt;0")/$C15,0)</f>
        <v/>
      </c>
      <c r="I15" s="9">
        <f>IFERROR(COUNTIFS(Objects!$E$2:$E$1089,$A15,Objects!$Q$2:$Q$1089,1)/$C15,0)</f>
        <v/>
      </c>
      <c r="J15" s="9">
        <f>IFERROR(COUNTIFS(Objects!$E$2:$E$1089,$A15,Objects!$R$2:$R$1089,1)/$C15,0)</f>
        <v/>
      </c>
      <c r="K15" s="9">
        <f>IFERROR(COUNTIFS(Objects!$E$2:$E$1089,$A15,Objects!$S$2:$S$1089,1)/$C15,0)</f>
        <v/>
      </c>
      <c r="L15" s="5" t="n">
        <v>0</v>
      </c>
      <c r="M15" s="5" t="n">
        <v>0</v>
      </c>
      <c r="N15" s="5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>
        <f>SUM(L15:T15)</f>
        <v/>
      </c>
      <c r="V15" s="9">
        <f>IFERROR(MAX(L15:T15)/U15,0)</f>
        <v/>
      </c>
      <c r="W15" s="5" t="inlineStr">
        <is>
          <t>unnamed</t>
        </is>
      </c>
      <c r="X15" s="5" t="inlineStr">
        <is>
          <t>no label votes</t>
        </is>
      </c>
      <c r="Y15" s="5" t="n"/>
    </row>
    <row r="16">
      <c r="A16" s="5" t="n">
        <v>14</v>
      </c>
      <c r="B16" s="5" t="inlineStr">
        <is>
          <t>cross_hatch</t>
        </is>
      </c>
      <c r="C16" s="5">
        <f>COUNTIFS(Objects!$E$2:$E$1089,$A16)</f>
        <v/>
      </c>
      <c r="D16" s="5">
        <f>_xlfn.MINIFS(Objects!$K$2:$K$1089,Objects!$E$2:$E$1089,$A16)</f>
        <v/>
      </c>
      <c r="E16" s="5">
        <f>_xlfn.MAXIFS(Objects!$K$2:$K$1089,Objects!$E$2:$E$1089,$A16)</f>
        <v/>
      </c>
      <c r="F16" s="5">
        <f>_xlfn.MINIFS(Objects!$L$2:$L$1089,Objects!$E$2:$E$1089,$A16)</f>
        <v/>
      </c>
      <c r="G16" s="5">
        <f>_xlfn.MAXIFS(Objects!$L$2:$L$1089,Objects!$E$2:$E$1089,$A16)</f>
        <v/>
      </c>
      <c r="H16" s="9">
        <f>IFERROR(COUNTIFS(Objects!$E$2:$E$1089,$A16,Objects!$P$2:$P$1089,"&gt;0")/$C16,0)</f>
        <v/>
      </c>
      <c r="I16" s="9">
        <f>IFERROR(COUNTIFS(Objects!$E$2:$E$1089,$A16,Objects!$Q$2:$Q$1089,1)/$C16,0)</f>
        <v/>
      </c>
      <c r="J16" s="9">
        <f>IFERROR(COUNTIFS(Objects!$E$2:$E$1089,$A16,Objects!$R$2:$R$1089,1)/$C16,0)</f>
        <v/>
      </c>
      <c r="K16" s="9">
        <f>IFERROR(COUNTIFS(Objects!$E$2:$E$1089,$A16,Objects!$S$2:$S$1089,1)/$C16,0)</f>
        <v/>
      </c>
      <c r="L16" s="5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>
        <f>SUM(L16:T16)</f>
        <v/>
      </c>
      <c r="V16" s="9">
        <f>IFERROR(MAX(L16:T16)/U16,0)</f>
        <v/>
      </c>
      <c r="W16" s="5" t="inlineStr">
        <is>
          <t>unnamed</t>
        </is>
      </c>
      <c r="X16" s="5" t="inlineStr">
        <is>
          <t>no label votes</t>
        </is>
      </c>
      <c r="Y16" s="5" t="n"/>
    </row>
    <row r="17">
      <c r="A17" s="5" t="n">
        <v>15</v>
      </c>
      <c r="B17" s="5" t="inlineStr">
        <is>
          <t>outline</t>
        </is>
      </c>
      <c r="C17" s="5">
        <f>COUNTIFS(Objects!$E$2:$E$1089,$A17)</f>
        <v/>
      </c>
      <c r="D17" s="5">
        <f>_xlfn.MINIFS(Objects!$K$2:$K$1089,Objects!$E$2:$E$1089,$A17)</f>
        <v/>
      </c>
      <c r="E17" s="5">
        <f>_xlfn.MAXIFS(Objects!$K$2:$K$1089,Objects!$E$2:$E$1089,$A17)</f>
        <v/>
      </c>
      <c r="F17" s="5">
        <f>_xlfn.MINIFS(Objects!$L$2:$L$1089,Objects!$E$2:$E$1089,$A17)</f>
        <v/>
      </c>
      <c r="G17" s="5">
        <f>_xlfn.MAXIFS(Objects!$L$2:$L$1089,Objects!$E$2:$E$1089,$A17)</f>
        <v/>
      </c>
      <c r="H17" s="9">
        <f>IFERROR(COUNTIFS(Objects!$E$2:$E$1089,$A17,Objects!$P$2:$P$1089,"&gt;0")/$C17,0)</f>
        <v/>
      </c>
      <c r="I17" s="9">
        <f>IFERROR(COUNTIFS(Objects!$E$2:$E$1089,$A17,Objects!$Q$2:$Q$1089,1)/$C17,0)</f>
        <v/>
      </c>
      <c r="J17" s="9">
        <f>IFERROR(COUNTIFS(Objects!$E$2:$E$1089,$A17,Objects!$R$2:$R$1089,1)/$C17,0)</f>
        <v/>
      </c>
      <c r="K17" s="9">
        <f>IFERROR(COUNTIFS(Objects!$E$2:$E$1089,$A17,Objects!$S$2:$S$1089,1)/$C17,0)</f>
        <v/>
      </c>
      <c r="L17" s="5" t="n">
        <v>0</v>
      </c>
      <c r="M17" s="5" t="n">
        <v>1</v>
      </c>
      <c r="N17" s="5" t="n">
        <v>22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>
        <f>SUM(L17:T17)</f>
        <v/>
      </c>
      <c r="V17" s="9">
        <f>IFERROR(MAX(L17:T17)/U17,0)</f>
        <v/>
      </c>
      <c r="W17" s="5" t="inlineStr">
        <is>
          <t>combined_footing</t>
        </is>
      </c>
      <c r="X17" s="5" t="inlineStr">
        <is>
          <t>label vote</t>
        </is>
      </c>
      <c r="Y17" s="5" t="n">
        <v>0.634</v>
      </c>
    </row>
    <row r="18">
      <c r="A18" s="5" t="n">
        <v>16</v>
      </c>
      <c r="B18" s="5" t="inlineStr">
        <is>
          <t>outline</t>
        </is>
      </c>
      <c r="C18" s="5">
        <f>COUNTIFS(Objects!$E$2:$E$1089,$A18)</f>
        <v/>
      </c>
      <c r="D18" s="5">
        <f>_xlfn.MINIFS(Objects!$K$2:$K$1089,Objects!$E$2:$E$1089,$A18)</f>
        <v/>
      </c>
      <c r="E18" s="5">
        <f>_xlfn.MAXIFS(Objects!$K$2:$K$1089,Objects!$E$2:$E$1089,$A18)</f>
        <v/>
      </c>
      <c r="F18" s="5">
        <f>_xlfn.MINIFS(Objects!$L$2:$L$1089,Objects!$E$2:$E$1089,$A18)</f>
        <v/>
      </c>
      <c r="G18" s="5">
        <f>_xlfn.MAXIFS(Objects!$L$2:$L$1089,Objects!$E$2:$E$1089,$A18)</f>
        <v/>
      </c>
      <c r="H18" s="9">
        <f>IFERROR(COUNTIFS(Objects!$E$2:$E$1089,$A18,Objects!$P$2:$P$1089,"&gt;0")/$C18,0)</f>
        <v/>
      </c>
      <c r="I18" s="9">
        <f>IFERROR(COUNTIFS(Objects!$E$2:$E$1089,$A18,Objects!$Q$2:$Q$1089,1)/$C18,0)</f>
        <v/>
      </c>
      <c r="J18" s="9">
        <f>IFERROR(COUNTIFS(Objects!$E$2:$E$1089,$A18,Objects!$R$2:$R$1089,1)/$C18,0)</f>
        <v/>
      </c>
      <c r="K18" s="9">
        <f>IFERROR(COUNTIFS(Objects!$E$2:$E$1089,$A18,Objects!$S$2:$S$1089,1)/$C18,0)</f>
        <v/>
      </c>
      <c r="L18" s="5" t="n">
        <v>0</v>
      </c>
      <c r="M18" s="5" t="n">
        <v>40</v>
      </c>
      <c r="N18" s="5" t="n">
        <v>0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2</v>
      </c>
      <c r="U18" s="5">
        <f>SUM(L18:T18)</f>
        <v/>
      </c>
      <c r="V18" s="9">
        <f>IFERROR(MAX(L18:T18)/U18,0)</f>
        <v/>
      </c>
      <c r="W18" s="5" t="inlineStr">
        <is>
          <t>isolated_footing</t>
        </is>
      </c>
      <c r="X18" s="5" t="inlineStr">
        <is>
          <t>label vote</t>
        </is>
      </c>
      <c r="Y18" s="5" t="n">
        <v>0.634</v>
      </c>
    </row>
    <row r="19">
      <c r="A19" s="5" t="n">
        <v>17</v>
      </c>
      <c r="B19" s="5" t="inlineStr">
        <is>
          <t>outline</t>
        </is>
      </c>
      <c r="C19" s="5">
        <f>COUNTIFS(Objects!$E$2:$E$1089,$A19)</f>
        <v/>
      </c>
      <c r="D19" s="5">
        <f>_xlfn.MINIFS(Objects!$K$2:$K$1089,Objects!$E$2:$E$1089,$A19)</f>
        <v/>
      </c>
      <c r="E19" s="5">
        <f>_xlfn.MAXIFS(Objects!$K$2:$K$1089,Objects!$E$2:$E$1089,$A19)</f>
        <v/>
      </c>
      <c r="F19" s="5">
        <f>_xlfn.MINIFS(Objects!$L$2:$L$1089,Objects!$E$2:$E$1089,$A19)</f>
        <v/>
      </c>
      <c r="G19" s="5">
        <f>_xlfn.MAXIFS(Objects!$L$2:$L$1089,Objects!$E$2:$E$1089,$A19)</f>
        <v/>
      </c>
      <c r="H19" s="9">
        <f>IFERROR(COUNTIFS(Objects!$E$2:$E$1089,$A19,Objects!$P$2:$P$1089,"&gt;0")/$C19,0)</f>
        <v/>
      </c>
      <c r="I19" s="9">
        <f>IFERROR(COUNTIFS(Objects!$E$2:$E$1089,$A19,Objects!$Q$2:$Q$1089,1)/$C19,0)</f>
        <v/>
      </c>
      <c r="J19" s="9">
        <f>IFERROR(COUNTIFS(Objects!$E$2:$E$1089,$A19,Objects!$R$2:$R$1089,1)/$C19,0)</f>
        <v/>
      </c>
      <c r="K19" s="9">
        <f>IFERROR(COUNTIFS(Objects!$E$2:$E$1089,$A19,Objects!$S$2:$S$1089,1)/$C19,0)</f>
        <v/>
      </c>
      <c r="L19" s="5" t="n">
        <v>1</v>
      </c>
      <c r="M19" s="5" t="n">
        <v>22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6</v>
      </c>
      <c r="U19" s="5">
        <f>SUM(L19:T19)</f>
        <v/>
      </c>
      <c r="V19" s="9">
        <f>IFERROR(MAX(L19:T19)/U19,0)</f>
        <v/>
      </c>
      <c r="W19" s="5" t="inlineStr">
        <is>
          <t>isolated_footing</t>
        </is>
      </c>
      <c r="X19" s="5" t="inlineStr">
        <is>
          <t>label vote</t>
        </is>
      </c>
      <c r="Y19" s="5" t="n">
        <v>0.634</v>
      </c>
    </row>
    <row r="20">
      <c r="A20" s="5" t="n">
        <v>18</v>
      </c>
      <c r="B20" s="5" t="inlineStr">
        <is>
          <t>outline</t>
        </is>
      </c>
      <c r="C20" s="5">
        <f>COUNTIFS(Objects!$E$2:$E$1089,$A20)</f>
        <v/>
      </c>
      <c r="D20" s="5">
        <f>_xlfn.MINIFS(Objects!$K$2:$K$1089,Objects!$E$2:$E$1089,$A20)</f>
        <v/>
      </c>
      <c r="E20" s="5">
        <f>_xlfn.MAXIFS(Objects!$K$2:$K$1089,Objects!$E$2:$E$1089,$A20)</f>
        <v/>
      </c>
      <c r="F20" s="5">
        <f>_xlfn.MINIFS(Objects!$L$2:$L$1089,Objects!$E$2:$E$1089,$A20)</f>
        <v/>
      </c>
      <c r="G20" s="5">
        <f>_xlfn.MAXIFS(Objects!$L$2:$L$1089,Objects!$E$2:$E$1089,$A20)</f>
        <v/>
      </c>
      <c r="H20" s="9">
        <f>IFERROR(COUNTIFS(Objects!$E$2:$E$1089,$A20,Objects!$P$2:$P$1089,"&gt;0")/$C20,0)</f>
        <v/>
      </c>
      <c r="I20" s="9">
        <f>IFERROR(COUNTIFS(Objects!$E$2:$E$1089,$A20,Objects!$Q$2:$Q$1089,1)/$C20,0)</f>
        <v/>
      </c>
      <c r="J20" s="9">
        <f>IFERROR(COUNTIFS(Objects!$E$2:$E$1089,$A20,Objects!$R$2:$R$1089,1)/$C20,0)</f>
        <v/>
      </c>
      <c r="K20" s="9">
        <f>IFERROR(COUNTIFS(Objects!$E$2:$E$1089,$A20,Objects!$S$2:$S$1089,1)/$C20,0)</f>
        <v/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2</v>
      </c>
      <c r="Q20" s="5" t="n">
        <v>2</v>
      </c>
      <c r="R20" s="5" t="n">
        <v>0</v>
      </c>
      <c r="S20" s="5" t="n">
        <v>0</v>
      </c>
      <c r="T20" s="5" t="n">
        <v>0</v>
      </c>
      <c r="U20" s="5">
        <f>SUM(L20:T20)</f>
        <v/>
      </c>
      <c r="V20" s="9">
        <f>IFERROR(MAX(L20:T20)/U20,0)</f>
        <v/>
      </c>
      <c r="W20" s="5" t="inlineStr">
        <is>
          <t>isolated_footing</t>
        </is>
      </c>
      <c r="X20" s="5" t="inlineStr">
        <is>
          <t>label vote</t>
        </is>
      </c>
      <c r="Y20" s="5" t="n">
        <v>0.634</v>
      </c>
    </row>
    <row r="21">
      <c r="A21" s="5" t="n">
        <v>19</v>
      </c>
      <c r="B21" s="5" t="inlineStr">
        <is>
          <t>outline</t>
        </is>
      </c>
      <c r="C21" s="5">
        <f>COUNTIFS(Objects!$E$2:$E$1089,$A21)</f>
        <v/>
      </c>
      <c r="D21" s="5">
        <f>_xlfn.MINIFS(Objects!$K$2:$K$1089,Objects!$E$2:$E$1089,$A21)</f>
        <v/>
      </c>
      <c r="E21" s="5">
        <f>_xlfn.MAXIFS(Objects!$K$2:$K$1089,Objects!$E$2:$E$1089,$A21)</f>
        <v/>
      </c>
      <c r="F21" s="5">
        <f>_xlfn.MINIFS(Objects!$L$2:$L$1089,Objects!$E$2:$E$1089,$A21)</f>
        <v/>
      </c>
      <c r="G21" s="5">
        <f>_xlfn.MAXIFS(Objects!$L$2:$L$1089,Objects!$E$2:$E$1089,$A21)</f>
        <v/>
      </c>
      <c r="H21" s="9">
        <f>IFERROR(COUNTIFS(Objects!$E$2:$E$1089,$A21,Objects!$P$2:$P$1089,"&gt;0")/$C21,0)</f>
        <v/>
      </c>
      <c r="I21" s="9">
        <f>IFERROR(COUNTIFS(Objects!$E$2:$E$1089,$A21,Objects!$Q$2:$Q$1089,1)/$C21,0)</f>
        <v/>
      </c>
      <c r="J21" s="9">
        <f>IFERROR(COUNTIFS(Objects!$E$2:$E$1089,$A21,Objects!$R$2:$R$1089,1)/$C21,0)</f>
        <v/>
      </c>
      <c r="K21" s="9">
        <f>IFERROR(COUNTIFS(Objects!$E$2:$E$1089,$A21,Objects!$S$2:$S$1089,1)/$C21,0)</f>
        <v/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>
        <f>SUM(L21:T21)</f>
        <v/>
      </c>
      <c r="V21" s="9">
        <f>IFERROR(MAX(L21:T21)/U21,0)</f>
        <v/>
      </c>
      <c r="W21" s="5" t="inlineStr">
        <is>
          <t>unnamed</t>
        </is>
      </c>
      <c r="X21" s="5" t="inlineStr">
        <is>
          <t>no label votes</t>
        </is>
      </c>
      <c r="Y21" s="5" t="n">
        <v>0.634</v>
      </c>
    </row>
    <row r="22">
      <c r="A22" s="5" t="n">
        <v>20</v>
      </c>
      <c r="B22" s="5" t="inlineStr">
        <is>
          <t>outline</t>
        </is>
      </c>
      <c r="C22" s="5">
        <f>COUNTIFS(Objects!$E$2:$E$1089,$A22)</f>
        <v/>
      </c>
      <c r="D22" s="5">
        <f>_xlfn.MINIFS(Objects!$K$2:$K$1089,Objects!$E$2:$E$1089,$A22)</f>
        <v/>
      </c>
      <c r="E22" s="5">
        <f>_xlfn.MAXIFS(Objects!$K$2:$K$1089,Objects!$E$2:$E$1089,$A22)</f>
        <v/>
      </c>
      <c r="F22" s="5">
        <f>_xlfn.MINIFS(Objects!$L$2:$L$1089,Objects!$E$2:$E$1089,$A22)</f>
        <v/>
      </c>
      <c r="G22" s="5">
        <f>_xlfn.MAXIFS(Objects!$L$2:$L$1089,Objects!$E$2:$E$1089,$A22)</f>
        <v/>
      </c>
      <c r="H22" s="9">
        <f>IFERROR(COUNTIFS(Objects!$E$2:$E$1089,$A22,Objects!$P$2:$P$1089,"&gt;0")/$C22,0)</f>
        <v/>
      </c>
      <c r="I22" s="9">
        <f>IFERROR(COUNTIFS(Objects!$E$2:$E$1089,$A22,Objects!$Q$2:$Q$1089,1)/$C22,0)</f>
        <v/>
      </c>
      <c r="J22" s="9">
        <f>IFERROR(COUNTIFS(Objects!$E$2:$E$1089,$A22,Objects!$R$2:$R$1089,1)/$C22,0)</f>
        <v/>
      </c>
      <c r="K22" s="9">
        <f>IFERROR(COUNTIFS(Objects!$E$2:$E$1089,$A22,Objects!$S$2:$S$1089,1)/$C22,0)</f>
        <v/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2</v>
      </c>
      <c r="Q22" s="5" t="n">
        <v>0</v>
      </c>
      <c r="R22" s="5" t="n">
        <v>0</v>
      </c>
      <c r="S22" s="5" t="n">
        <v>1</v>
      </c>
      <c r="T22" s="5" t="n">
        <v>0</v>
      </c>
      <c r="U22" s="5">
        <f>SUM(L22:T22)</f>
        <v/>
      </c>
      <c r="V22" s="9">
        <f>IFERROR(MAX(L22:T22)/U22,0)</f>
        <v/>
      </c>
      <c r="W22" s="5" t="inlineStr">
        <is>
          <t>sump_pit</t>
        </is>
      </c>
      <c r="X22" s="5" t="inlineStr">
        <is>
          <t>label vote</t>
        </is>
      </c>
      <c r="Y22" s="5" t="n">
        <v>0.634</v>
      </c>
    </row>
    <row r="23">
      <c r="A23" s="5" t="n">
        <v>21</v>
      </c>
      <c r="B23" s="5" t="inlineStr">
        <is>
          <t>outline</t>
        </is>
      </c>
      <c r="C23" s="5">
        <f>COUNTIFS(Objects!$E$2:$E$1089,$A23)</f>
        <v/>
      </c>
      <c r="D23" s="5">
        <f>_xlfn.MINIFS(Objects!$K$2:$K$1089,Objects!$E$2:$E$1089,$A23)</f>
        <v/>
      </c>
      <c r="E23" s="5">
        <f>_xlfn.MAXIFS(Objects!$K$2:$K$1089,Objects!$E$2:$E$1089,$A23)</f>
        <v/>
      </c>
      <c r="F23" s="5">
        <f>_xlfn.MINIFS(Objects!$L$2:$L$1089,Objects!$E$2:$E$1089,$A23)</f>
        <v/>
      </c>
      <c r="G23" s="5">
        <f>_xlfn.MAXIFS(Objects!$L$2:$L$1089,Objects!$E$2:$E$1089,$A23)</f>
        <v/>
      </c>
      <c r="H23" s="9">
        <f>IFERROR(COUNTIFS(Objects!$E$2:$E$1089,$A23,Objects!$P$2:$P$1089,"&gt;0")/$C23,0)</f>
        <v/>
      </c>
      <c r="I23" s="9">
        <f>IFERROR(COUNTIFS(Objects!$E$2:$E$1089,$A23,Objects!$Q$2:$Q$1089,1)/$C23,0)</f>
        <v/>
      </c>
      <c r="J23" s="9">
        <f>IFERROR(COUNTIFS(Objects!$E$2:$E$1089,$A23,Objects!$R$2:$R$1089,1)/$C23,0)</f>
        <v/>
      </c>
      <c r="K23" s="9">
        <f>IFERROR(COUNTIFS(Objects!$E$2:$E$1089,$A23,Objects!$S$2:$S$1089,1)/$C23,0)</f>
        <v/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>
        <f>SUM(L23:T23)</f>
        <v/>
      </c>
      <c r="V23" s="9">
        <f>IFERROR(MAX(L23:T23)/U23,0)</f>
        <v/>
      </c>
      <c r="W23" s="5" t="inlineStr">
        <is>
          <t>unnamed</t>
        </is>
      </c>
      <c r="X23" s="5" t="inlineStr">
        <is>
          <t>no label votes</t>
        </is>
      </c>
      <c r="Y23" s="5" t="n">
        <v>0.634</v>
      </c>
    </row>
    <row r="24">
      <c r="A24" s="5" t="n">
        <v>22</v>
      </c>
      <c r="B24" s="5" t="inlineStr">
        <is>
          <t>outline</t>
        </is>
      </c>
      <c r="C24" s="5">
        <f>COUNTIFS(Objects!$E$2:$E$1089,$A24)</f>
        <v/>
      </c>
      <c r="D24" s="5">
        <f>_xlfn.MINIFS(Objects!$K$2:$K$1089,Objects!$E$2:$E$1089,$A24)</f>
        <v/>
      </c>
      <c r="E24" s="5">
        <f>_xlfn.MAXIFS(Objects!$K$2:$K$1089,Objects!$E$2:$E$1089,$A24)</f>
        <v/>
      </c>
      <c r="F24" s="5">
        <f>_xlfn.MINIFS(Objects!$L$2:$L$1089,Objects!$E$2:$E$1089,$A24)</f>
        <v/>
      </c>
      <c r="G24" s="5">
        <f>_xlfn.MAXIFS(Objects!$L$2:$L$1089,Objects!$E$2:$E$1089,$A24)</f>
        <v/>
      </c>
      <c r="H24" s="9">
        <f>IFERROR(COUNTIFS(Objects!$E$2:$E$1089,$A24,Objects!$P$2:$P$1089,"&gt;0")/$C24,0)</f>
        <v/>
      </c>
      <c r="I24" s="9">
        <f>IFERROR(COUNTIFS(Objects!$E$2:$E$1089,$A24,Objects!$Q$2:$Q$1089,1)/$C24,0)</f>
        <v/>
      </c>
      <c r="J24" s="9">
        <f>IFERROR(COUNTIFS(Objects!$E$2:$E$1089,$A24,Objects!$R$2:$R$1089,1)/$C24,0)</f>
        <v/>
      </c>
      <c r="K24" s="9">
        <f>IFERROR(COUNTIFS(Objects!$E$2:$E$1089,$A24,Objects!$S$2:$S$1089,1)/$C24,0)</f>
        <v/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>
        <f>SUM(L24:T24)</f>
        <v/>
      </c>
      <c r="V24" s="9">
        <f>IFERROR(MAX(L24:T24)/U24,0)</f>
        <v/>
      </c>
      <c r="W24" s="5" t="inlineStr">
        <is>
          <t>unnamed</t>
        </is>
      </c>
      <c r="X24" s="5" t="inlineStr">
        <is>
          <t>no label votes</t>
        </is>
      </c>
      <c r="Y24" s="5" t="n">
        <v>0.634</v>
      </c>
    </row>
    <row r="25">
      <c r="A25" s="5" t="n">
        <v>23</v>
      </c>
      <c r="B25" s="5" t="inlineStr">
        <is>
          <t>outline</t>
        </is>
      </c>
      <c r="C25" s="5">
        <f>COUNTIFS(Objects!$E$2:$E$1089,$A25)</f>
        <v/>
      </c>
      <c r="D25" s="5">
        <f>_xlfn.MINIFS(Objects!$K$2:$K$1089,Objects!$E$2:$E$1089,$A25)</f>
        <v/>
      </c>
      <c r="E25" s="5">
        <f>_xlfn.MAXIFS(Objects!$K$2:$K$1089,Objects!$E$2:$E$1089,$A25)</f>
        <v/>
      </c>
      <c r="F25" s="5">
        <f>_xlfn.MINIFS(Objects!$L$2:$L$1089,Objects!$E$2:$E$1089,$A25)</f>
        <v/>
      </c>
      <c r="G25" s="5">
        <f>_xlfn.MAXIFS(Objects!$L$2:$L$1089,Objects!$E$2:$E$1089,$A25)</f>
        <v/>
      </c>
      <c r="H25" s="9">
        <f>IFERROR(COUNTIFS(Objects!$E$2:$E$1089,$A25,Objects!$P$2:$P$1089,"&gt;0")/$C25,0)</f>
        <v/>
      </c>
      <c r="I25" s="9">
        <f>IFERROR(COUNTIFS(Objects!$E$2:$E$1089,$A25,Objects!$Q$2:$Q$1089,1)/$C25,0)</f>
        <v/>
      </c>
      <c r="J25" s="9">
        <f>IFERROR(COUNTIFS(Objects!$E$2:$E$1089,$A25,Objects!$R$2:$R$1089,1)/$C25,0)</f>
        <v/>
      </c>
      <c r="K25" s="9">
        <f>IFERROR(COUNTIFS(Objects!$E$2:$E$1089,$A25,Objects!$S$2:$S$1089,1)/$C25,0)</f>
        <v/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3</v>
      </c>
      <c r="U25" s="5">
        <f>SUM(L25:T25)</f>
        <v/>
      </c>
      <c r="V25" s="9">
        <f>IFERROR(MAX(L25:T25)/U25,0)</f>
        <v/>
      </c>
      <c r="W25" s="5" t="inlineStr">
        <is>
          <t>combined_footing</t>
        </is>
      </c>
      <c r="X25" s="5" t="inlineStr">
        <is>
          <t>similar to cluster 15 (distance 0.87)</t>
        </is>
      </c>
      <c r="Y25" s="5" t="n">
        <v>0.634</v>
      </c>
    </row>
    <row r="26">
      <c r="A26" s="5" t="n">
        <v>24</v>
      </c>
      <c r="B26" s="5" t="inlineStr">
        <is>
          <t>outline</t>
        </is>
      </c>
      <c r="C26" s="5">
        <f>COUNTIFS(Objects!$E$2:$E$1089,$A26)</f>
        <v/>
      </c>
      <c r="D26" s="5">
        <f>_xlfn.MINIFS(Objects!$K$2:$K$1089,Objects!$E$2:$E$1089,$A26)</f>
        <v/>
      </c>
      <c r="E26" s="5">
        <f>_xlfn.MAXIFS(Objects!$K$2:$K$1089,Objects!$E$2:$E$1089,$A26)</f>
        <v/>
      </c>
      <c r="F26" s="5">
        <f>_xlfn.MINIFS(Objects!$L$2:$L$1089,Objects!$E$2:$E$1089,$A26)</f>
        <v/>
      </c>
      <c r="G26" s="5">
        <f>_xlfn.MAXIFS(Objects!$L$2:$L$1089,Objects!$E$2:$E$1089,$A26)</f>
        <v/>
      </c>
      <c r="H26" s="9">
        <f>IFERROR(COUNTIFS(Objects!$E$2:$E$1089,$A26,Objects!$P$2:$P$1089,"&gt;0")/$C26,0)</f>
        <v/>
      </c>
      <c r="I26" s="9">
        <f>IFERROR(COUNTIFS(Objects!$E$2:$E$1089,$A26,Objects!$Q$2:$Q$1089,1)/$C26,0)</f>
        <v/>
      </c>
      <c r="J26" s="9">
        <f>IFERROR(COUNTIFS(Objects!$E$2:$E$1089,$A26,Objects!$R$2:$R$1089,1)/$C26,0)</f>
        <v/>
      </c>
      <c r="K26" s="9">
        <f>IFERROR(COUNTIFS(Objects!$E$2:$E$1089,$A26,Objects!$S$2:$S$1089,1)/$C26,0)</f>
        <v/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>
        <f>SUM(L26:T26)</f>
        <v/>
      </c>
      <c r="V26" s="9">
        <f>IFERROR(MAX(L26:T26)/U26,0)</f>
        <v/>
      </c>
      <c r="W26" s="5" t="inlineStr">
        <is>
          <t>unnamed</t>
        </is>
      </c>
      <c r="X26" s="5" t="inlineStr">
        <is>
          <t>no label votes</t>
        </is>
      </c>
      <c r="Y26" s="5" t="n">
        <v>0.634</v>
      </c>
    </row>
    <row r="27">
      <c r="A27" s="5" t="n">
        <v>25</v>
      </c>
      <c r="B27" s="5" t="inlineStr">
        <is>
          <t>outline</t>
        </is>
      </c>
      <c r="C27" s="5">
        <f>COUNTIFS(Objects!$E$2:$E$1089,$A27)</f>
        <v/>
      </c>
      <c r="D27" s="5">
        <f>_xlfn.MINIFS(Objects!$K$2:$K$1089,Objects!$E$2:$E$1089,$A27)</f>
        <v/>
      </c>
      <c r="E27" s="5">
        <f>_xlfn.MAXIFS(Objects!$K$2:$K$1089,Objects!$E$2:$E$1089,$A27)</f>
        <v/>
      </c>
      <c r="F27" s="5">
        <f>_xlfn.MINIFS(Objects!$L$2:$L$1089,Objects!$E$2:$E$1089,$A27)</f>
        <v/>
      </c>
      <c r="G27" s="5">
        <f>_xlfn.MAXIFS(Objects!$L$2:$L$1089,Objects!$E$2:$E$1089,$A27)</f>
        <v/>
      </c>
      <c r="H27" s="9">
        <f>IFERROR(COUNTIFS(Objects!$E$2:$E$1089,$A27,Objects!$P$2:$P$1089,"&gt;0")/$C27,0)</f>
        <v/>
      </c>
      <c r="I27" s="9">
        <f>IFERROR(COUNTIFS(Objects!$E$2:$E$1089,$A27,Objects!$Q$2:$Q$1089,1)/$C27,0)</f>
        <v/>
      </c>
      <c r="J27" s="9">
        <f>IFERROR(COUNTIFS(Objects!$E$2:$E$1089,$A27,Objects!$R$2:$R$1089,1)/$C27,0)</f>
        <v/>
      </c>
      <c r="K27" s="9">
        <f>IFERROR(COUNTIFS(Objects!$E$2:$E$1089,$A27,Objects!$S$2:$S$1089,1)/$C27,0)</f>
        <v/>
      </c>
      <c r="L27" s="5" t="n">
        <v>0</v>
      </c>
      <c r="M27" s="5" t="n">
        <v>0</v>
      </c>
      <c r="N27" s="5" t="n">
        <v>0</v>
      </c>
      <c r="O27" s="5" t="n">
        <v>1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>
        <f>SUM(L27:T27)</f>
        <v/>
      </c>
      <c r="V27" s="9">
        <f>IFERROR(MAX(L27:T27)/U27,0)</f>
        <v/>
      </c>
      <c r="W27" s="5" t="inlineStr">
        <is>
          <t>isolated_footing</t>
        </is>
      </c>
      <c r="X27" s="5" t="inlineStr">
        <is>
          <t>similar to cluster 16 (distance 1.19)</t>
        </is>
      </c>
      <c r="Y27" s="5" t="n">
        <v>0.634</v>
      </c>
    </row>
    <row r="28">
      <c r="A28" s="5" t="n">
        <v>26</v>
      </c>
      <c r="B28" s="5" t="inlineStr">
        <is>
          <t>outline</t>
        </is>
      </c>
      <c r="C28" s="5">
        <f>COUNTIFS(Objects!$E$2:$E$1089,$A28)</f>
        <v/>
      </c>
      <c r="D28" s="5">
        <f>_xlfn.MINIFS(Objects!$K$2:$K$1089,Objects!$E$2:$E$1089,$A28)</f>
        <v/>
      </c>
      <c r="E28" s="5">
        <f>_xlfn.MAXIFS(Objects!$K$2:$K$1089,Objects!$E$2:$E$1089,$A28)</f>
        <v/>
      </c>
      <c r="F28" s="5">
        <f>_xlfn.MINIFS(Objects!$L$2:$L$1089,Objects!$E$2:$E$1089,$A28)</f>
        <v/>
      </c>
      <c r="G28" s="5">
        <f>_xlfn.MAXIFS(Objects!$L$2:$L$1089,Objects!$E$2:$E$1089,$A28)</f>
        <v/>
      </c>
      <c r="H28" s="9">
        <f>IFERROR(COUNTIFS(Objects!$E$2:$E$1089,$A28,Objects!$P$2:$P$1089,"&gt;0")/$C28,0)</f>
        <v/>
      </c>
      <c r="I28" s="9">
        <f>IFERROR(COUNTIFS(Objects!$E$2:$E$1089,$A28,Objects!$Q$2:$Q$1089,1)/$C28,0)</f>
        <v/>
      </c>
      <c r="J28" s="9">
        <f>IFERROR(COUNTIFS(Objects!$E$2:$E$1089,$A28,Objects!$R$2:$R$1089,1)/$C28,0)</f>
        <v/>
      </c>
      <c r="K28" s="9">
        <f>IFERROR(COUNTIFS(Objects!$E$2:$E$1089,$A28,Objects!$S$2:$S$1089,1)/$C28,0)</f>
        <v/>
      </c>
      <c r="L28" s="5" t="n">
        <v>0</v>
      </c>
      <c r="M28" s="5" t="n">
        <v>1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>
        <f>SUM(L28:T28)</f>
        <v/>
      </c>
      <c r="V28" s="9">
        <f>IFERROR(MAX(L28:T28)/U28,0)</f>
        <v/>
      </c>
      <c r="W28" s="5" t="inlineStr">
        <is>
          <t>isolated_footing</t>
        </is>
      </c>
      <c r="X28" s="5" t="inlineStr">
        <is>
          <t>similar to cluster 18 (distance 1.25)</t>
        </is>
      </c>
      <c r="Y28" s="5" t="n">
        <v>0.634</v>
      </c>
    </row>
    <row r="29">
      <c r="A29" s="5" t="n">
        <v>27</v>
      </c>
      <c r="B29" s="5" t="inlineStr">
        <is>
          <t>single_hatch</t>
        </is>
      </c>
      <c r="C29" s="5">
        <f>COUNTIFS(Objects!$E$2:$E$1089,$A29)</f>
        <v/>
      </c>
      <c r="D29" s="5">
        <f>_xlfn.MINIFS(Objects!$K$2:$K$1089,Objects!$E$2:$E$1089,$A29)</f>
        <v/>
      </c>
      <c r="E29" s="5">
        <f>_xlfn.MAXIFS(Objects!$K$2:$K$1089,Objects!$E$2:$E$1089,$A29)</f>
        <v/>
      </c>
      <c r="F29" s="5">
        <f>_xlfn.MINIFS(Objects!$L$2:$L$1089,Objects!$E$2:$E$1089,$A29)</f>
        <v/>
      </c>
      <c r="G29" s="5">
        <f>_xlfn.MAXIFS(Objects!$L$2:$L$1089,Objects!$E$2:$E$1089,$A29)</f>
        <v/>
      </c>
      <c r="H29" s="9">
        <f>IFERROR(COUNTIFS(Objects!$E$2:$E$1089,$A29,Objects!$P$2:$P$1089,"&gt;0")/$C29,0)</f>
        <v/>
      </c>
      <c r="I29" s="9">
        <f>IFERROR(COUNTIFS(Objects!$E$2:$E$1089,$A29,Objects!$Q$2:$Q$1089,1)/$C29,0)</f>
        <v/>
      </c>
      <c r="J29" s="9">
        <f>IFERROR(COUNTIFS(Objects!$E$2:$E$1089,$A29,Objects!$R$2:$R$1089,1)/$C29,0)</f>
        <v/>
      </c>
      <c r="K29" s="9">
        <f>IFERROR(COUNTIFS(Objects!$E$2:$E$1089,$A29,Objects!$S$2:$S$1089,1)/$C29,0)</f>
        <v/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>
        <f>SUM(L29:T29)</f>
        <v/>
      </c>
      <c r="V29" s="9">
        <f>IFERROR(MAX(L29:T29)/U29,0)</f>
        <v/>
      </c>
      <c r="W29" s="5" t="inlineStr">
        <is>
          <t>unnamed</t>
        </is>
      </c>
      <c r="X29" s="5" t="inlineStr">
        <is>
          <t>no label votes</t>
        </is>
      </c>
      <c r="Y29" s="5" t="n"/>
    </row>
    <row r="30">
      <c r="A30" s="5" t="n">
        <v>28</v>
      </c>
      <c r="B30" s="5" t="inlineStr">
        <is>
          <t>solid</t>
        </is>
      </c>
      <c r="C30" s="5">
        <f>COUNTIFS(Objects!$E$2:$E$1089,$A30)</f>
        <v/>
      </c>
      <c r="D30" s="5">
        <f>_xlfn.MINIFS(Objects!$K$2:$K$1089,Objects!$E$2:$E$1089,$A30)</f>
        <v/>
      </c>
      <c r="E30" s="5">
        <f>_xlfn.MAXIFS(Objects!$K$2:$K$1089,Objects!$E$2:$E$1089,$A30)</f>
        <v/>
      </c>
      <c r="F30" s="5">
        <f>_xlfn.MINIFS(Objects!$L$2:$L$1089,Objects!$E$2:$E$1089,$A30)</f>
        <v/>
      </c>
      <c r="G30" s="5">
        <f>_xlfn.MAXIFS(Objects!$L$2:$L$1089,Objects!$E$2:$E$1089,$A30)</f>
        <v/>
      </c>
      <c r="H30" s="9">
        <f>IFERROR(COUNTIFS(Objects!$E$2:$E$1089,$A30,Objects!$P$2:$P$1089,"&gt;0")/$C30,0)</f>
        <v/>
      </c>
      <c r="I30" s="9">
        <f>IFERROR(COUNTIFS(Objects!$E$2:$E$1089,$A30,Objects!$Q$2:$Q$1089,1)/$C30,0)</f>
        <v/>
      </c>
      <c r="J30" s="9">
        <f>IFERROR(COUNTIFS(Objects!$E$2:$E$1089,$A30,Objects!$R$2:$R$1089,1)/$C30,0)</f>
        <v/>
      </c>
      <c r="K30" s="9">
        <f>IFERROR(COUNTIFS(Objects!$E$2:$E$1089,$A30,Objects!$S$2:$S$1089,1)/$C30,0)</f>
        <v/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1</v>
      </c>
      <c r="T30" s="5" t="n">
        <v>4</v>
      </c>
      <c r="U30" s="5">
        <f>SUM(L30:T30)</f>
        <v/>
      </c>
      <c r="V30" s="9">
        <f>IFERROR(MAX(L30:T30)/U30,0)</f>
        <v/>
      </c>
      <c r="W30" s="5" t="inlineStr">
        <is>
          <t>retaining_wall</t>
        </is>
      </c>
      <c r="X30" s="5" t="inlineStr">
        <is>
          <t>label vote</t>
        </is>
      </c>
      <c r="Y30" s="5" t="n">
        <v>0.433</v>
      </c>
    </row>
    <row r="31">
      <c r="A31" s="5" t="n">
        <v>29</v>
      </c>
      <c r="B31" s="5" t="inlineStr">
        <is>
          <t>solid</t>
        </is>
      </c>
      <c r="C31" s="5">
        <f>COUNTIFS(Objects!$E$2:$E$1089,$A31)</f>
        <v/>
      </c>
      <c r="D31" s="5">
        <f>_xlfn.MINIFS(Objects!$K$2:$K$1089,Objects!$E$2:$E$1089,$A31)</f>
        <v/>
      </c>
      <c r="E31" s="5">
        <f>_xlfn.MAXIFS(Objects!$K$2:$K$1089,Objects!$E$2:$E$1089,$A31)</f>
        <v/>
      </c>
      <c r="F31" s="5">
        <f>_xlfn.MINIFS(Objects!$L$2:$L$1089,Objects!$E$2:$E$1089,$A31)</f>
        <v/>
      </c>
      <c r="G31" s="5">
        <f>_xlfn.MAXIFS(Objects!$L$2:$L$1089,Objects!$E$2:$E$1089,$A31)</f>
        <v/>
      </c>
      <c r="H31" s="9">
        <f>IFERROR(COUNTIFS(Objects!$E$2:$E$1089,$A31,Objects!$P$2:$P$1089,"&gt;0")/$C31,0)</f>
        <v/>
      </c>
      <c r="I31" s="9">
        <f>IFERROR(COUNTIFS(Objects!$E$2:$E$1089,$A31,Objects!$Q$2:$Q$1089,1)/$C31,0)</f>
        <v/>
      </c>
      <c r="J31" s="9">
        <f>IFERROR(COUNTIFS(Objects!$E$2:$E$1089,$A31,Objects!$R$2:$R$1089,1)/$C31,0)</f>
        <v/>
      </c>
      <c r="K31" s="9">
        <f>IFERROR(COUNTIFS(Objects!$E$2:$E$1089,$A31,Objects!$S$2:$S$1089,1)/$C31,0)</f>
        <v/>
      </c>
      <c r="L31" s="5" t="n">
        <v>10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1</v>
      </c>
      <c r="U31" s="5">
        <f>SUM(L31:T31)</f>
        <v/>
      </c>
      <c r="V31" s="9">
        <f>IFERROR(MAX(L31:T31)/U31,0)</f>
        <v/>
      </c>
      <c r="W31" s="5" t="inlineStr">
        <is>
          <t>column</t>
        </is>
      </c>
      <c r="X31" s="5" t="inlineStr">
        <is>
          <t>label vote</t>
        </is>
      </c>
      <c r="Y31" s="5" t="n">
        <v>0.433</v>
      </c>
    </row>
    <row r="32">
      <c r="A32" s="5" t="n">
        <v>30</v>
      </c>
      <c r="B32" s="5" t="inlineStr">
        <is>
          <t>solid</t>
        </is>
      </c>
      <c r="C32" s="5">
        <f>COUNTIFS(Objects!$E$2:$E$1089,$A32)</f>
        <v/>
      </c>
      <c r="D32" s="5">
        <f>_xlfn.MINIFS(Objects!$K$2:$K$1089,Objects!$E$2:$E$1089,$A32)</f>
        <v/>
      </c>
      <c r="E32" s="5">
        <f>_xlfn.MAXIFS(Objects!$K$2:$K$1089,Objects!$E$2:$E$1089,$A32)</f>
        <v/>
      </c>
      <c r="F32" s="5">
        <f>_xlfn.MINIFS(Objects!$L$2:$L$1089,Objects!$E$2:$E$1089,$A32)</f>
        <v/>
      </c>
      <c r="G32" s="5">
        <f>_xlfn.MAXIFS(Objects!$L$2:$L$1089,Objects!$E$2:$E$1089,$A32)</f>
        <v/>
      </c>
      <c r="H32" s="9">
        <f>IFERROR(COUNTIFS(Objects!$E$2:$E$1089,$A32,Objects!$P$2:$P$1089,"&gt;0")/$C32,0)</f>
        <v/>
      </c>
      <c r="I32" s="9">
        <f>IFERROR(COUNTIFS(Objects!$E$2:$E$1089,$A32,Objects!$Q$2:$Q$1089,1)/$C32,0)</f>
        <v/>
      </c>
      <c r="J32" s="9">
        <f>IFERROR(COUNTIFS(Objects!$E$2:$E$1089,$A32,Objects!$R$2:$R$1089,1)/$C32,0)</f>
        <v/>
      </c>
      <c r="K32" s="9">
        <f>IFERROR(COUNTIFS(Objects!$E$2:$E$1089,$A32,Objects!$S$2:$S$1089,1)/$C32,0)</f>
        <v/>
      </c>
      <c r="L32" s="5" t="n">
        <v>0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5" t="n">
        <v>5</v>
      </c>
      <c r="U32" s="5">
        <f>SUM(L32:T32)</f>
        <v/>
      </c>
      <c r="V32" s="9">
        <f>IFERROR(MAX(L32:T32)/U32,0)</f>
        <v/>
      </c>
      <c r="W32" s="5" t="inlineStr">
        <is>
          <t>shear_wall</t>
        </is>
      </c>
      <c r="X32" s="5" t="inlineStr">
        <is>
          <t>label vote</t>
        </is>
      </c>
      <c r="Y32" s="5" t="n">
        <v>0.433</v>
      </c>
    </row>
    <row r="33">
      <c r="A33" s="5" t="n">
        <v>31</v>
      </c>
      <c r="B33" s="5" t="inlineStr">
        <is>
          <t>solid</t>
        </is>
      </c>
      <c r="C33" s="5">
        <f>COUNTIFS(Objects!$E$2:$E$1089,$A33)</f>
        <v/>
      </c>
      <c r="D33" s="5">
        <f>_xlfn.MINIFS(Objects!$K$2:$K$1089,Objects!$E$2:$E$1089,$A33)</f>
        <v/>
      </c>
      <c r="E33" s="5">
        <f>_xlfn.MAXIFS(Objects!$K$2:$K$1089,Objects!$E$2:$E$1089,$A33)</f>
        <v/>
      </c>
      <c r="F33" s="5">
        <f>_xlfn.MINIFS(Objects!$L$2:$L$1089,Objects!$E$2:$E$1089,$A33)</f>
        <v/>
      </c>
      <c r="G33" s="5">
        <f>_xlfn.MAXIFS(Objects!$L$2:$L$1089,Objects!$E$2:$E$1089,$A33)</f>
        <v/>
      </c>
      <c r="H33" s="9">
        <f>IFERROR(COUNTIFS(Objects!$E$2:$E$1089,$A33,Objects!$P$2:$P$1089,"&gt;0")/$C33,0)</f>
        <v/>
      </c>
      <c r="I33" s="9">
        <f>IFERROR(COUNTIFS(Objects!$E$2:$E$1089,$A33,Objects!$Q$2:$Q$1089,1)/$C33,0)</f>
        <v/>
      </c>
      <c r="J33" s="9">
        <f>IFERROR(COUNTIFS(Objects!$E$2:$E$1089,$A33,Objects!$R$2:$R$1089,1)/$C33,0)</f>
        <v/>
      </c>
      <c r="K33" s="9">
        <f>IFERROR(COUNTIFS(Objects!$E$2:$E$1089,$A33,Objects!$S$2:$S$1089,1)/$C33,0)</f>
        <v/>
      </c>
      <c r="L33" s="5" t="n">
        <v>14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>
        <f>SUM(L33:T33)</f>
        <v/>
      </c>
      <c r="V33" s="9">
        <f>IFERROR(MAX(L33:T33)/U33,0)</f>
        <v/>
      </c>
      <c r="W33" s="5" t="inlineStr">
        <is>
          <t>column</t>
        </is>
      </c>
      <c r="X33" s="5" t="inlineStr">
        <is>
          <t>label vote</t>
        </is>
      </c>
      <c r="Y33" s="5" t="n">
        <v>0.433</v>
      </c>
    </row>
    <row r="34">
      <c r="A34" s="5" t="n">
        <v>32</v>
      </c>
      <c r="B34" s="5" t="inlineStr">
        <is>
          <t>solid</t>
        </is>
      </c>
      <c r="C34" s="5">
        <f>COUNTIFS(Objects!$E$2:$E$1089,$A34)</f>
        <v/>
      </c>
      <c r="D34" s="5">
        <f>_xlfn.MINIFS(Objects!$K$2:$K$1089,Objects!$E$2:$E$1089,$A34)</f>
        <v/>
      </c>
      <c r="E34" s="5">
        <f>_xlfn.MAXIFS(Objects!$K$2:$K$1089,Objects!$E$2:$E$1089,$A34)</f>
        <v/>
      </c>
      <c r="F34" s="5">
        <f>_xlfn.MINIFS(Objects!$L$2:$L$1089,Objects!$E$2:$E$1089,$A34)</f>
        <v/>
      </c>
      <c r="G34" s="5">
        <f>_xlfn.MAXIFS(Objects!$L$2:$L$1089,Objects!$E$2:$E$1089,$A34)</f>
        <v/>
      </c>
      <c r="H34" s="9">
        <f>IFERROR(COUNTIFS(Objects!$E$2:$E$1089,$A34,Objects!$P$2:$P$1089,"&gt;0")/$C34,0)</f>
        <v/>
      </c>
      <c r="I34" s="9">
        <f>IFERROR(COUNTIFS(Objects!$E$2:$E$1089,$A34,Objects!$Q$2:$Q$1089,1)/$C34,0)</f>
        <v/>
      </c>
      <c r="J34" s="9">
        <f>IFERROR(COUNTIFS(Objects!$E$2:$E$1089,$A34,Objects!$R$2:$R$1089,1)/$C34,0)</f>
        <v/>
      </c>
      <c r="K34" s="9">
        <f>IFERROR(COUNTIFS(Objects!$E$2:$E$1089,$A34,Objects!$S$2:$S$1089,1)/$C34,0)</f>
        <v/>
      </c>
      <c r="L34" s="5" t="n">
        <v>0</v>
      </c>
      <c r="M34" s="5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5" t="n">
        <v>11</v>
      </c>
      <c r="U34" s="5">
        <f>SUM(L34:T34)</f>
        <v/>
      </c>
      <c r="V34" s="9">
        <f>IFERROR(MAX(L34:T34)/U34,0)</f>
        <v/>
      </c>
      <c r="W34" s="5" t="inlineStr">
        <is>
          <t>shear_wall</t>
        </is>
      </c>
      <c r="X34" s="5" t="inlineStr">
        <is>
          <t>label vote</t>
        </is>
      </c>
      <c r="Y34" s="5" t="n">
        <v>0.433</v>
      </c>
    </row>
    <row r="35">
      <c r="A35" s="5" t="n">
        <v>33</v>
      </c>
      <c r="B35" s="5" t="inlineStr">
        <is>
          <t>solid</t>
        </is>
      </c>
      <c r="C35" s="5">
        <f>COUNTIFS(Objects!$E$2:$E$1089,$A35)</f>
        <v/>
      </c>
      <c r="D35" s="5">
        <f>_xlfn.MINIFS(Objects!$K$2:$K$1089,Objects!$E$2:$E$1089,$A35)</f>
        <v/>
      </c>
      <c r="E35" s="5">
        <f>_xlfn.MAXIFS(Objects!$K$2:$K$1089,Objects!$E$2:$E$1089,$A35)</f>
        <v/>
      </c>
      <c r="F35" s="5">
        <f>_xlfn.MINIFS(Objects!$L$2:$L$1089,Objects!$E$2:$E$1089,$A35)</f>
        <v/>
      </c>
      <c r="G35" s="5">
        <f>_xlfn.MAXIFS(Objects!$L$2:$L$1089,Objects!$E$2:$E$1089,$A35)</f>
        <v/>
      </c>
      <c r="H35" s="9">
        <f>IFERROR(COUNTIFS(Objects!$E$2:$E$1089,$A35,Objects!$P$2:$P$1089,"&gt;0")/$C35,0)</f>
        <v/>
      </c>
      <c r="I35" s="9">
        <f>IFERROR(COUNTIFS(Objects!$E$2:$E$1089,$A35,Objects!$Q$2:$Q$1089,1)/$C35,0)</f>
        <v/>
      </c>
      <c r="J35" s="9">
        <f>IFERROR(COUNTIFS(Objects!$E$2:$E$1089,$A35,Objects!$R$2:$R$1089,1)/$C35,0)</f>
        <v/>
      </c>
      <c r="K35" s="9">
        <f>IFERROR(COUNTIFS(Objects!$E$2:$E$1089,$A35,Objects!$S$2:$S$1089,1)/$C35,0)</f>
        <v/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>
        <f>SUM(L35:T35)</f>
        <v/>
      </c>
      <c r="V35" s="9">
        <f>IFERROR(MAX(L35:T35)/U35,0)</f>
        <v/>
      </c>
      <c r="W35" s="5" t="inlineStr">
        <is>
          <t>retaining_wall</t>
        </is>
      </c>
      <c r="X35" s="5" t="inlineStr">
        <is>
          <t>label vote</t>
        </is>
      </c>
      <c r="Y35" s="5" t="n">
        <v>0.433</v>
      </c>
    </row>
    <row r="36">
      <c r="A36" s="5" t="n">
        <v>34</v>
      </c>
      <c r="B36" s="5" t="inlineStr">
        <is>
          <t>solid</t>
        </is>
      </c>
      <c r="C36" s="5">
        <f>COUNTIFS(Objects!$E$2:$E$1089,$A36)</f>
        <v/>
      </c>
      <c r="D36" s="5">
        <f>_xlfn.MINIFS(Objects!$K$2:$K$1089,Objects!$E$2:$E$1089,$A36)</f>
        <v/>
      </c>
      <c r="E36" s="5">
        <f>_xlfn.MAXIFS(Objects!$K$2:$K$1089,Objects!$E$2:$E$1089,$A36)</f>
        <v/>
      </c>
      <c r="F36" s="5">
        <f>_xlfn.MINIFS(Objects!$L$2:$L$1089,Objects!$E$2:$E$1089,$A36)</f>
        <v/>
      </c>
      <c r="G36" s="5">
        <f>_xlfn.MAXIFS(Objects!$L$2:$L$1089,Objects!$E$2:$E$1089,$A36)</f>
        <v/>
      </c>
      <c r="H36" s="9">
        <f>IFERROR(COUNTIFS(Objects!$E$2:$E$1089,$A36,Objects!$P$2:$P$1089,"&gt;0")/$C36,0)</f>
        <v/>
      </c>
      <c r="I36" s="9">
        <f>IFERROR(COUNTIFS(Objects!$E$2:$E$1089,$A36,Objects!$Q$2:$Q$1089,1)/$C36,0)</f>
        <v/>
      </c>
      <c r="J36" s="9">
        <f>IFERROR(COUNTIFS(Objects!$E$2:$E$1089,$A36,Objects!$R$2:$R$1089,1)/$C36,0)</f>
        <v/>
      </c>
      <c r="K36" s="9">
        <f>IFERROR(COUNTIFS(Objects!$E$2:$E$1089,$A36,Objects!$S$2:$S$1089,1)/$C36,0)</f>
        <v/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1</v>
      </c>
      <c r="U36" s="5">
        <f>SUM(L36:T36)</f>
        <v/>
      </c>
      <c r="V36" s="9">
        <f>IFERROR(MAX(L36:T36)/U36,0)</f>
        <v/>
      </c>
      <c r="W36" s="5" t="inlineStr">
        <is>
          <t>unnamed</t>
        </is>
      </c>
      <c r="X36" s="5" t="inlineStr">
        <is>
          <t>no label votes</t>
        </is>
      </c>
      <c r="Y36" s="5" t="n">
        <v>0.433</v>
      </c>
    </row>
    <row r="37">
      <c r="A37" s="5" t="n">
        <v>35</v>
      </c>
      <c r="B37" s="5" t="inlineStr">
        <is>
          <t>solid</t>
        </is>
      </c>
      <c r="C37" s="5">
        <f>COUNTIFS(Objects!$E$2:$E$1089,$A37)</f>
        <v/>
      </c>
      <c r="D37" s="5">
        <f>_xlfn.MINIFS(Objects!$K$2:$K$1089,Objects!$E$2:$E$1089,$A37)</f>
        <v/>
      </c>
      <c r="E37" s="5">
        <f>_xlfn.MAXIFS(Objects!$K$2:$K$1089,Objects!$E$2:$E$1089,$A37)</f>
        <v/>
      </c>
      <c r="F37" s="5">
        <f>_xlfn.MINIFS(Objects!$L$2:$L$1089,Objects!$E$2:$E$1089,$A37)</f>
        <v/>
      </c>
      <c r="G37" s="5">
        <f>_xlfn.MAXIFS(Objects!$L$2:$L$1089,Objects!$E$2:$E$1089,$A37)</f>
        <v/>
      </c>
      <c r="H37" s="9">
        <f>IFERROR(COUNTIFS(Objects!$E$2:$E$1089,$A37,Objects!$P$2:$P$1089,"&gt;0")/$C37,0)</f>
        <v/>
      </c>
      <c r="I37" s="9">
        <f>IFERROR(COUNTIFS(Objects!$E$2:$E$1089,$A37,Objects!$Q$2:$Q$1089,1)/$C37,0)</f>
        <v/>
      </c>
      <c r="J37" s="9">
        <f>IFERROR(COUNTIFS(Objects!$E$2:$E$1089,$A37,Objects!$R$2:$R$1089,1)/$C37,0)</f>
        <v/>
      </c>
      <c r="K37" s="9">
        <f>IFERROR(COUNTIFS(Objects!$E$2:$E$1089,$A37,Objects!$S$2:$S$1089,1)/$C37,0)</f>
        <v/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11</v>
      </c>
      <c r="U37" s="5">
        <f>SUM(L37:T37)</f>
        <v/>
      </c>
      <c r="V37" s="9">
        <f>IFERROR(MAX(L37:T37)/U37,0)</f>
        <v/>
      </c>
      <c r="W37" s="5" t="inlineStr">
        <is>
          <t>shear_wall</t>
        </is>
      </c>
      <c r="X37" s="5" t="inlineStr">
        <is>
          <t>label vote</t>
        </is>
      </c>
      <c r="Y37" s="5" t="n">
        <v>0.433</v>
      </c>
    </row>
    <row r="38">
      <c r="A38" s="5" t="n">
        <v>36</v>
      </c>
      <c r="B38" s="5" t="inlineStr">
        <is>
          <t>solid</t>
        </is>
      </c>
      <c r="C38" s="5">
        <f>COUNTIFS(Objects!$E$2:$E$1089,$A38)</f>
        <v/>
      </c>
      <c r="D38" s="5">
        <f>_xlfn.MINIFS(Objects!$K$2:$K$1089,Objects!$E$2:$E$1089,$A38)</f>
        <v/>
      </c>
      <c r="E38" s="5">
        <f>_xlfn.MAXIFS(Objects!$K$2:$K$1089,Objects!$E$2:$E$1089,$A38)</f>
        <v/>
      </c>
      <c r="F38" s="5">
        <f>_xlfn.MINIFS(Objects!$L$2:$L$1089,Objects!$E$2:$E$1089,$A38)</f>
        <v/>
      </c>
      <c r="G38" s="5">
        <f>_xlfn.MAXIFS(Objects!$L$2:$L$1089,Objects!$E$2:$E$1089,$A38)</f>
        <v/>
      </c>
      <c r="H38" s="9">
        <f>IFERROR(COUNTIFS(Objects!$E$2:$E$1089,$A38,Objects!$P$2:$P$1089,"&gt;0")/$C38,0)</f>
        <v/>
      </c>
      <c r="I38" s="9">
        <f>IFERROR(COUNTIFS(Objects!$E$2:$E$1089,$A38,Objects!$Q$2:$Q$1089,1)/$C38,0)</f>
        <v/>
      </c>
      <c r="J38" s="9">
        <f>IFERROR(COUNTIFS(Objects!$E$2:$E$1089,$A38,Objects!$R$2:$R$1089,1)/$C38,0)</f>
        <v/>
      </c>
      <c r="K38" s="9">
        <f>IFERROR(COUNTIFS(Objects!$E$2:$E$1089,$A38,Objects!$S$2:$S$1089,1)/$C38,0)</f>
        <v/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21</v>
      </c>
      <c r="U38" s="5">
        <f>SUM(L38:T38)</f>
        <v/>
      </c>
      <c r="V38" s="9">
        <f>IFERROR(MAX(L38:T38)/U38,0)</f>
        <v/>
      </c>
      <c r="W38" s="5" t="inlineStr">
        <is>
          <t>shear_wall</t>
        </is>
      </c>
      <c r="X38" s="5" t="inlineStr">
        <is>
          <t>label vote</t>
        </is>
      </c>
      <c r="Y38" s="5" t="n">
        <v>0.433</v>
      </c>
    </row>
    <row r="39">
      <c r="A39" s="5" t="n">
        <v>37</v>
      </c>
      <c r="B39" s="5" t="inlineStr">
        <is>
          <t>solid</t>
        </is>
      </c>
      <c r="C39" s="5">
        <f>COUNTIFS(Objects!$E$2:$E$1089,$A39)</f>
        <v/>
      </c>
      <c r="D39" s="5">
        <f>_xlfn.MINIFS(Objects!$K$2:$K$1089,Objects!$E$2:$E$1089,$A39)</f>
        <v/>
      </c>
      <c r="E39" s="5">
        <f>_xlfn.MAXIFS(Objects!$K$2:$K$1089,Objects!$E$2:$E$1089,$A39)</f>
        <v/>
      </c>
      <c r="F39" s="5">
        <f>_xlfn.MINIFS(Objects!$L$2:$L$1089,Objects!$E$2:$E$1089,$A39)</f>
        <v/>
      </c>
      <c r="G39" s="5">
        <f>_xlfn.MAXIFS(Objects!$L$2:$L$1089,Objects!$E$2:$E$1089,$A39)</f>
        <v/>
      </c>
      <c r="H39" s="9">
        <f>IFERROR(COUNTIFS(Objects!$E$2:$E$1089,$A39,Objects!$P$2:$P$1089,"&gt;0")/$C39,0)</f>
        <v/>
      </c>
      <c r="I39" s="9">
        <f>IFERROR(COUNTIFS(Objects!$E$2:$E$1089,$A39,Objects!$Q$2:$Q$1089,1)/$C39,0)</f>
        <v/>
      </c>
      <c r="J39" s="9">
        <f>IFERROR(COUNTIFS(Objects!$E$2:$E$1089,$A39,Objects!$R$2:$R$1089,1)/$C39,0)</f>
        <v/>
      </c>
      <c r="K39" s="9">
        <f>IFERROR(COUNTIFS(Objects!$E$2:$E$1089,$A39,Objects!$S$2:$S$1089,1)/$C39,0)</f>
        <v/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14</v>
      </c>
      <c r="U39" s="5">
        <f>SUM(L39:T39)</f>
        <v/>
      </c>
      <c r="V39" s="9">
        <f>IFERROR(MAX(L39:T39)/U39,0)</f>
        <v/>
      </c>
      <c r="W39" s="5" t="inlineStr">
        <is>
          <t>shear_wall</t>
        </is>
      </c>
      <c r="X39" s="5" t="inlineStr">
        <is>
          <t>label vote</t>
        </is>
      </c>
      <c r="Y39" s="5" t="n">
        <v>0.433</v>
      </c>
    </row>
    <row r="40">
      <c r="A40" s="5" t="n">
        <v>38</v>
      </c>
      <c r="B40" s="5" t="inlineStr">
        <is>
          <t>solid</t>
        </is>
      </c>
      <c r="C40" s="5">
        <f>COUNTIFS(Objects!$E$2:$E$1089,$A40)</f>
        <v/>
      </c>
      <c r="D40" s="5">
        <f>_xlfn.MINIFS(Objects!$K$2:$K$1089,Objects!$E$2:$E$1089,$A40)</f>
        <v/>
      </c>
      <c r="E40" s="5">
        <f>_xlfn.MAXIFS(Objects!$K$2:$K$1089,Objects!$E$2:$E$1089,$A40)</f>
        <v/>
      </c>
      <c r="F40" s="5">
        <f>_xlfn.MINIFS(Objects!$L$2:$L$1089,Objects!$E$2:$E$1089,$A40)</f>
        <v/>
      </c>
      <c r="G40" s="5">
        <f>_xlfn.MAXIFS(Objects!$L$2:$L$1089,Objects!$E$2:$E$1089,$A40)</f>
        <v/>
      </c>
      <c r="H40" s="9">
        <f>IFERROR(COUNTIFS(Objects!$E$2:$E$1089,$A40,Objects!$P$2:$P$1089,"&gt;0")/$C40,0)</f>
        <v/>
      </c>
      <c r="I40" s="9">
        <f>IFERROR(COUNTIFS(Objects!$E$2:$E$1089,$A40,Objects!$Q$2:$Q$1089,1)/$C40,0)</f>
        <v/>
      </c>
      <c r="J40" s="9">
        <f>IFERROR(COUNTIFS(Objects!$E$2:$E$1089,$A40,Objects!$R$2:$R$1089,1)/$C40,0)</f>
        <v/>
      </c>
      <c r="K40" s="9">
        <f>IFERROR(COUNTIFS(Objects!$E$2:$E$1089,$A40,Objects!$S$2:$S$1089,1)/$C40,0)</f>
        <v/>
      </c>
      <c r="L40" s="5" t="n">
        <v>0</v>
      </c>
      <c r="M40" s="5" t="n">
        <v>0</v>
      </c>
      <c r="N40" s="5" t="n">
        <v>0</v>
      </c>
      <c r="O40" s="5" t="n">
        <v>0</v>
      </c>
      <c r="P40" s="5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>
        <f>SUM(L40:T40)</f>
        <v/>
      </c>
      <c r="V40" s="9">
        <f>IFERROR(MAX(L40:T40)/U40,0)</f>
        <v/>
      </c>
      <c r="W40" s="5" t="inlineStr">
        <is>
          <t>unnamed</t>
        </is>
      </c>
      <c r="X40" s="5" t="inlineStr">
        <is>
          <t>no label votes</t>
        </is>
      </c>
      <c r="Y40" s="5" t="n">
        <v>0.433</v>
      </c>
    </row>
    <row r="41">
      <c r="A41" s="5" t="n">
        <v>39</v>
      </c>
      <c r="B41" s="5" t="inlineStr">
        <is>
          <t>stamped_region</t>
        </is>
      </c>
      <c r="C41" s="5">
        <f>COUNTIFS(Objects!$E$2:$E$1089,$A41)</f>
        <v/>
      </c>
      <c r="D41" s="5">
        <f>_xlfn.MINIFS(Objects!$K$2:$K$1089,Objects!$E$2:$E$1089,$A41)</f>
        <v/>
      </c>
      <c r="E41" s="5">
        <f>_xlfn.MAXIFS(Objects!$K$2:$K$1089,Objects!$E$2:$E$1089,$A41)</f>
        <v/>
      </c>
      <c r="F41" s="5">
        <f>_xlfn.MINIFS(Objects!$L$2:$L$1089,Objects!$E$2:$E$1089,$A41)</f>
        <v/>
      </c>
      <c r="G41" s="5">
        <f>_xlfn.MAXIFS(Objects!$L$2:$L$1089,Objects!$E$2:$E$1089,$A41)</f>
        <v/>
      </c>
      <c r="H41" s="9">
        <f>IFERROR(COUNTIFS(Objects!$E$2:$E$1089,$A41,Objects!$P$2:$P$1089,"&gt;0")/$C41,0)</f>
        <v/>
      </c>
      <c r="I41" s="9">
        <f>IFERROR(COUNTIFS(Objects!$E$2:$E$1089,$A41,Objects!$Q$2:$Q$1089,1)/$C41,0)</f>
        <v/>
      </c>
      <c r="J41" s="9">
        <f>IFERROR(COUNTIFS(Objects!$E$2:$E$1089,$A41,Objects!$R$2:$R$1089,1)/$C41,0)</f>
        <v/>
      </c>
      <c r="K41" s="9">
        <f>IFERROR(COUNTIFS(Objects!$E$2:$E$1089,$A41,Objects!$S$2:$S$1089,1)/$C41,0)</f>
        <v/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13</v>
      </c>
      <c r="R41" s="5" t="n">
        <v>0</v>
      </c>
      <c r="S41" s="5" t="n">
        <v>0</v>
      </c>
      <c r="T41" s="5" t="n">
        <v>0</v>
      </c>
      <c r="U41" s="5">
        <f>SUM(L41:T41)</f>
        <v/>
      </c>
      <c r="V41" s="9">
        <f>IFERROR(MAX(L41:T41)/U41,0)</f>
        <v/>
      </c>
      <c r="W41" s="5" t="inlineStr">
        <is>
          <t>raft</t>
        </is>
      </c>
      <c r="X41" s="5" t="inlineStr">
        <is>
          <t>label vote</t>
        </is>
      </c>
      <c r="Y41" s="5" t="n"/>
    </row>
    <row r="43">
      <c r="A43" s="8" t="inlineStr">
        <is>
          <t>Votes are the first, neutral pass (program output). A 'VP..-SF..' label votes for the strip it sits on and for the wall standing in that strip.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08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4" customWidth="1" min="4" max="4"/>
    <col width="8" customWidth="1" min="5" max="5"/>
    <col width="17" customWidth="1" min="6" max="6"/>
    <col width="26" customWidth="1" min="7" max="7"/>
    <col width="14" customWidth="1" min="8" max="8"/>
    <col width="30" customWidth="1" min="9" max="9"/>
    <col width="20" customWidth="1" min="10" max="10"/>
    <col width="9" customWidth="1" min="11" max="11"/>
    <col width="9" customWidth="1" min="12" max="12"/>
    <col width="7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6" customWidth="1" min="29" max="29"/>
    <col width="10" customWidth="1" min="30" max="30"/>
  </cols>
  <sheetData>
    <row r="1" ht="30" customHeight="1">
      <c r="A1" s="4" t="inlineStr">
        <is>
          <t>ID</t>
        </is>
      </c>
      <c r="B1" s="4" t="inlineStr">
        <is>
          <t>Building</t>
        </is>
      </c>
      <c r="C1" s="4" t="inlineStr">
        <is>
          <t>Building from</t>
        </is>
      </c>
      <c r="D1" s="4" t="inlineStr">
        <is>
          <t>Drawing kind</t>
        </is>
      </c>
      <c r="E1" s="4" t="inlineStr">
        <is>
          <t>Cluster</t>
        </is>
      </c>
      <c r="F1" s="4" t="inlineStr">
        <is>
          <t>Class</t>
        </is>
      </c>
      <c r="G1" s="4" t="inlineStr">
        <is>
          <t>Class named by</t>
        </is>
      </c>
      <c r="H1" s="4" t="inlineStr">
        <is>
          <t>Type key</t>
        </is>
      </c>
      <c r="I1" s="4" t="inlineStr">
        <is>
          <t>Type source</t>
        </is>
      </c>
      <c r="J1" s="4" t="inlineStr">
        <is>
          <t>Label text</t>
        </is>
      </c>
      <c r="K1" s="4" t="inlineStr">
        <is>
          <t>Length (cm)</t>
        </is>
      </c>
      <c r="L1" s="4" t="inlineStr">
        <is>
          <t>Width (cm)</t>
        </is>
      </c>
      <c r="M1" s="4" t="inlineStr">
        <is>
          <t>L/W</t>
        </is>
      </c>
      <c r="N1" s="4" t="inlineStr">
        <is>
          <t>Area (m²)</t>
        </is>
      </c>
      <c r="O1" s="4" t="inlineStr">
        <is>
          <t>Angle (°)</t>
        </is>
      </c>
      <c r="P1" s="4" t="inlineStr">
        <is>
          <t>Touches solids</t>
        </is>
      </c>
      <c r="Q1" s="4" t="inlineStr">
        <is>
          <t>Inside an outline</t>
        </is>
      </c>
      <c r="R1" s="4" t="inlineStr">
        <is>
          <t>In a strip band</t>
        </is>
      </c>
      <c r="S1" s="4" t="inlineStr">
        <is>
          <t>On a stamped region</t>
        </is>
      </c>
      <c r="T1" s="4" t="inlineStr">
        <is>
          <t>Solids inside</t>
        </is>
      </c>
      <c r="U1" s="4" t="inlineStr">
        <is>
          <t>Dots inside</t>
        </is>
      </c>
      <c r="V1" s="4" t="inlineStr">
        <is>
          <t>Beams touching</t>
        </is>
      </c>
      <c r="W1" s="4" t="inlineStr">
        <is>
          <t>Net length (m)</t>
        </is>
      </c>
      <c r="X1" s="4" t="inlineStr">
        <is>
          <t>Extent</t>
        </is>
      </c>
      <c r="Y1" s="4" t="inlineStr">
        <is>
          <t>bbox x0 (px)</t>
        </is>
      </c>
      <c r="Z1" s="4" t="inlineStr">
        <is>
          <t>bbox y0 (px)</t>
        </is>
      </c>
      <c r="AA1" s="4" t="inlineStr">
        <is>
          <t>bbox x1 (px)</t>
        </is>
      </c>
      <c r="AB1" s="4" t="inlineStr">
        <is>
          <t>bbox y1 (px)</t>
        </is>
      </c>
      <c r="AC1" s="4" t="inlineStr">
        <is>
          <t>(validation) verified class</t>
        </is>
      </c>
      <c r="AD1" s="4" t="inlineStr">
        <is>
          <t>(validation) agrees</t>
        </is>
      </c>
    </row>
    <row r="2">
      <c r="A2" s="5" t="n">
        <v>1</v>
      </c>
      <c r="B2" s="5" t="inlineStr">
        <is>
          <t>120</t>
        </is>
      </c>
      <c r="C2" s="5" t="inlineStr">
        <is>
          <t>nearest labels in its region</t>
        </is>
      </c>
      <c r="D2" s="5" t="inlineStr">
        <is>
          <t>solid</t>
        </is>
      </c>
      <c r="E2" s="5" t="n">
        <v>31</v>
      </c>
      <c r="F2" s="5" t="inlineStr">
        <is>
          <t>column</t>
        </is>
      </c>
      <c r="G2" s="5" t="inlineStr">
        <is>
          <t>label vote</t>
        </is>
      </c>
      <c r="H2" s="5" t="inlineStr">
        <is>
          <t>(none)</t>
        </is>
      </c>
      <c r="I2" s="5" t="inlineStr">
        <is>
          <t>no column type in its building has this size</t>
        </is>
      </c>
      <c r="J2" s="5" t="inlineStr"/>
      <c r="K2" s="5" t="n">
        <v>47</v>
      </c>
      <c r="L2" s="5" t="n">
        <v>26</v>
      </c>
      <c r="M2" s="10">
        <f>IF(AND(ISNUMBER(K2),L2&gt;0),K2/L2,"")</f>
        <v/>
      </c>
      <c r="N2" s="5" t="n">
        <v>0.122</v>
      </c>
      <c r="O2" s="5" t="n">
        <v>89.90000000000001</v>
      </c>
      <c r="P2" s="5" t="n">
        <v>1</v>
      </c>
      <c r="Q2" s="5" t="n">
        <v>0</v>
      </c>
      <c r="R2" s="5" t="n">
        <v>0</v>
      </c>
      <c r="S2" s="5" t="n">
        <v>1</v>
      </c>
      <c r="T2" s="5" t="n">
        <v>0</v>
      </c>
      <c r="U2" s="5" t="n">
        <v>0</v>
      </c>
      <c r="V2" s="5" t="n">
        <v>0</v>
      </c>
      <c r="W2" s="5" t="n"/>
      <c r="X2" s="5" t="inlineStr"/>
      <c r="Y2" s="5" t="n">
        <v>4870.7</v>
      </c>
      <c r="Z2" s="5" t="n">
        <v>760.3</v>
      </c>
      <c r="AA2" s="5" t="n">
        <v>4878.3</v>
      </c>
      <c r="AB2" s="5" t="n">
        <v>774.3</v>
      </c>
      <c r="AC2" s="5" t="inlineStr"/>
      <c r="AD2" s="5">
        <f>IF(AC2="","",IF(OR(AC2=F2,AND(AC2="crane_footing",F2="isolated_footing")),"yes","no"))</f>
        <v/>
      </c>
    </row>
    <row r="3">
      <c r="A3" s="5" t="n">
        <v>2</v>
      </c>
      <c r="B3" s="5" t="inlineStr">
        <is>
          <t>120</t>
        </is>
      </c>
      <c r="C3" s="5" t="inlineStr">
        <is>
          <t>own label</t>
        </is>
      </c>
      <c r="D3" s="5" t="inlineStr">
        <is>
          <t>solid</t>
        </is>
      </c>
      <c r="E3" s="5" t="n">
        <v>31</v>
      </c>
      <c r="F3" s="5" t="inlineStr">
        <is>
          <t>column</t>
        </is>
      </c>
      <c r="G3" s="5" t="inlineStr">
        <is>
          <t>label vote</t>
        </is>
      </c>
      <c r="H3" s="5" t="inlineStr">
        <is>
          <t>P1/120</t>
        </is>
      </c>
      <c r="I3" s="5" t="inlineStr">
        <is>
          <t>printed label</t>
        </is>
      </c>
      <c r="J3" s="5" t="inlineStr">
        <is>
          <t>P1/120/120</t>
        </is>
      </c>
      <c r="K3" s="5" t="n">
        <v>80</v>
      </c>
      <c r="L3" s="5" t="n">
        <v>25</v>
      </c>
      <c r="M3" s="10">
        <f>IF(AND(ISNUMBER(K3),L3&gt;0),K3/L3,"")</f>
        <v/>
      </c>
      <c r="N3" s="5" t="n">
        <v>0.2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3</v>
      </c>
      <c r="W3" s="5" t="n"/>
      <c r="X3" s="5" t="inlineStr"/>
      <c r="Y3" s="5" t="n">
        <v>4596.9</v>
      </c>
      <c r="Z3" s="5" t="n">
        <v>792</v>
      </c>
      <c r="AA3" s="5" t="n">
        <v>4620.6</v>
      </c>
      <c r="AB3" s="5" t="n">
        <v>799.4</v>
      </c>
      <c r="AC3" s="5" t="inlineStr">
        <is>
          <t>column</t>
        </is>
      </c>
      <c r="AD3" s="5">
        <f>IF(AC3="","",IF(OR(AC3=F3,AND(AC3="crane_footing",F3="isolated_footing")),"yes","no"))</f>
        <v/>
      </c>
    </row>
    <row r="4">
      <c r="A4" s="5" t="n">
        <v>3</v>
      </c>
      <c r="B4" s="5" t="inlineStr">
        <is>
          <t>120</t>
        </is>
      </c>
      <c r="C4" s="5" t="inlineStr">
        <is>
          <t>own label</t>
        </is>
      </c>
      <c r="D4" s="5" t="inlineStr">
        <is>
          <t>solid</t>
        </is>
      </c>
      <c r="E4" s="5" t="n">
        <v>31</v>
      </c>
      <c r="F4" s="5" t="inlineStr">
        <is>
          <t>column</t>
        </is>
      </c>
      <c r="G4" s="5" t="inlineStr">
        <is>
          <t>label vote</t>
        </is>
      </c>
      <c r="H4" s="5" t="inlineStr">
        <is>
          <t>P1/120</t>
        </is>
      </c>
      <c r="I4" s="5" t="inlineStr">
        <is>
          <t>printed label</t>
        </is>
      </c>
      <c r="J4" s="5" t="inlineStr">
        <is>
          <t>P1/120/120</t>
        </is>
      </c>
      <c r="K4" s="5" t="n">
        <v>80</v>
      </c>
      <c r="L4" s="5" t="n">
        <v>25</v>
      </c>
      <c r="M4" s="10">
        <f>IF(AND(ISNUMBER(K4),L4&gt;0),K4/L4,"")</f>
        <v/>
      </c>
      <c r="N4" s="5" t="n">
        <v>0.2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1</v>
      </c>
      <c r="T4" s="5" t="n">
        <v>0</v>
      </c>
      <c r="U4" s="5" t="n">
        <v>0</v>
      </c>
      <c r="V4" s="5" t="n">
        <v>5</v>
      </c>
      <c r="W4" s="5" t="n"/>
      <c r="X4" s="5" t="inlineStr"/>
      <c r="Y4" s="5" t="n">
        <v>4704.8</v>
      </c>
      <c r="Z4" s="5" t="n">
        <v>861.4</v>
      </c>
      <c r="AA4" s="5" t="n">
        <v>4728.4</v>
      </c>
      <c r="AB4" s="5" t="n">
        <v>868.8</v>
      </c>
      <c r="AC4" s="5" t="inlineStr">
        <is>
          <t>column</t>
        </is>
      </c>
      <c r="AD4" s="5">
        <f>IF(AC4="","",IF(OR(AC4=F4,AND(AC4="crane_footing",F4="isolated_footing")),"yes","no"))</f>
        <v/>
      </c>
    </row>
    <row r="5">
      <c r="A5" s="5" t="n">
        <v>4</v>
      </c>
      <c r="B5" s="5" t="inlineStr">
        <is>
          <t>120</t>
        </is>
      </c>
      <c r="C5" s="5" t="inlineStr">
        <is>
          <t>own label</t>
        </is>
      </c>
      <c r="D5" s="5" t="inlineStr">
        <is>
          <t>solid</t>
        </is>
      </c>
      <c r="E5" s="5" t="n">
        <v>31</v>
      </c>
      <c r="F5" s="5" t="inlineStr">
        <is>
          <t>column</t>
        </is>
      </c>
      <c r="G5" s="5" t="inlineStr">
        <is>
          <t>label vote</t>
        </is>
      </c>
      <c r="H5" s="5" t="inlineStr">
        <is>
          <t>P1/120</t>
        </is>
      </c>
      <c r="I5" s="5" t="inlineStr">
        <is>
          <t>printed label</t>
        </is>
      </c>
      <c r="J5" s="5" t="inlineStr">
        <is>
          <t>P1/120/120</t>
        </is>
      </c>
      <c r="K5" s="5" t="n">
        <v>80</v>
      </c>
      <c r="L5" s="5" t="n">
        <v>25</v>
      </c>
      <c r="M5" s="10">
        <f>IF(AND(ISNUMBER(K5),L5&gt;0),K5/L5,"")</f>
        <v/>
      </c>
      <c r="N5" s="5" t="n">
        <v>0.2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1</v>
      </c>
      <c r="T5" s="5" t="n">
        <v>0</v>
      </c>
      <c r="U5" s="5" t="n">
        <v>0</v>
      </c>
      <c r="V5" s="5" t="n">
        <v>3</v>
      </c>
      <c r="W5" s="5" t="n"/>
      <c r="X5" s="5" t="inlineStr"/>
      <c r="Y5" s="5" t="n">
        <v>4596.9</v>
      </c>
      <c r="Z5" s="5" t="n">
        <v>861.4</v>
      </c>
      <c r="AA5" s="5" t="n">
        <v>4620.6</v>
      </c>
      <c r="AB5" s="5" t="n">
        <v>868.8</v>
      </c>
      <c r="AC5" s="5" t="inlineStr">
        <is>
          <t>column</t>
        </is>
      </c>
      <c r="AD5" s="5">
        <f>IF(AC5="","",IF(OR(AC5=F5,AND(AC5="crane_footing",F5="isolated_footing")),"yes","no"))</f>
        <v/>
      </c>
    </row>
    <row r="6">
      <c r="A6" s="5" t="n">
        <v>5</v>
      </c>
      <c r="B6" s="5" t="inlineStr">
        <is>
          <t>120</t>
        </is>
      </c>
      <c r="C6" s="5" t="inlineStr">
        <is>
          <t>own label</t>
        </is>
      </c>
      <c r="D6" s="5" t="inlineStr">
        <is>
          <t>solid</t>
        </is>
      </c>
      <c r="E6" s="5" t="n">
        <v>31</v>
      </c>
      <c r="F6" s="5" t="inlineStr">
        <is>
          <t>column</t>
        </is>
      </c>
      <c r="G6" s="5" t="inlineStr">
        <is>
          <t>label vote</t>
        </is>
      </c>
      <c r="H6" s="5" t="inlineStr">
        <is>
          <t>P1/120</t>
        </is>
      </c>
      <c r="I6" s="5" t="inlineStr">
        <is>
          <t>printed label</t>
        </is>
      </c>
      <c r="J6" s="5" t="inlineStr">
        <is>
          <t>P1/120/120</t>
        </is>
      </c>
      <c r="K6" s="5" t="n">
        <v>80</v>
      </c>
      <c r="L6" s="5" t="n">
        <v>25</v>
      </c>
      <c r="M6" s="10">
        <f>IF(AND(ISNUMBER(K6),L6&gt;0),K6/L6,"")</f>
        <v/>
      </c>
      <c r="N6" s="5" t="n">
        <v>0.2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4</v>
      </c>
      <c r="W6" s="5" t="n"/>
      <c r="X6" s="5" t="inlineStr"/>
      <c r="Y6" s="5" t="n">
        <v>4704.8</v>
      </c>
      <c r="Z6" s="5" t="n">
        <v>792</v>
      </c>
      <c r="AA6" s="5" t="n">
        <v>4728.4</v>
      </c>
      <c r="AB6" s="5" t="n">
        <v>799.4</v>
      </c>
      <c r="AC6" s="5" t="inlineStr">
        <is>
          <t>column</t>
        </is>
      </c>
      <c r="AD6" s="5">
        <f>IF(AC6="","",IF(OR(AC6=F6,AND(AC6="crane_footing",F6="isolated_footing")),"yes","no"))</f>
        <v/>
      </c>
    </row>
    <row r="7">
      <c r="A7" s="5" t="n">
        <v>6</v>
      </c>
      <c r="B7" s="5" t="inlineStr">
        <is>
          <t>120</t>
        </is>
      </c>
      <c r="C7" s="5" t="inlineStr">
        <is>
          <t>nearest labels in its region</t>
        </is>
      </c>
      <c r="D7" s="5" t="inlineStr">
        <is>
          <t>solid</t>
        </is>
      </c>
      <c r="E7" s="5" t="n">
        <v>32</v>
      </c>
      <c r="F7" s="5" t="inlineStr">
        <is>
          <t>shear_wall</t>
        </is>
      </c>
      <c r="G7" s="5" t="inlineStr">
        <is>
          <t>label vote</t>
        </is>
      </c>
      <c r="H7" s="5" t="inlineStr">
        <is>
          <t>(none)</t>
        </is>
      </c>
      <c r="I7" s="5" t="inlineStr">
        <is>
          <t>no shear_wall type in its building has this size</t>
        </is>
      </c>
      <c r="J7" s="5" t="inlineStr"/>
      <c r="K7" s="5" t="n">
        <v>474</v>
      </c>
      <c r="L7" s="5" t="n">
        <v>25</v>
      </c>
      <c r="M7" s="10">
        <f>IF(AND(ISNUMBER(K7),L7&gt;0),K7/L7,"")</f>
        <v/>
      </c>
      <c r="N7" s="5" t="n">
        <v>1.188</v>
      </c>
      <c r="O7" s="5" t="n">
        <v>180</v>
      </c>
      <c r="P7" s="5" t="n">
        <v>1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4</v>
      </c>
      <c r="V7" s="5" t="n">
        <v>4</v>
      </c>
      <c r="W7" s="5" t="n"/>
      <c r="X7" s="5" t="inlineStr"/>
      <c r="Y7" s="5" t="n">
        <v>4870.8</v>
      </c>
      <c r="Z7" s="5" t="n">
        <v>861.3</v>
      </c>
      <c r="AA7" s="5" t="n">
        <v>5010.9</v>
      </c>
      <c r="AB7" s="5" t="n">
        <v>868.7</v>
      </c>
      <c r="AC7" s="5" t="inlineStr"/>
      <c r="AD7" s="5">
        <f>IF(AC7="","",IF(OR(AC7=F7,AND(AC7="crane_footing",F7="isolated_footing")),"yes","no"))</f>
        <v/>
      </c>
    </row>
    <row r="8">
      <c r="A8" s="5" t="n">
        <v>7</v>
      </c>
      <c r="B8" s="5" t="inlineStr">
        <is>
          <t>120</t>
        </is>
      </c>
      <c r="C8" s="5" t="inlineStr">
        <is>
          <t>nearest labels in its region</t>
        </is>
      </c>
      <c r="D8" s="5" t="inlineStr">
        <is>
          <t>solid</t>
        </is>
      </c>
      <c r="E8" s="5" t="n">
        <v>32</v>
      </c>
      <c r="F8" s="5" t="inlineStr">
        <is>
          <t>shear_wall</t>
        </is>
      </c>
      <c r="G8" s="5" t="inlineStr">
        <is>
          <t>label vote</t>
        </is>
      </c>
      <c r="H8" s="5" t="inlineStr">
        <is>
          <t>(none)</t>
        </is>
      </c>
      <c r="I8" s="5" t="inlineStr">
        <is>
          <t>no shear_wall type in its building has this size</t>
        </is>
      </c>
      <c r="J8" s="5" t="inlineStr"/>
      <c r="K8" s="5" t="n">
        <v>270</v>
      </c>
      <c r="L8" s="5" t="n">
        <v>25</v>
      </c>
      <c r="M8" s="10">
        <f>IF(AND(ISNUMBER(K8),L8&gt;0),K8/L8,"")</f>
        <v/>
      </c>
      <c r="N8" s="5" t="n">
        <v>0.6840000000000001</v>
      </c>
      <c r="O8" s="5" t="n">
        <v>90</v>
      </c>
      <c r="P8" s="5" t="n">
        <v>1</v>
      </c>
      <c r="Q8" s="5" t="n">
        <v>0</v>
      </c>
      <c r="R8" s="5" t="n">
        <v>0</v>
      </c>
      <c r="S8" s="5" t="n">
        <v>1</v>
      </c>
      <c r="T8" s="5" t="n">
        <v>0</v>
      </c>
      <c r="U8" s="5" t="n">
        <v>6</v>
      </c>
      <c r="V8" s="5" t="n">
        <v>2</v>
      </c>
      <c r="W8" s="5" t="n"/>
      <c r="X8" s="5" t="inlineStr"/>
      <c r="Y8" s="5" t="n">
        <v>5011</v>
      </c>
      <c r="Z8" s="5" t="n">
        <v>781.6</v>
      </c>
      <c r="AA8" s="5" t="n">
        <v>5018.5</v>
      </c>
      <c r="AB8" s="5" t="n">
        <v>861.3</v>
      </c>
      <c r="AC8" s="5" t="inlineStr"/>
      <c r="AD8" s="5">
        <f>IF(AC8="","",IF(OR(AC8=F8,AND(AC8="crane_footing",F8="isolated_footing")),"yes","no"))</f>
        <v/>
      </c>
    </row>
    <row r="9">
      <c r="A9" s="5" t="n">
        <v>8</v>
      </c>
      <c r="B9" s="5" t="inlineStr">
        <is>
          <t>120</t>
        </is>
      </c>
      <c r="C9" s="5" t="inlineStr">
        <is>
          <t>nearest labels in its region</t>
        </is>
      </c>
      <c r="D9" s="5" t="inlineStr">
        <is>
          <t>solid</t>
        </is>
      </c>
      <c r="E9" s="5" t="n">
        <v>30</v>
      </c>
      <c r="F9" s="5" t="inlineStr">
        <is>
          <t>shear_wall</t>
        </is>
      </c>
      <c r="G9" s="5" t="inlineStr">
        <is>
          <t>label vote</t>
        </is>
      </c>
      <c r="H9" s="5" t="inlineStr">
        <is>
          <t>(none)</t>
        </is>
      </c>
      <c r="I9" s="5" t="inlineStr">
        <is>
          <t>no shear_wall type in its building has this size</t>
        </is>
      </c>
      <c r="J9" s="5" t="inlineStr"/>
      <c r="K9" s="5" t="n">
        <v>424</v>
      </c>
      <c r="L9" s="5" t="n">
        <v>25</v>
      </c>
      <c r="M9" s="10">
        <f>IF(AND(ISNUMBER(K9),L9&gt;0),K9/L9,"")</f>
        <v/>
      </c>
      <c r="N9" s="5" t="n">
        <v>1.062</v>
      </c>
      <c r="O9" s="5" t="n">
        <v>180</v>
      </c>
      <c r="P9" s="5" t="n">
        <v>2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4</v>
      </c>
      <c r="V9" s="5" t="n">
        <v>0</v>
      </c>
      <c r="W9" s="5" t="n"/>
      <c r="X9" s="5" t="inlineStr"/>
      <c r="Y9" s="5" t="n">
        <v>4878.4</v>
      </c>
      <c r="Z9" s="5" t="n">
        <v>774.2</v>
      </c>
      <c r="AA9" s="5" t="n">
        <v>5003.8</v>
      </c>
      <c r="AB9" s="5" t="n">
        <v>781.7</v>
      </c>
      <c r="AC9" s="5" t="inlineStr"/>
      <c r="AD9" s="5">
        <f>IF(AC9="","",IF(OR(AC9=F9,AND(AC9="crane_footing",F9="isolated_footing")),"yes","no"))</f>
        <v/>
      </c>
    </row>
    <row r="10">
      <c r="A10" s="5" t="n">
        <v>9</v>
      </c>
      <c r="B10" s="5" t="inlineStr">
        <is>
          <t>120</t>
        </is>
      </c>
      <c r="C10" s="5" t="inlineStr">
        <is>
          <t>nearest labels in its region</t>
        </is>
      </c>
      <c r="D10" s="5" t="inlineStr">
        <is>
          <t>solid</t>
        </is>
      </c>
      <c r="E10" s="5" t="n">
        <v>30</v>
      </c>
      <c r="F10" s="5" t="inlineStr">
        <is>
          <t>shear_wall</t>
        </is>
      </c>
      <c r="G10" s="5" t="inlineStr">
        <is>
          <t>label vote</t>
        </is>
      </c>
      <c r="H10" s="5" t="inlineStr">
        <is>
          <t>(none)</t>
        </is>
      </c>
      <c r="I10" s="5" t="inlineStr">
        <is>
          <t>no shear_wall type in its building has this size</t>
        </is>
      </c>
      <c r="J10" s="5" t="inlineStr"/>
      <c r="K10" s="5" t="n">
        <v>287</v>
      </c>
      <c r="L10" s="5" t="n">
        <v>25</v>
      </c>
      <c r="M10" s="10">
        <f>IF(AND(ISNUMBER(K10),L10&gt;0),K10/L10,"")</f>
        <v/>
      </c>
      <c r="N10" s="5" t="n">
        <v>0.722</v>
      </c>
      <c r="O10" s="5" t="n">
        <v>180</v>
      </c>
      <c r="P10" s="5" t="n">
        <v>2</v>
      </c>
      <c r="Q10" s="5" t="n">
        <v>0</v>
      </c>
      <c r="R10" s="5" t="n">
        <v>0</v>
      </c>
      <c r="S10" s="5" t="n">
        <v>1</v>
      </c>
      <c r="T10" s="5" t="n">
        <v>0</v>
      </c>
      <c r="U10" s="5" t="n">
        <v>4</v>
      </c>
      <c r="V10" s="5" t="n">
        <v>0</v>
      </c>
      <c r="W10" s="5" t="n"/>
      <c r="X10" s="5" t="inlineStr"/>
      <c r="Y10" s="5" t="n">
        <v>4771.3</v>
      </c>
      <c r="Z10" s="5" t="n">
        <v>749.2</v>
      </c>
      <c r="AA10" s="5" t="n">
        <v>4856.1</v>
      </c>
      <c r="AB10" s="5" t="n">
        <v>756.6</v>
      </c>
      <c r="AC10" s="5" t="inlineStr"/>
      <c r="AD10" s="5">
        <f>IF(AC10="","",IF(OR(AC10=F10,AND(AC10="crane_footing",F10="isolated_footing")),"yes","no"))</f>
        <v/>
      </c>
    </row>
    <row r="11">
      <c r="A11" s="5" t="n">
        <v>10</v>
      </c>
      <c r="B11" s="5" t="inlineStr">
        <is>
          <t>120</t>
        </is>
      </c>
      <c r="C11" s="5" t="inlineStr">
        <is>
          <t>nearest labels in its region</t>
        </is>
      </c>
      <c r="D11" s="5" t="inlineStr">
        <is>
          <t>solid</t>
        </is>
      </c>
      <c r="E11" s="5" t="n">
        <v>32</v>
      </c>
      <c r="F11" s="5" t="inlineStr">
        <is>
          <t>shear_wall</t>
        </is>
      </c>
      <c r="G11" s="5" t="inlineStr">
        <is>
          <t>label vote</t>
        </is>
      </c>
      <c r="H11" s="5" t="inlineStr">
        <is>
          <t>(none)</t>
        </is>
      </c>
      <c r="I11" s="5" t="inlineStr">
        <is>
          <t>no shear_wall type in its building has this size</t>
        </is>
      </c>
      <c r="J11" s="5" t="inlineStr"/>
      <c r="K11" s="5" t="n">
        <v>175</v>
      </c>
      <c r="L11" s="5" t="n">
        <v>25</v>
      </c>
      <c r="M11" s="10">
        <f>IF(AND(ISNUMBER(K11),L11&gt;0),K11/L11,"")</f>
        <v/>
      </c>
      <c r="N11" s="5" t="n">
        <v>0.441</v>
      </c>
      <c r="O11" s="5" t="n">
        <v>89.90000000000001</v>
      </c>
      <c r="P11" s="5" t="n">
        <v>1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1</v>
      </c>
      <c r="V11" s="5" t="n">
        <v>2</v>
      </c>
      <c r="W11" s="5" t="n"/>
      <c r="X11" s="5" t="inlineStr"/>
      <c r="Y11" s="5" t="n">
        <v>4763.8</v>
      </c>
      <c r="Z11" s="5" t="n">
        <v>756.6</v>
      </c>
      <c r="AA11" s="5" t="n">
        <v>4771.3</v>
      </c>
      <c r="AB11" s="5" t="n">
        <v>808.2</v>
      </c>
      <c r="AC11" s="5" t="inlineStr"/>
      <c r="AD11" s="5">
        <f>IF(AC11="","",IF(OR(AC11=F11,AND(AC11="crane_footing",F11="isolated_footing")),"yes","no"))</f>
        <v/>
      </c>
    </row>
    <row r="12">
      <c r="A12" s="5" t="n">
        <v>11</v>
      </c>
      <c r="B12" s="5" t="inlineStr">
        <is>
          <t>120</t>
        </is>
      </c>
      <c r="C12" s="5" t="inlineStr">
        <is>
          <t>nearest labels in its region</t>
        </is>
      </c>
      <c r="D12" s="5" t="inlineStr">
        <is>
          <t>solid</t>
        </is>
      </c>
      <c r="E12" s="5" t="n">
        <v>32</v>
      </c>
      <c r="F12" s="5" t="inlineStr">
        <is>
          <t>shear_wall</t>
        </is>
      </c>
      <c r="G12" s="5" t="inlineStr">
        <is>
          <t>label vote</t>
        </is>
      </c>
      <c r="H12" s="5" t="inlineStr">
        <is>
          <t>(none)</t>
        </is>
      </c>
      <c r="I12" s="5" t="inlineStr">
        <is>
          <t>no shear_wall type in its building has this size</t>
        </is>
      </c>
      <c r="J12" s="5" t="inlineStr"/>
      <c r="K12" s="5" t="n">
        <v>158</v>
      </c>
      <c r="L12" s="5" t="n">
        <v>25</v>
      </c>
      <c r="M12" s="10">
        <f>IF(AND(ISNUMBER(K12),L12&gt;0),K12/L12,"")</f>
        <v/>
      </c>
      <c r="N12" s="5" t="n">
        <v>0.402</v>
      </c>
      <c r="O12" s="5" t="n">
        <v>89.90000000000001</v>
      </c>
      <c r="P12" s="5" t="n">
        <v>1</v>
      </c>
      <c r="Q12" s="5" t="n">
        <v>0</v>
      </c>
      <c r="R12" s="5" t="n">
        <v>0</v>
      </c>
      <c r="S12" s="5" t="n">
        <v>1</v>
      </c>
      <c r="T12" s="5" t="n">
        <v>0</v>
      </c>
      <c r="U12" s="5" t="n">
        <v>1</v>
      </c>
      <c r="V12" s="5" t="n">
        <v>2</v>
      </c>
      <c r="W12" s="5" t="n"/>
      <c r="X12" s="5" t="inlineStr"/>
      <c r="Y12" s="5" t="n">
        <v>4870.7</v>
      </c>
      <c r="Z12" s="5" t="n">
        <v>781.7</v>
      </c>
      <c r="AA12" s="5" t="n">
        <v>4878.3</v>
      </c>
      <c r="AB12" s="5" t="n">
        <v>828.2</v>
      </c>
      <c r="AC12" s="5" t="inlineStr"/>
      <c r="AD12" s="5">
        <f>IF(AC12="","",IF(OR(AC12=F12,AND(AC12="crane_footing",F12="isolated_footing")),"yes","no"))</f>
        <v/>
      </c>
    </row>
    <row r="13">
      <c r="A13" s="5" t="n">
        <v>12</v>
      </c>
      <c r="B13" s="5" t="inlineStr">
        <is>
          <t>120</t>
        </is>
      </c>
      <c r="C13" s="5" t="inlineStr">
        <is>
          <t>own label</t>
        </is>
      </c>
      <c r="D13" s="5" t="inlineStr">
        <is>
          <t>solid</t>
        </is>
      </c>
      <c r="E13" s="5" t="n">
        <v>36</v>
      </c>
      <c r="F13" s="5" t="inlineStr">
        <is>
          <t>shear_wall</t>
        </is>
      </c>
      <c r="G13" s="5" t="inlineStr">
        <is>
          <t>label vote</t>
        </is>
      </c>
      <c r="H13" s="5" t="inlineStr">
        <is>
          <t>V1/120</t>
        </is>
      </c>
      <c r="I13" s="5" t="inlineStr">
        <is>
          <t>printed label</t>
        </is>
      </c>
      <c r="J13" s="5" t="inlineStr">
        <is>
          <t>V1/120/120</t>
        </is>
      </c>
      <c r="K13" s="5" t="n">
        <v>200</v>
      </c>
      <c r="L13" s="5" t="n">
        <v>25</v>
      </c>
      <c r="M13" s="10">
        <f>IF(AND(ISNUMBER(K13),L13&gt;0),K13/L13,"")</f>
        <v/>
      </c>
      <c r="N13" s="5" t="n">
        <v>0.502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2</v>
      </c>
      <c r="V13" s="5" t="n">
        <v>3</v>
      </c>
      <c r="W13" s="5" t="n"/>
      <c r="X13" s="5" t="inlineStr"/>
      <c r="Y13" s="5" t="n">
        <v>4521.3</v>
      </c>
      <c r="Z13" s="5" t="n">
        <v>517.4</v>
      </c>
      <c r="AA13" s="5" t="n">
        <v>4580.3</v>
      </c>
      <c r="AB13" s="5" t="n">
        <v>524.9</v>
      </c>
      <c r="AC13" s="5" t="inlineStr">
        <is>
          <t>shear_wall</t>
        </is>
      </c>
      <c r="AD13" s="5">
        <f>IF(AC13="","",IF(OR(AC13=F13,AND(AC13="crane_footing",F13="isolated_footing")),"yes","no"))</f>
        <v/>
      </c>
    </row>
    <row r="14">
      <c r="A14" s="5" t="n">
        <v>13</v>
      </c>
      <c r="B14" s="5" t="inlineStr">
        <is>
          <t>120</t>
        </is>
      </c>
      <c r="C14" s="5" t="inlineStr">
        <is>
          <t>own label</t>
        </is>
      </c>
      <c r="D14" s="5" t="inlineStr">
        <is>
          <t>solid</t>
        </is>
      </c>
      <c r="E14" s="5" t="n">
        <v>36</v>
      </c>
      <c r="F14" s="5" t="inlineStr">
        <is>
          <t>shear_wall</t>
        </is>
      </c>
      <c r="G14" s="5" t="inlineStr">
        <is>
          <t>label vote</t>
        </is>
      </c>
      <c r="H14" s="5" t="inlineStr">
        <is>
          <t>V1/120</t>
        </is>
      </c>
      <c r="I14" s="5" t="inlineStr">
        <is>
          <t>printed label</t>
        </is>
      </c>
      <c r="J14" s="5" t="inlineStr">
        <is>
          <t>V1/120/120</t>
        </is>
      </c>
      <c r="K14" s="5" t="n">
        <v>200</v>
      </c>
      <c r="L14" s="5" t="n">
        <v>25</v>
      </c>
      <c r="M14" s="10">
        <f>IF(AND(ISNUMBER(K14),L14&gt;0),K14/L14,"")</f>
        <v/>
      </c>
      <c r="N14" s="5" t="n">
        <v>0.5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1</v>
      </c>
      <c r="T14" s="5" t="n">
        <v>0</v>
      </c>
      <c r="U14" s="5" t="n">
        <v>2</v>
      </c>
      <c r="V14" s="5" t="n">
        <v>2</v>
      </c>
      <c r="W14" s="5" t="n"/>
      <c r="X14" s="5" t="inlineStr"/>
      <c r="Y14" s="5" t="n">
        <v>4516.5</v>
      </c>
      <c r="Z14" s="5" t="n">
        <v>826.7</v>
      </c>
      <c r="AA14" s="5" t="n">
        <v>4575.6</v>
      </c>
      <c r="AB14" s="5" t="n">
        <v>834.2</v>
      </c>
      <c r="AC14" s="5" t="inlineStr">
        <is>
          <t>shear_wall</t>
        </is>
      </c>
      <c r="AD14" s="5">
        <f>IF(AC14="","",IF(OR(AC14=F14,AND(AC14="crane_footing",F14="isolated_footing")),"yes","no"))</f>
        <v/>
      </c>
    </row>
    <row r="15">
      <c r="A15" s="5" t="n">
        <v>14</v>
      </c>
      <c r="B15" s="5" t="inlineStr">
        <is>
          <t>120</t>
        </is>
      </c>
      <c r="C15" s="5" t="inlineStr">
        <is>
          <t>own label</t>
        </is>
      </c>
      <c r="D15" s="5" t="inlineStr">
        <is>
          <t>solid</t>
        </is>
      </c>
      <c r="E15" s="5" t="n">
        <v>36</v>
      </c>
      <c r="F15" s="5" t="inlineStr">
        <is>
          <t>shear_wall</t>
        </is>
      </c>
      <c r="G15" s="5" t="inlineStr">
        <is>
          <t>label vote</t>
        </is>
      </c>
      <c r="H15" s="5" t="inlineStr">
        <is>
          <t>V1/120</t>
        </is>
      </c>
      <c r="I15" s="5" t="inlineStr">
        <is>
          <t>printed label</t>
        </is>
      </c>
      <c r="J15" s="5" t="inlineStr">
        <is>
          <t>V1/120/120</t>
        </is>
      </c>
      <c r="K15" s="5" t="n">
        <v>200</v>
      </c>
      <c r="L15" s="5" t="n">
        <v>25</v>
      </c>
      <c r="M15" s="10">
        <f>IF(AND(ISNUMBER(K15),L15&gt;0),K15/L15,"")</f>
        <v/>
      </c>
      <c r="N15" s="5" t="n">
        <v>0.5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2</v>
      </c>
      <c r="V15" s="5" t="n">
        <v>2</v>
      </c>
      <c r="W15" s="5" t="n"/>
      <c r="X15" s="5" t="inlineStr"/>
      <c r="Y15" s="5" t="n">
        <v>4519.4</v>
      </c>
      <c r="Z15" s="5" t="n">
        <v>681.4</v>
      </c>
      <c r="AA15" s="5" t="n">
        <v>4578.4</v>
      </c>
      <c r="AB15" s="5" t="n">
        <v>688.7</v>
      </c>
      <c r="AC15" s="5" t="inlineStr">
        <is>
          <t>shear_wall</t>
        </is>
      </c>
      <c r="AD15" s="5">
        <f>IF(AC15="","",IF(OR(AC15=F15,AND(AC15="crane_footing",F15="isolated_footing")),"yes","no"))</f>
        <v/>
      </c>
    </row>
    <row r="16">
      <c r="A16" s="5" t="n">
        <v>15</v>
      </c>
      <c r="B16" s="5" t="inlineStr">
        <is>
          <t>120</t>
        </is>
      </c>
      <c r="C16" s="5" t="inlineStr">
        <is>
          <t>own label</t>
        </is>
      </c>
      <c r="D16" s="5" t="inlineStr">
        <is>
          <t>solid</t>
        </is>
      </c>
      <c r="E16" s="5" t="n">
        <v>36</v>
      </c>
      <c r="F16" s="5" t="inlineStr">
        <is>
          <t>shear_wall</t>
        </is>
      </c>
      <c r="G16" s="5" t="inlineStr">
        <is>
          <t>label vote</t>
        </is>
      </c>
      <c r="H16" s="5" t="inlineStr">
        <is>
          <t>V1/120</t>
        </is>
      </c>
      <c r="I16" s="5" t="inlineStr">
        <is>
          <t>printed label</t>
        </is>
      </c>
      <c r="J16" s="5" t="inlineStr">
        <is>
          <t>V1/120/120</t>
        </is>
      </c>
      <c r="K16" s="5" t="n">
        <v>200</v>
      </c>
      <c r="L16" s="5" t="n">
        <v>25</v>
      </c>
      <c r="M16" s="10">
        <f>IF(AND(ISNUMBER(K16),L16&gt;0),K16/L16,"")</f>
        <v/>
      </c>
      <c r="N16" s="5" t="n">
        <v>0.499</v>
      </c>
      <c r="O16" s="5" t="n">
        <v>0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  <c r="U16" s="5" t="n">
        <v>2</v>
      </c>
      <c r="V16" s="5" t="n">
        <v>2</v>
      </c>
      <c r="W16" s="5" t="n"/>
      <c r="X16" s="5" t="inlineStr"/>
      <c r="Y16" s="5" t="n">
        <v>4519.5</v>
      </c>
      <c r="Z16" s="5" t="n">
        <v>972.2</v>
      </c>
      <c r="AA16" s="5" t="n">
        <v>4578.5</v>
      </c>
      <c r="AB16" s="5" t="n">
        <v>979.5</v>
      </c>
      <c r="AC16" s="5" t="inlineStr">
        <is>
          <t>shear_wall</t>
        </is>
      </c>
      <c r="AD16" s="5">
        <f>IF(AC16="","",IF(OR(AC16=F16,AND(AC16="crane_footing",F16="isolated_footing")),"yes","no"))</f>
        <v/>
      </c>
    </row>
    <row r="17">
      <c r="A17" s="5" t="n">
        <v>16</v>
      </c>
      <c r="B17" s="5" t="inlineStr">
        <is>
          <t>120</t>
        </is>
      </c>
      <c r="C17" s="5" t="inlineStr">
        <is>
          <t>own label</t>
        </is>
      </c>
      <c r="D17" s="5" t="inlineStr">
        <is>
          <t>solid</t>
        </is>
      </c>
      <c r="E17" s="5" t="n">
        <v>36</v>
      </c>
      <c r="F17" s="5" t="inlineStr">
        <is>
          <t>shear_wall</t>
        </is>
      </c>
      <c r="G17" s="5" t="inlineStr">
        <is>
          <t>label vote</t>
        </is>
      </c>
      <c r="H17" s="5" t="inlineStr">
        <is>
          <t>V2/120</t>
        </is>
      </c>
      <c r="I17" s="5" t="inlineStr">
        <is>
          <t>printed label</t>
        </is>
      </c>
      <c r="J17" s="5" t="inlineStr">
        <is>
          <t>V2/120/120</t>
        </is>
      </c>
      <c r="K17" s="5" t="n">
        <v>125</v>
      </c>
      <c r="L17" s="5" t="n">
        <v>25</v>
      </c>
      <c r="M17" s="10">
        <f>IF(AND(ISNUMBER(K17),L17&gt;0),K17/L17,"")</f>
        <v/>
      </c>
      <c r="N17" s="5" t="n">
        <v>0.313</v>
      </c>
      <c r="O17" s="5" t="n">
        <v>179.7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2</v>
      </c>
      <c r="V17" s="5" t="n">
        <v>2</v>
      </c>
      <c r="W17" s="5" t="n"/>
      <c r="X17" s="5" t="inlineStr"/>
      <c r="Y17" s="5" t="n">
        <v>4516.6</v>
      </c>
      <c r="Z17" s="5" t="n">
        <v>1323</v>
      </c>
      <c r="AA17" s="5" t="n">
        <v>4553.6</v>
      </c>
      <c r="AB17" s="5" t="n">
        <v>1330.6</v>
      </c>
      <c r="AC17" s="5" t="inlineStr">
        <is>
          <t>shear_wall</t>
        </is>
      </c>
      <c r="AD17" s="5">
        <f>IF(AC17="","",IF(OR(AC17=F17,AND(AC17="crane_footing",F17="isolated_footing")),"yes","no"))</f>
        <v/>
      </c>
    </row>
    <row r="18">
      <c r="A18" s="5" t="n">
        <v>17</v>
      </c>
      <c r="B18" s="5" t="inlineStr">
        <is>
          <t>120</t>
        </is>
      </c>
      <c r="C18" s="5" t="inlineStr">
        <is>
          <t>own label (region says 121)</t>
        </is>
      </c>
      <c r="D18" s="5" t="inlineStr">
        <is>
          <t>solid</t>
        </is>
      </c>
      <c r="E18" s="5" t="n">
        <v>32</v>
      </c>
      <c r="F18" s="5" t="inlineStr">
        <is>
          <t>shear_wall</t>
        </is>
      </c>
      <c r="G18" s="5" t="inlineStr">
        <is>
          <t>label vote</t>
        </is>
      </c>
      <c r="H18" s="5" t="inlineStr">
        <is>
          <t>V2/120</t>
        </is>
      </c>
      <c r="I18" s="5" t="inlineStr">
        <is>
          <t>printed label</t>
        </is>
      </c>
      <c r="J18" s="5" t="inlineStr">
        <is>
          <t>V2/120/120</t>
        </is>
      </c>
      <c r="K18" s="5" t="n">
        <v>125</v>
      </c>
      <c r="L18" s="5" t="n">
        <v>25</v>
      </c>
      <c r="M18" s="10">
        <f>IF(AND(ISNUMBER(K18),L18&gt;0),K18/L18,"")</f>
        <v/>
      </c>
      <c r="N18" s="5" t="n">
        <v>0.312</v>
      </c>
      <c r="O18" s="5" t="n">
        <v>0</v>
      </c>
      <c r="P18" s="5" t="n">
        <v>1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2</v>
      </c>
      <c r="W18" s="5" t="n"/>
      <c r="X18" s="5" t="inlineStr"/>
      <c r="Y18" s="5" t="n">
        <v>4749.1</v>
      </c>
      <c r="Z18" s="5" t="n">
        <v>1323.2</v>
      </c>
      <c r="AA18" s="5" t="n">
        <v>4786.1</v>
      </c>
      <c r="AB18" s="5" t="n">
        <v>1330.5</v>
      </c>
      <c r="AC18" s="5" t="inlineStr"/>
      <c r="AD18" s="5">
        <f>IF(AC18="","",IF(OR(AC18=F18,AND(AC18="crane_footing",F18="isolated_footing")),"yes","no"))</f>
        <v/>
      </c>
    </row>
    <row r="19">
      <c r="A19" s="5" t="n">
        <v>18</v>
      </c>
      <c r="B19" s="5" t="inlineStr">
        <is>
          <t>120</t>
        </is>
      </c>
      <c r="C19" s="5" t="inlineStr">
        <is>
          <t>own label</t>
        </is>
      </c>
      <c r="D19" s="5" t="inlineStr">
        <is>
          <t>solid</t>
        </is>
      </c>
      <c r="E19" s="5" t="n">
        <v>36</v>
      </c>
      <c r="F19" s="5" t="inlineStr">
        <is>
          <t>shear_wall</t>
        </is>
      </c>
      <c r="G19" s="5" t="inlineStr">
        <is>
          <t>label vote</t>
        </is>
      </c>
      <c r="H19" s="5" t="inlineStr">
        <is>
          <t>V3/120</t>
        </is>
      </c>
      <c r="I19" s="5" t="inlineStr">
        <is>
          <t>printed label</t>
        </is>
      </c>
      <c r="J19" s="5" t="inlineStr">
        <is>
          <t>V3/120/120</t>
        </is>
      </c>
      <c r="K19" s="5" t="n">
        <v>125</v>
      </c>
      <c r="L19" s="5" t="n">
        <v>25</v>
      </c>
      <c r="M19" s="10">
        <f>IF(AND(ISNUMBER(K19),L19&gt;0),K19/L19,"")</f>
        <v/>
      </c>
      <c r="N19" s="5" t="n">
        <v>0.314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2</v>
      </c>
      <c r="V19" s="5" t="n">
        <v>2</v>
      </c>
      <c r="W19" s="5" t="n"/>
      <c r="X19" s="5" t="inlineStr"/>
      <c r="Y19" s="5" t="n">
        <v>4285</v>
      </c>
      <c r="Z19" s="5" t="n">
        <v>864.7</v>
      </c>
      <c r="AA19" s="5" t="n">
        <v>4321.9</v>
      </c>
      <c r="AB19" s="5" t="n">
        <v>872.1</v>
      </c>
      <c r="AC19" s="5" t="inlineStr">
        <is>
          <t>shear_wall</t>
        </is>
      </c>
      <c r="AD19" s="5">
        <f>IF(AC19="","",IF(OR(AC19=F19,AND(AC19="crane_footing",F19="isolated_footing")),"yes","no"))</f>
        <v/>
      </c>
    </row>
    <row r="20">
      <c r="A20" s="5" t="n">
        <v>19</v>
      </c>
      <c r="B20" s="5" t="inlineStr">
        <is>
          <t>120</t>
        </is>
      </c>
      <c r="C20" s="5" t="inlineStr">
        <is>
          <t>own label</t>
        </is>
      </c>
      <c r="D20" s="5" t="inlineStr">
        <is>
          <t>solid</t>
        </is>
      </c>
      <c r="E20" s="5" t="n">
        <v>36</v>
      </c>
      <c r="F20" s="5" t="inlineStr">
        <is>
          <t>shear_wall</t>
        </is>
      </c>
      <c r="G20" s="5" t="inlineStr">
        <is>
          <t>label vote</t>
        </is>
      </c>
      <c r="H20" s="5" t="inlineStr">
        <is>
          <t>V3/120</t>
        </is>
      </c>
      <c r="I20" s="5" t="inlineStr">
        <is>
          <t>printed label</t>
        </is>
      </c>
      <c r="J20" s="5" t="inlineStr">
        <is>
          <t>V3/120/120</t>
        </is>
      </c>
      <c r="K20" s="5" t="n">
        <v>125</v>
      </c>
      <c r="L20" s="5" t="n">
        <v>25</v>
      </c>
      <c r="M20" s="10">
        <f>IF(AND(ISNUMBER(K20),L20&gt;0),K20/L20,"")</f>
        <v/>
      </c>
      <c r="N20" s="5" t="n">
        <v>0.313</v>
      </c>
      <c r="O20" s="5" t="n">
        <v>0.1</v>
      </c>
      <c r="P20" s="5" t="n">
        <v>0</v>
      </c>
      <c r="Q20" s="5" t="n">
        <v>0</v>
      </c>
      <c r="R20" s="5" t="n">
        <v>0</v>
      </c>
      <c r="S20" s="5" t="n">
        <v>1</v>
      </c>
      <c r="T20" s="5" t="n">
        <v>0</v>
      </c>
      <c r="U20" s="5" t="n">
        <v>2</v>
      </c>
      <c r="V20" s="5" t="n">
        <v>2</v>
      </c>
      <c r="W20" s="5" t="n"/>
      <c r="X20" s="5" t="inlineStr"/>
      <c r="Y20" s="5" t="n">
        <v>4253.5</v>
      </c>
      <c r="Z20" s="5" t="n">
        <v>1323.1</v>
      </c>
      <c r="AA20" s="5" t="n">
        <v>4290.5</v>
      </c>
      <c r="AB20" s="5" t="n">
        <v>1330.5</v>
      </c>
      <c r="AC20" s="5" t="inlineStr">
        <is>
          <t>shear_wall</t>
        </is>
      </c>
      <c r="AD20" s="5">
        <f>IF(AC20="","",IF(OR(AC20=F20,AND(AC20="crane_footing",F20="isolated_footing")),"yes","no"))</f>
        <v/>
      </c>
    </row>
    <row r="21">
      <c r="A21" s="5" t="n">
        <v>20</v>
      </c>
      <c r="B21" s="5" t="inlineStr">
        <is>
          <t>120</t>
        </is>
      </c>
      <c r="C21" s="5" t="inlineStr">
        <is>
          <t>own label</t>
        </is>
      </c>
      <c r="D21" s="5" t="inlineStr">
        <is>
          <t>solid</t>
        </is>
      </c>
      <c r="E21" s="5" t="n">
        <v>36</v>
      </c>
      <c r="F21" s="5" t="inlineStr">
        <is>
          <t>shear_wall</t>
        </is>
      </c>
      <c r="G21" s="5" t="inlineStr">
        <is>
          <t>label vote</t>
        </is>
      </c>
      <c r="H21" s="5" t="inlineStr">
        <is>
          <t>V3/120</t>
        </is>
      </c>
      <c r="I21" s="5" t="inlineStr">
        <is>
          <t>printed label</t>
        </is>
      </c>
      <c r="J21" s="5" t="inlineStr">
        <is>
          <t>V3/120/120</t>
        </is>
      </c>
      <c r="K21" s="5" t="n">
        <v>125</v>
      </c>
      <c r="L21" s="5" t="n">
        <v>25</v>
      </c>
      <c r="M21" s="10">
        <f>IF(AND(ISNUMBER(K21),L21&gt;0),K21/L21,"")</f>
        <v/>
      </c>
      <c r="N21" s="5" t="n">
        <v>0.313</v>
      </c>
      <c r="O21" s="5" t="n">
        <v>0.1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2</v>
      </c>
      <c r="W21" s="5" t="n"/>
      <c r="X21" s="5" t="inlineStr"/>
      <c r="Y21" s="5" t="n">
        <v>4284.8</v>
      </c>
      <c r="Z21" s="5" t="n">
        <v>1094.2</v>
      </c>
      <c r="AA21" s="5" t="n">
        <v>4321.7</v>
      </c>
      <c r="AB21" s="5" t="n">
        <v>1101.6</v>
      </c>
      <c r="AC21" s="5" t="inlineStr">
        <is>
          <t>shear_wall</t>
        </is>
      </c>
      <c r="AD21" s="5">
        <f>IF(AC21="","",IF(OR(AC21=F21,AND(AC21="crane_footing",F21="isolated_footing")),"yes","no"))</f>
        <v/>
      </c>
    </row>
    <row r="22">
      <c r="A22" s="5" t="n">
        <v>21</v>
      </c>
      <c r="B22" s="5" t="inlineStr">
        <is>
          <t>120</t>
        </is>
      </c>
      <c r="C22" s="5" t="inlineStr">
        <is>
          <t>own label</t>
        </is>
      </c>
      <c r="D22" s="5" t="inlineStr">
        <is>
          <t>solid</t>
        </is>
      </c>
      <c r="E22" s="5" t="n">
        <v>36</v>
      </c>
      <c r="F22" s="5" t="inlineStr">
        <is>
          <t>shear_wall</t>
        </is>
      </c>
      <c r="G22" s="5" t="inlineStr">
        <is>
          <t>label vote</t>
        </is>
      </c>
      <c r="H22" s="5" t="inlineStr">
        <is>
          <t>V3/120</t>
        </is>
      </c>
      <c r="I22" s="5" t="inlineStr">
        <is>
          <t>printed label</t>
        </is>
      </c>
      <c r="J22" s="5" t="inlineStr">
        <is>
          <t>V3/120120</t>
        </is>
      </c>
      <c r="K22" s="5" t="n">
        <v>125</v>
      </c>
      <c r="L22" s="5" t="n">
        <v>25</v>
      </c>
      <c r="M22" s="10">
        <f>IF(AND(ISNUMBER(K22),L22&gt;0),K22/L22,"")</f>
        <v/>
      </c>
      <c r="N22" s="5" t="n">
        <v>0.313</v>
      </c>
      <c r="O22" s="5" t="n">
        <v>0.1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  <c r="U22" s="5" t="n">
        <v>3</v>
      </c>
      <c r="V22" s="5" t="n">
        <v>2</v>
      </c>
      <c r="W22" s="5" t="n"/>
      <c r="X22" s="5" t="inlineStr"/>
      <c r="Y22" s="5" t="n">
        <v>4285.2</v>
      </c>
      <c r="Z22" s="5" t="n">
        <v>635.6</v>
      </c>
      <c r="AA22" s="5" t="n">
        <v>4322.1</v>
      </c>
      <c r="AB22" s="5" t="n">
        <v>643</v>
      </c>
      <c r="AC22" s="5" t="inlineStr">
        <is>
          <t>shear_wall</t>
        </is>
      </c>
      <c r="AD22" s="5">
        <f>IF(AC22="","",IF(OR(AC22=F22,AND(AC22="crane_footing",F22="isolated_footing")),"yes","no"))</f>
        <v/>
      </c>
    </row>
    <row r="23">
      <c r="A23" s="5" t="n">
        <v>22</v>
      </c>
      <c r="B23" s="5" t="inlineStr">
        <is>
          <t>120</t>
        </is>
      </c>
      <c r="C23" s="5" t="inlineStr">
        <is>
          <t>own label</t>
        </is>
      </c>
      <c r="D23" s="5" t="inlineStr">
        <is>
          <t>solid</t>
        </is>
      </c>
      <c r="E23" s="5" t="n">
        <v>32</v>
      </c>
      <c r="F23" s="5" t="inlineStr">
        <is>
          <t>shear_wall</t>
        </is>
      </c>
      <c r="G23" s="5" t="inlineStr">
        <is>
          <t>label vote</t>
        </is>
      </c>
      <c r="H23" s="5" t="inlineStr">
        <is>
          <t>V4/120</t>
        </is>
      </c>
      <c r="I23" s="5" t="inlineStr">
        <is>
          <t>printed label</t>
        </is>
      </c>
      <c r="J23" s="5" t="inlineStr">
        <is>
          <t>V4/120/120</t>
        </is>
      </c>
      <c r="K23" s="5" t="n">
        <v>200</v>
      </c>
      <c r="L23" s="5" t="n">
        <v>25</v>
      </c>
      <c r="M23" s="10">
        <f>IF(AND(ISNUMBER(K23),L23&gt;0),K23/L23,"")</f>
        <v/>
      </c>
      <c r="N23" s="5" t="n">
        <v>0.5</v>
      </c>
      <c r="O23" s="5" t="n">
        <v>90.09999999999999</v>
      </c>
      <c r="P23" s="5" t="n">
        <v>1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/>
      <c r="X23" s="5" t="inlineStr"/>
      <c r="Y23" s="5" t="n">
        <v>4763.6</v>
      </c>
      <c r="Z23" s="5" t="n">
        <v>416.7</v>
      </c>
      <c r="AA23" s="5" t="n">
        <v>4771.1</v>
      </c>
      <c r="AB23" s="5" t="n">
        <v>475.8</v>
      </c>
      <c r="AC23" s="5" t="inlineStr"/>
      <c r="AD23" s="5">
        <f>IF(AC23="","",IF(OR(AC23=F23,AND(AC23="crane_footing",F23="isolated_footing")),"yes","no"))</f>
        <v/>
      </c>
    </row>
    <row r="24">
      <c r="A24" s="5" t="n">
        <v>23</v>
      </c>
      <c r="B24" s="5" t="inlineStr">
        <is>
          <t>120</t>
        </is>
      </c>
      <c r="C24" s="5" t="inlineStr">
        <is>
          <t>own label</t>
        </is>
      </c>
      <c r="D24" s="5" t="inlineStr">
        <is>
          <t>solid</t>
        </is>
      </c>
      <c r="E24" s="5" t="n">
        <v>36</v>
      </c>
      <c r="F24" s="5" t="inlineStr">
        <is>
          <t>shear_wall</t>
        </is>
      </c>
      <c r="G24" s="5" t="inlineStr">
        <is>
          <t>label vote</t>
        </is>
      </c>
      <c r="H24" s="5" t="inlineStr">
        <is>
          <t>V4/120</t>
        </is>
      </c>
      <c r="I24" s="5" t="inlineStr">
        <is>
          <t>printed label</t>
        </is>
      </c>
      <c r="J24" s="5" t="inlineStr">
        <is>
          <t>V4/120/120</t>
        </is>
      </c>
      <c r="K24" s="5" t="n">
        <v>200</v>
      </c>
      <c r="L24" s="5" t="n">
        <v>25</v>
      </c>
      <c r="M24" s="10">
        <f>IF(AND(ISNUMBER(K24),L24&gt;0),K24/L24,"")</f>
        <v/>
      </c>
      <c r="N24" s="5" t="n">
        <v>0.5</v>
      </c>
      <c r="O24" s="5" t="n">
        <v>90</v>
      </c>
      <c r="P24" s="5" t="n">
        <v>0</v>
      </c>
      <c r="Q24" s="5" t="n">
        <v>0</v>
      </c>
      <c r="R24" s="5" t="n">
        <v>0</v>
      </c>
      <c r="S24" s="5" t="n">
        <v>1</v>
      </c>
      <c r="T24" s="5" t="n">
        <v>0</v>
      </c>
      <c r="U24" s="5" t="n">
        <v>2</v>
      </c>
      <c r="V24" s="5" t="n">
        <v>0</v>
      </c>
      <c r="W24" s="5" t="n"/>
      <c r="X24" s="5" t="inlineStr"/>
      <c r="Y24" s="5" t="n">
        <v>4644.1</v>
      </c>
      <c r="Z24" s="5" t="n">
        <v>425.8</v>
      </c>
      <c r="AA24" s="5" t="n">
        <v>4651.4</v>
      </c>
      <c r="AB24" s="5" t="n">
        <v>484.9</v>
      </c>
      <c r="AC24" s="5" t="inlineStr">
        <is>
          <t>shear_wall</t>
        </is>
      </c>
      <c r="AD24" s="5">
        <f>IF(AC24="","",IF(OR(AC24=F24,AND(AC24="crane_footing",F24="isolated_footing")),"yes","no"))</f>
        <v/>
      </c>
    </row>
    <row r="25">
      <c r="A25" s="5" t="n">
        <v>24</v>
      </c>
      <c r="B25" s="5" t="inlineStr">
        <is>
          <t>120</t>
        </is>
      </c>
      <c r="C25" s="5" t="inlineStr">
        <is>
          <t>own label</t>
        </is>
      </c>
      <c r="D25" s="5" t="inlineStr">
        <is>
          <t>solid</t>
        </is>
      </c>
      <c r="E25" s="5" t="n">
        <v>32</v>
      </c>
      <c r="F25" s="5" t="inlineStr">
        <is>
          <t>shear_wall</t>
        </is>
      </c>
      <c r="G25" s="5" t="inlineStr">
        <is>
          <t>label vote</t>
        </is>
      </c>
      <c r="H25" s="5" t="inlineStr">
        <is>
          <t>V5/120</t>
        </is>
      </c>
      <c r="I25" s="5" t="inlineStr">
        <is>
          <t>printed label</t>
        </is>
      </c>
      <c r="J25" s="5" t="inlineStr">
        <is>
          <t>V5/120/120</t>
        </is>
      </c>
      <c r="K25" s="5" t="n">
        <v>300</v>
      </c>
      <c r="L25" s="5" t="n">
        <v>25</v>
      </c>
      <c r="M25" s="10">
        <f>IF(AND(ISNUMBER(K25),L25&gt;0),K25/L25,"")</f>
        <v/>
      </c>
      <c r="N25" s="5" t="n">
        <v>0.752</v>
      </c>
      <c r="O25" s="5" t="n">
        <v>90</v>
      </c>
      <c r="P25" s="5" t="n">
        <v>1</v>
      </c>
      <c r="Q25" s="5" t="n">
        <v>1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0</v>
      </c>
      <c r="W25" s="5" t="n"/>
      <c r="X25" s="5" t="inlineStr"/>
      <c r="Y25" s="5" t="n">
        <v>4763.8</v>
      </c>
      <c r="Z25" s="5" t="n">
        <v>1046.6</v>
      </c>
      <c r="AA25" s="5" t="n">
        <v>4771.2</v>
      </c>
      <c r="AB25" s="5" t="n">
        <v>1135.2</v>
      </c>
      <c r="AC25" s="5" t="inlineStr"/>
      <c r="AD25" s="5">
        <f>IF(AC25="","",IF(OR(AC25=F25,AND(AC25="crane_footing",F25="isolated_footing")),"yes","no"))</f>
        <v/>
      </c>
    </row>
    <row r="26">
      <c r="A26" s="5" t="n">
        <v>25</v>
      </c>
      <c r="B26" s="5" t="inlineStr">
        <is>
          <t>120</t>
        </is>
      </c>
      <c r="C26" s="5" t="inlineStr">
        <is>
          <t>own label</t>
        </is>
      </c>
      <c r="D26" s="5" t="inlineStr">
        <is>
          <t>solid</t>
        </is>
      </c>
      <c r="E26" s="5" t="n">
        <v>32</v>
      </c>
      <c r="F26" s="5" t="inlineStr">
        <is>
          <t>shear_wall</t>
        </is>
      </c>
      <c r="G26" s="5" t="inlineStr">
        <is>
          <t>label vote</t>
        </is>
      </c>
      <c r="H26" s="5" t="inlineStr">
        <is>
          <t>V8/120</t>
        </is>
      </c>
      <c r="I26" s="5" t="inlineStr">
        <is>
          <t>printed label</t>
        </is>
      </c>
      <c r="J26" s="5" t="inlineStr">
        <is>
          <t>V8/120/120</t>
        </is>
      </c>
      <c r="K26" s="5" t="n">
        <v>250</v>
      </c>
      <c r="L26" s="5" t="n">
        <v>25</v>
      </c>
      <c r="M26" s="10">
        <f>IF(AND(ISNUMBER(K26),L26&gt;0),K26/L26,"")</f>
        <v/>
      </c>
      <c r="N26" s="5" t="n">
        <v>0.625</v>
      </c>
      <c r="O26" s="5" t="n">
        <v>90.09999999999999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  <c r="U26" s="5" t="n">
        <v>1</v>
      </c>
      <c r="V26" s="5" t="n">
        <v>0</v>
      </c>
      <c r="W26" s="5" t="n"/>
      <c r="X26" s="5" t="inlineStr"/>
      <c r="Y26" s="5" t="n">
        <v>4763.7</v>
      </c>
      <c r="Z26" s="5" t="n">
        <v>561.5</v>
      </c>
      <c r="AA26" s="5" t="n">
        <v>4771.2</v>
      </c>
      <c r="AB26" s="5" t="n">
        <v>635.3</v>
      </c>
      <c r="AC26" s="5" t="inlineStr"/>
      <c r="AD26" s="5">
        <f>IF(AC26="","",IF(OR(AC26=F26,AND(AC26="crane_footing",F26="isolated_footing")),"yes","no"))</f>
        <v/>
      </c>
    </row>
    <row r="27">
      <c r="A27" s="5" t="n">
        <v>26</v>
      </c>
      <c r="B27" s="5" t="inlineStr">
        <is>
          <t>120</t>
        </is>
      </c>
      <c r="C27" s="5" t="inlineStr">
        <is>
          <t>own label</t>
        </is>
      </c>
      <c r="D27" s="5" t="inlineStr">
        <is>
          <t>solid</t>
        </is>
      </c>
      <c r="E27" s="5" t="n">
        <v>35</v>
      </c>
      <c r="F27" s="5" t="inlineStr">
        <is>
          <t>shear_wall</t>
        </is>
      </c>
      <c r="G27" s="5" t="inlineStr">
        <is>
          <t>label vote</t>
        </is>
      </c>
      <c r="H27" s="5" t="inlineStr">
        <is>
          <t>V9/120</t>
        </is>
      </c>
      <c r="I27" s="5" t="inlineStr">
        <is>
          <t>printed label</t>
        </is>
      </c>
      <c r="J27" s="5" t="inlineStr">
        <is>
          <t>V9/120/120</t>
        </is>
      </c>
      <c r="K27" s="5" t="n">
        <v>200</v>
      </c>
      <c r="L27" s="5" t="n">
        <v>30</v>
      </c>
      <c r="M27" s="10">
        <f>IF(AND(ISNUMBER(K27),L27&gt;0),K27/L27,"")</f>
        <v/>
      </c>
      <c r="N27" s="5" t="n">
        <v>0.601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2</v>
      </c>
      <c r="V27" s="5" t="n">
        <v>2</v>
      </c>
      <c r="W27" s="5" t="n"/>
      <c r="X27" s="5" t="inlineStr"/>
      <c r="Y27" s="5" t="n">
        <v>4516.6</v>
      </c>
      <c r="Z27" s="5" t="n">
        <v>1139.7</v>
      </c>
      <c r="AA27" s="5" t="n">
        <v>4575.6</v>
      </c>
      <c r="AB27" s="5" t="n">
        <v>1148.6</v>
      </c>
      <c r="AC27" s="5" t="inlineStr">
        <is>
          <t>shear_wall</t>
        </is>
      </c>
      <c r="AD27" s="5">
        <f>IF(AC27="","",IF(OR(AC27=F27,AND(AC27="crane_footing",F27="isolated_footing")),"yes","no"))</f>
        <v/>
      </c>
    </row>
    <row r="28">
      <c r="A28" s="5" t="n">
        <v>27</v>
      </c>
      <c r="B28" s="5" t="inlineStr">
        <is>
          <t>120</t>
        </is>
      </c>
      <c r="C28" s="5" t="inlineStr">
        <is>
          <t>nearest labels in its region</t>
        </is>
      </c>
      <c r="D28" s="5" t="inlineStr">
        <is>
          <t>solid</t>
        </is>
      </c>
      <c r="E28" s="5" t="n">
        <v>33</v>
      </c>
      <c r="F28" s="5" t="inlineStr">
        <is>
          <t>retaining_wall</t>
        </is>
      </c>
      <c r="G28" s="5" t="inlineStr">
        <is>
          <t>label vote</t>
        </is>
      </c>
      <c r="H28" s="5" t="inlineStr">
        <is>
          <t>VP20</t>
        </is>
      </c>
      <c r="I28" s="5" t="inlineStr">
        <is>
          <t>inferred: the only retaining_wall type with this size</t>
        </is>
      </c>
      <c r="J28" s="5" t="inlineStr"/>
      <c r="K28" s="5" t="n">
        <v>2869</v>
      </c>
      <c r="L28" s="5" t="n">
        <v>20</v>
      </c>
      <c r="M28" s="10">
        <f>IF(AND(ISNUMBER(K28),L28&gt;0),K28/L28,"")</f>
        <v/>
      </c>
      <c r="N28" s="5" t="n">
        <v>5.7</v>
      </c>
      <c r="O28" s="5" t="n">
        <v>90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  <c r="U28" s="5" t="n">
        <v>48</v>
      </c>
      <c r="V28" s="5" t="n">
        <v>5</v>
      </c>
      <c r="W28" s="5" t="n"/>
      <c r="X28" s="5" t="inlineStr"/>
      <c r="Y28" s="5" t="n">
        <v>4159.1</v>
      </c>
      <c r="Z28" s="5" t="n">
        <v>483.6</v>
      </c>
      <c r="AA28" s="5" t="n">
        <v>4165.5</v>
      </c>
      <c r="AB28" s="5" t="n">
        <v>1330.7</v>
      </c>
      <c r="AC28" s="5" t="inlineStr"/>
      <c r="AD28" s="5">
        <f>IF(AC28="","",IF(OR(AC28=F28,AND(AC28="crane_footing",F28="isolated_footing")),"yes","no"))</f>
        <v/>
      </c>
    </row>
    <row r="29">
      <c r="A29" s="5" t="n">
        <v>28</v>
      </c>
      <c r="B29" s="5" t="inlineStr">
        <is>
          <t>120</t>
        </is>
      </c>
      <c r="C29" s="5" t="inlineStr">
        <is>
          <t>nearest labels in its region</t>
        </is>
      </c>
      <c r="D29" s="5" t="inlineStr">
        <is>
          <t>solid</t>
        </is>
      </c>
      <c r="E29" s="5" t="n">
        <v>33</v>
      </c>
      <c r="F29" s="5" t="inlineStr">
        <is>
          <t>retaining_wall</t>
        </is>
      </c>
      <c r="G29" s="5" t="inlineStr">
        <is>
          <t>label vote</t>
        </is>
      </c>
      <c r="H29" s="5" t="inlineStr">
        <is>
          <t>VP20</t>
        </is>
      </c>
      <c r="I29" s="5" t="inlineStr">
        <is>
          <t>inferred: the only retaining_wall type with this size</t>
        </is>
      </c>
      <c r="J29" s="5" t="inlineStr"/>
      <c r="K29" s="5" t="n">
        <v>2055</v>
      </c>
      <c r="L29" s="5" t="n">
        <v>20</v>
      </c>
      <c r="M29" s="10">
        <f>IF(AND(ISNUMBER(K29),L29&gt;0),K29/L29,"")</f>
        <v/>
      </c>
      <c r="N29" s="5" t="n">
        <v>4.06</v>
      </c>
      <c r="O29" s="5" t="n">
        <v>172.6</v>
      </c>
      <c r="P29" s="5" t="n">
        <v>1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2</v>
      </c>
      <c r="V29" s="5" t="n">
        <v>1</v>
      </c>
      <c r="W29" s="5" t="n"/>
      <c r="X29" s="5" t="inlineStr"/>
      <c r="Y29" s="5" t="n">
        <v>4159.6</v>
      </c>
      <c r="Z29" s="5" t="n">
        <v>404.5</v>
      </c>
      <c r="AA29" s="5" t="n">
        <v>4761.8</v>
      </c>
      <c r="AB29" s="5" t="n">
        <v>486.5</v>
      </c>
      <c r="AC29" s="5" t="inlineStr"/>
      <c r="AD29" s="5">
        <f>IF(AC29="","",IF(OR(AC29=F29,AND(AC29="crane_footing",F29="isolated_footing")),"yes","no"))</f>
        <v/>
      </c>
    </row>
    <row r="30">
      <c r="A30" s="5" t="n">
        <v>29</v>
      </c>
      <c r="B30" s="5" t="inlineStr">
        <is>
          <t>120</t>
        </is>
      </c>
      <c r="C30" s="5" t="inlineStr">
        <is>
          <t>nearest labels in its region</t>
        </is>
      </c>
      <c r="D30" s="5" t="inlineStr">
        <is>
          <t>solid</t>
        </is>
      </c>
      <c r="E30" s="5" t="n">
        <v>28</v>
      </c>
      <c r="F30" s="5" t="inlineStr">
        <is>
          <t>retaining_wall</t>
        </is>
      </c>
      <c r="G30" s="5" t="inlineStr">
        <is>
          <t>label vote</t>
        </is>
      </c>
      <c r="H30" s="5" t="inlineStr">
        <is>
          <t>VP20</t>
        </is>
      </c>
      <c r="I30" s="5" t="inlineStr">
        <is>
          <t>inferred: the only retaining_wall type with this size</t>
        </is>
      </c>
      <c r="J30" s="5" t="inlineStr"/>
      <c r="K30" s="5" t="n">
        <v>1129</v>
      </c>
      <c r="L30" s="5" t="n">
        <v>20</v>
      </c>
      <c r="M30" s="10">
        <f>IF(AND(ISNUMBER(K30),L30&gt;0),K30/L30,"")</f>
        <v/>
      </c>
      <c r="N30" s="5" t="n">
        <v>2.246</v>
      </c>
      <c r="O30" s="5" t="n">
        <v>90</v>
      </c>
      <c r="P30" s="5" t="n">
        <v>3</v>
      </c>
      <c r="Q30" s="5" t="n">
        <v>0</v>
      </c>
      <c r="R30" s="5" t="n">
        <v>0</v>
      </c>
      <c r="S30" s="5" t="n">
        <v>0</v>
      </c>
      <c r="T30" s="5" t="n">
        <v>2</v>
      </c>
      <c r="U30" s="5" t="n">
        <v>26</v>
      </c>
      <c r="V30" s="5" t="n">
        <v>3</v>
      </c>
      <c r="W30" s="5" t="n"/>
      <c r="X30" s="5" t="inlineStr"/>
      <c r="Y30" s="5" t="n">
        <v>4765.2</v>
      </c>
      <c r="Z30" s="5" t="n">
        <v>415.9</v>
      </c>
      <c r="AA30" s="5" t="n">
        <v>4771.1</v>
      </c>
      <c r="AB30" s="5" t="n">
        <v>749.2</v>
      </c>
      <c r="AC30" s="5" t="inlineStr"/>
      <c r="AD30" s="5">
        <f>IF(AC30="","",IF(OR(AC30=F30,AND(AC30="crane_footing",F30="isolated_footing")),"yes","no"))</f>
        <v/>
      </c>
    </row>
    <row r="31">
      <c r="A31" s="5" t="n">
        <v>30</v>
      </c>
      <c r="B31" s="5" t="inlineStr">
        <is>
          <t>120</t>
        </is>
      </c>
      <c r="C31" s="5" t="inlineStr">
        <is>
          <t>nearest labels in its region</t>
        </is>
      </c>
      <c r="D31" s="5" t="inlineStr">
        <is>
          <t>solid</t>
        </is>
      </c>
      <c r="E31" s="5" t="n">
        <v>28</v>
      </c>
      <c r="F31" s="5" t="inlineStr">
        <is>
          <t>retaining_wall</t>
        </is>
      </c>
      <c r="G31" s="5" t="inlineStr">
        <is>
          <t>label vote</t>
        </is>
      </c>
      <c r="H31" s="5" t="inlineStr">
        <is>
          <t>VP20</t>
        </is>
      </c>
      <c r="I31" s="5" t="inlineStr">
        <is>
          <t>inferred: the only retaining_wall type with this size</t>
        </is>
      </c>
      <c r="J31" s="5" t="inlineStr"/>
      <c r="K31" s="5" t="n">
        <v>1849</v>
      </c>
      <c r="L31" s="5" t="n">
        <v>20</v>
      </c>
      <c r="M31" s="10">
        <f>IF(AND(ISNUMBER(K31),L31&gt;0),K31/L31,"")</f>
        <v/>
      </c>
      <c r="N31" s="5" t="n">
        <v>3.705</v>
      </c>
      <c r="O31" s="5" t="n">
        <v>90</v>
      </c>
      <c r="P31" s="5" t="n">
        <v>3</v>
      </c>
      <c r="Q31" s="5" t="n">
        <v>0</v>
      </c>
      <c r="R31" s="5" t="n">
        <v>0</v>
      </c>
      <c r="S31" s="5" t="n">
        <v>0</v>
      </c>
      <c r="T31" s="5" t="n">
        <v>1</v>
      </c>
      <c r="U31" s="5" t="n">
        <v>37</v>
      </c>
      <c r="V31" s="5" t="n">
        <v>5</v>
      </c>
      <c r="W31" s="5" t="n"/>
      <c r="X31" s="5" t="inlineStr"/>
      <c r="Y31" s="5" t="n">
        <v>4765.5</v>
      </c>
      <c r="Z31" s="5" t="n">
        <v>976.5</v>
      </c>
      <c r="AA31" s="5" t="n">
        <v>4771.5</v>
      </c>
      <c r="AB31" s="5" t="n">
        <v>1522.5</v>
      </c>
      <c r="AC31" s="5" t="inlineStr"/>
      <c r="AD31" s="5">
        <f>IF(AC31="","",IF(OR(AC31=F31,AND(AC31="crane_footing",F31="isolated_footing")),"yes","no"))</f>
        <v/>
      </c>
    </row>
    <row r="32">
      <c r="A32" s="5" t="n">
        <v>31</v>
      </c>
      <c r="B32" s="5" t="inlineStr">
        <is>
          <t>120</t>
        </is>
      </c>
      <c r="C32" s="5" t="inlineStr">
        <is>
          <t>own label</t>
        </is>
      </c>
      <c r="D32" s="5" t="inlineStr">
        <is>
          <t>outline</t>
        </is>
      </c>
      <c r="E32" s="5" t="n">
        <v>17</v>
      </c>
      <c r="F32" s="5" t="inlineStr">
        <is>
          <t>isolated_footing</t>
        </is>
      </c>
      <c r="G32" s="5" t="inlineStr">
        <is>
          <t>label vote</t>
        </is>
      </c>
      <c r="H32" s="5" t="inlineStr">
        <is>
          <t>S1</t>
        </is>
      </c>
      <c r="I32" s="5" t="inlineStr">
        <is>
          <t>printed label</t>
        </is>
      </c>
      <c r="J32" s="5" t="inlineStr">
        <is>
          <t>S1-120120</t>
        </is>
      </c>
      <c r="K32" s="5" t="n">
        <v>280</v>
      </c>
      <c r="L32" s="5" t="n">
        <v>280</v>
      </c>
      <c r="M32" s="10">
        <f>IF(AND(ISNUMBER(K32),L32&gt;0),K32/L32,"")</f>
        <v/>
      </c>
      <c r="N32" s="5" t="n">
        <v>7.843</v>
      </c>
      <c r="O32" s="5" t="n">
        <v>90</v>
      </c>
      <c r="P32" s="5" t="n">
        <v>3</v>
      </c>
      <c r="Q32" s="5" t="n">
        <v>0</v>
      </c>
      <c r="R32" s="5" t="n">
        <v>0</v>
      </c>
      <c r="S32" s="5" t="n">
        <v>0</v>
      </c>
      <c r="T32" s="5" t="n">
        <v>1</v>
      </c>
      <c r="U32" s="5" t="n">
        <v>34</v>
      </c>
      <c r="V32" s="5" t="n">
        <v>0</v>
      </c>
      <c r="W32" s="5" t="n"/>
      <c r="X32" s="5" t="inlineStr"/>
      <c r="Y32" s="5" t="n">
        <v>4726</v>
      </c>
      <c r="Z32" s="5" t="n">
        <v>404.9</v>
      </c>
      <c r="AA32" s="5" t="n">
        <v>4808.7</v>
      </c>
      <c r="AB32" s="5" t="n">
        <v>487.6</v>
      </c>
      <c r="AC32" s="5" t="inlineStr">
        <is>
          <t>isolated_footing</t>
        </is>
      </c>
      <c r="AD32" s="5">
        <f>IF(AC32="","",IF(OR(AC32=F32,AND(AC32="crane_footing",F32="isolated_footing")),"yes","no"))</f>
        <v/>
      </c>
    </row>
    <row r="33">
      <c r="A33" s="5" t="n">
        <v>32</v>
      </c>
      <c r="B33" s="5" t="inlineStr">
        <is>
          <t>120</t>
        </is>
      </c>
      <c r="C33" s="5" t="inlineStr">
        <is>
          <t>own label</t>
        </is>
      </c>
      <c r="D33" s="5" t="inlineStr">
        <is>
          <t>outline</t>
        </is>
      </c>
      <c r="E33" s="5" t="n">
        <v>17</v>
      </c>
      <c r="F33" s="5" t="inlineStr">
        <is>
          <t>isolated_footing</t>
        </is>
      </c>
      <c r="G33" s="5" t="inlineStr">
        <is>
          <t>label vote</t>
        </is>
      </c>
      <c r="H33" s="5" t="inlineStr">
        <is>
          <t>S2</t>
        </is>
      </c>
      <c r="I33" s="5" t="inlineStr">
        <is>
          <t>printed label</t>
        </is>
      </c>
      <c r="J33" s="5" t="inlineStr">
        <is>
          <t>S2-120120</t>
        </is>
      </c>
      <c r="K33" s="5" t="n">
        <v>350</v>
      </c>
      <c r="L33" s="5" t="n">
        <v>200</v>
      </c>
      <c r="M33" s="10">
        <f>IF(AND(ISNUMBER(K33),L33&gt;0),K33/L33,"")</f>
        <v/>
      </c>
      <c r="N33" s="5" t="n">
        <v>7.001</v>
      </c>
      <c r="O33" s="5" t="n">
        <v>0</v>
      </c>
      <c r="P33" s="5" t="n">
        <v>1</v>
      </c>
      <c r="Q33" s="5" t="n">
        <v>0</v>
      </c>
      <c r="R33" s="5" t="n">
        <v>0</v>
      </c>
      <c r="S33" s="5" t="n">
        <v>0</v>
      </c>
      <c r="T33" s="5" t="n">
        <v>1</v>
      </c>
      <c r="U33" s="5" t="n">
        <v>40</v>
      </c>
      <c r="V33" s="5" t="n">
        <v>2</v>
      </c>
      <c r="W33" s="5" t="n"/>
      <c r="X33" s="5" t="inlineStr"/>
      <c r="Y33" s="5" t="n">
        <v>4248.2</v>
      </c>
      <c r="Z33" s="5" t="n">
        <v>610.5</v>
      </c>
      <c r="AA33" s="5" t="n">
        <v>4351.6</v>
      </c>
      <c r="AB33" s="5" t="n">
        <v>669.6</v>
      </c>
      <c r="AC33" s="5" t="inlineStr">
        <is>
          <t>isolated_footing</t>
        </is>
      </c>
      <c r="AD33" s="5">
        <f>IF(AC33="","",IF(OR(AC33=F33,AND(AC33="crane_footing",F33="isolated_footing")),"yes","no"))</f>
        <v/>
      </c>
    </row>
    <row r="34">
      <c r="A34" s="5" t="n">
        <v>33</v>
      </c>
      <c r="B34" s="5" t="inlineStr">
        <is>
          <t>120</t>
        </is>
      </c>
      <c r="C34" s="5" t="inlineStr">
        <is>
          <t>own label</t>
        </is>
      </c>
      <c r="D34" s="5" t="inlineStr">
        <is>
          <t>outline</t>
        </is>
      </c>
      <c r="E34" s="5" t="n">
        <v>17</v>
      </c>
      <c r="F34" s="5" t="inlineStr">
        <is>
          <t>isolated_footing</t>
        </is>
      </c>
      <c r="G34" s="5" t="inlineStr">
        <is>
          <t>label vote</t>
        </is>
      </c>
      <c r="H34" s="5" t="inlineStr">
        <is>
          <t>S2</t>
        </is>
      </c>
      <c r="I34" s="5" t="inlineStr">
        <is>
          <t>printed label</t>
        </is>
      </c>
      <c r="J34" s="5" t="inlineStr">
        <is>
          <t>S2-120120</t>
        </is>
      </c>
      <c r="K34" s="5" t="n">
        <v>350</v>
      </c>
      <c r="L34" s="5" t="n">
        <v>200</v>
      </c>
      <c r="M34" s="10">
        <f>IF(AND(ISNUMBER(K34),L34&gt;0),K34/L34,"")</f>
        <v/>
      </c>
      <c r="N34" s="5" t="n">
        <v>7.001</v>
      </c>
      <c r="O34" s="5" t="n">
        <v>0</v>
      </c>
      <c r="P34" s="5" t="n">
        <v>1</v>
      </c>
      <c r="Q34" s="5" t="n">
        <v>0</v>
      </c>
      <c r="R34" s="5" t="n">
        <v>0</v>
      </c>
      <c r="S34" s="5" t="n">
        <v>0</v>
      </c>
      <c r="T34" s="5" t="n">
        <v>1</v>
      </c>
      <c r="U34" s="5" t="n">
        <v>36</v>
      </c>
      <c r="V34" s="5" t="n">
        <v>3</v>
      </c>
      <c r="W34" s="5" t="n"/>
      <c r="X34" s="5" t="inlineStr"/>
      <c r="Y34" s="5" t="n">
        <v>4248.1</v>
      </c>
      <c r="Z34" s="5" t="n">
        <v>835.2</v>
      </c>
      <c r="AA34" s="5" t="n">
        <v>4351.5</v>
      </c>
      <c r="AB34" s="5" t="n">
        <v>894.4</v>
      </c>
      <c r="AC34" s="5" t="inlineStr">
        <is>
          <t>isolated_footing</t>
        </is>
      </c>
      <c r="AD34" s="5">
        <f>IF(AC34="","",IF(OR(AC34=F34,AND(AC34="crane_footing",F34="isolated_footing")),"yes","no"))</f>
        <v/>
      </c>
    </row>
    <row r="35">
      <c r="A35" s="5" t="n">
        <v>34</v>
      </c>
      <c r="B35" s="5" t="inlineStr">
        <is>
          <t>120</t>
        </is>
      </c>
      <c r="C35" s="5" t="inlineStr">
        <is>
          <t>own label</t>
        </is>
      </c>
      <c r="D35" s="5" t="inlineStr">
        <is>
          <t>outline</t>
        </is>
      </c>
      <c r="E35" s="5" t="n">
        <v>17</v>
      </c>
      <c r="F35" s="5" t="inlineStr">
        <is>
          <t>isolated_footing</t>
        </is>
      </c>
      <c r="G35" s="5" t="inlineStr">
        <is>
          <t>label vote</t>
        </is>
      </c>
      <c r="H35" s="5" t="inlineStr">
        <is>
          <t>S2</t>
        </is>
      </c>
      <c r="I35" s="5" t="inlineStr">
        <is>
          <t>printed label</t>
        </is>
      </c>
      <c r="J35" s="5" t="inlineStr">
        <is>
          <t>S2-120120</t>
        </is>
      </c>
      <c r="K35" s="5" t="n">
        <v>350</v>
      </c>
      <c r="L35" s="5" t="n">
        <v>200</v>
      </c>
      <c r="M35" s="10">
        <f>IF(AND(ISNUMBER(K35),L35&gt;0),K35/L35,"")</f>
        <v/>
      </c>
      <c r="N35" s="5" t="n">
        <v>7.001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55</v>
      </c>
      <c r="V35" s="5" t="n">
        <v>2</v>
      </c>
      <c r="W35" s="5" t="n"/>
      <c r="X35" s="5" t="inlineStr"/>
      <c r="Y35" s="5" t="n">
        <v>4247.9</v>
      </c>
      <c r="Z35" s="5" t="n">
        <v>1067.9</v>
      </c>
      <c r="AA35" s="5" t="n">
        <v>4351.3</v>
      </c>
      <c r="AB35" s="5" t="n">
        <v>1127</v>
      </c>
      <c r="AC35" s="5" t="inlineStr">
        <is>
          <t>isolated_footing</t>
        </is>
      </c>
      <c r="AD35" s="5">
        <f>IF(AC35="","",IF(OR(AC35=F35,AND(AC35="crane_footing",F35="isolated_footing")),"yes","no"))</f>
        <v/>
      </c>
    </row>
    <row r="36">
      <c r="A36" s="5" t="n">
        <v>35</v>
      </c>
      <c r="B36" s="5" t="inlineStr">
        <is>
          <t>120</t>
        </is>
      </c>
      <c r="C36" s="5" t="inlineStr">
        <is>
          <t>own label</t>
        </is>
      </c>
      <c r="D36" s="5" t="inlineStr">
        <is>
          <t>outline</t>
        </is>
      </c>
      <c r="E36" s="5" t="n">
        <v>17</v>
      </c>
      <c r="F36" s="5" t="inlineStr">
        <is>
          <t>isolated_footing</t>
        </is>
      </c>
      <c r="G36" s="5" t="inlineStr">
        <is>
          <t>label vote</t>
        </is>
      </c>
      <c r="H36" s="5" t="inlineStr">
        <is>
          <t>S3</t>
        </is>
      </c>
      <c r="I36" s="5" t="inlineStr">
        <is>
          <t>printed label</t>
        </is>
      </c>
      <c r="J36" s="5" t="inlineStr">
        <is>
          <t>S3-120120</t>
        </is>
      </c>
      <c r="K36" s="5" t="n">
        <v>320</v>
      </c>
      <c r="L36" s="5" t="n">
        <v>320</v>
      </c>
      <c r="M36" s="10">
        <f>IF(AND(ISNUMBER(K36),L36&gt;0),K36/L36,"")</f>
        <v/>
      </c>
      <c r="N36" s="5" t="n">
        <v>10.244</v>
      </c>
      <c r="O36" s="5" t="n">
        <v>0</v>
      </c>
      <c r="P36" s="5" t="n">
        <v>2</v>
      </c>
      <c r="Q36" s="5" t="n">
        <v>0</v>
      </c>
      <c r="R36" s="5" t="n">
        <v>0</v>
      </c>
      <c r="S36" s="5" t="n">
        <v>0</v>
      </c>
      <c r="T36" s="5" t="n">
        <v>1</v>
      </c>
      <c r="U36" s="5" t="n">
        <v>11</v>
      </c>
      <c r="V36" s="5" t="n">
        <v>1</v>
      </c>
      <c r="W36" s="5" t="n"/>
      <c r="X36" s="5" t="inlineStr"/>
      <c r="Y36" s="5" t="n">
        <v>4720.2</v>
      </c>
      <c r="Z36" s="5" t="n">
        <v>551.1</v>
      </c>
      <c r="AA36" s="5" t="n">
        <v>4814.7</v>
      </c>
      <c r="AB36" s="5" t="n">
        <v>645.7</v>
      </c>
      <c r="AC36" s="5" t="inlineStr">
        <is>
          <t>isolated_footing</t>
        </is>
      </c>
      <c r="AD36" s="5">
        <f>IF(AC36="","",IF(OR(AC36=F36,AND(AC36="crane_footing",F36="isolated_footing")),"yes","no"))</f>
        <v/>
      </c>
    </row>
    <row r="37">
      <c r="A37" s="5" t="n">
        <v>36</v>
      </c>
      <c r="B37" s="5" t="inlineStr">
        <is>
          <t>120</t>
        </is>
      </c>
      <c r="C37" s="5" t="inlineStr">
        <is>
          <t>own label</t>
        </is>
      </c>
      <c r="D37" s="5" t="inlineStr">
        <is>
          <t>outline</t>
        </is>
      </c>
      <c r="E37" s="5" t="n">
        <v>16</v>
      </c>
      <c r="F37" s="5" t="inlineStr">
        <is>
          <t>isolated_footing</t>
        </is>
      </c>
      <c r="G37" s="5" t="inlineStr">
        <is>
          <t>label vote</t>
        </is>
      </c>
      <c r="H37" s="5" t="inlineStr">
        <is>
          <t>S5</t>
        </is>
      </c>
      <c r="I37" s="5" t="inlineStr">
        <is>
          <t>printed label</t>
        </is>
      </c>
      <c r="J37" s="5" t="inlineStr">
        <is>
          <t>S5-120120</t>
        </is>
      </c>
      <c r="K37" s="5" t="n">
        <v>450</v>
      </c>
      <c r="L37" s="5" t="n">
        <v>400</v>
      </c>
      <c r="M37" s="10">
        <f>IF(AND(ISNUMBER(K37),L37&gt;0),K37/L37,"")</f>
        <v/>
      </c>
      <c r="N37" s="5" t="n">
        <v>18.004</v>
      </c>
      <c r="O37" s="5" t="n">
        <v>0.1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54</v>
      </c>
      <c r="V37" s="5" t="n">
        <v>3</v>
      </c>
      <c r="W37" s="5" t="n"/>
      <c r="X37" s="5" t="inlineStr"/>
      <c r="Y37" s="5" t="n">
        <v>4479.6</v>
      </c>
      <c r="Z37" s="5" t="n">
        <v>1085</v>
      </c>
      <c r="AA37" s="5" t="n">
        <v>4612.6</v>
      </c>
      <c r="AB37" s="5" t="n">
        <v>1203.4</v>
      </c>
      <c r="AC37" s="5" t="inlineStr">
        <is>
          <t>isolated_footing</t>
        </is>
      </c>
      <c r="AD37" s="5">
        <f>IF(AC37="","",IF(OR(AC37=F37,AND(AC37="crane_footing",F37="isolated_footing")),"yes","no"))</f>
        <v/>
      </c>
    </row>
    <row r="38">
      <c r="A38" s="5" t="n">
        <v>37</v>
      </c>
      <c r="B38" s="5" t="inlineStr">
        <is>
          <t>120</t>
        </is>
      </c>
      <c r="C38" s="5" t="inlineStr">
        <is>
          <t>own label (region says 121)</t>
        </is>
      </c>
      <c r="D38" s="5" t="inlineStr">
        <is>
          <t>outline</t>
        </is>
      </c>
      <c r="E38" s="5" t="n">
        <v>16</v>
      </c>
      <c r="F38" s="5" t="inlineStr">
        <is>
          <t>isolated_footing</t>
        </is>
      </c>
      <c r="G38" s="5" t="inlineStr">
        <is>
          <t>label vote</t>
        </is>
      </c>
      <c r="H38" s="5" t="inlineStr">
        <is>
          <t>S6</t>
        </is>
      </c>
      <c r="I38" s="5" t="inlineStr">
        <is>
          <t>printed label</t>
        </is>
      </c>
      <c r="J38" s="5" t="inlineStr">
        <is>
          <t>S6-120120</t>
        </is>
      </c>
      <c r="K38" s="5" t="n">
        <v>500</v>
      </c>
      <c r="L38" s="5" t="n">
        <v>450</v>
      </c>
      <c r="M38" s="10">
        <f>IF(AND(ISNUMBER(K38),L38&gt;0),K38/L38,"")</f>
        <v/>
      </c>
      <c r="N38" s="5" t="n">
        <v>22.506</v>
      </c>
      <c r="O38" s="5" t="n">
        <v>0.2</v>
      </c>
      <c r="P38" s="5" t="n">
        <v>1</v>
      </c>
      <c r="Q38" s="5" t="n">
        <v>0</v>
      </c>
      <c r="R38" s="5" t="n">
        <v>0</v>
      </c>
      <c r="S38" s="5" t="n">
        <v>0</v>
      </c>
      <c r="T38" s="5" t="n">
        <v>1</v>
      </c>
      <c r="U38" s="5" t="n">
        <v>32</v>
      </c>
      <c r="V38" s="5" t="n">
        <v>1</v>
      </c>
      <c r="W38" s="5" t="n"/>
      <c r="X38" s="5" t="inlineStr"/>
      <c r="Y38" s="5" t="n">
        <v>4481.1</v>
      </c>
      <c r="Z38" s="5" t="n">
        <v>1877.9</v>
      </c>
      <c r="AA38" s="5" t="n">
        <v>4629.1</v>
      </c>
      <c r="AB38" s="5" t="n">
        <v>2011.2</v>
      </c>
      <c r="AC38" s="5" t="inlineStr">
        <is>
          <t>isolated_footing</t>
        </is>
      </c>
      <c r="AD38" s="5">
        <f>IF(AC38="","",IF(OR(AC38=F38,AND(AC38="crane_footing",F38="isolated_footing")),"yes","no"))</f>
        <v/>
      </c>
    </row>
    <row r="39">
      <c r="A39" s="5" t="n">
        <v>38</v>
      </c>
      <c r="B39" s="5" t="inlineStr">
        <is>
          <t>120</t>
        </is>
      </c>
      <c r="C39" s="5" t="inlineStr">
        <is>
          <t>own label</t>
        </is>
      </c>
      <c r="D39" s="5" t="inlineStr">
        <is>
          <t>outline</t>
        </is>
      </c>
      <c r="E39" s="5" t="n">
        <v>16</v>
      </c>
      <c r="F39" s="5" t="inlineStr">
        <is>
          <t>isolated_footing</t>
        </is>
      </c>
      <c r="G39" s="5" t="inlineStr">
        <is>
          <t>label vote</t>
        </is>
      </c>
      <c r="H39" s="5" t="inlineStr">
        <is>
          <t>S6</t>
        </is>
      </c>
      <c r="I39" s="5" t="inlineStr">
        <is>
          <t>printed label</t>
        </is>
      </c>
      <c r="J39" s="5" t="inlineStr">
        <is>
          <t>S6-120120</t>
        </is>
      </c>
      <c r="K39" s="5" t="n">
        <v>500</v>
      </c>
      <c r="L39" s="5" t="n">
        <v>450</v>
      </c>
      <c r="M39" s="10">
        <f>IF(AND(ISNUMBER(K39),L39&gt;0),K39/L39,"")</f>
        <v/>
      </c>
      <c r="N39" s="5" t="n">
        <v>22.481</v>
      </c>
      <c r="O39" s="5" t="n">
        <v>90</v>
      </c>
      <c r="P39" s="5" t="n">
        <v>2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66</v>
      </c>
      <c r="V39" s="5" t="n">
        <v>1</v>
      </c>
      <c r="W39" s="5" t="n"/>
      <c r="X39" s="5" t="inlineStr"/>
      <c r="Y39" s="5" t="n">
        <v>4701.1</v>
      </c>
      <c r="Z39" s="5" t="n">
        <v>1016.7</v>
      </c>
      <c r="AA39" s="5" t="n">
        <v>4834.1</v>
      </c>
      <c r="AB39" s="5" t="n">
        <v>1164.3</v>
      </c>
      <c r="AC39" s="5" t="inlineStr">
        <is>
          <t>isolated_footing</t>
        </is>
      </c>
      <c r="AD39" s="5">
        <f>IF(AC39="","",IF(OR(AC39=F39,AND(AC39="crane_footing",F39="isolated_footing")),"yes","no"))</f>
        <v/>
      </c>
    </row>
    <row r="40">
      <c r="A40" s="5" t="n">
        <v>39</v>
      </c>
      <c r="B40" s="5" t="inlineStr">
        <is>
          <t>120</t>
        </is>
      </c>
      <c r="C40" s="5" t="inlineStr">
        <is>
          <t>own label</t>
        </is>
      </c>
      <c r="D40" s="5" t="inlineStr">
        <is>
          <t>outline</t>
        </is>
      </c>
      <c r="E40" s="5" t="n">
        <v>16</v>
      </c>
      <c r="F40" s="5" t="inlineStr">
        <is>
          <t>isolated_footing</t>
        </is>
      </c>
      <c r="G40" s="5" t="inlineStr">
        <is>
          <t>label vote</t>
        </is>
      </c>
      <c r="H40" s="5" t="inlineStr">
        <is>
          <t>S7</t>
        </is>
      </c>
      <c r="I40" s="5" t="inlineStr">
        <is>
          <t>printed label</t>
        </is>
      </c>
      <c r="J40" s="5" t="inlineStr">
        <is>
          <t>S7-120120</t>
        </is>
      </c>
      <c r="K40" s="5" t="n">
        <v>450</v>
      </c>
      <c r="L40" s="5" t="n">
        <v>350</v>
      </c>
      <c r="M40" s="10">
        <f>IF(AND(ISNUMBER(K40),L40&gt;0),K40/L40,"")</f>
        <v/>
      </c>
      <c r="N40" s="5" t="n">
        <v>15.756</v>
      </c>
      <c r="O40" s="5" t="n">
        <v>0.1</v>
      </c>
      <c r="P40" s="5" t="n">
        <v>1</v>
      </c>
      <c r="Q40" s="5" t="n">
        <v>0</v>
      </c>
      <c r="R40" s="5" t="n">
        <v>0</v>
      </c>
      <c r="S40" s="5" t="n">
        <v>0</v>
      </c>
      <c r="T40" s="5" t="n">
        <v>1</v>
      </c>
      <c r="U40" s="5" t="n">
        <v>31</v>
      </c>
      <c r="V40" s="5" t="n">
        <v>3</v>
      </c>
      <c r="W40" s="5" t="n"/>
      <c r="X40" s="5" t="inlineStr"/>
      <c r="Y40" s="5" t="n">
        <v>4482.4</v>
      </c>
      <c r="Z40" s="5" t="n">
        <v>633.2</v>
      </c>
      <c r="AA40" s="5" t="n">
        <v>4615.4</v>
      </c>
      <c r="AB40" s="5" t="n">
        <v>736.9</v>
      </c>
      <c r="AC40" s="5" t="inlineStr">
        <is>
          <t>isolated_footing</t>
        </is>
      </c>
      <c r="AD40" s="5">
        <f>IF(AC40="","",IF(OR(AC40=F40,AND(AC40="crane_footing",F40="isolated_footing")),"yes","no"))</f>
        <v/>
      </c>
    </row>
    <row r="41">
      <c r="A41" s="5" t="n">
        <v>40</v>
      </c>
      <c r="B41" s="5" t="inlineStr">
        <is>
          <t>120</t>
        </is>
      </c>
      <c r="C41" s="5" t="inlineStr">
        <is>
          <t>own label</t>
        </is>
      </c>
      <c r="D41" s="5" t="inlineStr">
        <is>
          <t>outline</t>
        </is>
      </c>
      <c r="E41" s="5" t="n">
        <v>16</v>
      </c>
      <c r="F41" s="5" t="inlineStr">
        <is>
          <t>isolated_footing</t>
        </is>
      </c>
      <c r="G41" s="5" t="inlineStr">
        <is>
          <t>label vote</t>
        </is>
      </c>
      <c r="H41" s="5" t="inlineStr">
        <is>
          <t>S7</t>
        </is>
      </c>
      <c r="I41" s="5" t="inlineStr">
        <is>
          <t>printed label</t>
        </is>
      </c>
      <c r="J41" s="5" t="inlineStr">
        <is>
          <t>S7-120120</t>
        </is>
      </c>
      <c r="K41" s="5" t="n">
        <v>450</v>
      </c>
      <c r="L41" s="5" t="n">
        <v>350</v>
      </c>
      <c r="M41" s="10">
        <f>IF(AND(ISNUMBER(K41),L41&gt;0),K41/L41,"")</f>
        <v/>
      </c>
      <c r="N41" s="5" t="n">
        <v>15.756</v>
      </c>
      <c r="O41" s="5" t="n">
        <v>0.1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1</v>
      </c>
      <c r="U41" s="5" t="n">
        <v>23</v>
      </c>
      <c r="V41" s="5" t="n">
        <v>3</v>
      </c>
      <c r="W41" s="5" t="n"/>
      <c r="X41" s="5" t="inlineStr"/>
      <c r="Y41" s="5" t="n">
        <v>4482.4</v>
      </c>
      <c r="Z41" s="5" t="n">
        <v>924</v>
      </c>
      <c r="AA41" s="5" t="n">
        <v>4615.6</v>
      </c>
      <c r="AB41" s="5" t="n">
        <v>1027.7</v>
      </c>
      <c r="AC41" s="5" t="inlineStr">
        <is>
          <t>isolated_footing</t>
        </is>
      </c>
      <c r="AD41" s="5">
        <f>IF(AC41="","",IF(OR(AC41=F41,AND(AC41="crane_footing",F41="isolated_footing")),"yes","no"))</f>
        <v/>
      </c>
    </row>
    <row r="42">
      <c r="A42" s="5" t="n">
        <v>41</v>
      </c>
      <c r="B42" s="5" t="inlineStr">
        <is>
          <t>120</t>
        </is>
      </c>
      <c r="C42" s="5" t="inlineStr">
        <is>
          <t>nearest labels</t>
        </is>
      </c>
      <c r="D42" s="5" t="inlineStr">
        <is>
          <t>outline</t>
        </is>
      </c>
      <c r="E42" s="5" t="n">
        <v>15</v>
      </c>
      <c r="F42" s="5" t="inlineStr">
        <is>
          <t>combined_footing</t>
        </is>
      </c>
      <c r="G42" s="5" t="inlineStr">
        <is>
          <t>label vote</t>
        </is>
      </c>
      <c r="H42" s="5" t="inlineStr">
        <is>
          <t>SC3</t>
        </is>
      </c>
      <c r="I42" s="5" t="inlineStr">
        <is>
          <t>printed label</t>
        </is>
      </c>
      <c r="J42" s="5" t="inlineStr">
        <is>
          <t>SC3-</t>
        </is>
      </c>
      <c r="K42" s="5" t="n">
        <v>500</v>
      </c>
      <c r="L42" s="5" t="n">
        <v>450</v>
      </c>
      <c r="M42" s="10">
        <f>IF(AND(ISNUMBER(K42),L42&gt;0),K42/L42,"")</f>
        <v/>
      </c>
      <c r="N42" s="5" t="n">
        <v>22.501</v>
      </c>
      <c r="O42" s="5" t="n">
        <v>179.9</v>
      </c>
      <c r="P42" s="5" t="n">
        <v>2</v>
      </c>
      <c r="Q42" s="5" t="n">
        <v>0</v>
      </c>
      <c r="R42" s="5" t="n">
        <v>0</v>
      </c>
      <c r="S42" s="5" t="n">
        <v>0</v>
      </c>
      <c r="T42" s="5" t="n">
        <v>2</v>
      </c>
      <c r="U42" s="5" t="n">
        <v>45</v>
      </c>
      <c r="V42" s="5" t="n">
        <v>5</v>
      </c>
      <c r="W42" s="5" t="n"/>
      <c r="X42" s="5" t="inlineStr"/>
      <c r="Y42" s="5" t="n">
        <v>4463.4</v>
      </c>
      <c r="Z42" s="5" t="n">
        <v>1264</v>
      </c>
      <c r="AA42" s="5" t="n">
        <v>4611.3</v>
      </c>
      <c r="AB42" s="5" t="n">
        <v>1397.2</v>
      </c>
      <c r="AC42" s="5" t="inlineStr">
        <is>
          <t>combined_footing</t>
        </is>
      </c>
      <c r="AD42" s="5">
        <f>IF(AC42="","",IF(OR(AC42=F42,AND(AC42="crane_footing",F42="isolated_footing")),"yes","no"))</f>
        <v/>
      </c>
    </row>
    <row r="43">
      <c r="A43" s="5" t="n">
        <v>42</v>
      </c>
      <c r="B43" s="5" t="inlineStr">
        <is>
          <t>120</t>
        </is>
      </c>
      <c r="C43" s="5" t="inlineStr">
        <is>
          <t>nearest labels in its region</t>
        </is>
      </c>
      <c r="D43" s="5" t="inlineStr">
        <is>
          <t>band</t>
        </is>
      </c>
      <c r="E43" s="5" t="n">
        <v>6</v>
      </c>
      <c r="F43" s="5" t="inlineStr">
        <is>
          <t>strip_footing</t>
        </is>
      </c>
      <c r="G43" s="5" t="inlineStr">
        <is>
          <t>label vote</t>
        </is>
      </c>
      <c r="H43" s="5" t="inlineStr">
        <is>
          <t>(none)</t>
        </is>
      </c>
      <c r="I43" s="5" t="inlineStr"/>
      <c r="J43" s="5" t="inlineStr"/>
      <c r="K43" s="5" t="n">
        <v>215</v>
      </c>
      <c r="L43" s="5" t="n">
        <v>80</v>
      </c>
      <c r="M43" s="10">
        <f>IF(AND(ISNUMBER(K43),L43&gt;0),K43/L43,"")</f>
        <v/>
      </c>
      <c r="N43" s="5" t="n">
        <v>1.72</v>
      </c>
      <c r="O43" s="5" t="n">
        <v>90.09999999999999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16</v>
      </c>
      <c r="V43" s="5" t="n">
        <v>2</v>
      </c>
      <c r="W43" s="5" t="n">
        <v>2.15</v>
      </c>
      <c r="X43" s="5" t="inlineStr"/>
      <c r="Y43" s="5" t="n">
        <v>4756.4</v>
      </c>
      <c r="Z43" s="5" t="n">
        <v>487.6</v>
      </c>
      <c r="AA43" s="5" t="n">
        <v>4780.1</v>
      </c>
      <c r="AB43" s="5" t="n">
        <v>551.1</v>
      </c>
      <c r="AC43" s="5" t="inlineStr"/>
      <c r="AD43" s="5">
        <f>IF(AC43="","",IF(OR(AC43=F43,AND(AC43="crane_footing",F43="isolated_footing")),"yes","no"))</f>
        <v/>
      </c>
    </row>
    <row r="44">
      <c r="A44" s="5" t="n">
        <v>43</v>
      </c>
      <c r="B44" s="5" t="inlineStr">
        <is>
          <t>120</t>
        </is>
      </c>
      <c r="C44" s="5" t="inlineStr">
        <is>
          <t>nearest labels in its region</t>
        </is>
      </c>
      <c r="D44" s="5" t="inlineStr">
        <is>
          <t>band</t>
        </is>
      </c>
      <c r="E44" s="5" t="n">
        <v>6</v>
      </c>
      <c r="F44" s="5" t="inlineStr">
        <is>
          <t>strip_footing</t>
        </is>
      </c>
      <c r="G44" s="5" t="inlineStr">
        <is>
          <t>label vote</t>
        </is>
      </c>
      <c r="H44" s="5" t="inlineStr">
        <is>
          <t>(none)</t>
        </is>
      </c>
      <c r="I44" s="5" t="inlineStr"/>
      <c r="J44" s="5" t="inlineStr"/>
      <c r="K44" s="5" t="n">
        <v>126</v>
      </c>
      <c r="L44" s="5" t="n">
        <v>80</v>
      </c>
      <c r="M44" s="10">
        <f>IF(AND(ISNUMBER(K44),L44&gt;0),K44/L44,"")</f>
        <v/>
      </c>
      <c r="N44" s="5" t="n">
        <v>1.009</v>
      </c>
      <c r="O44" s="5" t="n">
        <v>172.7</v>
      </c>
      <c r="P44" s="5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2</v>
      </c>
      <c r="V44" s="5" t="n">
        <v>0</v>
      </c>
      <c r="W44" s="5" t="n">
        <v>1.26</v>
      </c>
      <c r="X44" s="5" t="inlineStr"/>
      <c r="Y44" s="5" t="n">
        <v>4686.1</v>
      </c>
      <c r="Z44" s="5" t="n">
        <v>399.6</v>
      </c>
      <c r="AA44" s="5" t="n">
        <v>4726</v>
      </c>
      <c r="AB44" s="5" t="n">
        <v>427.7</v>
      </c>
      <c r="AC44" s="5" t="inlineStr"/>
      <c r="AD44" s="5">
        <f>IF(AC44="","",IF(OR(AC44=F44,AND(AC44="crane_footing",F44="isolated_footing")),"yes","no"))</f>
        <v/>
      </c>
    </row>
    <row r="45">
      <c r="A45" s="5" t="n">
        <v>44</v>
      </c>
      <c r="B45" s="5" t="inlineStr">
        <is>
          <t>120</t>
        </is>
      </c>
      <c r="C45" s="5" t="inlineStr">
        <is>
          <t>nearest labels in its region</t>
        </is>
      </c>
      <c r="D45" s="5" t="inlineStr">
        <is>
          <t>band</t>
        </is>
      </c>
      <c r="E45" s="5" t="n">
        <v>6</v>
      </c>
      <c r="F45" s="5" t="inlineStr">
        <is>
          <t>strip_footing</t>
        </is>
      </c>
      <c r="G45" s="5" t="inlineStr">
        <is>
          <t>label vote</t>
        </is>
      </c>
      <c r="H45" s="5" t="inlineStr">
        <is>
          <t>(none)</t>
        </is>
      </c>
      <c r="I45" s="5" t="inlineStr"/>
      <c r="J45" s="5" t="inlineStr"/>
      <c r="K45" s="5" t="n">
        <v>99</v>
      </c>
      <c r="L45" s="5" t="n">
        <v>80</v>
      </c>
      <c r="M45" s="10">
        <f>IF(AND(ISNUMBER(K45),L45&gt;0),K45/L45,"")</f>
        <v/>
      </c>
      <c r="N45" s="5" t="n">
        <v>0.793</v>
      </c>
      <c r="O45" s="5" t="n">
        <v>179.9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2</v>
      </c>
      <c r="V45" s="5" t="n">
        <v>0</v>
      </c>
      <c r="W45" s="5" t="n">
        <v>0.99</v>
      </c>
      <c r="X45" s="5" t="inlineStr"/>
      <c r="Y45" s="5" t="n">
        <v>4780.2</v>
      </c>
      <c r="Z45" s="5" t="n">
        <v>964.7</v>
      </c>
      <c r="AA45" s="5" t="n">
        <v>4809.5</v>
      </c>
      <c r="AB45" s="5" t="n">
        <v>988.4</v>
      </c>
      <c r="AC45" s="5" t="inlineStr"/>
      <c r="AD45" s="5">
        <f>IF(AC45="","",IF(OR(AC45=F45,AND(AC45="crane_footing",F45="isolated_footing")),"yes","no"))</f>
        <v/>
      </c>
    </row>
    <row r="46">
      <c r="A46" s="5" t="n">
        <v>45</v>
      </c>
      <c r="B46" s="5" t="inlineStr">
        <is>
          <t>120</t>
        </is>
      </c>
      <c r="C46" s="5" t="inlineStr">
        <is>
          <t>nearest labels in its region</t>
        </is>
      </c>
      <c r="D46" s="5" t="inlineStr">
        <is>
          <t>band</t>
        </is>
      </c>
      <c r="E46" s="5" t="n">
        <v>6</v>
      </c>
      <c r="F46" s="5" t="inlineStr">
        <is>
          <t>strip_footing</t>
        </is>
      </c>
      <c r="G46" s="5" t="inlineStr">
        <is>
          <t>label vote</t>
        </is>
      </c>
      <c r="H46" s="5" t="inlineStr">
        <is>
          <t>(none)</t>
        </is>
      </c>
      <c r="I46" s="5" t="inlineStr"/>
      <c r="J46" s="5" t="inlineStr"/>
      <c r="K46" s="5" t="n">
        <v>96</v>
      </c>
      <c r="L46" s="5" t="n">
        <v>80</v>
      </c>
      <c r="M46" s="10">
        <f>IF(AND(ISNUMBER(K46),L46&gt;0),K46/L46,"")</f>
        <v/>
      </c>
      <c r="N46" s="5" t="n">
        <v>0.769</v>
      </c>
      <c r="O46" s="5" t="n">
        <v>90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5" t="n">
        <v>1</v>
      </c>
      <c r="V46" s="5" t="n">
        <v>0</v>
      </c>
      <c r="W46" s="5" t="n">
        <v>0.96</v>
      </c>
      <c r="X46" s="5" t="inlineStr"/>
      <c r="Y46" s="5" t="n">
        <v>4756.6</v>
      </c>
      <c r="Z46" s="5" t="n">
        <v>988.4</v>
      </c>
      <c r="AA46" s="5" t="n">
        <v>4780.2</v>
      </c>
      <c r="AB46" s="5" t="n">
        <v>1016.7</v>
      </c>
      <c r="AC46" s="5" t="inlineStr"/>
      <c r="AD46" s="5">
        <f>IF(AC46="","",IF(OR(AC46=F46,AND(AC46="crane_footing",F46="isolated_footing")),"yes","no"))</f>
        <v/>
      </c>
    </row>
    <row r="47">
      <c r="A47" s="5" t="n">
        <v>46</v>
      </c>
      <c r="B47" s="5" t="inlineStr">
        <is>
          <t>120</t>
        </is>
      </c>
      <c r="C47" s="5" t="inlineStr">
        <is>
          <t>nearest labels in its region</t>
        </is>
      </c>
      <c r="D47" s="5" t="inlineStr">
        <is>
          <t>band</t>
        </is>
      </c>
      <c r="E47" s="5" t="n">
        <v>6</v>
      </c>
      <c r="F47" s="5" t="inlineStr">
        <is>
          <t>strip_footing</t>
        </is>
      </c>
      <c r="G47" s="5" t="inlineStr">
        <is>
          <t>label vote</t>
        </is>
      </c>
      <c r="H47" s="5" t="inlineStr">
        <is>
          <t>SF1</t>
        </is>
      </c>
      <c r="I47" s="5" t="inlineStr">
        <is>
          <t>printed label</t>
        </is>
      </c>
      <c r="J47" s="5" t="inlineStr">
        <is>
          <t>SF1-80x25</t>
        </is>
      </c>
      <c r="K47" s="5" t="n">
        <v>2764</v>
      </c>
      <c r="L47" s="5" t="n">
        <v>80</v>
      </c>
      <c r="M47" s="10">
        <f>IF(AND(ISNUMBER(K47),L47&gt;0),K47/L47,"")</f>
        <v/>
      </c>
      <c r="N47" s="5" t="n">
        <v>22.109</v>
      </c>
      <c r="O47" s="5" t="n">
        <v>90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45</v>
      </c>
      <c r="V47" s="5" t="n">
        <v>3</v>
      </c>
      <c r="W47" s="5" t="n">
        <v>27.64</v>
      </c>
      <c r="X47" s="5" t="inlineStr"/>
      <c r="Y47" s="5" t="n">
        <v>4150.2</v>
      </c>
      <c r="Z47" s="5" t="n">
        <v>494.3</v>
      </c>
      <c r="AA47" s="5" t="n">
        <v>4174.4</v>
      </c>
      <c r="AB47" s="5" t="n">
        <v>1310.4</v>
      </c>
      <c r="AC47" s="5" t="inlineStr"/>
      <c r="AD47" s="5">
        <f>IF(AC47="","",IF(OR(AC47=F47,AND(AC47="crane_footing",F47="isolated_footing")),"yes","no"))</f>
        <v/>
      </c>
    </row>
    <row r="48">
      <c r="A48" s="5" t="n">
        <v>47</v>
      </c>
      <c r="B48" s="5" t="inlineStr">
        <is>
          <t>120</t>
        </is>
      </c>
      <c r="C48" s="5" t="inlineStr">
        <is>
          <t>nearest labels in its region</t>
        </is>
      </c>
      <c r="D48" s="5" t="inlineStr">
        <is>
          <t>band</t>
        </is>
      </c>
      <c r="E48" s="5" t="n">
        <v>6</v>
      </c>
      <c r="F48" s="5" t="inlineStr">
        <is>
          <t>strip_footing</t>
        </is>
      </c>
      <c r="G48" s="5" t="inlineStr">
        <is>
          <t>label vote</t>
        </is>
      </c>
      <c r="H48" s="5" t="inlineStr">
        <is>
          <t>SF1</t>
        </is>
      </c>
      <c r="I48" s="5" t="inlineStr">
        <is>
          <t>printed label</t>
        </is>
      </c>
      <c r="J48" s="5" t="inlineStr">
        <is>
          <t>SF1 80x25</t>
        </is>
      </c>
      <c r="K48" s="5" t="n">
        <v>1476</v>
      </c>
      <c r="L48" s="5" t="n">
        <v>80</v>
      </c>
      <c r="M48" s="10">
        <f>IF(AND(ISNUMBER(K48),L48&gt;0),K48/L48,"")</f>
        <v/>
      </c>
      <c r="N48" s="5" t="n">
        <v>11.805</v>
      </c>
      <c r="O48" s="5" t="n">
        <v>172.6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1</v>
      </c>
      <c r="U48" s="5" t="n">
        <v>5</v>
      </c>
      <c r="V48" s="5" t="n">
        <v>1</v>
      </c>
      <c r="W48" s="5" t="n">
        <v>14.76</v>
      </c>
      <c r="X48" s="5" t="inlineStr"/>
      <c r="Y48" s="5" t="n">
        <v>4171.3</v>
      </c>
      <c r="Z48" s="5" t="n">
        <v>414.9</v>
      </c>
      <c r="AA48" s="5" t="n">
        <v>4606.4</v>
      </c>
      <c r="AB48" s="5" t="n">
        <v>494.4</v>
      </c>
      <c r="AC48" s="5" t="inlineStr"/>
      <c r="AD48" s="5">
        <f>IF(AC48="","",IF(OR(AC48=F48,AND(AC48="crane_footing",F48="isolated_footing")),"yes","no"))</f>
        <v/>
      </c>
    </row>
    <row r="49">
      <c r="A49" s="5" t="n">
        <v>48</v>
      </c>
      <c r="B49" s="5" t="inlineStr">
        <is>
          <t>120</t>
        </is>
      </c>
      <c r="C49" s="5" t="inlineStr">
        <is>
          <t>nearest labels in its region</t>
        </is>
      </c>
      <c r="D49" s="5" t="inlineStr">
        <is>
          <t>band</t>
        </is>
      </c>
      <c r="E49" s="5" t="n">
        <v>6</v>
      </c>
      <c r="F49" s="5" t="inlineStr">
        <is>
          <t>strip_footing</t>
        </is>
      </c>
      <c r="G49" s="5" t="inlineStr">
        <is>
          <t>label vote</t>
        </is>
      </c>
      <c r="H49" s="5" t="inlineStr">
        <is>
          <t>SF1</t>
        </is>
      </c>
      <c r="I49" s="5" t="inlineStr">
        <is>
          <t>printed label</t>
        </is>
      </c>
      <c r="J49" s="5" t="inlineStr">
        <is>
          <t>SF1 80x25</t>
        </is>
      </c>
      <c r="K49" s="5" t="n">
        <v>388</v>
      </c>
      <c r="L49" s="5" t="n">
        <v>80</v>
      </c>
      <c r="M49" s="10">
        <f>IF(AND(ISNUMBER(K49),L49&gt;0),K49/L49,"")</f>
        <v/>
      </c>
      <c r="N49" s="5" t="n">
        <v>3.105</v>
      </c>
      <c r="O49" s="5" t="n">
        <v>90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2</v>
      </c>
      <c r="V49" s="5" t="n">
        <v>0</v>
      </c>
      <c r="W49" s="5" t="n">
        <v>3.88</v>
      </c>
      <c r="X49" s="5" t="inlineStr"/>
      <c r="Y49" s="5" t="n">
        <v>4756.7</v>
      </c>
      <c r="Z49" s="5" t="n">
        <v>1164.2</v>
      </c>
      <c r="AA49" s="5" t="n">
        <v>4780.3</v>
      </c>
      <c r="AB49" s="5" t="n">
        <v>1278.9</v>
      </c>
      <c r="AC49" s="5" t="inlineStr"/>
      <c r="AD49" s="5">
        <f>IF(AC49="","",IF(OR(AC49=F49,AND(AC49="crane_footing",F49="isolated_footing")),"yes","no"))</f>
        <v/>
      </c>
    </row>
    <row r="50">
      <c r="A50" s="5" t="n">
        <v>49</v>
      </c>
      <c r="B50" s="5" t="inlineStr">
        <is>
          <t>120</t>
        </is>
      </c>
      <c r="C50" s="5" t="inlineStr">
        <is>
          <t>nearest labels in its region</t>
        </is>
      </c>
      <c r="D50" s="5" t="inlineStr">
        <is>
          <t>band</t>
        </is>
      </c>
      <c r="E50" s="5" t="n">
        <v>6</v>
      </c>
      <c r="F50" s="5" t="inlineStr">
        <is>
          <t>strip_footing</t>
        </is>
      </c>
      <c r="G50" s="5" t="inlineStr">
        <is>
          <t>label vote</t>
        </is>
      </c>
      <c r="H50" s="5" t="inlineStr">
        <is>
          <t>SF1</t>
        </is>
      </c>
      <c r="I50" s="5" t="inlineStr">
        <is>
          <t>printed label</t>
        </is>
      </c>
      <c r="J50" s="5" t="inlineStr">
        <is>
          <t>SF1 80x25</t>
        </is>
      </c>
      <c r="K50" s="5" t="n">
        <v>296</v>
      </c>
      <c r="L50" s="5" t="n">
        <v>80</v>
      </c>
      <c r="M50" s="10">
        <f>IF(AND(ISNUMBER(K50),L50&gt;0),K50/L50,"")</f>
        <v/>
      </c>
      <c r="N50" s="5" t="n">
        <v>2.366</v>
      </c>
      <c r="O50" s="5" t="n">
        <v>90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17</v>
      </c>
      <c r="V50" s="5" t="n">
        <v>1</v>
      </c>
      <c r="W50" s="5" t="n">
        <v>2.96</v>
      </c>
      <c r="X50" s="5" t="inlineStr"/>
      <c r="Y50" s="5" t="n">
        <v>4756.3</v>
      </c>
      <c r="Z50" s="5" t="n">
        <v>645.6</v>
      </c>
      <c r="AA50" s="5" t="n">
        <v>4780</v>
      </c>
      <c r="AB50" s="5" t="n">
        <v>732.9</v>
      </c>
      <c r="AC50" s="5" t="inlineStr"/>
      <c r="AD50" s="5">
        <f>IF(AC50="","",IF(OR(AC50=F50,AND(AC50="crane_footing",F50="isolated_footing")),"yes","no"))</f>
        <v/>
      </c>
    </row>
    <row r="51">
      <c r="A51" s="5" t="n">
        <v>50</v>
      </c>
      <c r="B51" s="5" t="inlineStr">
        <is>
          <t>120</t>
        </is>
      </c>
      <c r="C51" s="5" t="inlineStr">
        <is>
          <t>nearest labels in its region</t>
        </is>
      </c>
      <c r="D51" s="5" t="inlineStr">
        <is>
          <t>band</t>
        </is>
      </c>
      <c r="E51" s="5" t="n">
        <v>6</v>
      </c>
      <c r="F51" s="5" t="inlineStr">
        <is>
          <t>strip_footing</t>
        </is>
      </c>
      <c r="G51" s="5" t="inlineStr">
        <is>
          <t>label vote</t>
        </is>
      </c>
      <c r="H51" s="5" t="inlineStr">
        <is>
          <t>SF1</t>
        </is>
      </c>
      <c r="I51" s="5" t="inlineStr">
        <is>
          <t>printed label</t>
        </is>
      </c>
      <c r="J51" s="5" t="inlineStr">
        <is>
          <t>SF1 80x25</t>
        </is>
      </c>
      <c r="K51" s="5" t="n">
        <v>225</v>
      </c>
      <c r="L51" s="5" t="n">
        <v>80</v>
      </c>
      <c r="M51" s="10">
        <f>IF(AND(ISNUMBER(K51),L51&gt;0),K51/L51,"")</f>
        <v/>
      </c>
      <c r="N51" s="5" t="n">
        <v>1.798</v>
      </c>
      <c r="O51" s="5" t="n">
        <v>90</v>
      </c>
      <c r="P51" s="5" t="n">
        <v>2</v>
      </c>
      <c r="Q51" s="5" t="n">
        <v>0</v>
      </c>
      <c r="R51" s="5" t="n">
        <v>0</v>
      </c>
      <c r="S51" s="5" t="n">
        <v>0</v>
      </c>
      <c r="T51" s="5" t="n">
        <v>1</v>
      </c>
      <c r="U51" s="5" t="n">
        <v>3</v>
      </c>
      <c r="V51" s="5" t="n">
        <v>2</v>
      </c>
      <c r="W51" s="5" t="n">
        <v>2.25</v>
      </c>
      <c r="X51" s="5" t="inlineStr"/>
      <c r="Y51" s="5" t="n">
        <v>4809.5</v>
      </c>
      <c r="Z51" s="5" t="n">
        <v>898.4</v>
      </c>
      <c r="AA51" s="5" t="n">
        <v>4833.2</v>
      </c>
      <c r="AB51" s="5" t="n">
        <v>964.7</v>
      </c>
      <c r="AC51" s="5" t="inlineStr"/>
      <c r="AD51" s="5">
        <f>IF(AC51="","",IF(OR(AC51=F51,AND(AC51="crane_footing",F51="isolated_footing")),"yes","no"))</f>
        <v/>
      </c>
    </row>
    <row r="52">
      <c r="A52" s="5" t="n">
        <v>51</v>
      </c>
      <c r="B52" s="5" t="inlineStr">
        <is>
          <t>120</t>
        </is>
      </c>
      <c r="C52" s="5" t="inlineStr">
        <is>
          <t>nearest labels in its region</t>
        </is>
      </c>
      <c r="D52" s="5" t="inlineStr">
        <is>
          <t>band</t>
        </is>
      </c>
      <c r="E52" s="5" t="n">
        <v>4</v>
      </c>
      <c r="F52" s="5" t="inlineStr">
        <is>
          <t>grade_beam</t>
        </is>
      </c>
      <c r="G52" s="5" t="inlineStr">
        <is>
          <t>label vote</t>
        </is>
      </c>
      <c r="H52" s="5" t="inlineStr">
        <is>
          <t>LG40x15</t>
        </is>
      </c>
      <c r="I52" s="5" t="inlineStr">
        <is>
          <t>printed label</t>
        </is>
      </c>
      <c r="J52" s="5" t="inlineStr">
        <is>
          <t>LG-40x15</t>
        </is>
      </c>
      <c r="K52" s="5" t="n">
        <v>2875</v>
      </c>
      <c r="L52" s="5" t="n">
        <v>41</v>
      </c>
      <c r="M52" s="10">
        <f>IF(AND(ISNUMBER(K52),L52&gt;0),K52/L52,"")</f>
        <v/>
      </c>
      <c r="N52" s="5" t="n">
        <v>11.787</v>
      </c>
      <c r="O52" s="5" t="n">
        <v>90</v>
      </c>
      <c r="P52" s="5" t="n">
        <v>4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127</v>
      </c>
      <c r="V52" s="5" t="n">
        <v>9</v>
      </c>
      <c r="W52" s="5" t="n">
        <v>21.55</v>
      </c>
      <c r="X52" s="5" t="inlineStr"/>
      <c r="Y52" s="5" t="n">
        <v>4293.4</v>
      </c>
      <c r="Z52" s="5" t="n">
        <v>469.9</v>
      </c>
      <c r="AA52" s="5" t="n">
        <v>4306.1</v>
      </c>
      <c r="AB52" s="5" t="n">
        <v>1318.7</v>
      </c>
      <c r="AC52" s="5" t="inlineStr"/>
      <c r="AD52" s="5">
        <f>IF(AC52="","",IF(OR(AC52=F52,AND(AC52="crane_footing",F52="isolated_footing")),"yes","no"))</f>
        <v/>
      </c>
    </row>
    <row r="53">
      <c r="A53" s="5" t="n">
        <v>52</v>
      </c>
      <c r="B53" s="5" t="inlineStr">
        <is>
          <t>120</t>
        </is>
      </c>
      <c r="C53" s="5" t="inlineStr">
        <is>
          <t>nearest labels in its region</t>
        </is>
      </c>
      <c r="D53" s="5" t="inlineStr">
        <is>
          <t>band</t>
        </is>
      </c>
      <c r="E53" s="5" t="n">
        <v>4</v>
      </c>
      <c r="F53" s="5" t="inlineStr">
        <is>
          <t>grade_beam</t>
        </is>
      </c>
      <c r="G53" s="5" t="inlineStr">
        <is>
          <t>label vote</t>
        </is>
      </c>
      <c r="H53" s="5" t="inlineStr">
        <is>
          <t>LG40x15</t>
        </is>
      </c>
      <c r="I53" s="5" t="inlineStr">
        <is>
          <t>printed label</t>
        </is>
      </c>
      <c r="J53" s="5" t="inlineStr">
        <is>
          <t>LG-40x15</t>
        </is>
      </c>
      <c r="K53" s="5" t="n">
        <v>2689</v>
      </c>
      <c r="L53" s="5" t="n">
        <v>41</v>
      </c>
      <c r="M53" s="10">
        <f>IF(AND(ISNUMBER(K53),L53&gt;0),K53/L53,"")</f>
        <v/>
      </c>
      <c r="N53" s="5" t="n">
        <v>11.024</v>
      </c>
      <c r="O53" s="5" t="n">
        <v>89.90000000000001</v>
      </c>
      <c r="P53" s="5" t="n">
        <v>5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9</v>
      </c>
      <c r="V53" s="5" t="n">
        <v>12</v>
      </c>
      <c r="W53" s="5" t="n">
        <v>14.04</v>
      </c>
      <c r="X53" s="5" t="inlineStr"/>
      <c r="Y53" s="5" t="n">
        <v>4540.2</v>
      </c>
      <c r="Z53" s="5" t="n">
        <v>524.8</v>
      </c>
      <c r="AA53" s="5" t="n">
        <v>4553.7</v>
      </c>
      <c r="AB53" s="5" t="n">
        <v>1318.7</v>
      </c>
      <c r="AC53" s="5" t="inlineStr"/>
      <c r="AD53" s="5">
        <f>IF(AC53="","",IF(OR(AC53=F53,AND(AC53="crane_footing",F53="isolated_footing")),"yes","no"))</f>
        <v/>
      </c>
    </row>
    <row r="54">
      <c r="A54" s="5" t="n">
        <v>53</v>
      </c>
      <c r="B54" s="5" t="inlineStr">
        <is>
          <t>120</t>
        </is>
      </c>
      <c r="C54" s="5" t="inlineStr">
        <is>
          <t>nearest labels in its region</t>
        </is>
      </c>
      <c r="D54" s="5" t="inlineStr">
        <is>
          <t>band</t>
        </is>
      </c>
      <c r="E54" s="5" t="n">
        <v>4</v>
      </c>
      <c r="F54" s="5" t="inlineStr">
        <is>
          <t>grade_beam</t>
        </is>
      </c>
      <c r="G54" s="5" t="inlineStr">
        <is>
          <t>label vote</t>
        </is>
      </c>
      <c r="H54" s="5" t="inlineStr">
        <is>
          <t>LG40x15</t>
        </is>
      </c>
      <c r="I54" s="5" t="inlineStr">
        <is>
          <t>printed label</t>
        </is>
      </c>
      <c r="J54" s="5" t="inlineStr">
        <is>
          <t>LG-40x15</t>
        </is>
      </c>
      <c r="K54" s="5" t="n">
        <v>2034</v>
      </c>
      <c r="L54" s="5" t="n">
        <v>41</v>
      </c>
      <c r="M54" s="10">
        <f>IF(AND(ISNUMBER(K54),L54&gt;0),K54/L54,"")</f>
        <v/>
      </c>
      <c r="N54" s="5" t="n">
        <v>8.34</v>
      </c>
      <c r="O54" s="5" t="n">
        <v>0</v>
      </c>
      <c r="P54" s="5" t="n">
        <v>5</v>
      </c>
      <c r="Q54" s="5" t="n">
        <v>0</v>
      </c>
      <c r="R54" s="5" t="n">
        <v>0</v>
      </c>
      <c r="S54" s="5" t="n">
        <v>0</v>
      </c>
      <c r="T54" s="5" t="n">
        <v>2</v>
      </c>
      <c r="U54" s="5" t="n">
        <v>48</v>
      </c>
      <c r="V54" s="5" t="n">
        <v>3</v>
      </c>
      <c r="W54" s="5" t="n">
        <v>12.91</v>
      </c>
      <c r="X54" s="5" t="inlineStr"/>
      <c r="Y54" s="5" t="n">
        <v>4164.9</v>
      </c>
      <c r="Z54" s="5" t="n">
        <v>1318.6</v>
      </c>
      <c r="AA54" s="5" t="n">
        <v>4765.6</v>
      </c>
      <c r="AB54" s="5" t="n">
        <v>1330.7</v>
      </c>
      <c r="AC54" s="5" t="inlineStr"/>
      <c r="AD54" s="5">
        <f>IF(AC54="","",IF(OR(AC54=F54,AND(AC54="crane_footing",F54="isolated_footing")),"yes","no"))</f>
        <v/>
      </c>
    </row>
    <row r="55">
      <c r="A55" s="5" t="n">
        <v>54</v>
      </c>
      <c r="B55" s="5" t="inlineStr">
        <is>
          <t>120</t>
        </is>
      </c>
      <c r="C55" s="5" t="inlineStr">
        <is>
          <t>nearest labels in its region</t>
        </is>
      </c>
      <c r="D55" s="5" t="inlineStr">
        <is>
          <t>band</t>
        </is>
      </c>
      <c r="E55" s="5" t="n">
        <v>4</v>
      </c>
      <c r="F55" s="5" t="inlineStr">
        <is>
          <t>grade_beam</t>
        </is>
      </c>
      <c r="G55" s="5" t="inlineStr">
        <is>
          <t>label vote</t>
        </is>
      </c>
      <c r="H55" s="5" t="inlineStr">
        <is>
          <t>LG40x15</t>
        </is>
      </c>
      <c r="I55" s="5" t="inlineStr">
        <is>
          <t>printed label</t>
        </is>
      </c>
      <c r="J55" s="5" t="inlineStr">
        <is>
          <t>LG-40x15</t>
        </is>
      </c>
      <c r="K55" s="5" t="n">
        <v>1558</v>
      </c>
      <c r="L55" s="5" t="n">
        <v>41</v>
      </c>
      <c r="M55" s="10">
        <f>IF(AND(ISNUMBER(K55),L55&gt;0),K55/L55,"")</f>
        <v/>
      </c>
      <c r="N55" s="5" t="n">
        <v>6.386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1</v>
      </c>
      <c r="U55" s="5" t="n">
        <v>25</v>
      </c>
      <c r="V55" s="5" t="n">
        <v>4</v>
      </c>
      <c r="W55" s="5" t="n">
        <v>10.98</v>
      </c>
      <c r="X55" s="5" t="inlineStr"/>
      <c r="Y55" s="5" t="n">
        <v>4305.6</v>
      </c>
      <c r="Z55" s="5" t="n">
        <v>971.8</v>
      </c>
      <c r="AA55" s="5" t="n">
        <v>4765.5</v>
      </c>
      <c r="AB55" s="5" t="n">
        <v>984.2</v>
      </c>
      <c r="AC55" s="5" t="inlineStr"/>
      <c r="AD55" s="5">
        <f>IF(AC55="","",IF(OR(AC55=F55,AND(AC55="crane_footing",F55="isolated_footing")),"yes","no"))</f>
        <v/>
      </c>
    </row>
    <row r="56">
      <c r="A56" s="5" t="n">
        <v>55</v>
      </c>
      <c r="B56" s="5" t="inlineStr">
        <is>
          <t>120</t>
        </is>
      </c>
      <c r="C56" s="5" t="inlineStr">
        <is>
          <t>nearest labels in its region</t>
        </is>
      </c>
      <c r="D56" s="5" t="inlineStr">
        <is>
          <t>band</t>
        </is>
      </c>
      <c r="E56" s="5" t="n">
        <v>4</v>
      </c>
      <c r="F56" s="5" t="inlineStr">
        <is>
          <t>grade_beam</t>
        </is>
      </c>
      <c r="G56" s="5" t="inlineStr">
        <is>
          <t>label vote</t>
        </is>
      </c>
      <c r="H56" s="5" t="inlineStr">
        <is>
          <t>LG40x15</t>
        </is>
      </c>
      <c r="I56" s="5" t="inlineStr">
        <is>
          <t>printed label</t>
        </is>
      </c>
      <c r="J56" s="5" t="inlineStr">
        <is>
          <t>LG-40x15</t>
        </is>
      </c>
      <c r="K56" s="5" t="n">
        <v>1556</v>
      </c>
      <c r="L56" s="5" t="n">
        <v>41</v>
      </c>
      <c r="M56" s="10">
        <f>IF(AND(ISNUMBER(K56),L56&gt;0),K56/L56,"")</f>
        <v/>
      </c>
      <c r="N56" s="5" t="n">
        <v>6.379</v>
      </c>
      <c r="O56" s="5" t="n">
        <v>179.9</v>
      </c>
      <c r="P56" s="5" t="n">
        <v>2</v>
      </c>
      <c r="Q56" s="5" t="n">
        <v>0</v>
      </c>
      <c r="R56" s="5" t="n">
        <v>0</v>
      </c>
      <c r="S56" s="5" t="n">
        <v>1</v>
      </c>
      <c r="T56" s="5" t="n">
        <v>1</v>
      </c>
      <c r="U56" s="5" t="n">
        <v>25</v>
      </c>
      <c r="V56" s="5" t="n">
        <v>6</v>
      </c>
      <c r="W56" s="5" t="n">
        <v>15.46</v>
      </c>
      <c r="X56" s="5" t="inlineStr"/>
      <c r="Y56" s="5" t="n">
        <v>4305.9</v>
      </c>
      <c r="Z56" s="5" t="n">
        <v>514.7</v>
      </c>
      <c r="AA56" s="5" t="n">
        <v>4765.3</v>
      </c>
      <c r="AB56" s="5" t="n">
        <v>527.6</v>
      </c>
      <c r="AC56" s="5" t="inlineStr"/>
      <c r="AD56" s="5">
        <f>IF(AC56="","",IF(OR(AC56=F56,AND(AC56="crane_footing",F56="isolated_footing")),"yes","no"))</f>
        <v/>
      </c>
    </row>
    <row r="57">
      <c r="A57" s="5" t="n">
        <v>56</v>
      </c>
      <c r="B57" s="5" t="inlineStr">
        <is>
          <t>120</t>
        </is>
      </c>
      <c r="C57" s="5" t="inlineStr">
        <is>
          <t>nearest labels in its region</t>
        </is>
      </c>
      <c r="D57" s="5" t="inlineStr">
        <is>
          <t>band</t>
        </is>
      </c>
      <c r="E57" s="5" t="n">
        <v>4</v>
      </c>
      <c r="F57" s="5" t="inlineStr">
        <is>
          <t>grade_beam</t>
        </is>
      </c>
      <c r="G57" s="5" t="inlineStr">
        <is>
          <t>label vote</t>
        </is>
      </c>
      <c r="H57" s="5" t="inlineStr">
        <is>
          <t>LG40x15</t>
        </is>
      </c>
      <c r="I57" s="5" t="inlineStr">
        <is>
          <t>printed label</t>
        </is>
      </c>
      <c r="J57" s="5" t="inlineStr">
        <is>
          <t>LG-40x15</t>
        </is>
      </c>
      <c r="K57" s="5" t="n">
        <v>1274</v>
      </c>
      <c r="L57" s="5" t="n">
        <v>41</v>
      </c>
      <c r="M57" s="10">
        <f>IF(AND(ISNUMBER(K57),L57&gt;0),K57/L57,"")</f>
        <v/>
      </c>
      <c r="N57" s="5" t="n">
        <v>5.225</v>
      </c>
      <c r="O57" s="5" t="n">
        <v>0</v>
      </c>
      <c r="P57" s="5" t="n">
        <v>2</v>
      </c>
      <c r="Q57" s="5" t="n">
        <v>0</v>
      </c>
      <c r="R57" s="5" t="n">
        <v>0</v>
      </c>
      <c r="S57" s="5" t="n">
        <v>0</v>
      </c>
      <c r="T57" s="5" t="n">
        <v>1</v>
      </c>
      <c r="U57" s="5" t="n">
        <v>28</v>
      </c>
      <c r="V57" s="5" t="n">
        <v>2</v>
      </c>
      <c r="W57" s="5" t="n">
        <v>7.16</v>
      </c>
      <c r="X57" s="5" t="inlineStr"/>
      <c r="Y57" s="5" t="n">
        <v>4165.1</v>
      </c>
      <c r="Z57" s="5" t="n">
        <v>1091.8</v>
      </c>
      <c r="AA57" s="5" t="n">
        <v>4541.4</v>
      </c>
      <c r="AB57" s="5" t="n">
        <v>1104.1</v>
      </c>
      <c r="AC57" s="5" t="inlineStr"/>
      <c r="AD57" s="5">
        <f>IF(AC57="","",IF(OR(AC57=F57,AND(AC57="crane_footing",F57="isolated_footing")),"yes","no"))</f>
        <v/>
      </c>
    </row>
    <row r="58">
      <c r="A58" s="5" t="n">
        <v>57</v>
      </c>
      <c r="B58" s="5" t="inlineStr">
        <is>
          <t>120</t>
        </is>
      </c>
      <c r="C58" s="5" t="inlineStr">
        <is>
          <t>nearest labels in its region</t>
        </is>
      </c>
      <c r="D58" s="5" t="inlineStr">
        <is>
          <t>band</t>
        </is>
      </c>
      <c r="E58" s="5" t="n">
        <v>4</v>
      </c>
      <c r="F58" s="5" t="inlineStr">
        <is>
          <t>grade_beam</t>
        </is>
      </c>
      <c r="G58" s="5" t="inlineStr">
        <is>
          <t>label vote</t>
        </is>
      </c>
      <c r="H58" s="5" t="inlineStr">
        <is>
          <t>LG40x15</t>
        </is>
      </c>
      <c r="I58" s="5" t="inlineStr">
        <is>
          <t>printed label</t>
        </is>
      </c>
      <c r="J58" s="5" t="inlineStr">
        <is>
          <t>LG-40x15</t>
        </is>
      </c>
      <c r="K58" s="5" t="n">
        <v>1270</v>
      </c>
      <c r="L58" s="5" t="n">
        <v>41</v>
      </c>
      <c r="M58" s="10">
        <f>IF(AND(ISNUMBER(K58),L58&gt;0),K58/L58,"")</f>
        <v/>
      </c>
      <c r="N58" s="5" t="n">
        <v>5.209</v>
      </c>
      <c r="O58" s="5" t="n">
        <v>179.5</v>
      </c>
      <c r="P58" s="5" t="n">
        <v>2</v>
      </c>
      <c r="Q58" s="5" t="n">
        <v>0</v>
      </c>
      <c r="R58" s="5" t="n">
        <v>0</v>
      </c>
      <c r="S58" s="5" t="n">
        <v>0</v>
      </c>
      <c r="T58" s="5" t="n">
        <v>1</v>
      </c>
      <c r="U58" s="5" t="n">
        <v>31</v>
      </c>
      <c r="V58" s="5" t="n">
        <v>2</v>
      </c>
      <c r="W58" s="5" t="n">
        <v>7.24</v>
      </c>
      <c r="X58" s="5" t="inlineStr"/>
      <c r="Y58" s="5" t="n">
        <v>4165.4</v>
      </c>
      <c r="Z58" s="5" t="n">
        <v>631.5</v>
      </c>
      <c r="AA58" s="5" t="n">
        <v>4540.6</v>
      </c>
      <c r="AB58" s="5" t="n">
        <v>646.7</v>
      </c>
      <c r="AC58" s="5" t="inlineStr"/>
      <c r="AD58" s="5">
        <f>IF(AC58="","",IF(OR(AC58=F58,AND(AC58="crane_footing",F58="isolated_footing")),"yes","no"))</f>
        <v/>
      </c>
    </row>
    <row r="59">
      <c r="A59" s="5" t="n">
        <v>58</v>
      </c>
      <c r="B59" s="5" t="inlineStr">
        <is>
          <t>120</t>
        </is>
      </c>
      <c r="C59" s="5" t="inlineStr">
        <is>
          <t>nearest labels in its region</t>
        </is>
      </c>
      <c r="D59" s="5" t="inlineStr">
        <is>
          <t>band</t>
        </is>
      </c>
      <c r="E59" s="5" t="n">
        <v>4</v>
      </c>
      <c r="F59" s="5" t="inlineStr">
        <is>
          <t>grade_beam</t>
        </is>
      </c>
      <c r="G59" s="5" t="inlineStr">
        <is>
          <t>label vote</t>
        </is>
      </c>
      <c r="H59" s="5" t="inlineStr">
        <is>
          <t>LG40x15</t>
        </is>
      </c>
      <c r="I59" s="5" t="inlineStr">
        <is>
          <t>printed label</t>
        </is>
      </c>
      <c r="J59" s="5" t="inlineStr">
        <is>
          <t>LG-40x15</t>
        </is>
      </c>
      <c r="K59" s="5" t="n">
        <v>797</v>
      </c>
      <c r="L59" s="5" t="n">
        <v>41</v>
      </c>
      <c r="M59" s="10">
        <f>IF(AND(ISNUMBER(K59),L59&gt;0),K59/L59,"")</f>
        <v/>
      </c>
      <c r="N59" s="5" t="n">
        <v>3.266</v>
      </c>
      <c r="O59" s="5" t="n">
        <v>0</v>
      </c>
      <c r="P59" s="5" t="n">
        <v>1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10</v>
      </c>
      <c r="V59" s="5" t="n">
        <v>2</v>
      </c>
      <c r="W59" s="5" t="n">
        <v>7.97</v>
      </c>
      <c r="X59" s="5" t="inlineStr"/>
      <c r="Y59" s="5" t="n">
        <v>4305.7</v>
      </c>
      <c r="Z59" s="5" t="n">
        <v>824.3</v>
      </c>
      <c r="AA59" s="5" t="n">
        <v>4540.9</v>
      </c>
      <c r="AB59" s="5" t="n">
        <v>836.5</v>
      </c>
      <c r="AC59" s="5" t="inlineStr"/>
      <c r="AD59" s="5">
        <f>IF(AC59="","",IF(OR(AC59=F59,AND(AC59="crane_footing",F59="isolated_footing")),"yes","no"))</f>
        <v/>
      </c>
    </row>
    <row r="60">
      <c r="A60" s="5" t="n">
        <v>59</v>
      </c>
      <c r="B60" s="5" t="inlineStr">
        <is>
          <t>120</t>
        </is>
      </c>
      <c r="C60" s="5" t="inlineStr">
        <is>
          <t>nearest labels in its region</t>
        </is>
      </c>
      <c r="D60" s="5" t="inlineStr">
        <is>
          <t>band</t>
        </is>
      </c>
      <c r="E60" s="5" t="n">
        <v>4</v>
      </c>
      <c r="F60" s="5" t="inlineStr">
        <is>
          <t>grade_beam</t>
        </is>
      </c>
      <c r="G60" s="5" t="inlineStr">
        <is>
          <t>label vote</t>
        </is>
      </c>
      <c r="H60" s="5" t="inlineStr">
        <is>
          <t>LG40x15</t>
        </is>
      </c>
      <c r="I60" s="5" t="inlineStr">
        <is>
          <t>printed label</t>
        </is>
      </c>
      <c r="J60" s="5" t="inlineStr">
        <is>
          <t>LG-40x15</t>
        </is>
      </c>
      <c r="K60" s="5" t="n">
        <v>720</v>
      </c>
      <c r="L60" s="5" t="n">
        <v>41</v>
      </c>
      <c r="M60" s="10">
        <f>IF(AND(ISNUMBER(K60),L60&gt;0),K60/L60,"")</f>
        <v/>
      </c>
      <c r="N60" s="5" t="n">
        <v>2.953</v>
      </c>
      <c r="O60" s="5" t="n">
        <v>0</v>
      </c>
      <c r="P60" s="5" t="n">
        <v>2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8</v>
      </c>
      <c r="V60" s="5" t="n">
        <v>1</v>
      </c>
      <c r="W60" s="5" t="n">
        <v>5.07</v>
      </c>
      <c r="X60" s="5" t="inlineStr"/>
      <c r="Y60" s="5" t="n">
        <v>4552.5</v>
      </c>
      <c r="Z60" s="5" t="n">
        <v>679</v>
      </c>
      <c r="AA60" s="5" t="n">
        <v>4765.1</v>
      </c>
      <c r="AB60" s="5" t="n">
        <v>691.2</v>
      </c>
      <c r="AC60" s="5" t="inlineStr"/>
      <c r="AD60" s="5">
        <f>IF(AC60="","",IF(OR(AC60=F60,AND(AC60="crane_footing",F60="isolated_footing")),"yes","no"))</f>
        <v/>
      </c>
    </row>
    <row r="61">
      <c r="A61" s="5" t="n">
        <v>60</v>
      </c>
      <c r="B61" s="5" t="inlineStr">
        <is>
          <t>120</t>
        </is>
      </c>
      <c r="C61" s="5" t="inlineStr">
        <is>
          <t>nearest labels in its region</t>
        </is>
      </c>
      <c r="D61" s="5" t="inlineStr">
        <is>
          <t>band</t>
        </is>
      </c>
      <c r="E61" s="5" t="n">
        <v>4</v>
      </c>
      <c r="F61" s="5" t="inlineStr">
        <is>
          <t>grade_beam</t>
        </is>
      </c>
      <c r="G61" s="5" t="inlineStr">
        <is>
          <t>label vote</t>
        </is>
      </c>
      <c r="H61" s="5" t="inlineStr">
        <is>
          <t>LG40x15</t>
        </is>
      </c>
      <c r="I61" s="5" t="inlineStr">
        <is>
          <t>printed label</t>
        </is>
      </c>
      <c r="J61" s="5" t="inlineStr">
        <is>
          <t>LG-40x15</t>
        </is>
      </c>
      <c r="K61" s="5" t="n">
        <v>719</v>
      </c>
      <c r="L61" s="5" t="n">
        <v>41</v>
      </c>
      <c r="M61" s="10">
        <f>IF(AND(ISNUMBER(K61),L61&gt;0),K61/L61,"")</f>
        <v/>
      </c>
      <c r="N61" s="5" t="n">
        <v>2.948</v>
      </c>
      <c r="O61" s="5" t="n">
        <v>0.1</v>
      </c>
      <c r="P61" s="5" t="n">
        <v>2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10</v>
      </c>
      <c r="V61" s="5" t="n">
        <v>1</v>
      </c>
      <c r="W61" s="5" t="n">
        <v>3</v>
      </c>
      <c r="X61" s="5" t="inlineStr"/>
      <c r="Y61" s="5" t="n">
        <v>4553.2</v>
      </c>
      <c r="Z61" s="5" t="n">
        <v>1138.1</v>
      </c>
      <c r="AA61" s="5" t="n">
        <v>4765.6</v>
      </c>
      <c r="AB61" s="5" t="n">
        <v>1150.4</v>
      </c>
      <c r="AC61" s="5" t="inlineStr"/>
      <c r="AD61" s="5">
        <f>IF(AC61="","",IF(OR(AC61=F61,AND(AC61="crane_footing",F61="isolated_footing")),"yes","no"))</f>
        <v/>
      </c>
    </row>
    <row r="62">
      <c r="A62" s="5" t="n">
        <v>61</v>
      </c>
      <c r="B62" s="5" t="inlineStr">
        <is>
          <t>120</t>
        </is>
      </c>
      <c r="C62" s="5" t="inlineStr">
        <is>
          <t>nearest labels in its region</t>
        </is>
      </c>
      <c r="D62" s="5" t="inlineStr">
        <is>
          <t>band</t>
        </is>
      </c>
      <c r="E62" s="5" t="n">
        <v>4</v>
      </c>
      <c r="F62" s="5" t="inlineStr">
        <is>
          <t>grade_beam</t>
        </is>
      </c>
      <c r="G62" s="5" t="inlineStr">
        <is>
          <t>label vote</t>
        </is>
      </c>
      <c r="H62" s="5" t="inlineStr">
        <is>
          <t>LG40x15</t>
        </is>
      </c>
      <c r="I62" s="5" t="inlineStr">
        <is>
          <t>printed label</t>
        </is>
      </c>
      <c r="J62" s="5" t="inlineStr">
        <is>
          <t>LG-40x15</t>
        </is>
      </c>
      <c r="K62" s="5" t="n">
        <v>451</v>
      </c>
      <c r="L62" s="5" t="n">
        <v>41</v>
      </c>
      <c r="M62" s="10">
        <f>IF(AND(ISNUMBER(K62),L62&gt;0),K62/L62,"")</f>
        <v/>
      </c>
      <c r="N62" s="5" t="n">
        <v>1.849</v>
      </c>
      <c r="O62" s="5" t="n">
        <v>0</v>
      </c>
      <c r="P62" s="5" t="n">
        <v>2</v>
      </c>
      <c r="Q62" s="5" t="n">
        <v>0</v>
      </c>
      <c r="R62" s="5" t="n">
        <v>0</v>
      </c>
      <c r="S62" s="5" t="n">
        <v>0</v>
      </c>
      <c r="T62" s="5" t="n">
        <v>0</v>
      </c>
      <c r="U62" s="5" t="n">
        <v>6</v>
      </c>
      <c r="V62" s="5" t="n">
        <v>1</v>
      </c>
      <c r="W62" s="5" t="n">
        <v>2.96</v>
      </c>
      <c r="X62" s="5" t="inlineStr"/>
      <c r="Y62" s="5" t="n">
        <v>4160.7</v>
      </c>
      <c r="Z62" s="5" t="n">
        <v>862.3</v>
      </c>
      <c r="AA62" s="5" t="n">
        <v>4293.9</v>
      </c>
      <c r="AB62" s="5" t="n">
        <v>874.4</v>
      </c>
      <c r="AC62" s="5" t="inlineStr"/>
      <c r="AD62" s="5">
        <f>IF(AC62="","",IF(OR(AC62=F62,AND(AC62="crane_footing",F62="isolated_footing")),"yes","no"))</f>
        <v/>
      </c>
    </row>
    <row r="63">
      <c r="A63" s="5" t="n">
        <v>62</v>
      </c>
      <c r="B63" s="5" t="inlineStr">
        <is>
          <t>120</t>
        </is>
      </c>
      <c r="C63" s="5" t="inlineStr">
        <is>
          <t>nearest labels in its region</t>
        </is>
      </c>
      <c r="D63" s="5" t="inlineStr">
        <is>
          <t>stamped_region</t>
        </is>
      </c>
      <c r="E63" s="5" t="n">
        <v>39</v>
      </c>
      <c r="F63" s="5" t="inlineStr">
        <is>
          <t>raft</t>
        </is>
      </c>
      <c r="G63" s="5" t="inlineStr">
        <is>
          <t>label vote</t>
        </is>
      </c>
      <c r="H63" s="5" t="inlineStr">
        <is>
          <t>Radier 110</t>
        </is>
      </c>
      <c r="I63" s="5" t="inlineStr">
        <is>
          <t>printed label</t>
        </is>
      </c>
      <c r="J63" s="5" t="inlineStr">
        <is>
          <t>Radier</t>
        </is>
      </c>
      <c r="K63" s="5" t="n">
        <v>692</v>
      </c>
      <c r="L63" s="5" t="n">
        <v>525</v>
      </c>
      <c r="M63" s="10">
        <f>IF(AND(ISNUMBER(K63),L63&gt;0),K63/L63,"")</f>
        <v/>
      </c>
      <c r="N63" s="5" t="n">
        <v>29.116</v>
      </c>
      <c r="O63" s="5" t="n">
        <v>0</v>
      </c>
      <c r="P63" s="5" t="n">
        <v>3</v>
      </c>
      <c r="Q63" s="5" t="n">
        <v>0</v>
      </c>
      <c r="R63" s="5" t="n">
        <v>0</v>
      </c>
      <c r="S63" s="5" t="n">
        <v>0</v>
      </c>
      <c r="T63" s="5" t="n">
        <v>2</v>
      </c>
      <c r="U63" s="5" t="n">
        <v>69</v>
      </c>
      <c r="V63" s="5" t="n">
        <v>5</v>
      </c>
      <c r="W63" s="5" t="n"/>
      <c r="X63" s="5" t="inlineStr">
        <is>
          <t>traced outline</t>
        </is>
      </c>
      <c r="Y63" s="5" t="n">
        <v>4484.3</v>
      </c>
      <c r="Z63" s="5" t="n">
        <v>413.4</v>
      </c>
      <c r="AA63" s="5" t="n">
        <v>4688.7</v>
      </c>
      <c r="AB63" s="5" t="n">
        <v>568.4</v>
      </c>
      <c r="AC63" s="5" t="inlineStr"/>
      <c r="AD63" s="5">
        <f>IF(AC63="","",IF(OR(AC63=F63,AND(AC63="crane_footing",F63="isolated_footing")),"yes","no"))</f>
        <v/>
      </c>
    </row>
    <row r="64">
      <c r="A64" s="5" t="n">
        <v>63</v>
      </c>
      <c r="B64" s="5" t="inlineStr">
        <is>
          <t>120</t>
        </is>
      </c>
      <c r="C64" s="5" t="inlineStr">
        <is>
          <t>nearest labels in its region</t>
        </is>
      </c>
      <c r="D64" s="5" t="inlineStr">
        <is>
          <t>stamped_region</t>
        </is>
      </c>
      <c r="E64" s="5" t="n">
        <v>39</v>
      </c>
      <c r="F64" s="5" t="inlineStr">
        <is>
          <t>raft</t>
        </is>
      </c>
      <c r="G64" s="5" t="inlineStr">
        <is>
          <t>label vote</t>
        </is>
      </c>
      <c r="H64" s="5" t="inlineStr">
        <is>
          <t>Radier 90</t>
        </is>
      </c>
      <c r="I64" s="5" t="inlineStr">
        <is>
          <t>printed label</t>
        </is>
      </c>
      <c r="J64" s="5" t="inlineStr">
        <is>
          <t>Radier</t>
        </is>
      </c>
      <c r="K64" s="5" t="n">
        <v>1902</v>
      </c>
      <c r="L64" s="5" t="n">
        <v>560</v>
      </c>
      <c r="M64" s="10">
        <f>IF(AND(ISNUMBER(K64),L64&gt;0),K64/L64,"")</f>
        <v/>
      </c>
      <c r="N64" s="5" t="n">
        <v>98.06999999999999</v>
      </c>
      <c r="O64" s="5" t="n">
        <v>0</v>
      </c>
      <c r="P64" s="5" t="n">
        <v>14</v>
      </c>
      <c r="Q64" s="5" t="n">
        <v>0</v>
      </c>
      <c r="R64" s="5" t="n">
        <v>0</v>
      </c>
      <c r="S64" s="5" t="n">
        <v>0</v>
      </c>
      <c r="T64" s="5" t="n">
        <v>13</v>
      </c>
      <c r="U64" s="5" t="n">
        <v>229</v>
      </c>
      <c r="V64" s="5" t="n">
        <v>15</v>
      </c>
      <c r="W64" s="5" t="n"/>
      <c r="X64" s="5" t="inlineStr">
        <is>
          <t>traced outline</t>
        </is>
      </c>
      <c r="Y64" s="5" t="n">
        <v>4486.5</v>
      </c>
      <c r="Z64" s="5" t="n">
        <v>733</v>
      </c>
      <c r="AA64" s="5" t="n">
        <v>5048.2</v>
      </c>
      <c r="AB64" s="5" t="n">
        <v>898.3</v>
      </c>
      <c r="AC64" s="5" t="inlineStr"/>
      <c r="AD64" s="5">
        <f>IF(AC64="","",IF(OR(AC64=F64,AND(AC64="crane_footing",F64="isolated_footing")),"yes","no"))</f>
        <v/>
      </c>
    </row>
    <row r="65">
      <c r="A65" s="5" t="n">
        <v>64</v>
      </c>
      <c r="B65" s="5" t="inlineStr">
        <is>
          <t>120</t>
        </is>
      </c>
      <c r="C65" s="5" t="inlineStr">
        <is>
          <t>nearest labels in its region</t>
        </is>
      </c>
      <c r="D65" s="5" t="inlineStr">
        <is>
          <t>solid</t>
        </is>
      </c>
      <c r="E65" s="5" t="n">
        <v>34</v>
      </c>
      <c r="F65" s="5" t="inlineStr">
        <is>
          <t>unnamed</t>
        </is>
      </c>
      <c r="G65" s="5" t="inlineStr">
        <is>
          <t>no label votes</t>
        </is>
      </c>
      <c r="H65" s="5" t="inlineStr">
        <is>
          <t>(none)</t>
        </is>
      </c>
      <c r="I65" s="5" t="inlineStr"/>
      <c r="J65" s="5" t="inlineStr"/>
      <c r="K65" s="5" t="n">
        <v>110</v>
      </c>
      <c r="L65" s="5" t="n">
        <v>20</v>
      </c>
      <c r="M65" s="10">
        <f>IF(AND(ISNUMBER(K65),L65&gt;0),K65/L65,"")</f>
        <v/>
      </c>
      <c r="N65" s="5" t="n">
        <v>0.209</v>
      </c>
      <c r="O65" s="5" t="n">
        <v>90</v>
      </c>
      <c r="P65" s="5" t="n">
        <v>1</v>
      </c>
      <c r="Q65" s="5" t="n">
        <v>0</v>
      </c>
      <c r="R65" s="5" t="n">
        <v>0</v>
      </c>
      <c r="S65" s="5" t="n">
        <v>1</v>
      </c>
      <c r="T65" s="5" t="n">
        <v>0</v>
      </c>
      <c r="U65" s="5" t="n">
        <v>2</v>
      </c>
      <c r="V65" s="5" t="n">
        <v>3</v>
      </c>
      <c r="W65" s="5" t="n"/>
      <c r="X65" s="5" t="inlineStr"/>
      <c r="Y65" s="5" t="n">
        <v>4818.4</v>
      </c>
      <c r="Z65" s="5" t="n">
        <v>868.7</v>
      </c>
      <c r="AA65" s="5" t="n">
        <v>4824.2</v>
      </c>
      <c r="AB65" s="5" t="n">
        <v>901.3</v>
      </c>
      <c r="AC65" s="5" t="inlineStr"/>
      <c r="AD65" s="5">
        <f>IF(AC65="","",IF(OR(AC65=F65,AND(AC65="crane_footing",F65="isolated_footing")),"yes","no"))</f>
        <v/>
      </c>
    </row>
    <row r="66">
      <c r="A66" s="5" t="n">
        <v>65</v>
      </c>
      <c r="B66" s="5" t="inlineStr">
        <is>
          <t>120</t>
        </is>
      </c>
      <c r="C66" s="5" t="inlineStr">
        <is>
          <t>nearest labels in its region</t>
        </is>
      </c>
      <c r="D66" s="5" t="inlineStr">
        <is>
          <t>solid</t>
        </is>
      </c>
      <c r="E66" s="5" t="n">
        <v>34</v>
      </c>
      <c r="F66" s="5" t="inlineStr">
        <is>
          <t>unnamed</t>
        </is>
      </c>
      <c r="G66" s="5" t="inlineStr">
        <is>
          <t>no label votes</t>
        </is>
      </c>
      <c r="H66" s="5" t="inlineStr">
        <is>
          <t>(none)</t>
        </is>
      </c>
      <c r="I66" s="5" t="inlineStr"/>
      <c r="J66" s="5" t="inlineStr"/>
      <c r="K66" s="5" t="n">
        <v>245</v>
      </c>
      <c r="L66" s="5" t="n">
        <v>20</v>
      </c>
      <c r="M66" s="10">
        <f>IF(AND(ISNUMBER(K66),L66&gt;0),K66/L66,"")</f>
        <v/>
      </c>
      <c r="N66" s="5" t="n">
        <v>0.489</v>
      </c>
      <c r="O66" s="5" t="n">
        <v>90</v>
      </c>
      <c r="P66" s="5" t="n">
        <v>1</v>
      </c>
      <c r="Q66" s="5" t="n">
        <v>0</v>
      </c>
      <c r="R66" s="5" t="n">
        <v>1</v>
      </c>
      <c r="S66" s="5" t="n">
        <v>0</v>
      </c>
      <c r="T66" s="5" t="n">
        <v>0</v>
      </c>
      <c r="U66" s="5" t="n">
        <v>2</v>
      </c>
      <c r="V66" s="5" t="n">
        <v>0</v>
      </c>
      <c r="W66" s="5" t="n"/>
      <c r="X66" s="5" t="inlineStr"/>
      <c r="Y66" s="5" t="n">
        <v>4818.3</v>
      </c>
      <c r="Z66" s="5" t="n">
        <v>901.3</v>
      </c>
      <c r="AA66" s="5" t="n">
        <v>4824.3</v>
      </c>
      <c r="AB66" s="5" t="n">
        <v>973.5</v>
      </c>
      <c r="AC66" s="5" t="inlineStr"/>
      <c r="AD66" s="5">
        <f>IF(AC66="","",IF(OR(AC66=F66,AND(AC66="crane_footing",F66="isolated_footing")),"yes","no"))</f>
        <v/>
      </c>
    </row>
    <row r="67">
      <c r="A67" s="5" t="n">
        <v>66</v>
      </c>
      <c r="B67" s="5" t="inlineStr">
        <is>
          <t>120</t>
        </is>
      </c>
      <c r="C67" s="5" t="inlineStr">
        <is>
          <t>nearest labels in its region</t>
        </is>
      </c>
      <c r="D67" s="5" t="inlineStr">
        <is>
          <t>cross_hatch</t>
        </is>
      </c>
      <c r="E67" s="5" t="n">
        <v>14</v>
      </c>
      <c r="F67" s="5" t="inlineStr">
        <is>
          <t>unnamed</t>
        </is>
      </c>
      <c r="G67" s="5" t="inlineStr">
        <is>
          <t>no label votes</t>
        </is>
      </c>
      <c r="H67" s="5" t="inlineStr">
        <is>
          <t>(none)</t>
        </is>
      </c>
      <c r="I67" s="5" t="inlineStr"/>
      <c r="J67" s="5" t="inlineStr"/>
      <c r="K67" s="5" t="n">
        <v>272</v>
      </c>
      <c r="L67" s="5" t="n">
        <v>20</v>
      </c>
      <c r="M67" s="10">
        <f>IF(AND(ISNUMBER(K67),L67&gt;0),K67/L67,"")</f>
        <v/>
      </c>
      <c r="N67" s="5" t="n">
        <v>0.54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1</v>
      </c>
      <c r="T67" s="5" t="n">
        <v>0</v>
      </c>
      <c r="U67" s="5" t="n">
        <v>2</v>
      </c>
      <c r="V67" s="5" t="n">
        <v>2</v>
      </c>
      <c r="W67" s="5" t="n"/>
      <c r="X67" s="5" t="inlineStr"/>
      <c r="Y67" s="5" t="n">
        <v>4645.5</v>
      </c>
      <c r="Z67" s="5" t="n">
        <v>790.3</v>
      </c>
      <c r="AA67" s="5" t="n">
        <v>4702.8</v>
      </c>
      <c r="AB67" s="5" t="n">
        <v>799.7</v>
      </c>
      <c r="AC67" s="5" t="inlineStr"/>
      <c r="AD67" s="5">
        <f>IF(AC67="","",IF(OR(AC67=F67,AND(AC67="crane_footing",F67="isolated_footing")),"yes","no"))</f>
        <v/>
      </c>
    </row>
    <row r="68">
      <c r="A68" s="5" t="n">
        <v>67</v>
      </c>
      <c r="B68" s="5" t="inlineStr">
        <is>
          <t>120</t>
        </is>
      </c>
      <c r="C68" s="5" t="inlineStr">
        <is>
          <t>nearest labels in its region</t>
        </is>
      </c>
      <c r="D68" s="5" t="inlineStr">
        <is>
          <t>cross_hatch</t>
        </is>
      </c>
      <c r="E68" s="5" t="n">
        <v>14</v>
      </c>
      <c r="F68" s="5" t="inlineStr">
        <is>
          <t>unnamed</t>
        </is>
      </c>
      <c r="G68" s="5" t="inlineStr">
        <is>
          <t>no label votes</t>
        </is>
      </c>
      <c r="H68" s="5" t="inlineStr">
        <is>
          <t>(none)</t>
        </is>
      </c>
      <c r="I68" s="5" t="inlineStr"/>
      <c r="J68" s="5" t="inlineStr"/>
      <c r="K68" s="5" t="n">
        <v>114</v>
      </c>
      <c r="L68" s="5" t="n">
        <v>20</v>
      </c>
      <c r="M68" s="10">
        <f>IF(AND(ISNUMBER(K68),L68&gt;0),K68/L68,"")</f>
        <v/>
      </c>
      <c r="N68" s="5" t="n">
        <v>0.229</v>
      </c>
      <c r="O68" s="5" t="n">
        <v>90</v>
      </c>
      <c r="P68" s="5" t="n">
        <v>1</v>
      </c>
      <c r="Q68" s="5" t="n">
        <v>0</v>
      </c>
      <c r="R68" s="5" t="n">
        <v>0</v>
      </c>
      <c r="S68" s="5" t="n">
        <v>1</v>
      </c>
      <c r="T68" s="5" t="n">
        <v>0</v>
      </c>
      <c r="U68" s="5" t="n">
        <v>0</v>
      </c>
      <c r="V68" s="5" t="n">
        <v>1</v>
      </c>
      <c r="W68" s="5" t="n"/>
      <c r="X68" s="5" t="inlineStr"/>
      <c r="Y68" s="5" t="n">
        <v>4596.9</v>
      </c>
      <c r="Z68" s="5" t="n">
        <v>799.5</v>
      </c>
      <c r="AA68" s="5" t="n">
        <v>4602.9</v>
      </c>
      <c r="AB68" s="5" t="n">
        <v>850.7</v>
      </c>
      <c r="AC68" s="5" t="inlineStr"/>
      <c r="AD68" s="5">
        <f>IF(AC68="","",IF(OR(AC68=F68,AND(AC68="crane_footing",F68="isolated_footing")),"yes","no"))</f>
        <v/>
      </c>
    </row>
    <row r="69">
      <c r="A69" s="5" t="n">
        <v>68</v>
      </c>
      <c r="B69" s="5" t="inlineStr">
        <is>
          <t>120</t>
        </is>
      </c>
      <c r="C69" s="5" t="inlineStr">
        <is>
          <t>nearest labels in its region</t>
        </is>
      </c>
      <c r="D69" s="5" t="inlineStr">
        <is>
          <t>cross_hatch</t>
        </is>
      </c>
      <c r="E69" s="5" t="n">
        <v>14</v>
      </c>
      <c r="F69" s="5" t="inlineStr">
        <is>
          <t>unnamed</t>
        </is>
      </c>
      <c r="G69" s="5" t="inlineStr">
        <is>
          <t>no label votes</t>
        </is>
      </c>
      <c r="H69" s="5" t="inlineStr">
        <is>
          <t>(none)</t>
        </is>
      </c>
      <c r="I69" s="5" t="inlineStr"/>
      <c r="J69" s="5" t="inlineStr"/>
      <c r="K69" s="5" t="n">
        <v>241</v>
      </c>
      <c r="L69" s="5" t="n">
        <v>20</v>
      </c>
      <c r="M69" s="10">
        <f>IF(AND(ISNUMBER(K69),L69&gt;0),K69/L69,"")</f>
        <v/>
      </c>
      <c r="N69" s="5" t="n">
        <v>0.48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1</v>
      </c>
      <c r="T69" s="5" t="n">
        <v>0</v>
      </c>
      <c r="U69" s="5" t="n">
        <v>2</v>
      </c>
      <c r="V69" s="5" t="n">
        <v>2</v>
      </c>
      <c r="W69" s="5" t="n"/>
      <c r="X69" s="5" t="inlineStr"/>
      <c r="Y69" s="5" t="n">
        <v>4648</v>
      </c>
      <c r="Z69" s="5" t="n">
        <v>861.1</v>
      </c>
      <c r="AA69" s="5" t="n">
        <v>4698.9</v>
      </c>
      <c r="AB69" s="5" t="n">
        <v>870.6</v>
      </c>
      <c r="AC69" s="5" t="inlineStr"/>
      <c r="AD69" s="5">
        <f>IF(AC69="","",IF(OR(AC69=F69,AND(AC69="crane_footing",F69="isolated_footing")),"yes","no"))</f>
        <v/>
      </c>
    </row>
    <row r="70">
      <c r="A70" s="5" t="n">
        <v>69</v>
      </c>
      <c r="B70" s="5" t="inlineStr">
        <is>
          <t>120</t>
        </is>
      </c>
      <c r="C70" s="5" t="inlineStr">
        <is>
          <t>nearest labels in its region</t>
        </is>
      </c>
      <c r="D70" s="5" t="inlineStr">
        <is>
          <t>cross_hatch</t>
        </is>
      </c>
      <c r="E70" s="5" t="n">
        <v>14</v>
      </c>
      <c r="F70" s="5" t="inlineStr">
        <is>
          <t>unnamed</t>
        </is>
      </c>
      <c r="G70" s="5" t="inlineStr">
        <is>
          <t>no label votes</t>
        </is>
      </c>
      <c r="H70" s="5" t="inlineStr">
        <is>
          <t>(none)</t>
        </is>
      </c>
      <c r="I70" s="5" t="inlineStr"/>
      <c r="J70" s="5" t="inlineStr"/>
      <c r="K70" s="5" t="n">
        <v>408</v>
      </c>
      <c r="L70" s="5" t="n">
        <v>20</v>
      </c>
      <c r="M70" s="10">
        <f>IF(AND(ISNUMBER(K70),L70&gt;0),K70/L70,"")</f>
        <v/>
      </c>
      <c r="N70" s="5" t="n">
        <v>0.821</v>
      </c>
      <c r="O70" s="5" t="n">
        <v>180</v>
      </c>
      <c r="P70" s="5" t="n">
        <v>3</v>
      </c>
      <c r="Q70" s="5" t="n">
        <v>0</v>
      </c>
      <c r="R70" s="5" t="n">
        <v>0</v>
      </c>
      <c r="S70" s="5" t="n">
        <v>1</v>
      </c>
      <c r="T70" s="5" t="n">
        <v>1</v>
      </c>
      <c r="U70" s="5" t="n">
        <v>8</v>
      </c>
      <c r="V70" s="5" t="n">
        <v>3</v>
      </c>
      <c r="W70" s="5" t="n"/>
      <c r="X70" s="5" t="inlineStr"/>
      <c r="Y70" s="5" t="n">
        <v>4745.3</v>
      </c>
      <c r="Z70" s="5" t="n">
        <v>862.9</v>
      </c>
      <c r="AA70" s="5" t="n">
        <v>4870.3</v>
      </c>
      <c r="AB70" s="5" t="n">
        <v>901.3</v>
      </c>
      <c r="AC70" s="5" t="inlineStr"/>
      <c r="AD70" s="5">
        <f>IF(AC70="","",IF(OR(AC70=F70,AND(AC70="crane_footing",F70="isolated_footing")),"yes","no"))</f>
        <v/>
      </c>
    </row>
    <row r="71">
      <c r="A71" s="5" t="n">
        <v>70</v>
      </c>
      <c r="B71" s="5" t="inlineStr">
        <is>
          <t>120</t>
        </is>
      </c>
      <c r="C71" s="5" t="inlineStr">
        <is>
          <t>nearest labels in its region</t>
        </is>
      </c>
      <c r="D71" s="5" t="inlineStr">
        <is>
          <t>single_hatch</t>
        </is>
      </c>
      <c r="E71" s="5" t="n">
        <v>27</v>
      </c>
      <c r="F71" s="5" t="inlineStr">
        <is>
          <t>unnamed</t>
        </is>
      </c>
      <c r="G71" s="5" t="inlineStr">
        <is>
          <t>no label votes</t>
        </is>
      </c>
      <c r="H71" s="5" t="inlineStr">
        <is>
          <t>(none)</t>
        </is>
      </c>
      <c r="I71" s="5" t="inlineStr"/>
      <c r="J71" s="5" t="inlineStr"/>
      <c r="K71" s="5" t="n">
        <v>79</v>
      </c>
      <c r="L71" s="5" t="n">
        <v>20</v>
      </c>
      <c r="M71" s="10">
        <f>IF(AND(ISNUMBER(K71),L71&gt;0),K71/L71,"")</f>
        <v/>
      </c>
      <c r="N71" s="5" t="n">
        <v>0.092</v>
      </c>
      <c r="O71" s="5" t="n">
        <v>0</v>
      </c>
      <c r="P71" s="5" t="n">
        <v>1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1</v>
      </c>
      <c r="V71" s="5" t="n">
        <v>0</v>
      </c>
      <c r="W71" s="5" t="n"/>
      <c r="X71" s="5" t="inlineStr"/>
      <c r="Y71" s="5" t="n">
        <v>4768.8</v>
      </c>
      <c r="Z71" s="5" t="n">
        <v>973.6</v>
      </c>
      <c r="AA71" s="5" t="n">
        <v>4792</v>
      </c>
      <c r="AB71" s="5" t="n">
        <v>979.5</v>
      </c>
      <c r="AC71" s="5" t="inlineStr"/>
      <c r="AD71" s="5">
        <f>IF(AC71="","",IF(OR(AC71=F71,AND(AC71="crane_footing",F71="isolated_footing")),"yes","no"))</f>
        <v/>
      </c>
    </row>
    <row r="72">
      <c r="A72" s="5" t="n">
        <v>71</v>
      </c>
      <c r="B72" s="5" t="inlineStr">
        <is>
          <t>120</t>
        </is>
      </c>
      <c r="C72" s="5" t="inlineStr">
        <is>
          <t>nearest labels in its region</t>
        </is>
      </c>
      <c r="D72" s="5" t="inlineStr">
        <is>
          <t>cross_hatch</t>
        </is>
      </c>
      <c r="E72" s="5" t="n">
        <v>14</v>
      </c>
      <c r="F72" s="5" t="inlineStr">
        <is>
          <t>unnamed</t>
        </is>
      </c>
      <c r="G72" s="5" t="inlineStr">
        <is>
          <t>no label votes</t>
        </is>
      </c>
      <c r="H72" s="5" t="inlineStr">
        <is>
          <t>(none)</t>
        </is>
      </c>
      <c r="I72" s="5" t="inlineStr"/>
      <c r="J72" s="5" t="inlineStr"/>
      <c r="K72" s="5" t="n">
        <v>163</v>
      </c>
      <c r="L72" s="5" t="n">
        <v>20</v>
      </c>
      <c r="M72" s="10">
        <f>IF(AND(ISNUMBER(K72),L72&gt;0),K72/L72,"")</f>
        <v/>
      </c>
      <c r="N72" s="5" t="n">
        <v>0.324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1</v>
      </c>
      <c r="T72" s="5" t="n">
        <v>0</v>
      </c>
      <c r="U72" s="5" t="n">
        <v>0</v>
      </c>
      <c r="V72" s="5" t="n">
        <v>1</v>
      </c>
      <c r="W72" s="5" t="n"/>
      <c r="X72" s="5" t="inlineStr"/>
      <c r="Y72" s="5" t="n">
        <v>4800</v>
      </c>
      <c r="Z72" s="5" t="n">
        <v>802.4</v>
      </c>
      <c r="AA72" s="5" t="n">
        <v>4869.3</v>
      </c>
      <c r="AB72" s="5" t="n">
        <v>808.2</v>
      </c>
      <c r="AC72" s="5" t="inlineStr"/>
      <c r="AD72" s="5">
        <f>IF(AC72="","",IF(OR(AC72=F72,AND(AC72="crane_footing",F72="isolated_footing")),"yes","no"))</f>
        <v/>
      </c>
    </row>
    <row r="73">
      <c r="A73" s="5" t="n">
        <v>72</v>
      </c>
      <c r="B73" s="5" t="inlineStr">
        <is>
          <t>120</t>
        </is>
      </c>
      <c r="C73" s="5" t="inlineStr">
        <is>
          <t>nearest labels in its region</t>
        </is>
      </c>
      <c r="D73" s="5" t="inlineStr">
        <is>
          <t>outline</t>
        </is>
      </c>
      <c r="E73" s="5" t="n">
        <v>21</v>
      </c>
      <c r="F73" s="5" t="inlineStr">
        <is>
          <t>unnamed</t>
        </is>
      </c>
      <c r="G73" s="5" t="inlineStr">
        <is>
          <t>no label votes</t>
        </is>
      </c>
      <c r="H73" s="5" t="inlineStr">
        <is>
          <t>(none)</t>
        </is>
      </c>
      <c r="I73" s="5" t="inlineStr"/>
      <c r="J73" s="5" t="inlineStr"/>
      <c r="K73" s="5" t="n">
        <v>210</v>
      </c>
      <c r="L73" s="5" t="n">
        <v>20</v>
      </c>
      <c r="M73" s="10">
        <f>IF(AND(ISNUMBER(K73),L73&gt;0),K73/L73,"")</f>
        <v/>
      </c>
      <c r="N73" s="5" t="n">
        <v>0.42</v>
      </c>
      <c r="O73" s="5" t="n">
        <v>90.09999999999999</v>
      </c>
      <c r="P73" s="5" t="n">
        <v>2</v>
      </c>
      <c r="Q73" s="5" t="n">
        <v>0</v>
      </c>
      <c r="R73" s="5" t="n">
        <v>0</v>
      </c>
      <c r="S73" s="5" t="n">
        <v>1</v>
      </c>
      <c r="T73" s="5" t="n">
        <v>0</v>
      </c>
      <c r="U73" s="5" t="n">
        <v>3</v>
      </c>
      <c r="V73" s="5" t="n">
        <v>3</v>
      </c>
      <c r="W73" s="5" t="n"/>
      <c r="X73" s="5" t="inlineStr"/>
      <c r="Y73" s="5" t="n">
        <v>4722.4</v>
      </c>
      <c r="Z73" s="5" t="n">
        <v>799.4</v>
      </c>
      <c r="AA73" s="5" t="n">
        <v>4728.4</v>
      </c>
      <c r="AB73" s="5" t="n">
        <v>861.4</v>
      </c>
      <c r="AC73" s="5" t="inlineStr"/>
      <c r="AD73" s="5">
        <f>IF(AC73="","",IF(OR(AC73=F73,AND(AC73="crane_footing",F73="isolated_footing")),"yes","no"))</f>
        <v/>
      </c>
    </row>
    <row r="74">
      <c r="A74" s="5" t="n">
        <v>73</v>
      </c>
      <c r="B74" s="5" t="inlineStr">
        <is>
          <t>120</t>
        </is>
      </c>
      <c r="C74" s="5" t="inlineStr">
        <is>
          <t>nearest labels in its region</t>
        </is>
      </c>
      <c r="D74" s="5" t="inlineStr">
        <is>
          <t>outline</t>
        </is>
      </c>
      <c r="E74" s="5" t="n">
        <v>24</v>
      </c>
      <c r="F74" s="5" t="inlineStr">
        <is>
          <t>unnamed</t>
        </is>
      </c>
      <c r="G74" s="5" t="inlineStr">
        <is>
          <t>no label votes</t>
        </is>
      </c>
      <c r="H74" s="5" t="inlineStr">
        <is>
          <t>(none)</t>
        </is>
      </c>
      <c r="I74" s="5" t="inlineStr"/>
      <c r="J74" s="5" t="inlineStr"/>
      <c r="K74" s="5" t="n">
        <v>60</v>
      </c>
      <c r="L74" s="5" t="n">
        <v>60</v>
      </c>
      <c r="M74" s="10">
        <f>IF(AND(ISNUMBER(K74),L74&gt;0),K74/L74,"")</f>
        <v/>
      </c>
      <c r="N74" s="5" t="n">
        <v>0.359</v>
      </c>
      <c r="O74" s="5" t="n">
        <v>90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  <c r="U74" s="5" t="n">
        <v>53</v>
      </c>
      <c r="V74" s="5" t="n">
        <v>3</v>
      </c>
      <c r="W74" s="5" t="n"/>
      <c r="X74" s="5" t="inlineStr"/>
      <c r="Y74" s="5" t="n">
        <v>4291.2</v>
      </c>
      <c r="Z74" s="5" t="n">
        <v>508.2</v>
      </c>
      <c r="AA74" s="5" t="n">
        <v>4308.9</v>
      </c>
      <c r="AB74" s="5" t="n">
        <v>525.9</v>
      </c>
      <c r="AC74" s="5" t="inlineStr">
        <is>
          <t>mass_concrete_pad</t>
        </is>
      </c>
      <c r="AD74" s="5">
        <f>IF(AC74="","",IF(OR(AC74=F74,AND(AC74="crane_footing",F74="isolated_footing")),"yes","no"))</f>
        <v/>
      </c>
    </row>
    <row r="75">
      <c r="A75" s="5" t="n">
        <v>74</v>
      </c>
      <c r="B75" s="5" t="inlineStr">
        <is>
          <t>120</t>
        </is>
      </c>
      <c r="C75" s="5" t="inlineStr">
        <is>
          <t>nearest labels in its region</t>
        </is>
      </c>
      <c r="D75" s="5" t="inlineStr">
        <is>
          <t>outline</t>
        </is>
      </c>
      <c r="E75" s="5" t="n">
        <v>24</v>
      </c>
      <c r="F75" s="5" t="inlineStr">
        <is>
          <t>unnamed</t>
        </is>
      </c>
      <c r="G75" s="5" t="inlineStr">
        <is>
          <t>no label votes</t>
        </is>
      </c>
      <c r="H75" s="5" t="inlineStr">
        <is>
          <t>(none)</t>
        </is>
      </c>
      <c r="I75" s="5" t="inlineStr"/>
      <c r="J75" s="5" t="inlineStr"/>
      <c r="K75" s="5" t="n">
        <v>60</v>
      </c>
      <c r="L75" s="5" t="n">
        <v>60</v>
      </c>
      <c r="M75" s="10">
        <f>IF(AND(ISNUMBER(K75),L75&gt;0),K75/L75,"")</f>
        <v/>
      </c>
      <c r="N75" s="5" t="n">
        <v>0.359</v>
      </c>
      <c r="O75" s="5" t="n">
        <v>90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54</v>
      </c>
      <c r="V75" s="5" t="n">
        <v>3</v>
      </c>
      <c r="W75" s="5" t="n"/>
      <c r="X75" s="5" t="inlineStr"/>
      <c r="Y75" s="5" t="n">
        <v>4290.9</v>
      </c>
      <c r="Z75" s="5" t="n">
        <v>966.5</v>
      </c>
      <c r="AA75" s="5" t="n">
        <v>4308.6</v>
      </c>
      <c r="AB75" s="5" t="n">
        <v>984.2</v>
      </c>
      <c r="AC75" s="5" t="inlineStr">
        <is>
          <t>mass_concrete_pad</t>
        </is>
      </c>
      <c r="AD75" s="5">
        <f>IF(AC75="","",IF(OR(AC75=F75,AND(AC75="crane_footing",F75="isolated_footing")),"yes","no"))</f>
        <v/>
      </c>
    </row>
    <row r="76">
      <c r="A76" s="5" t="n">
        <v>75</v>
      </c>
      <c r="B76" s="5" t="inlineStr">
        <is>
          <t>120</t>
        </is>
      </c>
      <c r="C76" s="5" t="inlineStr">
        <is>
          <t>nearest labels in its region</t>
        </is>
      </c>
      <c r="D76" s="5" t="inlineStr">
        <is>
          <t>outline</t>
        </is>
      </c>
      <c r="E76" s="5" t="n">
        <v>22</v>
      </c>
      <c r="F76" s="5" t="inlineStr">
        <is>
          <t>unnamed</t>
        </is>
      </c>
      <c r="G76" s="5" t="inlineStr">
        <is>
          <t>no label votes</t>
        </is>
      </c>
      <c r="H76" s="5" t="inlineStr">
        <is>
          <t>(none)</t>
        </is>
      </c>
      <c r="I76" s="5" t="inlineStr"/>
      <c r="J76" s="5" t="inlineStr"/>
      <c r="K76" s="5" t="n">
        <v>120</v>
      </c>
      <c r="L76" s="5" t="n">
        <v>20</v>
      </c>
      <c r="M76" s="10">
        <f>IF(AND(ISNUMBER(K76),L76&gt;0),K76/L76,"")</f>
        <v/>
      </c>
      <c r="N76" s="5" t="n">
        <v>0.239</v>
      </c>
      <c r="O76" s="5" t="n">
        <v>0.1</v>
      </c>
      <c r="P76" s="5" t="n">
        <v>2</v>
      </c>
      <c r="Q76" s="5" t="n">
        <v>0</v>
      </c>
      <c r="R76" s="5" t="n">
        <v>0</v>
      </c>
      <c r="S76" s="5" t="n">
        <v>1</v>
      </c>
      <c r="T76" s="5" t="n">
        <v>0</v>
      </c>
      <c r="U76" s="5" t="n">
        <v>5</v>
      </c>
      <c r="V76" s="5" t="n">
        <v>2</v>
      </c>
      <c r="W76" s="5" t="n"/>
      <c r="X76" s="5" t="inlineStr"/>
      <c r="Y76" s="5" t="n">
        <v>4728.3</v>
      </c>
      <c r="Z76" s="5" t="n">
        <v>792</v>
      </c>
      <c r="AA76" s="5" t="n">
        <v>4763.7</v>
      </c>
      <c r="AB76" s="5" t="n">
        <v>798</v>
      </c>
      <c r="AC76" s="5" t="inlineStr"/>
      <c r="AD76" s="5">
        <f>IF(AC76="","",IF(OR(AC76=F76,AND(AC76="crane_footing",F76="isolated_footing")),"yes","no"))</f>
        <v/>
      </c>
    </row>
    <row r="77">
      <c r="A77" s="5" t="n">
        <v>76</v>
      </c>
      <c r="B77" s="5" t="inlineStr">
        <is>
          <t>120</t>
        </is>
      </c>
      <c r="C77" s="5" t="inlineStr">
        <is>
          <t>nearest labels in its region</t>
        </is>
      </c>
      <c r="D77" s="5" t="inlineStr">
        <is>
          <t>outline</t>
        </is>
      </c>
      <c r="E77" s="5" t="n">
        <v>22</v>
      </c>
      <c r="F77" s="5" t="inlineStr">
        <is>
          <t>unnamed</t>
        </is>
      </c>
      <c r="G77" s="5" t="inlineStr">
        <is>
          <t>no label votes</t>
        </is>
      </c>
      <c r="H77" s="5" t="inlineStr">
        <is>
          <t>(none)</t>
        </is>
      </c>
      <c r="I77" s="5" t="inlineStr"/>
      <c r="J77" s="5" t="inlineStr"/>
      <c r="K77" s="5" t="n">
        <v>112</v>
      </c>
      <c r="L77" s="5" t="n">
        <v>20</v>
      </c>
      <c r="M77" s="10">
        <f>IF(AND(ISNUMBER(K77),L77&gt;0),K77/L77,"")</f>
        <v/>
      </c>
      <c r="N77" s="5" t="n">
        <v>0.225</v>
      </c>
      <c r="O77" s="5" t="n">
        <v>90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  <c r="U77" s="5" t="n">
        <v>3</v>
      </c>
      <c r="V77" s="5" t="n">
        <v>2</v>
      </c>
      <c r="W77" s="5" t="n"/>
      <c r="X77" s="5" t="inlineStr"/>
      <c r="Y77" s="5" t="n">
        <v>4870.8</v>
      </c>
      <c r="Z77" s="5" t="n">
        <v>828.2</v>
      </c>
      <c r="AA77" s="5" t="n">
        <v>4876.7</v>
      </c>
      <c r="AB77" s="5" t="n">
        <v>861.4</v>
      </c>
      <c r="AC77" s="5" t="inlineStr"/>
      <c r="AD77" s="5">
        <f>IF(AC77="","",IF(OR(AC77=F77,AND(AC77="crane_footing",F77="isolated_footing")),"yes","no"))</f>
        <v/>
      </c>
    </row>
    <row r="78">
      <c r="A78" s="5" t="n">
        <v>77</v>
      </c>
      <c r="B78" s="5" t="inlineStr">
        <is>
          <t>120</t>
        </is>
      </c>
      <c r="C78" s="5" t="inlineStr">
        <is>
          <t>nearest labels</t>
        </is>
      </c>
      <c r="D78" s="5" t="inlineStr">
        <is>
          <t>band</t>
        </is>
      </c>
      <c r="E78" s="5" t="n">
        <v>0</v>
      </c>
      <c r="F78" s="5" t="inlineStr">
        <is>
          <t>unnamed</t>
        </is>
      </c>
      <c r="G78" s="5" t="inlineStr">
        <is>
          <t>no label votes</t>
        </is>
      </c>
      <c r="H78" s="5" t="inlineStr">
        <is>
          <t>(none)</t>
        </is>
      </c>
      <c r="I78" s="5" t="inlineStr"/>
      <c r="J78" s="5" t="inlineStr"/>
      <c r="K78" s="5" t="n">
        <v>2121</v>
      </c>
      <c r="L78" s="5" t="n">
        <v>11</v>
      </c>
      <c r="M78" s="10">
        <f>IF(AND(ISNUMBER(K78),L78&gt;0),K78/L78,"")</f>
        <v/>
      </c>
      <c r="N78" s="5" t="n">
        <v>2.333</v>
      </c>
      <c r="O78" s="5" t="n">
        <v>180</v>
      </c>
      <c r="P78" s="5" t="n">
        <v>9</v>
      </c>
      <c r="Q78" s="5" t="n">
        <v>0</v>
      </c>
      <c r="R78" s="5" t="n">
        <v>0</v>
      </c>
      <c r="S78" s="5" t="n">
        <v>0</v>
      </c>
      <c r="T78" s="5" t="n">
        <v>0</v>
      </c>
      <c r="U78" s="5" t="n">
        <v>9</v>
      </c>
      <c r="V78" s="5" t="n">
        <v>4</v>
      </c>
      <c r="W78" s="5" t="n">
        <v>13.58</v>
      </c>
      <c r="X78" s="5" t="inlineStr"/>
      <c r="Y78" s="5" t="n">
        <v>4145.2</v>
      </c>
      <c r="Z78" s="5" t="n">
        <v>1330.4</v>
      </c>
      <c r="AA78" s="5" t="n">
        <v>4771.5</v>
      </c>
      <c r="AB78" s="5" t="n">
        <v>1333.8</v>
      </c>
      <c r="AC78" s="5" t="inlineStr"/>
      <c r="AD78" s="5">
        <f>IF(AC78="","",IF(OR(AC78=F78,AND(AC78="crane_footing",F78="isolated_footing")),"yes","no"))</f>
        <v/>
      </c>
    </row>
    <row r="79">
      <c r="A79" s="5" t="n">
        <v>78</v>
      </c>
      <c r="B79" s="5" t="inlineStr">
        <is>
          <t>120</t>
        </is>
      </c>
      <c r="C79" s="5" t="inlineStr">
        <is>
          <t>nearest labels in its region</t>
        </is>
      </c>
      <c r="D79" s="5" t="inlineStr">
        <is>
          <t>band</t>
        </is>
      </c>
      <c r="E79" s="5" t="n">
        <v>0</v>
      </c>
      <c r="F79" s="5" t="inlineStr">
        <is>
          <t>unnamed</t>
        </is>
      </c>
      <c r="G79" s="5" t="inlineStr">
        <is>
          <t>no label votes</t>
        </is>
      </c>
      <c r="H79" s="5" t="inlineStr">
        <is>
          <t>(none)</t>
        </is>
      </c>
      <c r="I79" s="5" t="inlineStr"/>
      <c r="J79" s="5" t="inlineStr"/>
      <c r="K79" s="5" t="n">
        <v>60</v>
      </c>
      <c r="L79" s="5" t="n">
        <v>11</v>
      </c>
      <c r="M79" s="10">
        <f>IF(AND(ISNUMBER(K79),L79&gt;0),K79/L79,"")</f>
        <v/>
      </c>
      <c r="N79" s="5" t="n">
        <v>0.066</v>
      </c>
      <c r="O79" s="5" t="n">
        <v>90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  <c r="U79" s="5" t="n">
        <v>9</v>
      </c>
      <c r="V79" s="5" t="n">
        <v>2</v>
      </c>
      <c r="W79" s="5" t="n">
        <v>0</v>
      </c>
      <c r="X79" s="5" t="inlineStr"/>
      <c r="Y79" s="5" t="n">
        <v>4305.4</v>
      </c>
      <c r="Z79" s="5" t="n">
        <v>966.5</v>
      </c>
      <c r="AA79" s="5" t="n">
        <v>4308.7</v>
      </c>
      <c r="AB79" s="5" t="n">
        <v>984.2</v>
      </c>
      <c r="AC79" s="5" t="inlineStr"/>
      <c r="AD79" s="5">
        <f>IF(AC79="","",IF(OR(AC79=F79,AND(AC79="crane_footing",F79="isolated_footing")),"yes","no"))</f>
        <v/>
      </c>
    </row>
    <row r="80">
      <c r="A80" s="5" t="n">
        <v>79</v>
      </c>
      <c r="B80" s="5" t="inlineStr">
        <is>
          <t>120</t>
        </is>
      </c>
      <c r="C80" s="5" t="inlineStr">
        <is>
          <t>nearest labels in its region</t>
        </is>
      </c>
      <c r="D80" s="5" t="inlineStr">
        <is>
          <t>band</t>
        </is>
      </c>
      <c r="E80" s="5" t="n">
        <v>0</v>
      </c>
      <c r="F80" s="5" t="inlineStr">
        <is>
          <t>unnamed</t>
        </is>
      </c>
      <c r="G80" s="5" t="inlineStr">
        <is>
          <t>no label votes</t>
        </is>
      </c>
      <c r="H80" s="5" t="inlineStr">
        <is>
          <t>(none)</t>
        </is>
      </c>
      <c r="I80" s="5" t="inlineStr"/>
      <c r="J80" s="5" t="inlineStr"/>
      <c r="K80" s="5" t="n">
        <v>60</v>
      </c>
      <c r="L80" s="5" t="n">
        <v>11</v>
      </c>
      <c r="M80" s="10">
        <f>IF(AND(ISNUMBER(K80),L80&gt;0),K80/L80,"")</f>
        <v/>
      </c>
      <c r="N80" s="5" t="n">
        <v>0.066</v>
      </c>
      <c r="O80" s="5" t="n">
        <v>90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  <c r="U80" s="5" t="n">
        <v>9</v>
      </c>
      <c r="V80" s="5" t="n">
        <v>2</v>
      </c>
      <c r="W80" s="5" t="n">
        <v>0</v>
      </c>
      <c r="X80" s="5" t="inlineStr"/>
      <c r="Y80" s="5" t="n">
        <v>4305.8</v>
      </c>
      <c r="Z80" s="5" t="n">
        <v>508.2</v>
      </c>
      <c r="AA80" s="5" t="n">
        <v>4309</v>
      </c>
      <c r="AB80" s="5" t="n">
        <v>525.9</v>
      </c>
      <c r="AC80" s="5" t="inlineStr"/>
      <c r="AD80" s="5">
        <f>IF(AC80="","",IF(OR(AC80=F80,AND(AC80="crane_footing",F80="isolated_footing")),"yes","no"))</f>
        <v/>
      </c>
    </row>
    <row r="81">
      <c r="A81" s="5" t="n">
        <v>80</v>
      </c>
      <c r="B81" s="5" t="inlineStr">
        <is>
          <t>120</t>
        </is>
      </c>
      <c r="C81" s="5" t="inlineStr">
        <is>
          <t>nearest labels in its region</t>
        </is>
      </c>
      <c r="D81" s="5" t="inlineStr">
        <is>
          <t>band</t>
        </is>
      </c>
      <c r="E81" s="5" t="n">
        <v>1</v>
      </c>
      <c r="F81" s="5" t="inlineStr">
        <is>
          <t>unnamed</t>
        </is>
      </c>
      <c r="G81" s="5" t="inlineStr">
        <is>
          <t>no label votes</t>
        </is>
      </c>
      <c r="H81" s="5" t="inlineStr">
        <is>
          <t>(none)</t>
        </is>
      </c>
      <c r="I81" s="5" t="inlineStr"/>
      <c r="J81" s="5" t="inlineStr"/>
      <c r="K81" s="5" t="n">
        <v>482</v>
      </c>
      <c r="L81" s="5" t="n">
        <v>20</v>
      </c>
      <c r="M81" s="10">
        <f>IF(AND(ISNUMBER(K81),L81&gt;0),K81/L81,"")</f>
        <v/>
      </c>
      <c r="N81" s="5" t="n">
        <v>0.965</v>
      </c>
      <c r="O81" s="5" t="n">
        <v>180</v>
      </c>
      <c r="P81" s="5" t="n">
        <v>3</v>
      </c>
      <c r="Q81" s="5" t="n">
        <v>0</v>
      </c>
      <c r="R81" s="5" t="n">
        <v>0</v>
      </c>
      <c r="S81" s="5" t="n">
        <v>1</v>
      </c>
      <c r="T81" s="5" t="n">
        <v>0</v>
      </c>
      <c r="U81" s="5" t="n">
        <v>8</v>
      </c>
      <c r="V81" s="5" t="n">
        <v>3</v>
      </c>
      <c r="W81" s="5" t="n">
        <v>4.82</v>
      </c>
      <c r="X81" s="5" t="inlineStr"/>
      <c r="Y81" s="5" t="n">
        <v>4728.4</v>
      </c>
      <c r="Z81" s="5" t="n">
        <v>862.8</v>
      </c>
      <c r="AA81" s="5" t="n">
        <v>4870.8</v>
      </c>
      <c r="AB81" s="5" t="n">
        <v>868.8</v>
      </c>
      <c r="AC81" s="5" t="inlineStr"/>
      <c r="AD81" s="5">
        <f>IF(AC81="","",IF(OR(AC81=F81,AND(AC81="crane_footing",F81="isolated_footing")),"yes","no"))</f>
        <v/>
      </c>
    </row>
    <row r="82">
      <c r="A82" s="5" t="n">
        <v>81</v>
      </c>
      <c r="B82" s="5" t="inlineStr">
        <is>
          <t>120</t>
        </is>
      </c>
      <c r="C82" s="5" t="inlineStr">
        <is>
          <t>nearest labels in its region</t>
        </is>
      </c>
      <c r="D82" s="5" t="inlineStr">
        <is>
          <t>band</t>
        </is>
      </c>
      <c r="E82" s="5" t="n">
        <v>1</v>
      </c>
      <c r="F82" s="5" t="inlineStr">
        <is>
          <t>unnamed</t>
        </is>
      </c>
      <c r="G82" s="5" t="inlineStr">
        <is>
          <t>no label votes</t>
        </is>
      </c>
      <c r="H82" s="5" t="inlineStr">
        <is>
          <t>(none)</t>
        </is>
      </c>
      <c r="I82" s="5" t="inlineStr"/>
      <c r="J82" s="5" t="inlineStr"/>
      <c r="K82" s="5" t="n">
        <v>337</v>
      </c>
      <c r="L82" s="5" t="n">
        <v>20</v>
      </c>
      <c r="M82" s="10">
        <f>IF(AND(ISNUMBER(K82),L82&gt;0),K82/L82,"")</f>
        <v/>
      </c>
      <c r="N82" s="5" t="n">
        <v>0.675</v>
      </c>
      <c r="O82" s="5" t="n">
        <v>0</v>
      </c>
      <c r="P82" s="5" t="n">
        <v>2</v>
      </c>
      <c r="Q82" s="5" t="n">
        <v>0</v>
      </c>
      <c r="R82" s="5" t="n">
        <v>0</v>
      </c>
      <c r="S82" s="5" t="n">
        <v>1</v>
      </c>
      <c r="T82" s="5" t="n">
        <v>0</v>
      </c>
      <c r="U82" s="5" t="n">
        <v>3</v>
      </c>
      <c r="V82" s="5" t="n">
        <v>0</v>
      </c>
      <c r="W82" s="5" t="n">
        <v>3.37</v>
      </c>
      <c r="X82" s="5" t="inlineStr"/>
      <c r="Y82" s="5" t="n">
        <v>4771.2</v>
      </c>
      <c r="Z82" s="5" t="n">
        <v>802.3</v>
      </c>
      <c r="AA82" s="5" t="n">
        <v>4870.8</v>
      </c>
      <c r="AB82" s="5" t="n">
        <v>808.2</v>
      </c>
      <c r="AC82" s="5" t="inlineStr"/>
      <c r="AD82" s="5">
        <f>IF(AC82="","",IF(OR(AC82=F82,AND(AC82="crane_footing",F82="isolated_footing")),"yes","no"))</f>
        <v/>
      </c>
    </row>
    <row r="83">
      <c r="A83" s="5" t="n">
        <v>82</v>
      </c>
      <c r="B83" s="5" t="inlineStr">
        <is>
          <t>120</t>
        </is>
      </c>
      <c r="C83" s="5" t="inlineStr">
        <is>
          <t>nearest labels in its region</t>
        </is>
      </c>
      <c r="D83" s="5" t="inlineStr">
        <is>
          <t>band</t>
        </is>
      </c>
      <c r="E83" s="5" t="n">
        <v>1</v>
      </c>
      <c r="F83" s="5" t="inlineStr">
        <is>
          <t>unnamed</t>
        </is>
      </c>
      <c r="G83" s="5" t="inlineStr">
        <is>
          <t>no label votes</t>
        </is>
      </c>
      <c r="H83" s="5" t="inlineStr">
        <is>
          <t>(none)</t>
        </is>
      </c>
      <c r="I83" s="5" t="inlineStr"/>
      <c r="J83" s="5" t="inlineStr"/>
      <c r="K83" s="5" t="n">
        <v>285</v>
      </c>
      <c r="L83" s="5" t="n">
        <v>20</v>
      </c>
      <c r="M83" s="10">
        <f>IF(AND(ISNUMBER(K83),L83&gt;0),K83/L83,"")</f>
        <v/>
      </c>
      <c r="N83" s="5" t="n">
        <v>0.57</v>
      </c>
      <c r="O83" s="5" t="n">
        <v>0</v>
      </c>
      <c r="P83" s="5" t="n">
        <v>2</v>
      </c>
      <c r="Q83" s="5" t="n">
        <v>0</v>
      </c>
      <c r="R83" s="5" t="n">
        <v>0</v>
      </c>
      <c r="S83" s="5" t="n">
        <v>1</v>
      </c>
      <c r="T83" s="5" t="n">
        <v>0</v>
      </c>
      <c r="U83" s="5" t="n">
        <v>6</v>
      </c>
      <c r="V83" s="5" t="n">
        <v>1</v>
      </c>
      <c r="W83" s="5" t="n">
        <v>2.85</v>
      </c>
      <c r="X83" s="5" t="inlineStr"/>
      <c r="Y83" s="5" t="n">
        <v>4620.6</v>
      </c>
      <c r="Z83" s="5" t="n">
        <v>862.9</v>
      </c>
      <c r="AA83" s="5" t="n">
        <v>4704.8</v>
      </c>
      <c r="AB83" s="5" t="n">
        <v>868.8</v>
      </c>
      <c r="AC83" s="5" t="inlineStr"/>
      <c r="AD83" s="5">
        <f>IF(AC83="","",IF(OR(AC83=F83,AND(AC83="crane_footing",F83="isolated_footing")),"yes","no"))</f>
        <v/>
      </c>
    </row>
    <row r="84">
      <c r="A84" s="5" t="n">
        <v>83</v>
      </c>
      <c r="B84" s="5" t="inlineStr">
        <is>
          <t>120</t>
        </is>
      </c>
      <c r="C84" s="5" t="inlineStr">
        <is>
          <t>nearest labels in its region</t>
        </is>
      </c>
      <c r="D84" s="5" t="inlineStr">
        <is>
          <t>band</t>
        </is>
      </c>
      <c r="E84" s="5" t="n">
        <v>1</v>
      </c>
      <c r="F84" s="5" t="inlineStr">
        <is>
          <t>unnamed</t>
        </is>
      </c>
      <c r="G84" s="5" t="inlineStr">
        <is>
          <t>no label votes</t>
        </is>
      </c>
      <c r="H84" s="5" t="inlineStr">
        <is>
          <t>(none)</t>
        </is>
      </c>
      <c r="I84" s="5" t="inlineStr"/>
      <c r="J84" s="5" t="inlineStr"/>
      <c r="K84" s="5" t="n">
        <v>285</v>
      </c>
      <c r="L84" s="5" t="n">
        <v>20</v>
      </c>
      <c r="M84" s="10">
        <f>IF(AND(ISNUMBER(K84),L84&gt;0),K84/L84,"")</f>
        <v/>
      </c>
      <c r="N84" s="5" t="n">
        <v>0.57</v>
      </c>
      <c r="O84" s="5" t="n">
        <v>0</v>
      </c>
      <c r="P84" s="5" t="n">
        <v>2</v>
      </c>
      <c r="Q84" s="5" t="n">
        <v>0</v>
      </c>
      <c r="R84" s="5" t="n">
        <v>0</v>
      </c>
      <c r="S84" s="5" t="n">
        <v>1</v>
      </c>
      <c r="T84" s="5" t="n">
        <v>0</v>
      </c>
      <c r="U84" s="5" t="n">
        <v>6</v>
      </c>
      <c r="V84" s="5" t="n">
        <v>1</v>
      </c>
      <c r="W84" s="5" t="n">
        <v>2.85</v>
      </c>
      <c r="X84" s="5" t="inlineStr"/>
      <c r="Y84" s="5" t="n">
        <v>4620.6</v>
      </c>
      <c r="Z84" s="5" t="n">
        <v>792</v>
      </c>
      <c r="AA84" s="5" t="n">
        <v>4704.7</v>
      </c>
      <c r="AB84" s="5" t="n">
        <v>797.9</v>
      </c>
      <c r="AC84" s="5" t="inlineStr"/>
      <c r="AD84" s="5">
        <f>IF(AC84="","",IF(OR(AC84=F84,AND(AC84="crane_footing",F84="isolated_footing")),"yes","no"))</f>
        <v/>
      </c>
    </row>
    <row r="85">
      <c r="A85" s="5" t="n">
        <v>84</v>
      </c>
      <c r="B85" s="5" t="inlineStr">
        <is>
          <t>120</t>
        </is>
      </c>
      <c r="C85" s="5" t="inlineStr">
        <is>
          <t>nearest labels in its region</t>
        </is>
      </c>
      <c r="D85" s="5" t="inlineStr">
        <is>
          <t>band</t>
        </is>
      </c>
      <c r="E85" s="5" t="n">
        <v>1</v>
      </c>
      <c r="F85" s="5" t="inlineStr">
        <is>
          <t>unnamed</t>
        </is>
      </c>
      <c r="G85" s="5" t="inlineStr">
        <is>
          <t>no label votes</t>
        </is>
      </c>
      <c r="H85" s="5" t="inlineStr">
        <is>
          <t>(none)</t>
        </is>
      </c>
      <c r="I85" s="5" t="inlineStr"/>
      <c r="J85" s="5" t="inlineStr"/>
      <c r="K85" s="5" t="n">
        <v>210</v>
      </c>
      <c r="L85" s="5" t="n">
        <v>20</v>
      </c>
      <c r="M85" s="10">
        <f>IF(AND(ISNUMBER(K85),L85&gt;0),K85/L85,"")</f>
        <v/>
      </c>
      <c r="N85" s="5" t="n">
        <v>0.42</v>
      </c>
      <c r="O85" s="5" t="n">
        <v>90</v>
      </c>
      <c r="P85" s="5" t="n">
        <v>2</v>
      </c>
      <c r="Q85" s="5" t="n">
        <v>0</v>
      </c>
      <c r="R85" s="5" t="n">
        <v>0</v>
      </c>
      <c r="S85" s="5" t="n">
        <v>1</v>
      </c>
      <c r="T85" s="5" t="n">
        <v>0</v>
      </c>
      <c r="U85" s="5" t="n">
        <v>3</v>
      </c>
      <c r="V85" s="5" t="n">
        <v>0</v>
      </c>
      <c r="W85" s="5" t="n">
        <v>2.1</v>
      </c>
      <c r="X85" s="5" t="inlineStr"/>
      <c r="Y85" s="5" t="n">
        <v>4597</v>
      </c>
      <c r="Z85" s="5" t="n">
        <v>799.4</v>
      </c>
      <c r="AA85" s="5" t="n">
        <v>4602.9</v>
      </c>
      <c r="AB85" s="5" t="n">
        <v>861.4</v>
      </c>
      <c r="AC85" s="5" t="inlineStr"/>
      <c r="AD85" s="5">
        <f>IF(AC85="","",IF(OR(AC85=F85,AND(AC85="crane_footing",F85="isolated_footing")),"yes","no"))</f>
        <v/>
      </c>
    </row>
    <row r="86">
      <c r="A86" s="5" t="n">
        <v>85</v>
      </c>
      <c r="B86" s="5" t="inlineStr">
        <is>
          <t>120</t>
        </is>
      </c>
      <c r="C86" s="5" t="inlineStr">
        <is>
          <t>nearest labels in its region</t>
        </is>
      </c>
      <c r="D86" s="5" t="inlineStr">
        <is>
          <t>band</t>
        </is>
      </c>
      <c r="E86" s="5" t="n">
        <v>1</v>
      </c>
      <c r="F86" s="5" t="inlineStr">
        <is>
          <t>unnamed</t>
        </is>
      </c>
      <c r="G86" s="5" t="inlineStr">
        <is>
          <t>no label votes</t>
        </is>
      </c>
      <c r="H86" s="5" t="inlineStr">
        <is>
          <t>(none)</t>
        </is>
      </c>
      <c r="I86" s="5" t="inlineStr"/>
      <c r="J86" s="5" t="inlineStr"/>
      <c r="K86" s="5" t="n">
        <v>210</v>
      </c>
      <c r="L86" s="5" t="n">
        <v>20</v>
      </c>
      <c r="M86" s="10">
        <f>IF(AND(ISNUMBER(K86),L86&gt;0),K86/L86,"")</f>
        <v/>
      </c>
      <c r="N86" s="5" t="n">
        <v>0.42</v>
      </c>
      <c r="O86" s="5" t="n">
        <v>90.09999999999999</v>
      </c>
      <c r="P86" s="5" t="n">
        <v>2</v>
      </c>
      <c r="Q86" s="5" t="n">
        <v>1</v>
      </c>
      <c r="R86" s="5" t="n">
        <v>0</v>
      </c>
      <c r="S86" s="5" t="n">
        <v>1</v>
      </c>
      <c r="T86" s="5" t="n">
        <v>0</v>
      </c>
      <c r="U86" s="5" t="n">
        <v>3</v>
      </c>
      <c r="V86" s="5" t="n">
        <v>2</v>
      </c>
      <c r="W86" s="5" t="n">
        <v>0</v>
      </c>
      <c r="X86" s="5" t="inlineStr"/>
      <c r="Y86" s="5" t="n">
        <v>4722.4</v>
      </c>
      <c r="Z86" s="5" t="n">
        <v>799.4</v>
      </c>
      <c r="AA86" s="5" t="n">
        <v>4728.3</v>
      </c>
      <c r="AB86" s="5" t="n">
        <v>861.4</v>
      </c>
      <c r="AC86" s="5" t="inlineStr"/>
      <c r="AD86" s="5">
        <f>IF(AC86="","",IF(OR(AC86=F86,AND(AC86="crane_footing",F86="isolated_footing")),"yes","no"))</f>
        <v/>
      </c>
    </row>
    <row r="87">
      <c r="A87" s="5" t="n">
        <v>86</v>
      </c>
      <c r="B87" s="5" t="inlineStr">
        <is>
          <t>120</t>
        </is>
      </c>
      <c r="C87" s="5" t="inlineStr">
        <is>
          <t>nearest labels in its region</t>
        </is>
      </c>
      <c r="D87" s="5" t="inlineStr">
        <is>
          <t>band</t>
        </is>
      </c>
      <c r="E87" s="5" t="n">
        <v>1</v>
      </c>
      <c r="F87" s="5" t="inlineStr">
        <is>
          <t>unnamed</t>
        </is>
      </c>
      <c r="G87" s="5" t="inlineStr">
        <is>
          <t>no label votes</t>
        </is>
      </c>
      <c r="H87" s="5" t="inlineStr">
        <is>
          <t>(none)</t>
        </is>
      </c>
      <c r="I87" s="5" t="inlineStr"/>
      <c r="J87" s="5" t="inlineStr"/>
      <c r="K87" s="5" t="n">
        <v>120</v>
      </c>
      <c r="L87" s="5" t="n">
        <v>20</v>
      </c>
      <c r="M87" s="10">
        <f>IF(AND(ISNUMBER(K87),L87&gt;0),K87/L87,"")</f>
        <v/>
      </c>
      <c r="N87" s="5" t="n">
        <v>0.24</v>
      </c>
      <c r="O87" s="5" t="n">
        <v>0.1</v>
      </c>
      <c r="P87" s="5" t="n">
        <v>2</v>
      </c>
      <c r="Q87" s="5" t="n">
        <v>1</v>
      </c>
      <c r="R87" s="5" t="n">
        <v>0</v>
      </c>
      <c r="S87" s="5" t="n">
        <v>1</v>
      </c>
      <c r="T87" s="5" t="n">
        <v>0</v>
      </c>
      <c r="U87" s="5" t="n">
        <v>5</v>
      </c>
      <c r="V87" s="5" t="n">
        <v>1</v>
      </c>
      <c r="W87" s="5" t="n">
        <v>0</v>
      </c>
      <c r="X87" s="5" t="inlineStr"/>
      <c r="Y87" s="5" t="n">
        <v>4728.3</v>
      </c>
      <c r="Z87" s="5" t="n">
        <v>792</v>
      </c>
      <c r="AA87" s="5" t="n">
        <v>4763.7</v>
      </c>
      <c r="AB87" s="5" t="n">
        <v>798</v>
      </c>
      <c r="AC87" s="5" t="inlineStr"/>
      <c r="AD87" s="5">
        <f>IF(AC87="","",IF(OR(AC87=F87,AND(AC87="crane_footing",F87="isolated_footing")),"yes","no"))</f>
        <v/>
      </c>
    </row>
    <row r="88">
      <c r="A88" s="5" t="n">
        <v>87</v>
      </c>
      <c r="B88" s="5" t="inlineStr">
        <is>
          <t>120</t>
        </is>
      </c>
      <c r="C88" s="5" t="inlineStr">
        <is>
          <t>nearest labels in its region</t>
        </is>
      </c>
      <c r="D88" s="5" t="inlineStr">
        <is>
          <t>band</t>
        </is>
      </c>
      <c r="E88" s="5" t="n">
        <v>3</v>
      </c>
      <c r="F88" s="5" t="inlineStr">
        <is>
          <t>unnamed</t>
        </is>
      </c>
      <c r="G88" s="5" t="inlineStr">
        <is>
          <t>no label votes</t>
        </is>
      </c>
      <c r="H88" s="5" t="inlineStr">
        <is>
          <t>(none)</t>
        </is>
      </c>
      <c r="I88" s="5" t="inlineStr"/>
      <c r="J88" s="5" t="inlineStr"/>
      <c r="K88" s="5" t="n">
        <v>127</v>
      </c>
      <c r="L88" s="5" t="n">
        <v>31</v>
      </c>
      <c r="M88" s="10">
        <f>IF(AND(ISNUMBER(K88),L88&gt;0),K88/L88,"")</f>
        <v/>
      </c>
      <c r="N88" s="5" t="n">
        <v>0.394</v>
      </c>
      <c r="O88" s="5" t="n">
        <v>0.1</v>
      </c>
      <c r="P88" s="5" t="n">
        <v>1</v>
      </c>
      <c r="Q88" s="5" t="n">
        <v>0</v>
      </c>
      <c r="R88" s="5" t="n">
        <v>0</v>
      </c>
      <c r="S88" s="5" t="n">
        <v>1</v>
      </c>
      <c r="T88" s="5" t="n">
        <v>0</v>
      </c>
      <c r="U88" s="5" t="n">
        <v>0</v>
      </c>
      <c r="V88" s="5" t="n">
        <v>0</v>
      </c>
      <c r="W88" s="5" t="n">
        <v>1.27</v>
      </c>
      <c r="X88" s="5" t="inlineStr"/>
      <c r="Y88" s="5" t="n">
        <v>4878.2</v>
      </c>
      <c r="Z88" s="5" t="n">
        <v>816.9</v>
      </c>
      <c r="AA88" s="5" t="n">
        <v>4915.7</v>
      </c>
      <c r="AB88" s="5" t="n">
        <v>826.1</v>
      </c>
      <c r="AC88" s="5" t="inlineStr"/>
      <c r="AD88" s="5">
        <f>IF(AC88="","",IF(OR(AC88=F88,AND(AC88="crane_footing",F88="isolated_footing")),"yes","no"))</f>
        <v/>
      </c>
    </row>
    <row r="89">
      <c r="A89" s="5" t="n">
        <v>88</v>
      </c>
      <c r="B89" s="5" t="inlineStr">
        <is>
          <t>120</t>
        </is>
      </c>
      <c r="C89" s="5" t="inlineStr">
        <is>
          <t>nearest labels in its region</t>
        </is>
      </c>
      <c r="D89" s="5" t="inlineStr">
        <is>
          <t>band</t>
        </is>
      </c>
      <c r="E89" s="5" t="n">
        <v>3</v>
      </c>
      <c r="F89" s="5" t="inlineStr">
        <is>
          <t>unnamed</t>
        </is>
      </c>
      <c r="G89" s="5" t="inlineStr">
        <is>
          <t>no label votes</t>
        </is>
      </c>
      <c r="H89" s="5" t="inlineStr">
        <is>
          <t>(none)</t>
        </is>
      </c>
      <c r="I89" s="5" t="inlineStr"/>
      <c r="J89" s="5" t="inlineStr"/>
      <c r="K89" s="5" t="n">
        <v>123</v>
      </c>
      <c r="L89" s="5" t="n">
        <v>31</v>
      </c>
      <c r="M89" s="10">
        <f>IF(AND(ISNUMBER(K89),L89&gt;0),K89/L89,"")</f>
        <v/>
      </c>
      <c r="N89" s="5" t="n">
        <v>0.38</v>
      </c>
      <c r="O89" s="5" t="n">
        <v>0</v>
      </c>
      <c r="P89" s="5" t="n">
        <v>0</v>
      </c>
      <c r="Q89" s="5" t="n">
        <v>1</v>
      </c>
      <c r="R89" s="5" t="n">
        <v>0</v>
      </c>
      <c r="S89" s="5" t="n">
        <v>0</v>
      </c>
      <c r="T89" s="5" t="n">
        <v>0</v>
      </c>
      <c r="U89" s="5" t="n">
        <v>1</v>
      </c>
      <c r="V89" s="5" t="n">
        <v>2</v>
      </c>
      <c r="W89" s="5" t="n">
        <v>0</v>
      </c>
      <c r="X89" s="5" t="inlineStr"/>
      <c r="Y89" s="5" t="n">
        <v>4540</v>
      </c>
      <c r="Z89" s="5" t="n">
        <v>984</v>
      </c>
      <c r="AA89" s="5" t="n">
        <v>4576.2</v>
      </c>
      <c r="AB89" s="5" t="n">
        <v>993.2</v>
      </c>
      <c r="AC89" s="5" t="inlineStr"/>
      <c r="AD89" s="5">
        <f>IF(AC89="","",IF(OR(AC89=F89,AND(AC89="crane_footing",F89="isolated_footing")),"yes","no"))</f>
        <v/>
      </c>
    </row>
    <row r="90">
      <c r="A90" s="5" t="n">
        <v>89</v>
      </c>
      <c r="B90" s="5" t="inlineStr">
        <is>
          <t>120</t>
        </is>
      </c>
      <c r="C90" s="5" t="inlineStr">
        <is>
          <t>nearest labels in its region</t>
        </is>
      </c>
      <c r="D90" s="5" t="inlineStr">
        <is>
          <t>band</t>
        </is>
      </c>
      <c r="E90" s="5" t="n">
        <v>7</v>
      </c>
      <c r="F90" s="5" t="inlineStr">
        <is>
          <t>unnamed</t>
        </is>
      </c>
      <c r="G90" s="5" t="inlineStr">
        <is>
          <t>no label votes</t>
        </is>
      </c>
      <c r="H90" s="5" t="inlineStr">
        <is>
          <t>(none)</t>
        </is>
      </c>
      <c r="I90" s="5" t="inlineStr"/>
      <c r="J90" s="5" t="inlineStr"/>
      <c r="K90" s="5" t="n">
        <v>5767</v>
      </c>
      <c r="L90" s="5" t="n">
        <v>84</v>
      </c>
      <c r="M90" s="10">
        <f>IF(AND(ISNUMBER(K90),L90&gt;0),K90/L90,"")</f>
        <v/>
      </c>
      <c r="N90" s="5" t="n">
        <v>48.444</v>
      </c>
      <c r="O90" s="5" t="n">
        <v>90</v>
      </c>
      <c r="P90" s="5" t="n">
        <v>0</v>
      </c>
      <c r="Q90" s="5" t="n">
        <v>0</v>
      </c>
      <c r="R90" s="5" t="n">
        <v>0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57.67</v>
      </c>
      <c r="X90" s="5" t="inlineStr"/>
      <c r="Y90" s="5" t="n">
        <v>5201.8</v>
      </c>
      <c r="Z90" s="5" t="n">
        <v>356.2</v>
      </c>
      <c r="AA90" s="5" t="n">
        <v>5226.6</v>
      </c>
      <c r="AB90" s="5" t="n">
        <v>2059</v>
      </c>
      <c r="AC90" s="5" t="inlineStr"/>
      <c r="AD90" s="5">
        <f>IF(AC90="","",IF(OR(AC90=F90,AND(AC90="crane_footing",F90="isolated_footing")),"yes","no"))</f>
        <v/>
      </c>
    </row>
    <row r="91">
      <c r="A91" s="5" t="n">
        <v>90</v>
      </c>
      <c r="B91" s="5" t="inlineStr">
        <is>
          <t>120</t>
        </is>
      </c>
      <c r="C91" s="5" t="inlineStr">
        <is>
          <t>nearest labels in its region</t>
        </is>
      </c>
      <c r="D91" s="5" t="inlineStr">
        <is>
          <t>band</t>
        </is>
      </c>
      <c r="E91" s="5" t="n">
        <v>7</v>
      </c>
      <c r="F91" s="5" t="inlineStr">
        <is>
          <t>unnamed</t>
        </is>
      </c>
      <c r="G91" s="5" t="inlineStr">
        <is>
          <t>no label votes</t>
        </is>
      </c>
      <c r="H91" s="5" t="inlineStr">
        <is>
          <t>(none)</t>
        </is>
      </c>
      <c r="I91" s="5" t="inlineStr"/>
      <c r="J91" s="5" t="inlineStr"/>
      <c r="K91" s="5" t="n">
        <v>153</v>
      </c>
      <c r="L91" s="5" t="n">
        <v>84</v>
      </c>
      <c r="M91" s="10">
        <f>IF(AND(ISNUMBER(K91),L91&gt;0),K91/L91,"")</f>
        <v/>
      </c>
      <c r="N91" s="5" t="n">
        <v>1.283</v>
      </c>
      <c r="O91" s="5" t="n">
        <v>179.9</v>
      </c>
      <c r="P91" s="5" t="n">
        <v>1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1</v>
      </c>
      <c r="W91" s="5" t="n">
        <v>1.53</v>
      </c>
      <c r="X91" s="5" t="inlineStr"/>
      <c r="Y91" s="5" t="n">
        <v>4720.2</v>
      </c>
      <c r="Z91" s="5" t="n">
        <v>526.5</v>
      </c>
      <c r="AA91" s="5" t="n">
        <v>4765.4</v>
      </c>
      <c r="AB91" s="5" t="n">
        <v>551.4</v>
      </c>
      <c r="AC91" s="5" t="inlineStr"/>
      <c r="AD91" s="5">
        <f>IF(AC91="","",IF(OR(AC91=F91,AND(AC91="crane_footing",F91="isolated_footing")),"yes","no"))</f>
        <v/>
      </c>
    </row>
    <row r="92">
      <c r="A92" s="5" t="n">
        <v>91</v>
      </c>
      <c r="B92" s="5" t="inlineStr">
        <is>
          <t>120</t>
        </is>
      </c>
      <c r="C92" s="5" t="inlineStr">
        <is>
          <t>nearest labels in its region</t>
        </is>
      </c>
      <c r="D92" s="5" t="inlineStr">
        <is>
          <t>band</t>
        </is>
      </c>
      <c r="E92" s="5" t="n">
        <v>7</v>
      </c>
      <c r="F92" s="5" t="inlineStr">
        <is>
          <t>unnamed</t>
        </is>
      </c>
      <c r="G92" s="5" t="inlineStr">
        <is>
          <t>no label votes</t>
        </is>
      </c>
      <c r="H92" s="5" t="inlineStr">
        <is>
          <t>(none)</t>
        </is>
      </c>
      <c r="I92" s="5" t="inlineStr"/>
      <c r="J92" s="5" t="inlineStr"/>
      <c r="K92" s="5" t="n">
        <v>128</v>
      </c>
      <c r="L92" s="5" t="n">
        <v>84</v>
      </c>
      <c r="M92" s="10">
        <f>IF(AND(ISNUMBER(K92),L92&gt;0),K92/L92,"")</f>
        <v/>
      </c>
      <c r="N92" s="5" t="n">
        <v>1.072</v>
      </c>
      <c r="O92" s="5" t="n">
        <v>179.9</v>
      </c>
      <c r="P92" s="5" t="n">
        <v>1</v>
      </c>
      <c r="Q92" s="5" t="n">
        <v>0</v>
      </c>
      <c r="R92" s="5" t="n">
        <v>0</v>
      </c>
      <c r="S92" s="5" t="n">
        <v>1</v>
      </c>
      <c r="T92" s="5" t="n">
        <v>1</v>
      </c>
      <c r="U92" s="5" t="n">
        <v>1</v>
      </c>
      <c r="V92" s="5" t="n">
        <v>4</v>
      </c>
      <c r="W92" s="5" t="n">
        <v>1.28</v>
      </c>
      <c r="X92" s="5" t="inlineStr"/>
      <c r="Y92" s="5" t="n">
        <v>4540.3</v>
      </c>
      <c r="Z92" s="5" t="n">
        <v>515</v>
      </c>
      <c r="AA92" s="5" t="n">
        <v>4578</v>
      </c>
      <c r="AB92" s="5" t="n">
        <v>539.8</v>
      </c>
      <c r="AC92" s="5" t="inlineStr"/>
      <c r="AD92" s="5">
        <f>IF(AC92="","",IF(OR(AC92=F92,AND(AC92="crane_footing",F92="isolated_footing")),"yes","no"))</f>
        <v/>
      </c>
    </row>
    <row r="93">
      <c r="A93" s="5" t="n">
        <v>92</v>
      </c>
      <c r="B93" s="5" t="inlineStr">
        <is>
          <t>120</t>
        </is>
      </c>
      <c r="C93" s="5" t="inlineStr">
        <is>
          <t>nearest labels in its region</t>
        </is>
      </c>
      <c r="D93" s="5" t="inlineStr">
        <is>
          <t>band</t>
        </is>
      </c>
      <c r="E93" s="5" t="n">
        <v>9</v>
      </c>
      <c r="F93" s="5" t="inlineStr">
        <is>
          <t>unnamed</t>
        </is>
      </c>
      <c r="G93" s="5" t="inlineStr">
        <is>
          <t>no label votes</t>
        </is>
      </c>
      <c r="H93" s="5" t="inlineStr">
        <is>
          <t>(none)</t>
        </is>
      </c>
      <c r="I93" s="5" t="inlineStr"/>
      <c r="J93" s="5" t="inlineStr"/>
      <c r="K93" s="5" t="n">
        <v>482</v>
      </c>
      <c r="L93" s="5" t="n">
        <v>99</v>
      </c>
      <c r="M93" s="10">
        <f>IF(AND(ISNUMBER(K93),L93&gt;0),K93/L93,"")</f>
        <v/>
      </c>
      <c r="N93" s="5" t="n">
        <v>4.776</v>
      </c>
      <c r="O93" s="5" t="n">
        <v>0</v>
      </c>
      <c r="P93" s="5" t="n">
        <v>3</v>
      </c>
      <c r="Q93" s="5" t="n">
        <v>0</v>
      </c>
      <c r="R93" s="5" t="n">
        <v>0</v>
      </c>
      <c r="S93" s="5" t="n">
        <v>1</v>
      </c>
      <c r="T93" s="5" t="n">
        <v>1</v>
      </c>
      <c r="U93" s="5" t="n">
        <v>1</v>
      </c>
      <c r="V93" s="5" t="n">
        <v>2</v>
      </c>
      <c r="W93" s="5" t="n">
        <v>4.82</v>
      </c>
      <c r="X93" s="5" t="inlineStr"/>
      <c r="Y93" s="5" t="n">
        <v>4728.4</v>
      </c>
      <c r="Z93" s="5" t="n">
        <v>868.9</v>
      </c>
      <c r="AA93" s="5" t="n">
        <v>4870.8</v>
      </c>
      <c r="AB93" s="5" t="n">
        <v>898.2</v>
      </c>
      <c r="AC93" s="5" t="inlineStr"/>
      <c r="AD93" s="5">
        <f>IF(AC93="","",IF(OR(AC93=F93,AND(AC93="crane_footing",F93="isolated_footing")),"yes","no"))</f>
        <v/>
      </c>
    </row>
    <row r="94">
      <c r="A94" s="5" t="n">
        <v>93</v>
      </c>
      <c r="B94" s="5" t="inlineStr">
        <is>
          <t>120</t>
        </is>
      </c>
      <c r="C94" s="5" t="inlineStr">
        <is>
          <t>nearest labels in its region</t>
        </is>
      </c>
      <c r="D94" s="5" t="inlineStr">
        <is>
          <t>band</t>
        </is>
      </c>
      <c r="E94" s="5" t="n">
        <v>9</v>
      </c>
      <c r="F94" s="5" t="inlineStr">
        <is>
          <t>unnamed</t>
        </is>
      </c>
      <c r="G94" s="5" t="inlineStr">
        <is>
          <t>no label votes</t>
        </is>
      </c>
      <c r="H94" s="5" t="inlineStr">
        <is>
          <t>(none)</t>
        </is>
      </c>
      <c r="I94" s="5" t="inlineStr"/>
      <c r="J94" s="5" t="inlineStr"/>
      <c r="K94" s="5" t="n">
        <v>285</v>
      </c>
      <c r="L94" s="5" t="n">
        <v>99</v>
      </c>
      <c r="M94" s="10">
        <f>IF(AND(ISNUMBER(K94),L94&gt;0),K94/L94,"")</f>
        <v/>
      </c>
      <c r="N94" s="5" t="n">
        <v>2.823</v>
      </c>
      <c r="O94" s="5" t="n">
        <v>0</v>
      </c>
      <c r="P94" s="5" t="n">
        <v>2</v>
      </c>
      <c r="Q94" s="5" t="n">
        <v>0</v>
      </c>
      <c r="R94" s="5" t="n">
        <v>0</v>
      </c>
      <c r="S94" s="5" t="n">
        <v>1</v>
      </c>
      <c r="T94" s="5" t="n">
        <v>0</v>
      </c>
      <c r="U94" s="5" t="n">
        <v>4</v>
      </c>
      <c r="V94" s="5" t="n">
        <v>1</v>
      </c>
      <c r="W94" s="5" t="n">
        <v>2.85</v>
      </c>
      <c r="X94" s="5" t="inlineStr"/>
      <c r="Y94" s="5" t="n">
        <v>4620.6</v>
      </c>
      <c r="Z94" s="5" t="n">
        <v>762.6</v>
      </c>
      <c r="AA94" s="5" t="n">
        <v>4704.8</v>
      </c>
      <c r="AB94" s="5" t="n">
        <v>791.9</v>
      </c>
      <c r="AC94" s="5" t="inlineStr"/>
      <c r="AD94" s="5">
        <f>IF(AC94="","",IF(OR(AC94=F94,AND(AC94="crane_footing",F94="isolated_footing")),"yes","no"))</f>
        <v/>
      </c>
    </row>
    <row r="95">
      <c r="A95" s="5" t="n">
        <v>94</v>
      </c>
      <c r="B95" s="5" t="inlineStr">
        <is>
          <t>120</t>
        </is>
      </c>
      <c r="C95" s="5" t="inlineStr">
        <is>
          <t>nearest labels in its region</t>
        </is>
      </c>
      <c r="D95" s="5" t="inlineStr">
        <is>
          <t>band</t>
        </is>
      </c>
      <c r="E95" s="5" t="n">
        <v>9</v>
      </c>
      <c r="F95" s="5" t="inlineStr">
        <is>
          <t>unnamed</t>
        </is>
      </c>
      <c r="G95" s="5" t="inlineStr">
        <is>
          <t>no label votes</t>
        </is>
      </c>
      <c r="H95" s="5" t="inlineStr">
        <is>
          <t>(none)</t>
        </is>
      </c>
      <c r="I95" s="5" t="inlineStr"/>
      <c r="J95" s="5" t="inlineStr"/>
      <c r="K95" s="5" t="n">
        <v>285</v>
      </c>
      <c r="L95" s="5" t="n">
        <v>99</v>
      </c>
      <c r="M95" s="10">
        <f>IF(AND(ISNUMBER(K95),L95&gt;0),K95/L95,"")</f>
        <v/>
      </c>
      <c r="N95" s="5" t="n">
        <v>2.823</v>
      </c>
      <c r="O95" s="5" t="n">
        <v>0</v>
      </c>
      <c r="P95" s="5" t="n">
        <v>2</v>
      </c>
      <c r="Q95" s="5" t="n">
        <v>0</v>
      </c>
      <c r="R95" s="5" t="n">
        <v>0</v>
      </c>
      <c r="S95" s="5" t="n">
        <v>1</v>
      </c>
      <c r="T95" s="5" t="n">
        <v>0</v>
      </c>
      <c r="U95" s="5" t="n">
        <v>4</v>
      </c>
      <c r="V95" s="5" t="n">
        <v>1</v>
      </c>
      <c r="W95" s="5" t="n">
        <v>2.85</v>
      </c>
      <c r="X95" s="5" t="inlineStr"/>
      <c r="Y95" s="5" t="n">
        <v>4620.5</v>
      </c>
      <c r="Z95" s="5" t="n">
        <v>868.9</v>
      </c>
      <c r="AA95" s="5" t="n">
        <v>4704.7</v>
      </c>
      <c r="AB95" s="5" t="n">
        <v>898.2</v>
      </c>
      <c r="AC95" s="5" t="inlineStr"/>
      <c r="AD95" s="5">
        <f>IF(AC95="","",IF(OR(AC95=F95,AND(AC95="crane_footing",F95="isolated_footing")),"yes","no"))</f>
        <v/>
      </c>
    </row>
    <row r="96">
      <c r="A96" s="5" t="n">
        <v>95</v>
      </c>
      <c r="B96" s="5" t="inlineStr">
        <is>
          <t>120</t>
        </is>
      </c>
      <c r="C96" s="5" t="inlineStr">
        <is>
          <t>nearest labels in its region</t>
        </is>
      </c>
      <c r="D96" s="5" t="inlineStr">
        <is>
          <t>band</t>
        </is>
      </c>
      <c r="E96" s="5" t="n">
        <v>9</v>
      </c>
      <c r="F96" s="5" t="inlineStr">
        <is>
          <t>unnamed</t>
        </is>
      </c>
      <c r="G96" s="5" t="inlineStr">
        <is>
          <t>no label votes</t>
        </is>
      </c>
      <c r="H96" s="5" t="inlineStr">
        <is>
          <t>(none)</t>
        </is>
      </c>
      <c r="I96" s="5" t="inlineStr"/>
      <c r="J96" s="5" t="inlineStr"/>
      <c r="K96" s="5" t="n">
        <v>128</v>
      </c>
      <c r="L96" s="5" t="n">
        <v>99</v>
      </c>
      <c r="M96" s="10">
        <f>IF(AND(ISNUMBER(K96),L96&gt;0),K96/L96,"")</f>
        <v/>
      </c>
      <c r="N96" s="5" t="n">
        <v>1.264</v>
      </c>
      <c r="O96" s="5" t="n">
        <v>0.1</v>
      </c>
      <c r="P96" s="5" t="n">
        <v>0</v>
      </c>
      <c r="Q96" s="5" t="n">
        <v>0</v>
      </c>
      <c r="R96" s="5" t="n">
        <v>0</v>
      </c>
      <c r="S96" s="5" t="n">
        <v>1</v>
      </c>
      <c r="T96" s="5" t="n">
        <v>0</v>
      </c>
      <c r="U96" s="5" t="n">
        <v>0</v>
      </c>
      <c r="V96" s="5" t="n">
        <v>3</v>
      </c>
      <c r="W96" s="5" t="n">
        <v>1.28</v>
      </c>
      <c r="X96" s="5" t="inlineStr"/>
      <c r="Y96" s="5" t="n">
        <v>4540.3</v>
      </c>
      <c r="Z96" s="5" t="n">
        <v>539.4</v>
      </c>
      <c r="AA96" s="5" t="n">
        <v>4578</v>
      </c>
      <c r="AB96" s="5" t="n">
        <v>568.7</v>
      </c>
      <c r="AC96" s="5" t="inlineStr"/>
      <c r="AD96" s="5">
        <f>IF(AC96="","",IF(OR(AC96=F96,AND(AC96="crane_footing",F96="isolated_footing")),"yes","no"))</f>
        <v/>
      </c>
    </row>
    <row r="97">
      <c r="A97" s="5" t="n">
        <v>96</v>
      </c>
      <c r="B97" s="5" t="inlineStr">
        <is>
          <t>120</t>
        </is>
      </c>
      <c r="C97" s="5" t="inlineStr">
        <is>
          <t>nearest labels in its region</t>
        </is>
      </c>
      <c r="D97" s="5" t="inlineStr">
        <is>
          <t>band</t>
        </is>
      </c>
      <c r="E97" s="5" t="n">
        <v>10</v>
      </c>
      <c r="F97" s="5" t="inlineStr">
        <is>
          <t>unnamed</t>
        </is>
      </c>
      <c r="G97" s="5" t="inlineStr">
        <is>
          <t>no label votes</t>
        </is>
      </c>
      <c r="H97" s="5" t="inlineStr">
        <is>
          <t>(none)</t>
        </is>
      </c>
      <c r="I97" s="5" t="inlineStr"/>
      <c r="J97" s="5" t="inlineStr"/>
      <c r="K97" s="5" t="n">
        <v>638</v>
      </c>
      <c r="L97" s="5" t="n">
        <v>121</v>
      </c>
      <c r="M97" s="10">
        <f>IF(AND(ISNUMBER(K97),L97&gt;0),K97/L97,"")</f>
        <v/>
      </c>
      <c r="N97" s="5" t="n">
        <v>7.717</v>
      </c>
      <c r="O97" s="5" t="n">
        <v>0</v>
      </c>
      <c r="P97" s="5" t="n">
        <v>2</v>
      </c>
      <c r="Q97" s="5" t="n">
        <v>0</v>
      </c>
      <c r="R97" s="5" t="n">
        <v>0</v>
      </c>
      <c r="S97" s="5" t="n">
        <v>1</v>
      </c>
      <c r="T97" s="5" t="n">
        <v>1</v>
      </c>
      <c r="U97" s="5" t="n">
        <v>8</v>
      </c>
      <c r="V97" s="5" t="n">
        <v>3</v>
      </c>
      <c r="W97" s="5" t="n">
        <v>6.38</v>
      </c>
      <c r="X97" s="5" t="inlineStr"/>
      <c r="Y97" s="5" t="n">
        <v>4824.2</v>
      </c>
      <c r="Z97" s="5" t="n">
        <v>862.7</v>
      </c>
      <c r="AA97" s="5" t="n">
        <v>5012.6</v>
      </c>
      <c r="AB97" s="5" t="n">
        <v>898.6</v>
      </c>
      <c r="AC97" s="5" t="inlineStr"/>
      <c r="AD97" s="5">
        <f>IF(AC97="","",IF(OR(AC97=F97,AND(AC97="crane_footing",F97="isolated_footing")),"yes","no"))</f>
        <v/>
      </c>
    </row>
    <row r="98">
      <c r="A98" s="5" t="n">
        <v>97</v>
      </c>
      <c r="B98" s="5" t="inlineStr">
        <is>
          <t>120</t>
        </is>
      </c>
      <c r="C98" s="5" t="inlineStr">
        <is>
          <t>nearest labels in its region</t>
        </is>
      </c>
      <c r="D98" s="5" t="inlineStr">
        <is>
          <t>band</t>
        </is>
      </c>
      <c r="E98" s="5" t="n">
        <v>10</v>
      </c>
      <c r="F98" s="5" t="inlineStr">
        <is>
          <t>unnamed</t>
        </is>
      </c>
      <c r="G98" s="5" t="inlineStr">
        <is>
          <t>no label votes</t>
        </is>
      </c>
      <c r="H98" s="5" t="inlineStr">
        <is>
          <t>(none)</t>
        </is>
      </c>
      <c r="I98" s="5" t="inlineStr"/>
      <c r="J98" s="5" t="inlineStr"/>
      <c r="K98" s="5" t="n">
        <v>280</v>
      </c>
      <c r="L98" s="5" t="n">
        <v>121</v>
      </c>
      <c r="M98" s="10">
        <f>IF(AND(ISNUMBER(K98),L98&gt;0),K98/L98,"")</f>
        <v/>
      </c>
      <c r="N98" s="5" t="n">
        <v>3.389</v>
      </c>
      <c r="O98" s="5" t="n">
        <v>90</v>
      </c>
      <c r="P98" s="5" t="n">
        <v>1</v>
      </c>
      <c r="Q98" s="5" t="n">
        <v>0</v>
      </c>
      <c r="R98" s="5" t="n">
        <v>0</v>
      </c>
      <c r="S98" s="5" t="n">
        <v>1</v>
      </c>
      <c r="T98" s="5" t="n">
        <v>1</v>
      </c>
      <c r="U98" s="5" t="n">
        <v>6</v>
      </c>
      <c r="V98" s="5" t="n">
        <v>1</v>
      </c>
      <c r="W98" s="5" t="n">
        <v>2.8</v>
      </c>
      <c r="X98" s="5" t="inlineStr"/>
      <c r="Y98" s="5" t="n">
        <v>5012.3</v>
      </c>
      <c r="Z98" s="5" t="n">
        <v>780.1</v>
      </c>
      <c r="AA98" s="5" t="n">
        <v>5048.1</v>
      </c>
      <c r="AB98" s="5" t="n">
        <v>862.8</v>
      </c>
      <c r="AC98" s="5" t="inlineStr"/>
      <c r="AD98" s="5">
        <f>IF(AC98="","",IF(OR(AC98=F98,AND(AC98="crane_footing",F98="isolated_footing")),"yes","no"))</f>
        <v/>
      </c>
    </row>
    <row r="99">
      <c r="A99" s="5" t="n">
        <v>98</v>
      </c>
      <c r="B99" s="5" t="inlineStr">
        <is>
          <t>120</t>
        </is>
      </c>
      <c r="C99" s="5" t="inlineStr">
        <is>
          <t>nearest labels in its region</t>
        </is>
      </c>
      <c r="D99" s="5" t="inlineStr">
        <is>
          <t>band</t>
        </is>
      </c>
      <c r="E99" s="5" t="n">
        <v>12</v>
      </c>
      <c r="F99" s="5" t="inlineStr">
        <is>
          <t>unnamed</t>
        </is>
      </c>
      <c r="G99" s="5" t="inlineStr">
        <is>
          <t>no label votes</t>
        </is>
      </c>
      <c r="H99" s="5" t="inlineStr">
        <is>
          <t>(none)</t>
        </is>
      </c>
      <c r="I99" s="5" t="inlineStr"/>
      <c r="J99" s="5" t="inlineStr"/>
      <c r="K99" s="5" t="n">
        <v>693</v>
      </c>
      <c r="L99" s="5" t="n">
        <v>140</v>
      </c>
      <c r="M99" s="10">
        <f>IF(AND(ISNUMBER(K99),L99&gt;0),K99/L99,"")</f>
        <v/>
      </c>
      <c r="N99" s="5" t="n">
        <v>9.702</v>
      </c>
      <c r="O99" s="5" t="n">
        <v>179.9</v>
      </c>
      <c r="P99" s="5" t="n">
        <v>0</v>
      </c>
      <c r="Q99" s="5" t="n">
        <v>0</v>
      </c>
      <c r="R99" s="5" t="n">
        <v>0</v>
      </c>
      <c r="S99" s="5" t="n">
        <v>1</v>
      </c>
      <c r="T99" s="5" t="n">
        <v>0</v>
      </c>
      <c r="U99" s="5" t="n">
        <v>18</v>
      </c>
      <c r="V99" s="5" t="n">
        <v>4</v>
      </c>
      <c r="W99" s="5" t="n">
        <v>6.93</v>
      </c>
      <c r="X99" s="5" t="inlineStr"/>
      <c r="Y99" s="5" t="n">
        <v>4484.2</v>
      </c>
      <c r="Z99" s="5" t="n">
        <v>527</v>
      </c>
      <c r="AA99" s="5" t="n">
        <v>4688.9</v>
      </c>
      <c r="AB99" s="5" t="n">
        <v>568.7</v>
      </c>
      <c r="AC99" s="5" t="inlineStr"/>
      <c r="AD99" s="5">
        <f>IF(AC99="","",IF(OR(AC99=F99,AND(AC99="crane_footing",F99="isolated_footing")),"yes","no"))</f>
        <v/>
      </c>
    </row>
    <row r="100">
      <c r="A100" s="5" t="n">
        <v>99</v>
      </c>
      <c r="B100" s="5" t="inlineStr">
        <is>
          <t>121</t>
        </is>
      </c>
      <c r="C100" s="5" t="inlineStr">
        <is>
          <t>own label</t>
        </is>
      </c>
      <c r="D100" s="5" t="inlineStr">
        <is>
          <t>solid</t>
        </is>
      </c>
      <c r="E100" s="5" t="n">
        <v>31</v>
      </c>
      <c r="F100" s="5" t="inlineStr">
        <is>
          <t>column</t>
        </is>
      </c>
      <c r="G100" s="5" t="inlineStr">
        <is>
          <t>label vote</t>
        </is>
      </c>
      <c r="H100" s="5" t="inlineStr">
        <is>
          <t>P2/121</t>
        </is>
      </c>
      <c r="I100" s="5" t="inlineStr">
        <is>
          <t>printed label</t>
        </is>
      </c>
      <c r="J100" s="5" t="inlineStr">
        <is>
          <t>P2/121/121</t>
        </is>
      </c>
      <c r="K100" s="5" t="n">
        <v>100</v>
      </c>
      <c r="L100" s="5" t="n">
        <v>25</v>
      </c>
      <c r="M100" s="10">
        <f>IF(AND(ISNUMBER(K100),L100&gt;0),K100/L100,"")</f>
        <v/>
      </c>
      <c r="N100" s="5" t="n">
        <v>0.251</v>
      </c>
      <c r="O100" s="5" t="n">
        <v>179.8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2</v>
      </c>
      <c r="W100" s="5" t="n"/>
      <c r="X100" s="5" t="inlineStr"/>
      <c r="Y100" s="5" t="n">
        <v>4594.7</v>
      </c>
      <c r="Z100" s="5" t="n">
        <v>1612.9</v>
      </c>
      <c r="AA100" s="5" t="n">
        <v>4624.2</v>
      </c>
      <c r="AB100" s="5" t="n">
        <v>1620.4</v>
      </c>
      <c r="AC100" s="5" t="inlineStr">
        <is>
          <t>column</t>
        </is>
      </c>
      <c r="AD100" s="5">
        <f>IF(AC100="","",IF(OR(AC100=F100,AND(AC100="crane_footing",F100="isolated_footing")),"yes","no"))</f>
        <v/>
      </c>
    </row>
    <row r="101">
      <c r="A101" s="5" t="n">
        <v>100</v>
      </c>
      <c r="B101" s="5" t="inlineStr">
        <is>
          <t>121</t>
        </is>
      </c>
      <c r="C101" s="5" t="inlineStr">
        <is>
          <t>own label</t>
        </is>
      </c>
      <c r="D101" s="5" t="inlineStr">
        <is>
          <t>solid</t>
        </is>
      </c>
      <c r="E101" s="5" t="n">
        <v>31</v>
      </c>
      <c r="F101" s="5" t="inlineStr">
        <is>
          <t>column</t>
        </is>
      </c>
      <c r="G101" s="5" t="inlineStr">
        <is>
          <t>label vote</t>
        </is>
      </c>
      <c r="H101" s="5" t="inlineStr">
        <is>
          <t>P2/121</t>
        </is>
      </c>
      <c r="I101" s="5" t="inlineStr">
        <is>
          <t>printed label</t>
        </is>
      </c>
      <c r="J101" s="5" t="inlineStr">
        <is>
          <t>P2/121/121</t>
        </is>
      </c>
      <c r="K101" s="5" t="n">
        <v>100</v>
      </c>
      <c r="L101" s="5" t="n">
        <v>25</v>
      </c>
      <c r="M101" s="10">
        <f>IF(AND(ISNUMBER(K101),L101&gt;0),K101/L101,"")</f>
        <v/>
      </c>
      <c r="N101" s="5" t="n">
        <v>0.25</v>
      </c>
      <c r="O101" s="5" t="n">
        <v>179.9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2</v>
      </c>
      <c r="W101" s="5" t="n"/>
      <c r="X101" s="5" t="inlineStr"/>
      <c r="Y101" s="5" t="n">
        <v>4594.5</v>
      </c>
      <c r="Z101" s="5" t="n">
        <v>1525.8</v>
      </c>
      <c r="AA101" s="5" t="n">
        <v>4624.1</v>
      </c>
      <c r="AB101" s="5" t="n">
        <v>1533.2</v>
      </c>
      <c r="AC101" s="5" t="inlineStr">
        <is>
          <t>column</t>
        </is>
      </c>
      <c r="AD101" s="5">
        <f>IF(AC101="","",IF(OR(AC101=F101,AND(AC101="crane_footing",F101="isolated_footing")),"yes","no"))</f>
        <v/>
      </c>
    </row>
    <row r="102">
      <c r="A102" s="5" t="n">
        <v>101</v>
      </c>
      <c r="B102" s="5" t="inlineStr">
        <is>
          <t>121</t>
        </is>
      </c>
      <c r="C102" s="5" t="inlineStr">
        <is>
          <t>own label</t>
        </is>
      </c>
      <c r="D102" s="5" t="inlineStr">
        <is>
          <t>solid</t>
        </is>
      </c>
      <c r="E102" s="5" t="n">
        <v>31</v>
      </c>
      <c r="F102" s="5" t="inlineStr">
        <is>
          <t>column</t>
        </is>
      </c>
      <c r="G102" s="5" t="inlineStr">
        <is>
          <t>label vote</t>
        </is>
      </c>
      <c r="H102" s="5" t="inlineStr">
        <is>
          <t>P2/121</t>
        </is>
      </c>
      <c r="I102" s="5" t="inlineStr">
        <is>
          <t>printed label</t>
        </is>
      </c>
      <c r="J102" s="5" t="inlineStr">
        <is>
          <t>P2/121/121</t>
        </is>
      </c>
      <c r="K102" s="5" t="n">
        <v>100</v>
      </c>
      <c r="L102" s="5" t="n">
        <v>25</v>
      </c>
      <c r="M102" s="10">
        <f>IF(AND(ISNUMBER(K102),L102&gt;0),K102/L102,"")</f>
        <v/>
      </c>
      <c r="N102" s="5" t="n">
        <v>0.25</v>
      </c>
      <c r="O102" s="5" t="n">
        <v>179.9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  <c r="U102" s="5" t="n">
        <v>0</v>
      </c>
      <c r="V102" s="5" t="n">
        <v>2</v>
      </c>
      <c r="W102" s="5" t="n"/>
      <c r="X102" s="5" t="inlineStr"/>
      <c r="Y102" s="5" t="n">
        <v>4699.5</v>
      </c>
      <c r="Z102" s="5" t="n">
        <v>1612.7</v>
      </c>
      <c r="AA102" s="5" t="n">
        <v>4729.1</v>
      </c>
      <c r="AB102" s="5" t="n">
        <v>1620.1</v>
      </c>
      <c r="AC102" s="5" t="inlineStr">
        <is>
          <t>column</t>
        </is>
      </c>
      <c r="AD102" s="5">
        <f>IF(AC102="","",IF(OR(AC102=F102,AND(AC102="crane_footing",F102="isolated_footing")),"yes","no"))</f>
        <v/>
      </c>
    </row>
    <row r="103">
      <c r="A103" s="5" t="n">
        <v>102</v>
      </c>
      <c r="B103" s="5" t="inlineStr">
        <is>
          <t>121</t>
        </is>
      </c>
      <c r="C103" s="5" t="inlineStr">
        <is>
          <t>own label</t>
        </is>
      </c>
      <c r="D103" s="5" t="inlineStr">
        <is>
          <t>solid</t>
        </is>
      </c>
      <c r="E103" s="5" t="n">
        <v>31</v>
      </c>
      <c r="F103" s="5" t="inlineStr">
        <is>
          <t>column</t>
        </is>
      </c>
      <c r="G103" s="5" t="inlineStr">
        <is>
          <t>label vote</t>
        </is>
      </c>
      <c r="H103" s="5" t="inlineStr">
        <is>
          <t>P2/121</t>
        </is>
      </c>
      <c r="I103" s="5" t="inlineStr">
        <is>
          <t>printed label</t>
        </is>
      </c>
      <c r="J103" s="5" t="inlineStr">
        <is>
          <t>P2/121/121</t>
        </is>
      </c>
      <c r="K103" s="5" t="n">
        <v>100</v>
      </c>
      <c r="L103" s="5" t="n">
        <v>25</v>
      </c>
      <c r="M103" s="10">
        <f>IF(AND(ISNUMBER(K103),L103&gt;0),K103/L103,"")</f>
        <v/>
      </c>
      <c r="N103" s="5" t="n">
        <v>0.25</v>
      </c>
      <c r="O103" s="5" t="n">
        <v>179.9</v>
      </c>
      <c r="P103" s="5" t="n">
        <v>0</v>
      </c>
      <c r="Q103" s="5" t="n">
        <v>0</v>
      </c>
      <c r="R103" s="5" t="n">
        <v>0</v>
      </c>
      <c r="S103" s="5" t="n">
        <v>1</v>
      </c>
      <c r="T103" s="5" t="n">
        <v>0</v>
      </c>
      <c r="U103" s="5" t="n">
        <v>0</v>
      </c>
      <c r="V103" s="5" t="n">
        <v>2</v>
      </c>
      <c r="W103" s="5" t="n"/>
      <c r="X103" s="5" t="inlineStr"/>
      <c r="Y103" s="5" t="n">
        <v>4699.3</v>
      </c>
      <c r="Z103" s="5" t="n">
        <v>1525.6</v>
      </c>
      <c r="AA103" s="5" t="n">
        <v>4728.9</v>
      </c>
      <c r="AB103" s="5" t="n">
        <v>1533</v>
      </c>
      <c r="AC103" s="5" t="inlineStr">
        <is>
          <t>column</t>
        </is>
      </c>
      <c r="AD103" s="5">
        <f>IF(AC103="","",IF(OR(AC103=F103,AND(AC103="crane_footing",F103="isolated_footing")),"yes","no"))</f>
        <v/>
      </c>
    </row>
    <row r="104">
      <c r="A104" s="5" t="n">
        <v>103</v>
      </c>
      <c r="B104" s="5" t="inlineStr">
        <is>
          <t>121</t>
        </is>
      </c>
      <c r="C104" s="5" t="inlineStr">
        <is>
          <t>nearest labels in its region</t>
        </is>
      </c>
      <c r="D104" s="5" t="inlineStr">
        <is>
          <t>solid</t>
        </is>
      </c>
      <c r="E104" s="5" t="n">
        <v>32</v>
      </c>
      <c r="F104" s="5" t="inlineStr">
        <is>
          <t>shear_wall</t>
        </is>
      </c>
      <c r="G104" s="5" t="inlineStr">
        <is>
          <t>label vote</t>
        </is>
      </c>
      <c r="H104" s="5" t="inlineStr">
        <is>
          <t>(none)</t>
        </is>
      </c>
      <c r="I104" s="5" t="inlineStr">
        <is>
          <t>no shear_wall type in its building has this size</t>
        </is>
      </c>
      <c r="J104" s="5" t="inlineStr"/>
      <c r="K104" s="5" t="n">
        <v>342</v>
      </c>
      <c r="L104" s="5" t="n">
        <v>25</v>
      </c>
      <c r="M104" s="10">
        <f>IF(AND(ISNUMBER(K104),L104&gt;0),K104/L104,"")</f>
        <v/>
      </c>
      <c r="N104" s="5" t="n">
        <v>0.86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1</v>
      </c>
      <c r="T104" s="5" t="n">
        <v>0</v>
      </c>
      <c r="U104" s="5" t="n">
        <v>2</v>
      </c>
      <c r="V104" s="5" t="n">
        <v>1</v>
      </c>
      <c r="W104" s="5" t="n"/>
      <c r="X104" s="5" t="inlineStr"/>
      <c r="Y104" s="5" t="n">
        <v>4910.8</v>
      </c>
      <c r="Z104" s="5" t="n">
        <v>1612</v>
      </c>
      <c r="AA104" s="5" t="n">
        <v>5011.7</v>
      </c>
      <c r="AB104" s="5" t="n">
        <v>1619.5</v>
      </c>
      <c r="AC104" s="5" t="inlineStr"/>
      <c r="AD104" s="5">
        <f>IF(AC104="","",IF(OR(AC104=F104,AND(AC104="crane_footing",F104="isolated_footing")),"yes","no"))</f>
        <v/>
      </c>
    </row>
    <row r="105">
      <c r="A105" s="5" t="n">
        <v>104</v>
      </c>
      <c r="B105" s="5" t="inlineStr">
        <is>
          <t>121</t>
        </is>
      </c>
      <c r="C105" s="5" t="inlineStr">
        <is>
          <t>nearest labels in its region</t>
        </is>
      </c>
      <c r="D105" s="5" t="inlineStr">
        <is>
          <t>solid</t>
        </is>
      </c>
      <c r="E105" s="5" t="n">
        <v>32</v>
      </c>
      <c r="F105" s="5" t="inlineStr">
        <is>
          <t>shear_wall</t>
        </is>
      </c>
      <c r="G105" s="5" t="inlineStr">
        <is>
          <t>label vote</t>
        </is>
      </c>
      <c r="H105" s="5" t="inlineStr">
        <is>
          <t>(none)</t>
        </is>
      </c>
      <c r="I105" s="5" t="inlineStr">
        <is>
          <t>no shear_wall type in its building has this size</t>
        </is>
      </c>
      <c r="J105" s="5" t="inlineStr"/>
      <c r="K105" s="5" t="n">
        <v>300</v>
      </c>
      <c r="L105" s="5" t="n">
        <v>25</v>
      </c>
      <c r="M105" s="10">
        <f>IF(AND(ISNUMBER(K105),L105&gt;0),K105/L105,"")</f>
        <v/>
      </c>
      <c r="N105" s="5" t="n">
        <v>0.749</v>
      </c>
      <c r="O105" s="5" t="n">
        <v>89.90000000000001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  <c r="U105" s="5" t="n">
        <v>1</v>
      </c>
      <c r="V105" s="5" t="n">
        <v>1</v>
      </c>
      <c r="W105" s="5" t="n"/>
      <c r="X105" s="5" t="inlineStr"/>
      <c r="Y105" s="5" t="n">
        <v>4765.1</v>
      </c>
      <c r="Z105" s="5" t="n">
        <v>1925.6</v>
      </c>
      <c r="AA105" s="5" t="n">
        <v>4772.7</v>
      </c>
      <c r="AB105" s="5" t="n">
        <v>2014.2</v>
      </c>
      <c r="AC105" s="5" t="inlineStr"/>
      <c r="AD105" s="5">
        <f>IF(AC105="","",IF(OR(AC105=F105,AND(AC105="crane_footing",F105="isolated_footing")),"yes","no"))</f>
        <v/>
      </c>
    </row>
    <row r="106">
      <c r="A106" s="5" t="n">
        <v>105</v>
      </c>
      <c r="B106" s="5" t="inlineStr">
        <is>
          <t>121</t>
        </is>
      </c>
      <c r="C106" s="5" t="inlineStr">
        <is>
          <t>nearest labels in its region</t>
        </is>
      </c>
      <c r="D106" s="5" t="inlineStr">
        <is>
          <t>solid</t>
        </is>
      </c>
      <c r="E106" s="5" t="n">
        <v>30</v>
      </c>
      <c r="F106" s="5" t="inlineStr">
        <is>
          <t>shear_wall</t>
        </is>
      </c>
      <c r="G106" s="5" t="inlineStr">
        <is>
          <t>label vote</t>
        </is>
      </c>
      <c r="H106" s="5" t="inlineStr">
        <is>
          <t>(none)</t>
        </is>
      </c>
      <c r="I106" s="5" t="inlineStr">
        <is>
          <t>no shear_wall type in its building has this size</t>
        </is>
      </c>
      <c r="J106" s="5" t="inlineStr"/>
      <c r="K106" s="5" t="n">
        <v>449</v>
      </c>
      <c r="L106" s="5" t="n">
        <v>25</v>
      </c>
      <c r="M106" s="10">
        <f>IF(AND(ISNUMBER(K106),L106&gt;0),K106/L106,"")</f>
        <v/>
      </c>
      <c r="N106" s="5" t="n">
        <v>1.133</v>
      </c>
      <c r="O106" s="5" t="n">
        <v>179.9</v>
      </c>
      <c r="P106" s="5" t="n">
        <v>2</v>
      </c>
      <c r="Q106" s="5" t="n">
        <v>0</v>
      </c>
      <c r="R106" s="5" t="n">
        <v>0</v>
      </c>
      <c r="S106" s="5" t="n">
        <v>1</v>
      </c>
      <c r="T106" s="5" t="n">
        <v>0</v>
      </c>
      <c r="U106" s="5" t="n">
        <v>3</v>
      </c>
      <c r="V106" s="5" t="n">
        <v>0</v>
      </c>
      <c r="W106" s="5" t="n"/>
      <c r="X106" s="5" t="inlineStr"/>
      <c r="Y106" s="5" t="n">
        <v>4878.9</v>
      </c>
      <c r="Z106" s="5" t="n">
        <v>1524.9</v>
      </c>
      <c r="AA106" s="5" t="n">
        <v>5011.4</v>
      </c>
      <c r="AB106" s="5" t="n">
        <v>1532.7</v>
      </c>
      <c r="AC106" s="5" t="inlineStr"/>
      <c r="AD106" s="5">
        <f>IF(AC106="","",IF(OR(AC106=F106,AND(AC106="crane_footing",F106="isolated_footing")),"yes","no"))</f>
        <v/>
      </c>
    </row>
    <row r="107">
      <c r="A107" s="5" t="n">
        <v>106</v>
      </c>
      <c r="B107" s="5" t="inlineStr">
        <is>
          <t>121</t>
        </is>
      </c>
      <c r="C107" s="5" t="inlineStr">
        <is>
          <t>nearest labels in its region</t>
        </is>
      </c>
      <c r="D107" s="5" t="inlineStr">
        <is>
          <t>solid</t>
        </is>
      </c>
      <c r="E107" s="5" t="n">
        <v>30</v>
      </c>
      <c r="F107" s="5" t="inlineStr">
        <is>
          <t>shear_wall</t>
        </is>
      </c>
      <c r="G107" s="5" t="inlineStr">
        <is>
          <t>label vote</t>
        </is>
      </c>
      <c r="H107" s="5" t="inlineStr">
        <is>
          <t>(none)</t>
        </is>
      </c>
      <c r="I107" s="5" t="inlineStr">
        <is>
          <t>no shear_wall type in its building has this size</t>
        </is>
      </c>
      <c r="J107" s="5" t="inlineStr"/>
      <c r="K107" s="5" t="n">
        <v>337</v>
      </c>
      <c r="L107" s="5" t="n">
        <v>25</v>
      </c>
      <c r="M107" s="10">
        <f>IF(AND(ISNUMBER(K107),L107&gt;0),K107/L107,"")</f>
        <v/>
      </c>
      <c r="N107" s="5" t="n">
        <v>0.852</v>
      </c>
      <c r="O107" s="5" t="n">
        <v>179.9</v>
      </c>
      <c r="P107" s="5" t="n">
        <v>2</v>
      </c>
      <c r="Q107" s="5" t="n">
        <v>0</v>
      </c>
      <c r="R107" s="5" t="n">
        <v>0</v>
      </c>
      <c r="S107" s="5" t="n">
        <v>1</v>
      </c>
      <c r="T107" s="5" t="n">
        <v>0</v>
      </c>
      <c r="U107" s="5" t="n">
        <v>2</v>
      </c>
      <c r="V107" s="5" t="n">
        <v>0</v>
      </c>
      <c r="W107" s="5" t="n"/>
      <c r="X107" s="5" t="inlineStr"/>
      <c r="Y107" s="5" t="n">
        <v>4771.8</v>
      </c>
      <c r="Z107" s="5" t="n">
        <v>1525.3</v>
      </c>
      <c r="AA107" s="5" t="n">
        <v>4871.2</v>
      </c>
      <c r="AB107" s="5" t="n">
        <v>1532.9</v>
      </c>
      <c r="AC107" s="5" t="inlineStr"/>
      <c r="AD107" s="5">
        <f>IF(AC107="","",IF(OR(AC107=F107,AND(AC107="crane_footing",F107="isolated_footing")),"yes","no"))</f>
        <v/>
      </c>
    </row>
    <row r="108">
      <c r="A108" s="5" t="n">
        <v>107</v>
      </c>
      <c r="B108" s="5" t="inlineStr">
        <is>
          <t>121</t>
        </is>
      </c>
      <c r="C108" s="5" t="inlineStr">
        <is>
          <t>nearest labels in its region</t>
        </is>
      </c>
      <c r="D108" s="5" t="inlineStr">
        <is>
          <t>solid</t>
        </is>
      </c>
      <c r="E108" s="5" t="n">
        <v>30</v>
      </c>
      <c r="F108" s="5" t="inlineStr">
        <is>
          <t>shear_wall</t>
        </is>
      </c>
      <c r="G108" s="5" t="inlineStr">
        <is>
          <t>label vote</t>
        </is>
      </c>
      <c r="H108" s="5" t="inlineStr">
        <is>
          <t>(none)</t>
        </is>
      </c>
      <c r="I108" s="5" t="inlineStr">
        <is>
          <t>no shear_wall type in its building has this size</t>
        </is>
      </c>
      <c r="J108" s="5" t="inlineStr"/>
      <c r="K108" s="5" t="n">
        <v>295</v>
      </c>
      <c r="L108" s="5" t="n">
        <v>25</v>
      </c>
      <c r="M108" s="10">
        <f>IF(AND(ISNUMBER(K108),L108&gt;0),K108/L108,"")</f>
        <v/>
      </c>
      <c r="N108" s="5" t="n">
        <v>0.751</v>
      </c>
      <c r="O108" s="5" t="n">
        <v>89.8</v>
      </c>
      <c r="P108" s="5" t="n">
        <v>2</v>
      </c>
      <c r="Q108" s="5" t="n">
        <v>0</v>
      </c>
      <c r="R108" s="5" t="n">
        <v>0</v>
      </c>
      <c r="S108" s="5" t="n">
        <v>1</v>
      </c>
      <c r="T108" s="5" t="n">
        <v>0</v>
      </c>
      <c r="U108" s="5" t="n">
        <v>2</v>
      </c>
      <c r="V108" s="5" t="n">
        <v>5</v>
      </c>
      <c r="W108" s="5" t="n"/>
      <c r="X108" s="5" t="inlineStr"/>
      <c r="Y108" s="5" t="n">
        <v>4871.2</v>
      </c>
      <c r="Z108" s="5" t="n">
        <v>1532.7</v>
      </c>
      <c r="AA108" s="5" t="n">
        <v>4879.1</v>
      </c>
      <c r="AB108" s="5" t="n">
        <v>1619.8</v>
      </c>
      <c r="AC108" s="5" t="inlineStr"/>
      <c r="AD108" s="5">
        <f>IF(AC108="","",IF(OR(AC108=F108,AND(AC108="crane_footing",F108="isolated_footing")),"yes","no"))</f>
        <v/>
      </c>
    </row>
    <row r="109">
      <c r="A109" s="5" t="n">
        <v>108</v>
      </c>
      <c r="B109" s="5" t="inlineStr">
        <is>
          <t>121</t>
        </is>
      </c>
      <c r="C109" s="5" t="inlineStr">
        <is>
          <t>nearest labels in its region</t>
        </is>
      </c>
      <c r="D109" s="5" t="inlineStr">
        <is>
          <t>solid</t>
        </is>
      </c>
      <c r="E109" s="5" t="n">
        <v>30</v>
      </c>
      <c r="F109" s="5" t="inlineStr">
        <is>
          <t>shear_wall</t>
        </is>
      </c>
      <c r="G109" s="5" t="inlineStr">
        <is>
          <t>label vote</t>
        </is>
      </c>
      <c r="H109" s="5" t="inlineStr">
        <is>
          <t>(none)</t>
        </is>
      </c>
      <c r="I109" s="5" t="inlineStr">
        <is>
          <t>no shear_wall type in its building has this size</t>
        </is>
      </c>
      <c r="J109" s="5" t="inlineStr"/>
      <c r="K109" s="5" t="n">
        <v>295</v>
      </c>
      <c r="L109" s="5" t="n">
        <v>25</v>
      </c>
      <c r="M109" s="10">
        <f>IF(AND(ISNUMBER(K109),L109&gt;0),K109/L109,"")</f>
        <v/>
      </c>
      <c r="N109" s="5" t="n">
        <v>0.747</v>
      </c>
      <c r="O109" s="5" t="n">
        <v>89.8</v>
      </c>
      <c r="P109" s="5" t="n">
        <v>2</v>
      </c>
      <c r="Q109" s="5" t="n">
        <v>0</v>
      </c>
      <c r="R109" s="5" t="n">
        <v>0</v>
      </c>
      <c r="S109" s="5" t="n">
        <v>1</v>
      </c>
      <c r="T109" s="5" t="n">
        <v>0</v>
      </c>
      <c r="U109" s="5" t="n">
        <v>5</v>
      </c>
      <c r="V109" s="5" t="n">
        <v>0</v>
      </c>
      <c r="W109" s="5" t="n"/>
      <c r="X109" s="5" t="inlineStr"/>
      <c r="Y109" s="5" t="n">
        <v>5011.4</v>
      </c>
      <c r="Z109" s="5" t="n">
        <v>1532.4</v>
      </c>
      <c r="AA109" s="5" t="n">
        <v>5019.2</v>
      </c>
      <c r="AB109" s="5" t="n">
        <v>1619.5</v>
      </c>
      <c r="AC109" s="5" t="inlineStr"/>
      <c r="AD109" s="5">
        <f>IF(AC109="","",IF(OR(AC109=F109,AND(AC109="crane_footing",F109="isolated_footing")),"yes","no"))</f>
        <v/>
      </c>
    </row>
    <row r="110">
      <c r="A110" s="5" t="n">
        <v>109</v>
      </c>
      <c r="B110" s="5" t="inlineStr">
        <is>
          <t>121</t>
        </is>
      </c>
      <c r="C110" s="5" t="inlineStr">
        <is>
          <t>nearest labels in its region</t>
        </is>
      </c>
      <c r="D110" s="5" t="inlineStr">
        <is>
          <t>solid</t>
        </is>
      </c>
      <c r="E110" s="5" t="n">
        <v>32</v>
      </c>
      <c r="F110" s="5" t="inlineStr">
        <is>
          <t>shear_wall</t>
        </is>
      </c>
      <c r="G110" s="5" t="inlineStr">
        <is>
          <t>label vote</t>
        </is>
      </c>
      <c r="H110" s="5" t="inlineStr">
        <is>
          <t>(none)</t>
        </is>
      </c>
      <c r="I110" s="5" t="inlineStr">
        <is>
          <t>no shear_wall type in its building has this size</t>
        </is>
      </c>
      <c r="J110" s="5" t="inlineStr"/>
      <c r="K110" s="5" t="n">
        <v>175</v>
      </c>
      <c r="L110" s="5" t="n">
        <v>25</v>
      </c>
      <c r="M110" s="10">
        <f>IF(AND(ISNUMBER(K110),L110&gt;0),K110/L110,"")</f>
        <v/>
      </c>
      <c r="N110" s="5" t="n">
        <v>0.445</v>
      </c>
      <c r="O110" s="5" t="n">
        <v>89.90000000000001</v>
      </c>
      <c r="P110" s="5" t="n">
        <v>1</v>
      </c>
      <c r="Q110" s="5" t="n">
        <v>0</v>
      </c>
      <c r="R110" s="5" t="n">
        <v>0</v>
      </c>
      <c r="S110" s="5" t="n">
        <v>1</v>
      </c>
      <c r="T110" s="5" t="n">
        <v>0</v>
      </c>
      <c r="U110" s="5" t="n">
        <v>1</v>
      </c>
      <c r="V110" s="5" t="n">
        <v>3</v>
      </c>
      <c r="W110" s="5" t="n"/>
      <c r="X110" s="5" t="inlineStr"/>
      <c r="Y110" s="5" t="n">
        <v>4764.3</v>
      </c>
      <c r="Z110" s="5" t="n">
        <v>1532.9</v>
      </c>
      <c r="AA110" s="5" t="n">
        <v>4771.9</v>
      </c>
      <c r="AB110" s="5" t="n">
        <v>1584.5</v>
      </c>
      <c r="AC110" s="5" t="inlineStr"/>
      <c r="AD110" s="5">
        <f>IF(AC110="","",IF(OR(AC110=F110,AND(AC110="crane_footing",F110="isolated_footing")),"yes","no"))</f>
        <v/>
      </c>
    </row>
    <row r="111">
      <c r="A111" s="5" t="n">
        <v>110</v>
      </c>
      <c r="B111" s="5" t="inlineStr">
        <is>
          <t>121</t>
        </is>
      </c>
      <c r="C111" s="5" t="inlineStr">
        <is>
          <t>own label</t>
        </is>
      </c>
      <c r="D111" s="5" t="inlineStr">
        <is>
          <t>solid</t>
        </is>
      </c>
      <c r="E111" s="5" t="n">
        <v>36</v>
      </c>
      <c r="F111" s="5" t="inlineStr">
        <is>
          <t>shear_wall</t>
        </is>
      </c>
      <c r="G111" s="5" t="inlineStr">
        <is>
          <t>label vote</t>
        </is>
      </c>
      <c r="H111" s="5" t="inlineStr">
        <is>
          <t>V1/121</t>
        </is>
      </c>
      <c r="I111" s="5" t="inlineStr">
        <is>
          <t>printed label</t>
        </is>
      </c>
      <c r="J111" s="5" t="inlineStr">
        <is>
          <t>V1/121/121</t>
        </is>
      </c>
      <c r="K111" s="5" t="n">
        <v>200</v>
      </c>
      <c r="L111" s="5" t="n">
        <v>25</v>
      </c>
      <c r="M111" s="10">
        <f>IF(AND(ISNUMBER(K111),L111&gt;0),K111/L111,"")</f>
        <v/>
      </c>
      <c r="N111" s="5" t="n">
        <v>0.501</v>
      </c>
      <c r="O111" s="5" t="n">
        <v>179.9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  <c r="U111" s="5" t="n">
        <v>2</v>
      </c>
      <c r="V111" s="5" t="n">
        <v>1</v>
      </c>
      <c r="W111" s="5" t="n"/>
      <c r="X111" s="5" t="inlineStr"/>
      <c r="Y111" s="5" t="n">
        <v>4517.5</v>
      </c>
      <c r="Z111" s="5" t="n">
        <v>1772.5</v>
      </c>
      <c r="AA111" s="5" t="n">
        <v>4576.6</v>
      </c>
      <c r="AB111" s="5" t="n">
        <v>1780</v>
      </c>
      <c r="AC111" s="5" t="inlineStr">
        <is>
          <t>shear_wall</t>
        </is>
      </c>
      <c r="AD111" s="5">
        <f>IF(AC111="","",IF(OR(AC111=F111,AND(AC111="crane_footing",F111="isolated_footing")),"yes","no"))</f>
        <v/>
      </c>
    </row>
    <row r="112">
      <c r="A112" s="5" t="n">
        <v>111</v>
      </c>
      <c r="B112" s="5" t="inlineStr">
        <is>
          <t>121</t>
        </is>
      </c>
      <c r="C112" s="5" t="inlineStr">
        <is>
          <t>own label</t>
        </is>
      </c>
      <c r="D112" s="5" t="inlineStr">
        <is>
          <t>solid</t>
        </is>
      </c>
      <c r="E112" s="5" t="n">
        <v>36</v>
      </c>
      <c r="F112" s="5" t="inlineStr">
        <is>
          <t>shear_wall</t>
        </is>
      </c>
      <c r="G112" s="5" t="inlineStr">
        <is>
          <t>label vote</t>
        </is>
      </c>
      <c r="H112" s="5" t="inlineStr">
        <is>
          <t>V1/121</t>
        </is>
      </c>
      <c r="I112" s="5" t="inlineStr">
        <is>
          <t>printed label</t>
        </is>
      </c>
      <c r="J112" s="5" t="inlineStr">
        <is>
          <t>V1/121/121</t>
        </is>
      </c>
      <c r="K112" s="5" t="n">
        <v>200</v>
      </c>
      <c r="L112" s="5" t="n">
        <v>25</v>
      </c>
      <c r="M112" s="10">
        <f>IF(AND(ISNUMBER(K112),L112&gt;0),K112/L112,"")</f>
        <v/>
      </c>
      <c r="N112" s="5" t="n">
        <v>0.5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  <c r="U112" s="5" t="n">
        <v>2</v>
      </c>
      <c r="V112" s="5" t="n">
        <v>1</v>
      </c>
      <c r="W112" s="5" t="n"/>
      <c r="X112" s="5" t="inlineStr"/>
      <c r="Y112" s="5" t="n">
        <v>4517.3</v>
      </c>
      <c r="Z112" s="5" t="n">
        <v>1656</v>
      </c>
      <c r="AA112" s="5" t="n">
        <v>4576.3</v>
      </c>
      <c r="AB112" s="5" t="n">
        <v>1663.4</v>
      </c>
      <c r="AC112" s="5" t="inlineStr">
        <is>
          <t>shear_wall</t>
        </is>
      </c>
      <c r="AD112" s="5">
        <f>IF(AC112="","",IF(OR(AC112=F112,AND(AC112="crane_footing",F112="isolated_footing")),"yes","no"))</f>
        <v/>
      </c>
    </row>
    <row r="113">
      <c r="A113" s="5" t="n">
        <v>112</v>
      </c>
      <c r="B113" s="5" t="inlineStr">
        <is>
          <t>121</t>
        </is>
      </c>
      <c r="C113" s="5" t="inlineStr">
        <is>
          <t>own label</t>
        </is>
      </c>
      <c r="D113" s="5" t="inlineStr">
        <is>
          <t>solid</t>
        </is>
      </c>
      <c r="E113" s="5" t="n">
        <v>36</v>
      </c>
      <c r="F113" s="5" t="inlineStr">
        <is>
          <t>shear_wall</t>
        </is>
      </c>
      <c r="G113" s="5" t="inlineStr">
        <is>
          <t>label vote</t>
        </is>
      </c>
      <c r="H113" s="5" t="inlineStr">
        <is>
          <t>V1/121</t>
        </is>
      </c>
      <c r="I113" s="5" t="inlineStr">
        <is>
          <t>printed label</t>
        </is>
      </c>
      <c r="J113" s="5" t="inlineStr">
        <is>
          <t>V1/121/121</t>
        </is>
      </c>
      <c r="K113" s="5" t="n">
        <v>200</v>
      </c>
      <c r="L113" s="5" t="n">
        <v>25</v>
      </c>
      <c r="M113" s="10">
        <f>IF(AND(ISNUMBER(K113),L113&gt;0),K113/L113,"")</f>
        <v/>
      </c>
      <c r="N113" s="5" t="n">
        <v>0.499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  <c r="U113" s="5" t="n">
        <v>1</v>
      </c>
      <c r="V113" s="5" t="n">
        <v>2</v>
      </c>
      <c r="W113" s="5" t="n"/>
      <c r="X113" s="5" t="inlineStr"/>
      <c r="Y113" s="5" t="n">
        <v>4519.6</v>
      </c>
      <c r="Z113" s="5" t="n">
        <v>1333.5</v>
      </c>
      <c r="AA113" s="5" t="n">
        <v>4578.6</v>
      </c>
      <c r="AB113" s="5" t="n">
        <v>1340.9</v>
      </c>
      <c r="AC113" s="5" t="inlineStr">
        <is>
          <t>shear_wall</t>
        </is>
      </c>
      <c r="AD113" s="5">
        <f>IF(AC113="","",IF(OR(AC113=F113,AND(AC113="crane_footing",F113="isolated_footing")),"yes","no"))</f>
        <v/>
      </c>
    </row>
    <row r="114">
      <c r="A114" s="5" t="n">
        <v>113</v>
      </c>
      <c r="B114" s="5" t="inlineStr">
        <is>
          <t>121</t>
        </is>
      </c>
      <c r="C114" s="5" t="inlineStr">
        <is>
          <t>own label</t>
        </is>
      </c>
      <c r="D114" s="5" t="inlineStr">
        <is>
          <t>solid</t>
        </is>
      </c>
      <c r="E114" s="5" t="n">
        <v>32</v>
      </c>
      <c r="F114" s="5" t="inlineStr">
        <is>
          <t>shear_wall</t>
        </is>
      </c>
      <c r="G114" s="5" t="inlineStr">
        <is>
          <t>label vote</t>
        </is>
      </c>
      <c r="H114" s="5" t="inlineStr">
        <is>
          <t>V2/121</t>
        </is>
      </c>
      <c r="I114" s="5" t="inlineStr">
        <is>
          <t>printed label</t>
        </is>
      </c>
      <c r="J114" s="5" t="inlineStr">
        <is>
          <t>V2/121/121</t>
        </is>
      </c>
      <c r="K114" s="5" t="n">
        <v>125</v>
      </c>
      <c r="L114" s="5" t="n">
        <v>25</v>
      </c>
      <c r="M114" s="10">
        <f>IF(AND(ISNUMBER(K114),L114&gt;0),K114/L114,"")</f>
        <v/>
      </c>
      <c r="N114" s="5" t="n">
        <v>0.312</v>
      </c>
      <c r="O114" s="5" t="n">
        <v>0</v>
      </c>
      <c r="P114" s="5" t="n">
        <v>1</v>
      </c>
      <c r="Q114" s="5" t="n">
        <v>1</v>
      </c>
      <c r="R114" s="5" t="n">
        <v>0</v>
      </c>
      <c r="S114" s="5" t="n">
        <v>0</v>
      </c>
      <c r="T114" s="5" t="n">
        <v>0</v>
      </c>
      <c r="U114" s="5" t="n">
        <v>0</v>
      </c>
      <c r="V114" s="5" t="n">
        <v>2</v>
      </c>
      <c r="W114" s="5" t="n"/>
      <c r="X114" s="5" t="inlineStr"/>
      <c r="Y114" s="5" t="n">
        <v>4749.1</v>
      </c>
      <c r="Z114" s="5" t="n">
        <v>1333.5</v>
      </c>
      <c r="AA114" s="5" t="n">
        <v>4786.1</v>
      </c>
      <c r="AB114" s="5" t="n">
        <v>1340.9</v>
      </c>
      <c r="AC114" s="5" t="inlineStr"/>
      <c r="AD114" s="5">
        <f>IF(AC114="","",IF(OR(AC114=F114,AND(AC114="crane_footing",F114="isolated_footing")),"yes","no"))</f>
        <v/>
      </c>
    </row>
    <row r="115">
      <c r="A115" s="5" t="n">
        <v>114</v>
      </c>
      <c r="B115" s="5" t="inlineStr">
        <is>
          <t>121</t>
        </is>
      </c>
      <c r="C115" s="5" t="inlineStr">
        <is>
          <t>own label (region says 122)</t>
        </is>
      </c>
      <c r="D115" s="5" t="inlineStr">
        <is>
          <t>solid</t>
        </is>
      </c>
      <c r="E115" s="5" t="n">
        <v>30</v>
      </c>
      <c r="F115" s="5" t="inlineStr">
        <is>
          <t>shear_wall</t>
        </is>
      </c>
      <c r="G115" s="5" t="inlineStr">
        <is>
          <t>label vote</t>
        </is>
      </c>
      <c r="H115" s="5" t="inlineStr">
        <is>
          <t>V2/121</t>
        </is>
      </c>
      <c r="I115" s="5" t="inlineStr">
        <is>
          <t>printed label</t>
        </is>
      </c>
      <c r="J115" s="5" t="inlineStr">
        <is>
          <t>V2/121/121</t>
        </is>
      </c>
      <c r="K115" s="5" t="n">
        <v>125</v>
      </c>
      <c r="L115" s="5" t="n">
        <v>25</v>
      </c>
      <c r="M115" s="10">
        <f>IF(AND(ISNUMBER(K115),L115&gt;0),K115/L115,"")</f>
        <v/>
      </c>
      <c r="N115" s="5" t="n">
        <v>0.312</v>
      </c>
      <c r="O115" s="5" t="n">
        <v>179.9</v>
      </c>
      <c r="P115" s="5" t="n">
        <v>2</v>
      </c>
      <c r="Q115" s="5" t="n">
        <v>1</v>
      </c>
      <c r="R115" s="5" t="n">
        <v>0</v>
      </c>
      <c r="S115" s="5" t="n">
        <v>0</v>
      </c>
      <c r="T115" s="5" t="n">
        <v>0</v>
      </c>
      <c r="U115" s="5" t="n">
        <v>1</v>
      </c>
      <c r="V115" s="5" t="n">
        <v>3</v>
      </c>
      <c r="W115" s="5" t="n"/>
      <c r="X115" s="5" t="inlineStr"/>
      <c r="Y115" s="5" t="n">
        <v>4750.8</v>
      </c>
      <c r="Z115" s="5" t="n">
        <v>2127.9</v>
      </c>
      <c r="AA115" s="5" t="n">
        <v>4787.7</v>
      </c>
      <c r="AB115" s="5" t="n">
        <v>2135.3</v>
      </c>
      <c r="AC115" s="5" t="inlineStr"/>
      <c r="AD115" s="5">
        <f>IF(AC115="","",IF(OR(AC115=F115,AND(AC115="crane_footing",F115="isolated_footing")),"yes","no"))</f>
        <v/>
      </c>
    </row>
    <row r="116">
      <c r="A116" s="5" t="n">
        <v>115</v>
      </c>
      <c r="B116" s="5" t="inlineStr">
        <is>
          <t>121</t>
        </is>
      </c>
      <c r="C116" s="5" t="inlineStr">
        <is>
          <t>own label (region says 122)</t>
        </is>
      </c>
      <c r="D116" s="5" t="inlineStr">
        <is>
          <t>solid</t>
        </is>
      </c>
      <c r="E116" s="5" t="n">
        <v>32</v>
      </c>
      <c r="F116" s="5" t="inlineStr">
        <is>
          <t>shear_wall</t>
        </is>
      </c>
      <c r="G116" s="5" t="inlineStr">
        <is>
          <t>label vote</t>
        </is>
      </c>
      <c r="H116" s="5" t="inlineStr">
        <is>
          <t>V2/121</t>
        </is>
      </c>
      <c r="I116" s="5" t="inlineStr">
        <is>
          <t>printed label</t>
        </is>
      </c>
      <c r="J116" s="5" t="inlineStr">
        <is>
          <t>V2/121/121</t>
        </is>
      </c>
      <c r="K116" s="5" t="n">
        <v>125</v>
      </c>
      <c r="L116" s="5" t="n">
        <v>25</v>
      </c>
      <c r="M116" s="10">
        <f>IF(AND(ISNUMBER(K116),L116&gt;0),K116/L116,"")</f>
        <v/>
      </c>
      <c r="N116" s="5" t="n">
        <v>0.312</v>
      </c>
      <c r="O116" s="5" t="n">
        <v>179.9</v>
      </c>
      <c r="P116" s="5" t="n">
        <v>1</v>
      </c>
      <c r="Q116" s="5" t="n">
        <v>1</v>
      </c>
      <c r="R116" s="5" t="n">
        <v>0</v>
      </c>
      <c r="S116" s="5" t="n">
        <v>0</v>
      </c>
      <c r="T116" s="5" t="n">
        <v>0</v>
      </c>
      <c r="U116" s="5" t="n">
        <v>3</v>
      </c>
      <c r="V116" s="5" t="n">
        <v>5</v>
      </c>
      <c r="W116" s="5" t="n"/>
      <c r="X116" s="5" t="inlineStr"/>
      <c r="Y116" s="5" t="n">
        <v>4518.3</v>
      </c>
      <c r="Z116" s="5" t="n">
        <v>2128.4</v>
      </c>
      <c r="AA116" s="5" t="n">
        <v>4555.3</v>
      </c>
      <c r="AB116" s="5" t="n">
        <v>2135.8</v>
      </c>
      <c r="AC116" s="5" t="inlineStr"/>
      <c r="AD116" s="5">
        <f>IF(AC116="","",IF(OR(AC116=F116,AND(AC116="crane_footing",F116="isolated_footing")),"yes","no"))</f>
        <v/>
      </c>
    </row>
    <row r="117">
      <c r="A117" s="5" t="n">
        <v>116</v>
      </c>
      <c r="B117" s="5" t="inlineStr">
        <is>
          <t>121</t>
        </is>
      </c>
      <c r="C117" s="5" t="inlineStr">
        <is>
          <t>own label</t>
        </is>
      </c>
      <c r="D117" s="5" t="inlineStr">
        <is>
          <t>solid</t>
        </is>
      </c>
      <c r="E117" s="5" t="n">
        <v>36</v>
      </c>
      <c r="F117" s="5" t="inlineStr">
        <is>
          <t>shear_wall</t>
        </is>
      </c>
      <c r="G117" s="5" t="inlineStr">
        <is>
          <t>label vote</t>
        </is>
      </c>
      <c r="H117" s="5" t="inlineStr">
        <is>
          <t>V3/121</t>
        </is>
      </c>
      <c r="I117" s="5" t="inlineStr">
        <is>
          <t>printed label</t>
        </is>
      </c>
      <c r="J117" s="5" t="inlineStr">
        <is>
          <t>V3/121/121</t>
        </is>
      </c>
      <c r="K117" s="5" t="n">
        <v>125</v>
      </c>
      <c r="L117" s="5" t="n">
        <v>25</v>
      </c>
      <c r="M117" s="10">
        <f>IF(AND(ISNUMBER(K117),L117&gt;0),K117/L117,"")</f>
        <v/>
      </c>
      <c r="N117" s="5" t="n">
        <v>0.314</v>
      </c>
      <c r="O117" s="5" t="n">
        <v>0</v>
      </c>
      <c r="P117" s="5" t="n">
        <v>0</v>
      </c>
      <c r="Q117" s="5" t="n">
        <v>1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3</v>
      </c>
      <c r="W117" s="5" t="n"/>
      <c r="X117" s="5" t="inlineStr"/>
      <c r="Y117" s="5" t="n">
        <v>4278</v>
      </c>
      <c r="Z117" s="5" t="n">
        <v>2128.9</v>
      </c>
      <c r="AA117" s="5" t="n">
        <v>4314.9</v>
      </c>
      <c r="AB117" s="5" t="n">
        <v>2136.4</v>
      </c>
      <c r="AC117" s="5" t="inlineStr">
        <is>
          <t>shear_wall</t>
        </is>
      </c>
      <c r="AD117" s="5">
        <f>IF(AC117="","",IF(OR(AC117=F117,AND(AC117="crane_footing",F117="isolated_footing")),"yes","no"))</f>
        <v/>
      </c>
    </row>
    <row r="118">
      <c r="A118" s="5" t="n">
        <v>117</v>
      </c>
      <c r="B118" s="5" t="inlineStr">
        <is>
          <t>121</t>
        </is>
      </c>
      <c r="C118" s="5" t="inlineStr">
        <is>
          <t>own label (region says 120)</t>
        </is>
      </c>
      <c r="D118" s="5" t="inlineStr">
        <is>
          <t>solid</t>
        </is>
      </c>
      <c r="E118" s="5" t="n">
        <v>36</v>
      </c>
      <c r="F118" s="5" t="inlineStr">
        <is>
          <t>shear_wall</t>
        </is>
      </c>
      <c r="G118" s="5" t="inlineStr">
        <is>
          <t>label vote</t>
        </is>
      </c>
      <c r="H118" s="5" t="inlineStr">
        <is>
          <t>V3/121</t>
        </is>
      </c>
      <c r="I118" s="5" t="inlineStr">
        <is>
          <t>printed label</t>
        </is>
      </c>
      <c r="J118" s="5" t="inlineStr">
        <is>
          <t>V3/121/121</t>
        </is>
      </c>
      <c r="K118" s="5" t="n">
        <v>125</v>
      </c>
      <c r="L118" s="5" t="n">
        <v>25</v>
      </c>
      <c r="M118" s="10">
        <f>IF(AND(ISNUMBER(K118),L118&gt;0),K118/L118,"")</f>
        <v/>
      </c>
      <c r="N118" s="5" t="n">
        <v>0.313</v>
      </c>
      <c r="O118" s="5" t="n">
        <v>0</v>
      </c>
      <c r="P118" s="5" t="n">
        <v>0</v>
      </c>
      <c r="Q118" s="5" t="n">
        <v>0</v>
      </c>
      <c r="R118" s="5" t="n">
        <v>0</v>
      </c>
      <c r="S118" s="5" t="n">
        <v>1</v>
      </c>
      <c r="T118" s="5" t="n">
        <v>0</v>
      </c>
      <c r="U118" s="5" t="n">
        <v>1</v>
      </c>
      <c r="V118" s="5" t="n">
        <v>2</v>
      </c>
      <c r="W118" s="5" t="n"/>
      <c r="X118" s="5" t="inlineStr"/>
      <c r="Y118" s="5" t="n">
        <v>4253.5</v>
      </c>
      <c r="Z118" s="5" t="n">
        <v>1333.6</v>
      </c>
      <c r="AA118" s="5" t="n">
        <v>4290.5</v>
      </c>
      <c r="AB118" s="5" t="n">
        <v>1341</v>
      </c>
      <c r="AC118" s="5" t="inlineStr">
        <is>
          <t>shear_wall</t>
        </is>
      </c>
      <c r="AD118" s="5">
        <f>IF(AC118="","",IF(OR(AC118=F118,AND(AC118="crane_footing",F118="isolated_footing")),"yes","no"))</f>
        <v/>
      </c>
    </row>
    <row r="119">
      <c r="A119" s="5" t="n">
        <v>118</v>
      </c>
      <c r="B119" s="5" t="inlineStr">
        <is>
          <t>121</t>
        </is>
      </c>
      <c r="C119" s="5" t="inlineStr">
        <is>
          <t>own label</t>
        </is>
      </c>
      <c r="D119" s="5" t="inlineStr">
        <is>
          <t>solid</t>
        </is>
      </c>
      <c r="E119" s="5" t="n">
        <v>36</v>
      </c>
      <c r="F119" s="5" t="inlineStr">
        <is>
          <t>shear_wall</t>
        </is>
      </c>
      <c r="G119" s="5" t="inlineStr">
        <is>
          <t>label vote</t>
        </is>
      </c>
      <c r="H119" s="5" t="inlineStr">
        <is>
          <t>V3/121</t>
        </is>
      </c>
      <c r="I119" s="5" t="inlineStr">
        <is>
          <t>printed label</t>
        </is>
      </c>
      <c r="J119" s="5" t="inlineStr">
        <is>
          <t>V3/121/121</t>
        </is>
      </c>
      <c r="K119" s="5" t="n">
        <v>125</v>
      </c>
      <c r="L119" s="5" t="n">
        <v>25</v>
      </c>
      <c r="M119" s="10">
        <f>IF(AND(ISNUMBER(K119),L119&gt;0),K119/L119,"")</f>
        <v/>
      </c>
      <c r="N119" s="5" t="n">
        <v>0.308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1</v>
      </c>
      <c r="T119" s="5" t="n">
        <v>0</v>
      </c>
      <c r="U119" s="5" t="n">
        <v>0</v>
      </c>
      <c r="V119" s="5" t="n">
        <v>2</v>
      </c>
      <c r="W119" s="5" t="n"/>
      <c r="X119" s="5" t="inlineStr"/>
      <c r="Y119" s="5" t="n">
        <v>4277.3</v>
      </c>
      <c r="Z119" s="5" t="n">
        <v>1560.9</v>
      </c>
      <c r="AA119" s="5" t="n">
        <v>4314.2</v>
      </c>
      <c r="AB119" s="5" t="n">
        <v>1568.2</v>
      </c>
      <c r="AC119" s="5" t="inlineStr">
        <is>
          <t>shear_wall</t>
        </is>
      </c>
      <c r="AD119" s="5">
        <f>IF(AC119="","",IF(OR(AC119=F119,AND(AC119="crane_footing",F119="isolated_footing")),"yes","no"))</f>
        <v/>
      </c>
    </row>
    <row r="120">
      <c r="A120" s="5" t="n">
        <v>119</v>
      </c>
      <c r="B120" s="5" t="inlineStr">
        <is>
          <t>121</t>
        </is>
      </c>
      <c r="C120" s="5" t="inlineStr">
        <is>
          <t>own label</t>
        </is>
      </c>
      <c r="D120" s="5" t="inlineStr">
        <is>
          <t>solid</t>
        </is>
      </c>
      <c r="E120" s="5" t="n">
        <v>36</v>
      </c>
      <c r="F120" s="5" t="inlineStr">
        <is>
          <t>shear_wall</t>
        </is>
      </c>
      <c r="G120" s="5" t="inlineStr">
        <is>
          <t>label vote</t>
        </is>
      </c>
      <c r="H120" s="5" t="inlineStr">
        <is>
          <t>V3/121</t>
        </is>
      </c>
      <c r="I120" s="5" t="inlineStr">
        <is>
          <t>printed label</t>
        </is>
      </c>
      <c r="J120" s="5" t="inlineStr">
        <is>
          <t>V3/121/121</t>
        </is>
      </c>
      <c r="K120" s="5" t="n">
        <v>125</v>
      </c>
      <c r="L120" s="5" t="n">
        <v>25</v>
      </c>
      <c r="M120" s="10">
        <f>IF(AND(ISNUMBER(K120),L120&gt;0),K120/L120,"")</f>
        <v/>
      </c>
      <c r="N120" s="5" t="n">
        <v>0.307</v>
      </c>
      <c r="O120" s="5" t="n">
        <v>0</v>
      </c>
      <c r="P120" s="5" t="n">
        <v>0</v>
      </c>
      <c r="Q120" s="5" t="n">
        <v>1</v>
      </c>
      <c r="R120" s="5" t="n">
        <v>0</v>
      </c>
      <c r="S120" s="5" t="n">
        <v>0</v>
      </c>
      <c r="T120" s="5" t="n">
        <v>0</v>
      </c>
      <c r="U120" s="5" t="n">
        <v>1</v>
      </c>
      <c r="V120" s="5" t="n">
        <v>2</v>
      </c>
      <c r="W120" s="5" t="n"/>
      <c r="X120" s="5" t="inlineStr"/>
      <c r="Y120" s="5" t="n">
        <v>4277.9</v>
      </c>
      <c r="Z120" s="5" t="n">
        <v>2019.2</v>
      </c>
      <c r="AA120" s="5" t="n">
        <v>4314.8</v>
      </c>
      <c r="AB120" s="5" t="n">
        <v>2026.4</v>
      </c>
      <c r="AC120" s="5" t="inlineStr">
        <is>
          <t>shear_wall</t>
        </is>
      </c>
      <c r="AD120" s="5">
        <f>IF(AC120="","",IF(OR(AC120=F120,AND(AC120="crane_footing",F120="isolated_footing")),"yes","no"))</f>
        <v/>
      </c>
    </row>
    <row r="121">
      <c r="A121" s="5" t="n">
        <v>120</v>
      </c>
      <c r="B121" s="5" t="inlineStr">
        <is>
          <t>121</t>
        </is>
      </c>
      <c r="C121" s="5" t="inlineStr">
        <is>
          <t>own label</t>
        </is>
      </c>
      <c r="D121" s="5" t="inlineStr">
        <is>
          <t>solid</t>
        </is>
      </c>
      <c r="E121" s="5" t="n">
        <v>36</v>
      </c>
      <c r="F121" s="5" t="inlineStr">
        <is>
          <t>shear_wall</t>
        </is>
      </c>
      <c r="G121" s="5" t="inlineStr">
        <is>
          <t>label vote</t>
        </is>
      </c>
      <c r="H121" s="5" t="inlineStr">
        <is>
          <t>V3/121</t>
        </is>
      </c>
      <c r="I121" s="5" t="inlineStr">
        <is>
          <t>printed label</t>
        </is>
      </c>
      <c r="J121" s="5" t="inlineStr">
        <is>
          <t>V3/121/121</t>
        </is>
      </c>
      <c r="K121" s="5" t="n">
        <v>125</v>
      </c>
      <c r="L121" s="5" t="n">
        <v>25</v>
      </c>
      <c r="M121" s="10">
        <f>IF(AND(ISNUMBER(K121),L121&gt;0),K121/L121,"")</f>
        <v/>
      </c>
      <c r="N121" s="5" t="n">
        <v>0.307</v>
      </c>
      <c r="O121" s="5" t="n">
        <v>0</v>
      </c>
      <c r="P121" s="5" t="n">
        <v>0</v>
      </c>
      <c r="Q121" s="5" t="n">
        <v>1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2</v>
      </c>
      <c r="W121" s="5" t="n"/>
      <c r="X121" s="5" t="inlineStr"/>
      <c r="Y121" s="5" t="n">
        <v>4277.6</v>
      </c>
      <c r="Z121" s="5" t="n">
        <v>1791</v>
      </c>
      <c r="AA121" s="5" t="n">
        <v>4314.5</v>
      </c>
      <c r="AB121" s="5" t="n">
        <v>1798.2</v>
      </c>
      <c r="AC121" s="5" t="inlineStr">
        <is>
          <t>shear_wall</t>
        </is>
      </c>
      <c r="AD121" s="5">
        <f>IF(AC121="","",IF(OR(AC121=F121,AND(AC121="crane_footing",F121="isolated_footing")),"yes","no"))</f>
        <v/>
      </c>
    </row>
    <row r="122">
      <c r="A122" s="5" t="n">
        <v>121</v>
      </c>
      <c r="B122" s="5" t="inlineStr">
        <is>
          <t>121</t>
        </is>
      </c>
      <c r="C122" s="5" t="inlineStr">
        <is>
          <t>own label</t>
        </is>
      </c>
      <c r="D122" s="5" t="inlineStr">
        <is>
          <t>solid</t>
        </is>
      </c>
      <c r="E122" s="5" t="n">
        <v>30</v>
      </c>
      <c r="F122" s="5" t="inlineStr">
        <is>
          <t>shear_wall</t>
        </is>
      </c>
      <c r="G122" s="5" t="inlineStr">
        <is>
          <t>label vote</t>
        </is>
      </c>
      <c r="H122" s="5" t="inlineStr">
        <is>
          <t>V6/121</t>
        </is>
      </c>
      <c r="I122" s="5" t="inlineStr">
        <is>
          <t>printed label</t>
        </is>
      </c>
      <c r="J122" s="5" t="inlineStr">
        <is>
          <t>V6/121/121</t>
        </is>
      </c>
      <c r="K122" s="5" t="n">
        <v>250</v>
      </c>
      <c r="L122" s="5" t="n">
        <v>25</v>
      </c>
      <c r="M122" s="10">
        <f>IF(AND(ISNUMBER(K122),L122&gt;0),K122/L122,"")</f>
        <v/>
      </c>
      <c r="N122" s="5" t="n">
        <v>0.624</v>
      </c>
      <c r="O122" s="5" t="n">
        <v>89.90000000000001</v>
      </c>
      <c r="P122" s="5" t="n">
        <v>2</v>
      </c>
      <c r="Q122" s="5" t="n">
        <v>1</v>
      </c>
      <c r="R122" s="5" t="n">
        <v>0</v>
      </c>
      <c r="S122" s="5" t="n">
        <v>0</v>
      </c>
      <c r="T122" s="5" t="n">
        <v>0</v>
      </c>
      <c r="U122" s="5" t="n">
        <v>1</v>
      </c>
      <c r="V122" s="5" t="n">
        <v>1</v>
      </c>
      <c r="W122" s="5" t="n"/>
      <c r="X122" s="5" t="inlineStr"/>
      <c r="Y122" s="5" t="n">
        <v>4764.7</v>
      </c>
      <c r="Z122" s="5" t="n">
        <v>1707.2</v>
      </c>
      <c r="AA122" s="5" t="n">
        <v>4772.2</v>
      </c>
      <c r="AB122" s="5" t="n">
        <v>1781</v>
      </c>
      <c r="AC122" s="5" t="inlineStr"/>
      <c r="AD122" s="5">
        <f>IF(AC122="","",IF(OR(AC122=F122,AND(AC122="crane_footing",F122="isolated_footing")),"yes","no"))</f>
        <v/>
      </c>
    </row>
    <row r="123">
      <c r="A123" s="5" t="n">
        <v>122</v>
      </c>
      <c r="B123" s="5" t="inlineStr">
        <is>
          <t>121</t>
        </is>
      </c>
      <c r="C123" s="5" t="inlineStr">
        <is>
          <t>own label</t>
        </is>
      </c>
      <c r="D123" s="5" t="inlineStr">
        <is>
          <t>solid</t>
        </is>
      </c>
      <c r="E123" s="5" t="n">
        <v>36</v>
      </c>
      <c r="F123" s="5" t="inlineStr">
        <is>
          <t>shear_wall</t>
        </is>
      </c>
      <c r="G123" s="5" t="inlineStr">
        <is>
          <t>label vote</t>
        </is>
      </c>
      <c r="H123" s="5" t="inlineStr">
        <is>
          <t>V8/121</t>
        </is>
      </c>
      <c r="I123" s="5" t="inlineStr">
        <is>
          <t>printed label</t>
        </is>
      </c>
      <c r="J123" s="5" t="inlineStr">
        <is>
          <t>V8/121/121</t>
        </is>
      </c>
      <c r="K123" s="5" t="n">
        <v>250</v>
      </c>
      <c r="L123" s="5" t="n">
        <v>25</v>
      </c>
      <c r="M123" s="10">
        <f>IF(AND(ISNUMBER(K123),L123&gt;0),K123/L123,"")</f>
        <v/>
      </c>
      <c r="N123" s="5" t="n">
        <v>0.622</v>
      </c>
      <c r="O123" s="5" t="n">
        <v>179.9</v>
      </c>
      <c r="P123" s="5" t="n">
        <v>0</v>
      </c>
      <c r="Q123" s="5" t="n">
        <v>1</v>
      </c>
      <c r="R123" s="5" t="n">
        <v>0</v>
      </c>
      <c r="S123" s="5" t="n">
        <v>0</v>
      </c>
      <c r="T123" s="5" t="n">
        <v>0</v>
      </c>
      <c r="U123" s="5" t="n">
        <v>4</v>
      </c>
      <c r="V123" s="5" t="n">
        <v>1</v>
      </c>
      <c r="W123" s="5" t="n"/>
      <c r="X123" s="5" t="inlineStr"/>
      <c r="Y123" s="5" t="n">
        <v>4517.9</v>
      </c>
      <c r="Z123" s="5" t="n">
        <v>1940.7</v>
      </c>
      <c r="AA123" s="5" t="n">
        <v>4591.7</v>
      </c>
      <c r="AB123" s="5" t="n">
        <v>1948.3</v>
      </c>
      <c r="AC123" s="5" t="inlineStr">
        <is>
          <t>shear_wall</t>
        </is>
      </c>
      <c r="AD123" s="5">
        <f>IF(AC123="","",IF(OR(AC123=F123,AND(AC123="crane_footing",F123="isolated_footing")),"yes","no"))</f>
        <v/>
      </c>
    </row>
    <row r="124">
      <c r="A124" s="5" t="n">
        <v>123</v>
      </c>
      <c r="B124" s="5" t="inlineStr">
        <is>
          <t>121</t>
        </is>
      </c>
      <c r="C124" s="5" t="inlineStr">
        <is>
          <t>own label</t>
        </is>
      </c>
      <c r="D124" s="5" t="inlineStr">
        <is>
          <t>solid</t>
        </is>
      </c>
      <c r="E124" s="5" t="n">
        <v>30</v>
      </c>
      <c r="F124" s="5" t="inlineStr">
        <is>
          <t>shear_wall</t>
        </is>
      </c>
      <c r="G124" s="5" t="inlineStr">
        <is>
          <t>label vote</t>
        </is>
      </c>
      <c r="H124" s="5" t="inlineStr">
        <is>
          <t>V9/121</t>
        </is>
      </c>
      <c r="I124" s="5" t="inlineStr">
        <is>
          <t>printed label</t>
        </is>
      </c>
      <c r="J124" s="5" t="inlineStr">
        <is>
          <t>V9/121/121</t>
        </is>
      </c>
      <c r="K124" s="5" t="n">
        <v>200</v>
      </c>
      <c r="L124" s="5" t="n">
        <v>25</v>
      </c>
      <c r="M124" s="10">
        <f>IF(AND(ISNUMBER(K124),L124&gt;0),K124/L124,"")</f>
        <v/>
      </c>
      <c r="N124" s="5" t="n">
        <v>0.501</v>
      </c>
      <c r="O124" s="5" t="n">
        <v>179.9</v>
      </c>
      <c r="P124" s="5" t="n">
        <v>2</v>
      </c>
      <c r="Q124" s="5" t="n">
        <v>1</v>
      </c>
      <c r="R124" s="5" t="n">
        <v>0</v>
      </c>
      <c r="S124" s="5" t="n">
        <v>0</v>
      </c>
      <c r="T124" s="5" t="n">
        <v>0</v>
      </c>
      <c r="U124" s="5" t="n">
        <v>2</v>
      </c>
      <c r="V124" s="5" t="n">
        <v>0</v>
      </c>
      <c r="W124" s="5" t="n"/>
      <c r="X124" s="5" t="inlineStr"/>
      <c r="Y124" s="5" t="n">
        <v>4960.4</v>
      </c>
      <c r="Z124" s="5" t="n">
        <v>1771.5</v>
      </c>
      <c r="AA124" s="5" t="n">
        <v>5019.5</v>
      </c>
      <c r="AB124" s="5" t="n">
        <v>1779</v>
      </c>
      <c r="AC124" s="5" t="inlineStr"/>
      <c r="AD124" s="5">
        <f>IF(AC124="","",IF(OR(AC124=F124,AND(AC124="crane_footing",F124="isolated_footing")),"yes","no"))</f>
        <v/>
      </c>
    </row>
    <row r="125">
      <c r="A125" s="5" t="n">
        <v>124</v>
      </c>
      <c r="B125" s="5" t="inlineStr">
        <is>
          <t>121</t>
        </is>
      </c>
      <c r="C125" s="5" t="inlineStr">
        <is>
          <t>nearest labels in its region</t>
        </is>
      </c>
      <c r="D125" s="5" t="inlineStr">
        <is>
          <t>solid</t>
        </is>
      </c>
      <c r="E125" s="5" t="n">
        <v>33</v>
      </c>
      <c r="F125" s="5" t="inlineStr">
        <is>
          <t>retaining_wall</t>
        </is>
      </c>
      <c r="G125" s="5" t="inlineStr">
        <is>
          <t>label vote</t>
        </is>
      </c>
      <c r="H125" s="5" t="inlineStr">
        <is>
          <t>VP20</t>
        </is>
      </c>
      <c r="I125" s="5" t="inlineStr">
        <is>
          <t>inferred: the only retaining_wall type with this size</t>
        </is>
      </c>
      <c r="J125" s="5" t="inlineStr"/>
      <c r="K125" s="5" t="n">
        <v>2719</v>
      </c>
      <c r="L125" s="5" t="n">
        <v>20</v>
      </c>
      <c r="M125" s="10">
        <f>IF(AND(ISNUMBER(K125),L125&gt;0),K125/L125,"")</f>
        <v/>
      </c>
      <c r="N125" s="5" t="n">
        <v>5.403</v>
      </c>
      <c r="O125" s="5" t="n">
        <v>90</v>
      </c>
      <c r="P125" s="5" t="n">
        <v>0</v>
      </c>
      <c r="Q125" s="5" t="n">
        <v>0</v>
      </c>
      <c r="R125" s="5" t="n">
        <v>1</v>
      </c>
      <c r="S125" s="5" t="n">
        <v>0</v>
      </c>
      <c r="T125" s="5" t="n">
        <v>0</v>
      </c>
      <c r="U125" s="5" t="n">
        <v>46</v>
      </c>
      <c r="V125" s="5" t="n">
        <v>7</v>
      </c>
      <c r="W125" s="5" t="n"/>
      <c r="X125" s="5" t="inlineStr"/>
      <c r="Y125" s="5" t="n">
        <v>4158.5</v>
      </c>
      <c r="Z125" s="5" t="n">
        <v>1333.7</v>
      </c>
      <c r="AA125" s="5" t="n">
        <v>4164.9</v>
      </c>
      <c r="AB125" s="5" t="n">
        <v>2136.6</v>
      </c>
      <c r="AC125" s="5" t="inlineStr">
        <is>
          <t>retaining_wall</t>
        </is>
      </c>
      <c r="AD125" s="5">
        <f>IF(AC125="","",IF(OR(AC125=F125,AND(AC125="crane_footing",F125="isolated_footing")),"yes","no"))</f>
        <v/>
      </c>
    </row>
    <row r="126">
      <c r="A126" s="5" t="n">
        <v>125</v>
      </c>
      <c r="B126" s="5" t="inlineStr">
        <is>
          <t>121</t>
        </is>
      </c>
      <c r="C126" s="5" t="inlineStr">
        <is>
          <t>nearest labels in its region</t>
        </is>
      </c>
      <c r="D126" s="5" t="inlineStr">
        <is>
          <t>solid</t>
        </is>
      </c>
      <c r="E126" s="5" t="n">
        <v>33</v>
      </c>
      <c r="F126" s="5" t="inlineStr">
        <is>
          <t>retaining_wall</t>
        </is>
      </c>
      <c r="G126" s="5" t="inlineStr">
        <is>
          <t>label vote</t>
        </is>
      </c>
      <c r="H126" s="5" t="inlineStr">
        <is>
          <t>VP20</t>
        </is>
      </c>
      <c r="I126" s="5" t="inlineStr">
        <is>
          <t>inferred: the only retaining_wall type with this size</t>
        </is>
      </c>
      <c r="J126" s="5" t="inlineStr"/>
      <c r="K126" s="5" t="n">
        <v>885</v>
      </c>
      <c r="L126" s="5" t="n">
        <v>20</v>
      </c>
      <c r="M126" s="10">
        <f>IF(AND(ISNUMBER(K126),L126&gt;0),K126/L126,"")</f>
        <v/>
      </c>
      <c r="N126" s="5" t="n">
        <v>1.769</v>
      </c>
      <c r="O126" s="5" t="n">
        <v>179.9</v>
      </c>
      <c r="P126" s="5" t="n">
        <v>1</v>
      </c>
      <c r="Q126" s="5" t="n">
        <v>0</v>
      </c>
      <c r="R126" s="5" t="n">
        <v>1</v>
      </c>
      <c r="S126" s="5" t="n">
        <v>0</v>
      </c>
      <c r="T126" s="5" t="n">
        <v>0</v>
      </c>
      <c r="U126" s="5" t="n">
        <v>3</v>
      </c>
      <c r="V126" s="5" t="n">
        <v>16</v>
      </c>
      <c r="W126" s="5" t="n"/>
      <c r="X126" s="5" t="inlineStr"/>
      <c r="Y126" s="5" t="n">
        <v>4511.3</v>
      </c>
      <c r="Z126" s="5" t="n">
        <v>2033.3</v>
      </c>
      <c r="AA126" s="5" t="n">
        <v>4772.6</v>
      </c>
      <c r="AB126" s="5" t="n">
        <v>2039.8</v>
      </c>
      <c r="AC126" s="5" t="inlineStr"/>
      <c r="AD126" s="5">
        <f>IF(AC126="","",IF(OR(AC126=F126,AND(AC126="crane_footing",F126="isolated_footing")),"yes","no"))</f>
        <v/>
      </c>
    </row>
    <row r="127">
      <c r="A127" s="5" t="n">
        <v>126</v>
      </c>
      <c r="B127" s="5" t="inlineStr">
        <is>
          <t>121</t>
        </is>
      </c>
      <c r="C127" s="5" t="inlineStr">
        <is>
          <t>nearest labels in its region</t>
        </is>
      </c>
      <c r="D127" s="5" t="inlineStr">
        <is>
          <t>solid</t>
        </is>
      </c>
      <c r="E127" s="5" t="n">
        <v>28</v>
      </c>
      <c r="F127" s="5" t="inlineStr">
        <is>
          <t>retaining_wall</t>
        </is>
      </c>
      <c r="G127" s="5" t="inlineStr">
        <is>
          <t>label vote</t>
        </is>
      </c>
      <c r="H127" s="5" t="inlineStr">
        <is>
          <t>VP20</t>
        </is>
      </c>
      <c r="I127" s="5" t="inlineStr">
        <is>
          <t>inferred: the only retaining_wall type with this size</t>
        </is>
      </c>
      <c r="J127" s="5" t="inlineStr"/>
      <c r="K127" s="5" t="n">
        <v>1205</v>
      </c>
      <c r="L127" s="5" t="n">
        <v>20</v>
      </c>
      <c r="M127" s="10">
        <f>IF(AND(ISNUMBER(K127),L127&gt;0),K127/L127,"")</f>
        <v/>
      </c>
      <c r="N127" s="5" t="n">
        <v>2.395</v>
      </c>
      <c r="O127" s="5" t="n">
        <v>89.90000000000001</v>
      </c>
      <c r="P127" s="5" t="n">
        <v>6</v>
      </c>
      <c r="Q127" s="5" t="n">
        <v>0</v>
      </c>
      <c r="R127" s="5" t="n">
        <v>0</v>
      </c>
      <c r="S127" s="5" t="n">
        <v>0</v>
      </c>
      <c r="T127" s="5" t="n">
        <v>1</v>
      </c>
      <c r="U127" s="5" t="n">
        <v>16</v>
      </c>
      <c r="V127" s="5" t="n">
        <v>4</v>
      </c>
      <c r="W127" s="5" t="n"/>
      <c r="X127" s="5" t="inlineStr"/>
      <c r="Y127" s="5" t="n">
        <v>4766.3</v>
      </c>
      <c r="Z127" s="5" t="n">
        <v>1779.4</v>
      </c>
      <c r="AA127" s="5" t="n">
        <v>4772.9</v>
      </c>
      <c r="AB127" s="5" t="n">
        <v>2135.2</v>
      </c>
      <c r="AC127" s="5" t="inlineStr"/>
      <c r="AD127" s="5">
        <f>IF(AC127="","",IF(OR(AC127=F127,AND(AC127="crane_footing",F127="isolated_footing")),"yes","no"))</f>
        <v/>
      </c>
    </row>
    <row r="128">
      <c r="A128" s="5" t="n">
        <v>127</v>
      </c>
      <c r="B128" s="5" t="inlineStr">
        <is>
          <t>121</t>
        </is>
      </c>
      <c r="C128" s="5" t="inlineStr">
        <is>
          <t>nearest labels in its region</t>
        </is>
      </c>
      <c r="D128" s="5" t="inlineStr">
        <is>
          <t>solid</t>
        </is>
      </c>
      <c r="E128" s="5" t="n">
        <v>28</v>
      </c>
      <c r="F128" s="5" t="inlineStr">
        <is>
          <t>retaining_wall</t>
        </is>
      </c>
      <c r="G128" s="5" t="inlineStr">
        <is>
          <t>label vote</t>
        </is>
      </c>
      <c r="H128" s="5" t="inlineStr">
        <is>
          <t>VP20</t>
        </is>
      </c>
      <c r="I128" s="5" t="inlineStr">
        <is>
          <t>inferred: the only retaining_wall type with this size</t>
        </is>
      </c>
      <c r="J128" s="5" t="inlineStr"/>
      <c r="K128" s="5" t="n">
        <v>817</v>
      </c>
      <c r="L128" s="5" t="n">
        <v>20</v>
      </c>
      <c r="M128" s="10">
        <f>IF(AND(ISNUMBER(K128),L128&gt;0),K128/L128,"")</f>
        <v/>
      </c>
      <c r="N128" s="5" t="n">
        <v>1.638</v>
      </c>
      <c r="O128" s="5" t="n">
        <v>179.9</v>
      </c>
      <c r="P128" s="5" t="n">
        <v>4</v>
      </c>
      <c r="Q128" s="5" t="n">
        <v>0</v>
      </c>
      <c r="R128" s="5" t="n">
        <v>0</v>
      </c>
      <c r="S128" s="5" t="n">
        <v>0</v>
      </c>
      <c r="T128" s="5" t="n">
        <v>1</v>
      </c>
      <c r="U128" s="5" t="n">
        <v>11</v>
      </c>
      <c r="V128" s="5" t="n">
        <v>0</v>
      </c>
      <c r="W128" s="5" t="n"/>
      <c r="X128" s="5" t="inlineStr"/>
      <c r="Y128" s="5" t="n">
        <v>4772.2</v>
      </c>
      <c r="Z128" s="5" t="n">
        <v>1773</v>
      </c>
      <c r="AA128" s="5" t="n">
        <v>5013.4</v>
      </c>
      <c r="AB128" s="5" t="n">
        <v>1779.4</v>
      </c>
      <c r="AC128" s="5" t="inlineStr"/>
      <c r="AD128" s="5">
        <f>IF(AC128="","",IF(OR(AC128=F128,AND(AC128="crane_footing",F128="isolated_footing")),"yes","no"))</f>
        <v/>
      </c>
    </row>
    <row r="129">
      <c r="A129" s="5" t="n">
        <v>128</v>
      </c>
      <c r="B129" s="5" t="inlineStr">
        <is>
          <t>121</t>
        </is>
      </c>
      <c r="C129" s="5" t="inlineStr">
        <is>
          <t>nearest labels in its region</t>
        </is>
      </c>
      <c r="D129" s="5" t="inlineStr">
        <is>
          <t>solid</t>
        </is>
      </c>
      <c r="E129" s="5" t="n">
        <v>28</v>
      </c>
      <c r="F129" s="5" t="inlineStr">
        <is>
          <t>retaining_wall</t>
        </is>
      </c>
      <c r="G129" s="5" t="inlineStr">
        <is>
          <t>label vote</t>
        </is>
      </c>
      <c r="H129" s="5" t="inlineStr">
        <is>
          <t>VP20</t>
        </is>
      </c>
      <c r="I129" s="5" t="inlineStr">
        <is>
          <t>inferred: the only retaining_wall type with this size</t>
        </is>
      </c>
      <c r="J129" s="5" t="inlineStr"/>
      <c r="K129" s="5" t="n">
        <v>418</v>
      </c>
      <c r="L129" s="5" t="n">
        <v>20</v>
      </c>
      <c r="M129" s="10">
        <f>IF(AND(ISNUMBER(K129),L129&gt;0),K129/L129,"")</f>
        <v/>
      </c>
      <c r="N129" s="5" t="n">
        <v>0.835</v>
      </c>
      <c r="O129" s="5" t="n">
        <v>89.90000000000001</v>
      </c>
      <c r="P129" s="5" t="n">
        <v>2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4</v>
      </c>
      <c r="V129" s="5" t="n">
        <v>0</v>
      </c>
      <c r="W129" s="5" t="n"/>
      <c r="X129" s="5" t="inlineStr"/>
      <c r="Y129" s="5" t="n">
        <v>5013.2</v>
      </c>
      <c r="Z129" s="5" t="n">
        <v>1649.6</v>
      </c>
      <c r="AA129" s="5" t="n">
        <v>5019.4</v>
      </c>
      <c r="AB129" s="5" t="n">
        <v>1773</v>
      </c>
      <c r="AC129" s="5" t="inlineStr"/>
      <c r="AD129" s="5">
        <f>IF(AC129="","",IF(OR(AC129=F129,AND(AC129="crane_footing",F129="isolated_footing")),"yes","no"))</f>
        <v/>
      </c>
    </row>
    <row r="130">
      <c r="A130" s="5" t="n">
        <v>129</v>
      </c>
      <c r="B130" s="5" t="inlineStr">
        <is>
          <t>121</t>
        </is>
      </c>
      <c r="C130" s="5" t="inlineStr">
        <is>
          <t>nearest labels in its region</t>
        </is>
      </c>
      <c r="D130" s="5" t="inlineStr">
        <is>
          <t>outline</t>
        </is>
      </c>
      <c r="E130" s="5" t="n">
        <v>18</v>
      </c>
      <c r="F130" s="5" t="inlineStr">
        <is>
          <t>isolated_footing</t>
        </is>
      </c>
      <c r="G130" s="5" t="inlineStr">
        <is>
          <t>label vote</t>
        </is>
      </c>
      <c r="H130" s="5" t="inlineStr">
        <is>
          <t>(none)</t>
        </is>
      </c>
      <c r="I130" s="5" t="inlineStr">
        <is>
          <t>no isolated_footing type has this size</t>
        </is>
      </c>
      <c r="J130" s="5" t="inlineStr"/>
      <c r="K130" s="5" t="n">
        <v>200</v>
      </c>
      <c r="L130" s="5" t="n">
        <v>150</v>
      </c>
      <c r="M130" s="10">
        <f>IF(AND(ISNUMBER(K130),L130&gt;0),K130/L130,"")</f>
        <v/>
      </c>
      <c r="N130" s="5" t="n">
        <v>3.002</v>
      </c>
      <c r="O130" s="5" t="n">
        <v>89.90000000000001</v>
      </c>
      <c r="P130" s="5" t="n">
        <v>4</v>
      </c>
      <c r="Q130" s="5" t="n">
        <v>1</v>
      </c>
      <c r="R130" s="5" t="n">
        <v>0</v>
      </c>
      <c r="S130" s="5" t="n">
        <v>0</v>
      </c>
      <c r="T130" s="5" t="n">
        <v>0</v>
      </c>
      <c r="U130" s="5" t="n">
        <v>6</v>
      </c>
      <c r="V130" s="5" t="n">
        <v>0</v>
      </c>
      <c r="W130" s="5" t="n"/>
      <c r="X130" s="5" t="inlineStr"/>
      <c r="Y130" s="5" t="n">
        <v>4722.1</v>
      </c>
      <c r="Z130" s="5" t="n">
        <v>1828.4</v>
      </c>
      <c r="AA130" s="5" t="n">
        <v>4766.5</v>
      </c>
      <c r="AB130" s="5" t="n">
        <v>1887.5</v>
      </c>
      <c r="AC130" s="5" t="inlineStr"/>
      <c r="AD130" s="5">
        <f>IF(AC130="","",IF(OR(AC130=F130,AND(AC130="crane_footing",F130="isolated_footing")),"yes","no"))</f>
        <v/>
      </c>
    </row>
    <row r="131">
      <c r="A131" s="5" t="n">
        <v>130</v>
      </c>
      <c r="B131" s="5" t="inlineStr">
        <is>
          <t>121</t>
        </is>
      </c>
      <c r="C131" s="5" t="inlineStr">
        <is>
          <t>own label</t>
        </is>
      </c>
      <c r="D131" s="5" t="inlineStr">
        <is>
          <t>outline</t>
        </is>
      </c>
      <c r="E131" s="5" t="n">
        <v>17</v>
      </c>
      <c r="F131" s="5" t="inlineStr">
        <is>
          <t>isolated_footing</t>
        </is>
      </c>
      <c r="G131" s="5" t="inlineStr">
        <is>
          <t>label vote</t>
        </is>
      </c>
      <c r="H131" s="5" t="inlineStr">
        <is>
          <t>S0</t>
        </is>
      </c>
      <c r="I131" s="5" t="inlineStr">
        <is>
          <t>printed label</t>
        </is>
      </c>
      <c r="J131" s="5" t="inlineStr">
        <is>
          <t>S0-121</t>
        </is>
      </c>
      <c r="K131" s="5" t="n">
        <v>350</v>
      </c>
      <c r="L131" s="5" t="n">
        <v>280</v>
      </c>
      <c r="M131" s="10">
        <f>IF(AND(ISNUMBER(K131),L131&gt;0),K131/L131,"")</f>
        <v/>
      </c>
      <c r="N131" s="5" t="n">
        <v>9.802</v>
      </c>
      <c r="O131" s="5" t="n">
        <v>179.9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1</v>
      </c>
      <c r="U131" s="5" t="n">
        <v>25</v>
      </c>
      <c r="V131" s="5" t="n">
        <v>2</v>
      </c>
      <c r="W131" s="5" t="n"/>
      <c r="X131" s="5" t="inlineStr"/>
      <c r="Y131" s="5" t="n">
        <v>4555.1</v>
      </c>
      <c r="Z131" s="5" t="n">
        <v>1488.1</v>
      </c>
      <c r="AA131" s="5" t="n">
        <v>4658.6</v>
      </c>
      <c r="AB131" s="5" t="n">
        <v>1571</v>
      </c>
      <c r="AC131" s="5" t="inlineStr">
        <is>
          <t>isolated_footing</t>
        </is>
      </c>
      <c r="AD131" s="5">
        <f>IF(AC131="","",IF(OR(AC131=F131,AND(AC131="crane_footing",F131="isolated_footing")),"yes","no"))</f>
        <v/>
      </c>
    </row>
    <row r="132">
      <c r="A132" s="5" t="n">
        <v>131</v>
      </c>
      <c r="B132" s="5" t="inlineStr">
        <is>
          <t>121</t>
        </is>
      </c>
      <c r="C132" s="5" t="inlineStr">
        <is>
          <t>own label</t>
        </is>
      </c>
      <c r="D132" s="5" t="inlineStr">
        <is>
          <t>outline</t>
        </is>
      </c>
      <c r="E132" s="5" t="n">
        <v>17</v>
      </c>
      <c r="F132" s="5" t="inlineStr">
        <is>
          <t>isolated_footing</t>
        </is>
      </c>
      <c r="G132" s="5" t="inlineStr">
        <is>
          <t>label vote</t>
        </is>
      </c>
      <c r="H132" s="5" t="inlineStr">
        <is>
          <t>S2</t>
        </is>
      </c>
      <c r="I132" s="5" t="inlineStr">
        <is>
          <t>printed label</t>
        </is>
      </c>
      <c r="J132" s="5" t="inlineStr">
        <is>
          <t>S2-121121</t>
        </is>
      </c>
      <c r="K132" s="5" t="n">
        <v>350</v>
      </c>
      <c r="L132" s="5" t="n">
        <v>200</v>
      </c>
      <c r="M132" s="10">
        <f>IF(AND(ISNUMBER(K132),L132&gt;0),K132/L132,"")</f>
        <v/>
      </c>
      <c r="N132" s="5" t="n">
        <v>7.004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1</v>
      </c>
      <c r="U132" s="5" t="n">
        <v>24</v>
      </c>
      <c r="V132" s="5" t="n">
        <v>2</v>
      </c>
      <c r="W132" s="5" t="n"/>
      <c r="X132" s="5" t="inlineStr"/>
      <c r="Y132" s="5" t="n">
        <v>4244.6</v>
      </c>
      <c r="Z132" s="5" t="n">
        <v>1993.2</v>
      </c>
      <c r="AA132" s="5" t="n">
        <v>4348.1</v>
      </c>
      <c r="AB132" s="5" t="n">
        <v>2052.4</v>
      </c>
      <c r="AC132" s="5" t="inlineStr">
        <is>
          <t>isolated_footing</t>
        </is>
      </c>
      <c r="AD132" s="5">
        <f>IF(AC132="","",IF(OR(AC132=F132,AND(AC132="crane_footing",F132="isolated_footing")),"yes","no"))</f>
        <v/>
      </c>
    </row>
    <row r="133">
      <c r="A133" s="5" t="n">
        <v>132</v>
      </c>
      <c r="B133" s="5" t="inlineStr">
        <is>
          <t>121</t>
        </is>
      </c>
      <c r="C133" s="5" t="inlineStr">
        <is>
          <t>own label</t>
        </is>
      </c>
      <c r="D133" s="5" t="inlineStr">
        <is>
          <t>outline</t>
        </is>
      </c>
      <c r="E133" s="5" t="n">
        <v>17</v>
      </c>
      <c r="F133" s="5" t="inlineStr">
        <is>
          <t>isolated_footing</t>
        </is>
      </c>
      <c r="G133" s="5" t="inlineStr">
        <is>
          <t>label vote</t>
        </is>
      </c>
      <c r="H133" s="5" t="inlineStr">
        <is>
          <t>S2</t>
        </is>
      </c>
      <c r="I133" s="5" t="inlineStr">
        <is>
          <t>printed label</t>
        </is>
      </c>
      <c r="J133" s="5" t="inlineStr">
        <is>
          <t>S2-121121</t>
        </is>
      </c>
      <c r="K133" s="5" t="n">
        <v>350</v>
      </c>
      <c r="L133" s="5" t="n">
        <v>200</v>
      </c>
      <c r="M133" s="10">
        <f>IF(AND(ISNUMBER(K133),L133&gt;0),K133/L133,"")</f>
        <v/>
      </c>
      <c r="N133" s="5" t="n">
        <v>6.999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1</v>
      </c>
      <c r="U133" s="5" t="n">
        <v>40</v>
      </c>
      <c r="V133" s="5" t="n">
        <v>2</v>
      </c>
      <c r="W133" s="5" t="n"/>
      <c r="X133" s="5" t="inlineStr"/>
      <c r="Y133" s="5" t="n">
        <v>4244.4</v>
      </c>
      <c r="Z133" s="5" t="n">
        <v>1765</v>
      </c>
      <c r="AA133" s="5" t="n">
        <v>4347.7</v>
      </c>
      <c r="AB133" s="5" t="n">
        <v>1824.2</v>
      </c>
      <c r="AC133" s="5" t="inlineStr">
        <is>
          <t>isolated_footing</t>
        </is>
      </c>
      <c r="AD133" s="5">
        <f>IF(AC133="","",IF(OR(AC133=F133,AND(AC133="crane_footing",F133="isolated_footing")),"yes","no"))</f>
        <v/>
      </c>
    </row>
    <row r="134">
      <c r="A134" s="5" t="n">
        <v>133</v>
      </c>
      <c r="B134" s="5" t="inlineStr">
        <is>
          <t>121</t>
        </is>
      </c>
      <c r="C134" s="5" t="inlineStr">
        <is>
          <t>own label</t>
        </is>
      </c>
      <c r="D134" s="5" t="inlineStr">
        <is>
          <t>outline</t>
        </is>
      </c>
      <c r="E134" s="5" t="n">
        <v>16</v>
      </c>
      <c r="F134" s="5" t="inlineStr">
        <is>
          <t>isolated_footing</t>
        </is>
      </c>
      <c r="G134" s="5" t="inlineStr">
        <is>
          <t>label vote</t>
        </is>
      </c>
      <c r="H134" s="5" t="inlineStr">
        <is>
          <t>S5</t>
        </is>
      </c>
      <c r="I134" s="5" t="inlineStr">
        <is>
          <t>printed label</t>
        </is>
      </c>
      <c r="J134" s="5" t="inlineStr">
        <is>
          <t>S5-121121</t>
        </is>
      </c>
      <c r="K134" s="5" t="n">
        <v>450</v>
      </c>
      <c r="L134" s="5" t="n">
        <v>400</v>
      </c>
      <c r="M134" s="10">
        <f>IF(AND(ISNUMBER(K134),L134&gt;0),K134/L134,"")</f>
        <v/>
      </c>
      <c r="N134" s="5" t="n">
        <v>18</v>
      </c>
      <c r="O134" s="5" t="n">
        <v>89.90000000000001</v>
      </c>
      <c r="P134" s="5" t="n">
        <v>3</v>
      </c>
      <c r="Q134" s="5" t="n">
        <v>0</v>
      </c>
      <c r="R134" s="5" t="n">
        <v>0</v>
      </c>
      <c r="S134" s="5" t="n">
        <v>0</v>
      </c>
      <c r="T134" s="5" t="n">
        <v>1</v>
      </c>
      <c r="U134" s="5" t="n">
        <v>58</v>
      </c>
      <c r="V134" s="5" t="n">
        <v>2</v>
      </c>
      <c r="W134" s="5" t="n"/>
      <c r="X134" s="5" t="inlineStr"/>
      <c r="Y134" s="5" t="n">
        <v>4709.7</v>
      </c>
      <c r="Z134" s="5" t="n">
        <v>1903.4</v>
      </c>
      <c r="AA134" s="5" t="n">
        <v>4828.1</v>
      </c>
      <c r="AB134" s="5" t="n">
        <v>2036.5</v>
      </c>
      <c r="AC134" s="5" t="inlineStr">
        <is>
          <t>isolated_footing</t>
        </is>
      </c>
      <c r="AD134" s="5">
        <f>IF(AC134="","",IF(OR(AC134=F134,AND(AC134="crane_footing",F134="isolated_footing")),"yes","no"))</f>
        <v/>
      </c>
    </row>
    <row r="135">
      <c r="A135" s="5" t="n">
        <v>134</v>
      </c>
      <c r="B135" s="5" t="inlineStr">
        <is>
          <t>121</t>
        </is>
      </c>
      <c r="C135" s="5" t="inlineStr">
        <is>
          <t>own label</t>
        </is>
      </c>
      <c r="D135" s="5" t="inlineStr">
        <is>
          <t>outline</t>
        </is>
      </c>
      <c r="E135" s="5" t="n">
        <v>16</v>
      </c>
      <c r="F135" s="5" t="inlineStr">
        <is>
          <t>isolated_footing</t>
        </is>
      </c>
      <c r="G135" s="5" t="inlineStr">
        <is>
          <t>label vote</t>
        </is>
      </c>
      <c r="H135" s="5" t="inlineStr">
        <is>
          <t>S7</t>
        </is>
      </c>
      <c r="I135" s="5" t="inlineStr">
        <is>
          <t>printed label</t>
        </is>
      </c>
      <c r="J135" s="5" t="inlineStr">
        <is>
          <t>S7-121</t>
        </is>
      </c>
      <c r="K135" s="5" t="n">
        <v>450</v>
      </c>
      <c r="L135" s="5" t="n">
        <v>350</v>
      </c>
      <c r="M135" s="10">
        <f>IF(AND(ISNUMBER(K135),L135&gt;0),K135/L135,"")</f>
        <v/>
      </c>
      <c r="N135" s="5" t="n">
        <v>15.76</v>
      </c>
      <c r="O135" s="5" t="n">
        <v>0.1</v>
      </c>
      <c r="P135" s="5" t="n">
        <v>3</v>
      </c>
      <c r="Q135" s="5" t="n">
        <v>0</v>
      </c>
      <c r="R135" s="5" t="n">
        <v>0</v>
      </c>
      <c r="S135" s="5" t="n">
        <v>0</v>
      </c>
      <c r="T135" s="5" t="n">
        <v>1</v>
      </c>
      <c r="U135" s="5" t="n">
        <v>31</v>
      </c>
      <c r="V135" s="5" t="n">
        <v>0</v>
      </c>
      <c r="W135" s="5" t="n"/>
      <c r="X135" s="5" t="inlineStr"/>
      <c r="Y135" s="5" t="n">
        <v>4923.4</v>
      </c>
      <c r="Z135" s="5" t="n">
        <v>1722</v>
      </c>
      <c r="AA135" s="5" t="n">
        <v>5056.4</v>
      </c>
      <c r="AB135" s="5" t="n">
        <v>1825.5</v>
      </c>
      <c r="AC135" s="5" t="inlineStr">
        <is>
          <t>isolated_footing</t>
        </is>
      </c>
      <c r="AD135" s="5">
        <f>IF(AC135="","",IF(OR(AC135=F135,AND(AC135="crane_footing",F135="isolated_footing")),"yes","no"))</f>
        <v/>
      </c>
    </row>
    <row r="136">
      <c r="A136" s="5" t="n">
        <v>135</v>
      </c>
      <c r="B136" s="5" t="inlineStr">
        <is>
          <t>121</t>
        </is>
      </c>
      <c r="C136" s="5" t="inlineStr">
        <is>
          <t>own label</t>
        </is>
      </c>
      <c r="D136" s="5" t="inlineStr">
        <is>
          <t>outline</t>
        </is>
      </c>
      <c r="E136" s="5" t="n">
        <v>16</v>
      </c>
      <c r="F136" s="5" t="inlineStr">
        <is>
          <t>isolated_footing</t>
        </is>
      </c>
      <c r="G136" s="5" t="inlineStr">
        <is>
          <t>label vote</t>
        </is>
      </c>
      <c r="H136" s="5" t="inlineStr">
        <is>
          <t>S7</t>
        </is>
      </c>
      <c r="I136" s="5" t="inlineStr">
        <is>
          <t>printed label</t>
        </is>
      </c>
      <c r="J136" s="5" t="inlineStr">
        <is>
          <t>S7-121</t>
        </is>
      </c>
      <c r="K136" s="5" t="n">
        <v>450</v>
      </c>
      <c r="L136" s="5" t="n">
        <v>350</v>
      </c>
      <c r="M136" s="10">
        <f>IF(AND(ISNUMBER(K136),L136&gt;0),K136/L136,"")</f>
        <v/>
      </c>
      <c r="N136" s="5" t="n">
        <v>15.759</v>
      </c>
      <c r="O136" s="5" t="n">
        <v>89.90000000000001</v>
      </c>
      <c r="P136" s="5" t="n">
        <v>3</v>
      </c>
      <c r="Q136" s="5" t="n">
        <v>0</v>
      </c>
      <c r="R136" s="5" t="n">
        <v>0</v>
      </c>
      <c r="S136" s="5" t="n">
        <v>0</v>
      </c>
      <c r="T136" s="5" t="n">
        <v>1</v>
      </c>
      <c r="U136" s="5" t="n">
        <v>45</v>
      </c>
      <c r="V136" s="5" t="n">
        <v>1</v>
      </c>
      <c r="W136" s="5" t="n"/>
      <c r="X136" s="5" t="inlineStr"/>
      <c r="Y136" s="5" t="n">
        <v>4716.6</v>
      </c>
      <c r="Z136" s="5" t="n">
        <v>1677.5</v>
      </c>
      <c r="AA136" s="5" t="n">
        <v>4820.2</v>
      </c>
      <c r="AB136" s="5" t="n">
        <v>1810.7</v>
      </c>
      <c r="AC136" s="5" t="inlineStr">
        <is>
          <t>isolated_footing</t>
        </is>
      </c>
      <c r="AD136" s="5">
        <f>IF(AC136="","",IF(OR(AC136=F136,AND(AC136="crane_footing",F136="isolated_footing")),"yes","no"))</f>
        <v/>
      </c>
    </row>
    <row r="137">
      <c r="A137" s="5" t="n">
        <v>136</v>
      </c>
      <c r="B137" s="5" t="inlineStr">
        <is>
          <t>121</t>
        </is>
      </c>
      <c r="C137" s="5" t="inlineStr">
        <is>
          <t>own label</t>
        </is>
      </c>
      <c r="D137" s="5" t="inlineStr">
        <is>
          <t>outline</t>
        </is>
      </c>
      <c r="E137" s="5" t="n">
        <v>16</v>
      </c>
      <c r="F137" s="5" t="inlineStr">
        <is>
          <t>isolated_footing</t>
        </is>
      </c>
      <c r="G137" s="5" t="inlineStr">
        <is>
          <t>label vote</t>
        </is>
      </c>
      <c r="H137" s="5" t="inlineStr">
        <is>
          <t>S7</t>
        </is>
      </c>
      <c r="I137" s="5" t="inlineStr">
        <is>
          <t>printed label</t>
        </is>
      </c>
      <c r="J137" s="5" t="inlineStr">
        <is>
          <t>S7-121</t>
        </is>
      </c>
      <c r="K137" s="5" t="n">
        <v>450</v>
      </c>
      <c r="L137" s="5" t="n">
        <v>350</v>
      </c>
      <c r="M137" s="10">
        <f>IF(AND(ISNUMBER(K137),L137&gt;0),K137/L137,"")</f>
        <v/>
      </c>
      <c r="N137" s="5" t="n">
        <v>15.755</v>
      </c>
      <c r="O137" s="5" t="n">
        <v>0.1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1</v>
      </c>
      <c r="U137" s="5" t="n">
        <v>37</v>
      </c>
      <c r="V137" s="5" t="n">
        <v>3</v>
      </c>
      <c r="W137" s="5" t="n"/>
      <c r="X137" s="5" t="inlineStr"/>
      <c r="Y137" s="5" t="n">
        <v>4480.6</v>
      </c>
      <c r="Z137" s="5" t="n">
        <v>1724.5</v>
      </c>
      <c r="AA137" s="5" t="n">
        <v>4613.6</v>
      </c>
      <c r="AB137" s="5" t="n">
        <v>1827.9</v>
      </c>
      <c r="AC137" s="5" t="inlineStr">
        <is>
          <t>isolated_footing</t>
        </is>
      </c>
      <c r="AD137" s="5">
        <f>IF(AC137="","",IF(OR(AC137=F137,AND(AC137="crane_footing",F137="isolated_footing")),"yes","no"))</f>
        <v/>
      </c>
    </row>
    <row r="138">
      <c r="A138" s="5" t="n">
        <v>137</v>
      </c>
      <c r="B138" s="5" t="inlineStr">
        <is>
          <t>121</t>
        </is>
      </c>
      <c r="C138" s="5" t="inlineStr">
        <is>
          <t>nearest labels</t>
        </is>
      </c>
      <c r="D138" s="5" t="inlineStr">
        <is>
          <t>outline</t>
        </is>
      </c>
      <c r="E138" s="5" t="n">
        <v>15</v>
      </c>
      <c r="F138" s="5" t="inlineStr">
        <is>
          <t>combined_footing</t>
        </is>
      </c>
      <c r="G138" s="5" t="inlineStr">
        <is>
          <t>label vote</t>
        </is>
      </c>
      <c r="H138" s="5" t="inlineStr">
        <is>
          <t>SC1</t>
        </is>
      </c>
      <c r="I138" s="5" t="inlineStr">
        <is>
          <t>printed label</t>
        </is>
      </c>
      <c r="J138" s="5" t="inlineStr">
        <is>
          <t>SC1-</t>
        </is>
      </c>
      <c r="K138" s="5" t="n">
        <v>500</v>
      </c>
      <c r="L138" s="5" t="n">
        <v>350</v>
      </c>
      <c r="M138" s="10">
        <f>IF(AND(ISNUMBER(K138),L138&gt;0),K138/L138,"")</f>
        <v/>
      </c>
      <c r="N138" s="5" t="n">
        <v>17.505</v>
      </c>
      <c r="O138" s="5" t="n">
        <v>0</v>
      </c>
      <c r="P138" s="5" t="n">
        <v>3</v>
      </c>
      <c r="Q138" s="5" t="n">
        <v>0</v>
      </c>
      <c r="R138" s="5" t="n">
        <v>0</v>
      </c>
      <c r="S138" s="5" t="n">
        <v>0</v>
      </c>
      <c r="T138" s="5" t="n">
        <v>2</v>
      </c>
      <c r="U138" s="5" t="n">
        <v>60</v>
      </c>
      <c r="V138" s="5" t="n">
        <v>3</v>
      </c>
      <c r="W138" s="5" t="n"/>
      <c r="X138" s="5" t="inlineStr"/>
      <c r="Y138" s="5" t="n">
        <v>4693.8</v>
      </c>
      <c r="Z138" s="5" t="n">
        <v>1278.8</v>
      </c>
      <c r="AA138" s="5" t="n">
        <v>4841.4</v>
      </c>
      <c r="AB138" s="5" t="n">
        <v>1382.3</v>
      </c>
      <c r="AC138" s="5" t="inlineStr">
        <is>
          <t>combined_footing</t>
        </is>
      </c>
      <c r="AD138" s="5">
        <f>IF(AC138="","",IF(OR(AC138=F138,AND(AC138="crane_footing",F138="isolated_footing")),"yes","no"))</f>
        <v/>
      </c>
    </row>
    <row r="139">
      <c r="A139" s="5" t="n">
        <v>138</v>
      </c>
      <c r="B139" s="5" t="inlineStr">
        <is>
          <t>121</t>
        </is>
      </c>
      <c r="C139" s="5" t="inlineStr">
        <is>
          <t>nearest labels in its region</t>
        </is>
      </c>
      <c r="D139" s="5" t="inlineStr">
        <is>
          <t>outline</t>
        </is>
      </c>
      <c r="E139" s="5" t="n">
        <v>15</v>
      </c>
      <c r="F139" s="5" t="inlineStr">
        <is>
          <t>combined_footing</t>
        </is>
      </c>
      <c r="G139" s="5" t="inlineStr">
        <is>
          <t>label vote</t>
        </is>
      </c>
      <c r="H139" s="5" t="inlineStr">
        <is>
          <t>SC1</t>
        </is>
      </c>
      <c r="I139" s="5" t="inlineStr">
        <is>
          <t>printed label</t>
        </is>
      </c>
      <c r="J139" s="5" t="inlineStr">
        <is>
          <t>SC1-</t>
        </is>
      </c>
      <c r="K139" s="5" t="n">
        <v>500</v>
      </c>
      <c r="L139" s="5" t="n">
        <v>350</v>
      </c>
      <c r="M139" s="10">
        <f>IF(AND(ISNUMBER(K139),L139&gt;0),K139/L139,"")</f>
        <v/>
      </c>
      <c r="N139" s="5" t="n">
        <v>17.504</v>
      </c>
      <c r="O139" s="5" t="n">
        <v>0</v>
      </c>
      <c r="P139" s="5" t="n">
        <v>2</v>
      </c>
      <c r="Q139" s="5" t="n">
        <v>0</v>
      </c>
      <c r="R139" s="5" t="n">
        <v>0</v>
      </c>
      <c r="S139" s="5" t="n">
        <v>0</v>
      </c>
      <c r="T139" s="5" t="n">
        <v>2</v>
      </c>
      <c r="U139" s="5" t="n">
        <v>91</v>
      </c>
      <c r="V139" s="5" t="n">
        <v>6</v>
      </c>
      <c r="W139" s="5" t="n"/>
      <c r="X139" s="5" t="inlineStr"/>
      <c r="Y139" s="5" t="n">
        <v>4247.9</v>
      </c>
      <c r="Z139" s="5" t="n">
        <v>2084.4</v>
      </c>
      <c r="AA139" s="5" t="n">
        <v>4395.7</v>
      </c>
      <c r="AB139" s="5" t="n">
        <v>2187.9</v>
      </c>
      <c r="AC139" s="5" t="inlineStr">
        <is>
          <t>combined_footing</t>
        </is>
      </c>
      <c r="AD139" s="5">
        <f>IF(AC139="","",IF(OR(AC139=F139,AND(AC139="crane_footing",F139="isolated_footing")),"yes","no"))</f>
        <v/>
      </c>
    </row>
    <row r="140">
      <c r="A140" s="5" t="n">
        <v>139</v>
      </c>
      <c r="B140" s="5" t="inlineStr">
        <is>
          <t>121</t>
        </is>
      </c>
      <c r="C140" s="5" t="inlineStr">
        <is>
          <t>own label</t>
        </is>
      </c>
      <c r="D140" s="5" t="inlineStr">
        <is>
          <t>outline</t>
        </is>
      </c>
      <c r="E140" s="5" t="n">
        <v>15</v>
      </c>
      <c r="F140" s="5" t="inlineStr">
        <is>
          <t>combined_footing</t>
        </is>
      </c>
      <c r="G140" s="5" t="inlineStr">
        <is>
          <t>label vote</t>
        </is>
      </c>
      <c r="H140" s="5" t="inlineStr">
        <is>
          <t>SC4</t>
        </is>
      </c>
      <c r="I140" s="5" t="inlineStr">
        <is>
          <t>printed label</t>
        </is>
      </c>
      <c r="J140" s="5" t="inlineStr">
        <is>
          <t>SC4-121</t>
        </is>
      </c>
      <c r="K140" s="5" t="n">
        <v>450</v>
      </c>
      <c r="L140" s="5" t="n">
        <v>450</v>
      </c>
      <c r="M140" s="10">
        <f>IF(AND(ISNUMBER(K140),L140&gt;0),K140/L140,"")</f>
        <v/>
      </c>
      <c r="N140" s="5" t="n">
        <v>20.252</v>
      </c>
      <c r="O140" s="5" t="n">
        <v>0.1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2</v>
      </c>
      <c r="U140" s="5" t="n">
        <v>58</v>
      </c>
      <c r="V140" s="5" t="n">
        <v>3</v>
      </c>
      <c r="W140" s="5" t="n"/>
      <c r="X140" s="5" t="inlineStr"/>
      <c r="Y140" s="5" t="n">
        <v>4501.3</v>
      </c>
      <c r="Z140" s="5" t="n">
        <v>1573.1</v>
      </c>
      <c r="AA140" s="5" t="n">
        <v>4634.2</v>
      </c>
      <c r="AB140" s="5" t="n">
        <v>1706.1</v>
      </c>
      <c r="AC140" s="5" t="inlineStr">
        <is>
          <t>combined_footing</t>
        </is>
      </c>
      <c r="AD140" s="5">
        <f>IF(AC140="","",IF(OR(AC140=F140,AND(AC140="crane_footing",F140="isolated_footing")),"yes","no"))</f>
        <v/>
      </c>
    </row>
    <row r="141">
      <c r="A141" s="5" t="n">
        <v>140</v>
      </c>
      <c r="B141" s="5" t="inlineStr">
        <is>
          <t>121</t>
        </is>
      </c>
      <c r="C141" s="5" t="inlineStr">
        <is>
          <t>nearest labels in its region</t>
        </is>
      </c>
      <c r="D141" s="5" t="inlineStr">
        <is>
          <t>band</t>
        </is>
      </c>
      <c r="E141" s="5" t="n">
        <v>6</v>
      </c>
      <c r="F141" s="5" t="inlineStr">
        <is>
          <t>strip_footing</t>
        </is>
      </c>
      <c r="G141" s="5" t="inlineStr">
        <is>
          <t>label vote</t>
        </is>
      </c>
      <c r="H141" s="5" t="inlineStr">
        <is>
          <t>SF1</t>
        </is>
      </c>
      <c r="I141" s="5" t="inlineStr">
        <is>
          <t>printed label</t>
        </is>
      </c>
      <c r="J141" s="5" t="inlineStr">
        <is>
          <t>VP25/SF1-80x25</t>
        </is>
      </c>
      <c r="K141" s="5" t="n">
        <v>3877</v>
      </c>
      <c r="L141" s="5" t="n">
        <v>80</v>
      </c>
      <c r="M141" s="10">
        <f>IF(AND(ISNUMBER(K141),L141&gt;0),K141/L141,"")</f>
        <v/>
      </c>
      <c r="N141" s="5" t="n">
        <v>31.013</v>
      </c>
      <c r="O141" s="5" t="n">
        <v>90</v>
      </c>
      <c r="P141" s="5" t="n">
        <v>2</v>
      </c>
      <c r="Q141" s="5" t="n">
        <v>0</v>
      </c>
      <c r="R141" s="5" t="n">
        <v>0</v>
      </c>
      <c r="S141" s="5" t="n">
        <v>0</v>
      </c>
      <c r="T141" s="5" t="n">
        <v>2</v>
      </c>
      <c r="U141" s="5" t="n">
        <v>59</v>
      </c>
      <c r="V141" s="5" t="n">
        <v>8</v>
      </c>
      <c r="W141" s="5" t="n">
        <v>37.76</v>
      </c>
      <c r="X141" s="5" t="inlineStr"/>
      <c r="Y141" s="5" t="n">
        <v>4149.2</v>
      </c>
      <c r="Z141" s="5" t="n">
        <v>1583.5</v>
      </c>
      <c r="AA141" s="5" t="n">
        <v>4173.6</v>
      </c>
      <c r="AB141" s="5" t="n">
        <v>2728.1</v>
      </c>
      <c r="AC141" s="5" t="inlineStr"/>
      <c r="AD141" s="5">
        <f>IF(AC141="","",IF(OR(AC141=F141,AND(AC141="crane_footing",F141="isolated_footing")),"yes","no"))</f>
        <v/>
      </c>
    </row>
    <row r="142">
      <c r="A142" s="5" t="n">
        <v>141</v>
      </c>
      <c r="B142" s="5" t="inlineStr">
        <is>
          <t>121</t>
        </is>
      </c>
      <c r="C142" s="5" t="inlineStr">
        <is>
          <t>nearest labels in its region</t>
        </is>
      </c>
      <c r="D142" s="5" t="inlineStr">
        <is>
          <t>band</t>
        </is>
      </c>
      <c r="E142" s="5" t="n">
        <v>6</v>
      </c>
      <c r="F142" s="5" t="inlineStr">
        <is>
          <t>strip_footing</t>
        </is>
      </c>
      <c r="G142" s="5" t="inlineStr">
        <is>
          <t>label vote</t>
        </is>
      </c>
      <c r="H142" s="5" t="inlineStr">
        <is>
          <t>SF1</t>
        </is>
      </c>
      <c r="I142" s="5" t="inlineStr">
        <is>
          <t>printed label</t>
        </is>
      </c>
      <c r="J142" s="5" t="inlineStr">
        <is>
          <t>SF1 80x25</t>
        </is>
      </c>
      <c r="K142" s="5" t="n">
        <v>703</v>
      </c>
      <c r="L142" s="5" t="n">
        <v>80</v>
      </c>
      <c r="M142" s="10">
        <f>IF(AND(ISNUMBER(K142),L142&gt;0),K142/L142,"")</f>
        <v/>
      </c>
      <c r="N142" s="5" t="n">
        <v>5.624</v>
      </c>
      <c r="O142" s="5" t="n">
        <v>179.9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1</v>
      </c>
      <c r="U142" s="5" t="n">
        <v>11</v>
      </c>
      <c r="V142" s="5" t="n">
        <v>17</v>
      </c>
      <c r="W142" s="5" t="n">
        <v>7.03</v>
      </c>
      <c r="X142" s="5" t="inlineStr"/>
      <c r="Y142" s="5" t="n">
        <v>4502.5</v>
      </c>
      <c r="Z142" s="5" t="n">
        <v>2024.6</v>
      </c>
      <c r="AA142" s="5" t="n">
        <v>4710</v>
      </c>
      <c r="AB142" s="5" t="n">
        <v>2048.7</v>
      </c>
      <c r="AC142" s="5" t="inlineStr"/>
      <c r="AD142" s="5">
        <f>IF(AC142="","",IF(OR(AC142=F142,AND(AC142="crane_footing",F142="isolated_footing")),"yes","no"))</f>
        <v/>
      </c>
    </row>
    <row r="143">
      <c r="A143" s="5" t="n">
        <v>142</v>
      </c>
      <c r="B143" s="5" t="inlineStr">
        <is>
          <t>121</t>
        </is>
      </c>
      <c r="C143" s="5" t="inlineStr">
        <is>
          <t>nearest labels in its region</t>
        </is>
      </c>
      <c r="D143" s="5" t="inlineStr">
        <is>
          <t>band</t>
        </is>
      </c>
      <c r="E143" s="5" t="n">
        <v>6</v>
      </c>
      <c r="F143" s="5" t="inlineStr">
        <is>
          <t>strip_footing</t>
        </is>
      </c>
      <c r="G143" s="5" t="inlineStr">
        <is>
          <t>label vote</t>
        </is>
      </c>
      <c r="H143" s="5" t="inlineStr">
        <is>
          <t>SF1</t>
        </is>
      </c>
      <c r="I143" s="5" t="inlineStr">
        <is>
          <t>printed label</t>
        </is>
      </c>
      <c r="J143" s="5" t="inlineStr">
        <is>
          <t>SF1 80x25</t>
        </is>
      </c>
      <c r="K143" s="5" t="n">
        <v>353</v>
      </c>
      <c r="L143" s="5" t="n">
        <v>80</v>
      </c>
      <c r="M143" s="10">
        <f>IF(AND(ISNUMBER(K143),L143&gt;0),K143/L143,"")</f>
        <v/>
      </c>
      <c r="N143" s="5" t="n">
        <v>2.821</v>
      </c>
      <c r="O143" s="5" t="n">
        <v>0</v>
      </c>
      <c r="P143" s="5" t="n">
        <v>1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4</v>
      </c>
      <c r="V143" s="5" t="n">
        <v>0</v>
      </c>
      <c r="W143" s="5" t="n">
        <v>3.5</v>
      </c>
      <c r="X143" s="5" t="inlineStr"/>
      <c r="Y143" s="5" t="n">
        <v>4819.4</v>
      </c>
      <c r="Z143" s="5" t="n">
        <v>1764.1</v>
      </c>
      <c r="AA143" s="5" t="n">
        <v>4923.5</v>
      </c>
      <c r="AB143" s="5" t="n">
        <v>1787.8</v>
      </c>
      <c r="AC143" s="5" t="inlineStr"/>
      <c r="AD143" s="5">
        <f>IF(AC143="","",IF(OR(AC143=F143,AND(AC143="crane_footing",F143="isolated_footing")),"yes","no"))</f>
        <v/>
      </c>
    </row>
    <row r="144">
      <c r="A144" s="5" t="n">
        <v>143</v>
      </c>
      <c r="B144" s="5" t="inlineStr">
        <is>
          <t>121</t>
        </is>
      </c>
      <c r="C144" s="5" t="inlineStr">
        <is>
          <t>nearest labels in its region</t>
        </is>
      </c>
      <c r="D144" s="5" t="inlineStr">
        <is>
          <t>band</t>
        </is>
      </c>
      <c r="E144" s="5" t="n">
        <v>6</v>
      </c>
      <c r="F144" s="5" t="inlineStr">
        <is>
          <t>strip_footing</t>
        </is>
      </c>
      <c r="G144" s="5" t="inlineStr">
        <is>
          <t>label vote</t>
        </is>
      </c>
      <c r="H144" s="5" t="inlineStr">
        <is>
          <t>SF1</t>
        </is>
      </c>
      <c r="I144" s="5" t="inlineStr">
        <is>
          <t>printed label</t>
        </is>
      </c>
      <c r="J144" s="5" t="inlineStr">
        <is>
          <t>SF1 80x25</t>
        </is>
      </c>
      <c r="K144" s="5" t="n">
        <v>344</v>
      </c>
      <c r="L144" s="5" t="n">
        <v>80</v>
      </c>
      <c r="M144" s="10">
        <f>IF(AND(ISNUMBER(K144),L144&gt;0),K144/L144,"")</f>
        <v/>
      </c>
      <c r="N144" s="5" t="n">
        <v>2.755</v>
      </c>
      <c r="O144" s="5" t="n">
        <v>90</v>
      </c>
      <c r="P144" s="5" t="n">
        <v>1</v>
      </c>
      <c r="Q144" s="5" t="n">
        <v>0</v>
      </c>
      <c r="R144" s="5" t="n">
        <v>0</v>
      </c>
      <c r="S144" s="5" t="n">
        <v>0</v>
      </c>
      <c r="T144" s="5" t="n">
        <v>0</v>
      </c>
      <c r="U144" s="5" t="n">
        <v>2</v>
      </c>
      <c r="V144" s="5" t="n">
        <v>0</v>
      </c>
      <c r="W144" s="5" t="n">
        <v>3.44</v>
      </c>
      <c r="X144" s="5" t="inlineStr"/>
      <c r="Y144" s="5" t="n">
        <v>4756.7</v>
      </c>
      <c r="Z144" s="5" t="n">
        <v>1382.3</v>
      </c>
      <c r="AA144" s="5" t="n">
        <v>4780.4</v>
      </c>
      <c r="AB144" s="5" t="n">
        <v>1484</v>
      </c>
      <c r="AC144" s="5" t="inlineStr"/>
      <c r="AD144" s="5">
        <f>IF(AC144="","",IF(OR(AC144=F144,AND(AC144="crane_footing",F144="isolated_footing")),"yes","no"))</f>
        <v/>
      </c>
    </row>
    <row r="145">
      <c r="A145" s="5" t="n">
        <v>144</v>
      </c>
      <c r="B145" s="5" t="inlineStr">
        <is>
          <t>121</t>
        </is>
      </c>
      <c r="C145" s="5" t="inlineStr">
        <is>
          <t>nearest labels in its region</t>
        </is>
      </c>
      <c r="D145" s="5" t="inlineStr">
        <is>
          <t>band</t>
        </is>
      </c>
      <c r="E145" s="5" t="n">
        <v>6</v>
      </c>
      <c r="F145" s="5" t="inlineStr">
        <is>
          <t>strip_footing</t>
        </is>
      </c>
      <c r="G145" s="5" t="inlineStr">
        <is>
          <t>label vote</t>
        </is>
      </c>
      <c r="H145" s="5" t="inlineStr">
        <is>
          <t>SF1</t>
        </is>
      </c>
      <c r="I145" s="5" t="inlineStr">
        <is>
          <t>printed label</t>
        </is>
      </c>
      <c r="J145" s="5" t="inlineStr">
        <is>
          <t>SF1 80x25</t>
        </is>
      </c>
      <c r="K145" s="5" t="n">
        <v>206</v>
      </c>
      <c r="L145" s="5" t="n">
        <v>80</v>
      </c>
      <c r="M145" s="10">
        <f>IF(AND(ISNUMBER(K145),L145&gt;0),K145/L145,"")</f>
        <v/>
      </c>
      <c r="N145" s="5" t="n">
        <v>1.648</v>
      </c>
      <c r="O145" s="5" t="n">
        <v>89.90000000000001</v>
      </c>
      <c r="P145" s="5" t="n">
        <v>1</v>
      </c>
      <c r="Q145" s="5" t="n">
        <v>0</v>
      </c>
      <c r="R145" s="5" t="n">
        <v>0</v>
      </c>
      <c r="S145" s="5" t="n">
        <v>0</v>
      </c>
      <c r="T145" s="5" t="n">
        <v>1</v>
      </c>
      <c r="U145" s="5" t="n">
        <v>1</v>
      </c>
      <c r="V145" s="5" t="n">
        <v>0</v>
      </c>
      <c r="W145" s="5" t="n">
        <v>2.06</v>
      </c>
      <c r="X145" s="5" t="inlineStr"/>
      <c r="Y145" s="5" t="n">
        <v>5004.4</v>
      </c>
      <c r="Z145" s="5" t="n">
        <v>1661.2</v>
      </c>
      <c r="AA145" s="5" t="n">
        <v>5028.1</v>
      </c>
      <c r="AB145" s="5" t="n">
        <v>1722.1</v>
      </c>
      <c r="AC145" s="5" t="inlineStr"/>
      <c r="AD145" s="5">
        <f>IF(AC145="","",IF(OR(AC145=F145,AND(AC145="crane_footing",F145="isolated_footing")),"yes","no"))</f>
        <v/>
      </c>
    </row>
    <row r="146">
      <c r="A146" s="5" t="n">
        <v>145</v>
      </c>
      <c r="B146" s="5" t="inlineStr">
        <is>
          <t>121</t>
        </is>
      </c>
      <c r="C146" s="5" t="inlineStr">
        <is>
          <t>nearest labels in its region</t>
        </is>
      </c>
      <c r="D146" s="5" t="inlineStr">
        <is>
          <t>band</t>
        </is>
      </c>
      <c r="E146" s="5" t="n">
        <v>6</v>
      </c>
      <c r="F146" s="5" t="inlineStr">
        <is>
          <t>strip_footing</t>
        </is>
      </c>
      <c r="G146" s="5" t="inlineStr">
        <is>
          <t>label vote</t>
        </is>
      </c>
      <c r="H146" s="5" t="inlineStr">
        <is>
          <t>SF1</t>
        </is>
      </c>
      <c r="I146" s="5" t="inlineStr">
        <is>
          <t>printed label</t>
        </is>
      </c>
      <c r="J146" s="5" t="inlineStr">
        <is>
          <t>SF1 80x25</t>
        </is>
      </c>
      <c r="K146" s="5" t="n">
        <v>120</v>
      </c>
      <c r="L146" s="5" t="n">
        <v>80</v>
      </c>
      <c r="M146" s="10">
        <f>IF(AND(ISNUMBER(K146),L146&gt;0),K146/L146,"")</f>
        <v/>
      </c>
      <c r="N146" s="5" t="n">
        <v>0.959</v>
      </c>
      <c r="O146" s="5" t="n">
        <v>90.09999999999999</v>
      </c>
      <c r="P146" s="5" t="n">
        <v>1</v>
      </c>
      <c r="Q146" s="5" t="n">
        <v>0</v>
      </c>
      <c r="R146" s="5" t="n">
        <v>0</v>
      </c>
      <c r="S146" s="5" t="n">
        <v>0</v>
      </c>
      <c r="T146" s="5" t="n">
        <v>0</v>
      </c>
      <c r="U146" s="5" t="n">
        <v>22</v>
      </c>
      <c r="V146" s="5" t="n">
        <v>6</v>
      </c>
      <c r="W146" s="5" t="n">
        <v>1.2</v>
      </c>
      <c r="X146" s="5" t="inlineStr"/>
      <c r="Y146" s="5" t="n">
        <v>4759.9</v>
      </c>
      <c r="Z146" s="5" t="n">
        <v>2048.1</v>
      </c>
      <c r="AA146" s="5" t="n">
        <v>4783.5</v>
      </c>
      <c r="AB146" s="5" t="n">
        <v>2083.5</v>
      </c>
      <c r="AC146" s="5" t="inlineStr"/>
      <c r="AD146" s="5">
        <f>IF(AC146="","",IF(OR(AC146=F146,AND(AC146="crane_footing",F146="isolated_footing")),"yes","no"))</f>
        <v/>
      </c>
    </row>
    <row r="147">
      <c r="A147" s="5" t="n">
        <v>146</v>
      </c>
      <c r="B147" s="5" t="inlineStr">
        <is>
          <t>121</t>
        </is>
      </c>
      <c r="C147" s="5" t="inlineStr">
        <is>
          <t>nearest labels in its region</t>
        </is>
      </c>
      <c r="D147" s="5" t="inlineStr">
        <is>
          <t>band</t>
        </is>
      </c>
      <c r="E147" s="5" t="n">
        <v>2</v>
      </c>
      <c r="F147" s="5" t="inlineStr">
        <is>
          <t>grade_beam</t>
        </is>
      </c>
      <c r="G147" s="5" t="inlineStr">
        <is>
          <t>label vote</t>
        </is>
      </c>
      <c r="H147" s="5" t="inlineStr">
        <is>
          <t>LG25x40</t>
        </is>
      </c>
      <c r="I147" s="5" t="inlineStr">
        <is>
          <t>printed label</t>
        </is>
      </c>
      <c r="J147" s="5" t="inlineStr">
        <is>
          <t>LG-25x40</t>
        </is>
      </c>
      <c r="K147" s="5" t="n">
        <v>1199</v>
      </c>
      <c r="L147" s="5" t="n">
        <v>26</v>
      </c>
      <c r="M147" s="10">
        <f>IF(AND(ISNUMBER(K147),L147&gt;0),K147/L147,"")</f>
        <v/>
      </c>
      <c r="N147" s="5" t="n">
        <v>3.117</v>
      </c>
      <c r="O147" s="5" t="n">
        <v>179.9</v>
      </c>
      <c r="P147" s="5" t="n">
        <v>3</v>
      </c>
      <c r="Q147" s="5" t="n">
        <v>0</v>
      </c>
      <c r="R147" s="5" t="n">
        <v>0</v>
      </c>
      <c r="S147" s="5" t="n">
        <v>0</v>
      </c>
      <c r="T147" s="5" t="n">
        <v>1</v>
      </c>
      <c r="U147" s="5" t="n">
        <v>13</v>
      </c>
      <c r="V147" s="5" t="n">
        <v>2</v>
      </c>
      <c r="W147" s="5" t="n">
        <v>5.1</v>
      </c>
      <c r="X147" s="5" t="inlineStr"/>
      <c r="Y147" s="5" t="n">
        <v>4164.3</v>
      </c>
      <c r="Z147" s="5" t="n">
        <v>2128.3</v>
      </c>
      <c r="AA147" s="5" t="n">
        <v>4518.3</v>
      </c>
      <c r="AB147" s="5" t="n">
        <v>2136.7</v>
      </c>
      <c r="AC147" s="5" t="inlineStr"/>
      <c r="AD147" s="5">
        <f>IF(AC147="","",IF(OR(AC147=F147,AND(AC147="crane_footing",F147="isolated_footing")),"yes","no"))</f>
        <v/>
      </c>
    </row>
    <row r="148">
      <c r="A148" s="5" t="n">
        <v>147</v>
      </c>
      <c r="B148" s="5" t="inlineStr">
        <is>
          <t>121</t>
        </is>
      </c>
      <c r="C148" s="5" t="inlineStr">
        <is>
          <t>nearest labels in its region</t>
        </is>
      </c>
      <c r="D148" s="5" t="inlineStr">
        <is>
          <t>band</t>
        </is>
      </c>
      <c r="E148" s="5" t="n">
        <v>2</v>
      </c>
      <c r="F148" s="5" t="inlineStr">
        <is>
          <t>grade_beam</t>
        </is>
      </c>
      <c r="G148" s="5" t="inlineStr">
        <is>
          <t>label vote</t>
        </is>
      </c>
      <c r="H148" s="5" t="inlineStr">
        <is>
          <t>LG25x40</t>
        </is>
      </c>
      <c r="I148" s="5" t="inlineStr">
        <is>
          <t>printed label</t>
        </is>
      </c>
      <c r="J148" s="5" t="inlineStr">
        <is>
          <t>LG-25x40</t>
        </is>
      </c>
      <c r="K148" s="5" t="n">
        <v>1195</v>
      </c>
      <c r="L148" s="5" t="n">
        <v>26</v>
      </c>
      <c r="M148" s="10">
        <f>IF(AND(ISNUMBER(K148),L148&gt;0),K148/L148,"")</f>
        <v/>
      </c>
      <c r="N148" s="5" t="n">
        <v>3.108</v>
      </c>
      <c r="O148" s="5" t="n">
        <v>179.9</v>
      </c>
      <c r="P148" s="5" t="n">
        <v>3</v>
      </c>
      <c r="Q148" s="5" t="n">
        <v>0</v>
      </c>
      <c r="R148" s="5" t="n">
        <v>0</v>
      </c>
      <c r="S148" s="5" t="n">
        <v>0</v>
      </c>
      <c r="T148" s="5" t="n">
        <v>1</v>
      </c>
      <c r="U148" s="5" t="n">
        <v>27</v>
      </c>
      <c r="V148" s="5" t="n">
        <v>2</v>
      </c>
      <c r="W148" s="5" t="n">
        <v>5.05</v>
      </c>
      <c r="X148" s="5" t="inlineStr"/>
      <c r="Y148" s="5" t="n">
        <v>4165.9</v>
      </c>
      <c r="Z148" s="5" t="n">
        <v>2139.1</v>
      </c>
      <c r="AA148" s="5" t="n">
        <v>4518.8</v>
      </c>
      <c r="AB148" s="5" t="n">
        <v>2147.5</v>
      </c>
      <c r="AC148" s="5" t="inlineStr"/>
      <c r="AD148" s="5">
        <f>IF(AC148="","",IF(OR(AC148=F148,AND(AC148="crane_footing",F148="isolated_footing")),"yes","no"))</f>
        <v/>
      </c>
    </row>
    <row r="149">
      <c r="A149" s="5" t="n">
        <v>148</v>
      </c>
      <c r="B149" s="5" t="inlineStr">
        <is>
          <t>121</t>
        </is>
      </c>
      <c r="C149" s="5" t="inlineStr">
        <is>
          <t>nearest labels in its region</t>
        </is>
      </c>
      <c r="D149" s="5" t="inlineStr">
        <is>
          <t>band</t>
        </is>
      </c>
      <c r="E149" s="5" t="n">
        <v>4</v>
      </c>
      <c r="F149" s="5" t="inlineStr">
        <is>
          <t>grade_beam</t>
        </is>
      </c>
      <c r="G149" s="5" t="inlineStr">
        <is>
          <t>label vote</t>
        </is>
      </c>
      <c r="H149" s="5" t="inlineStr">
        <is>
          <t>LG40x15</t>
        </is>
      </c>
      <c r="I149" s="5" t="inlineStr">
        <is>
          <t>printed label</t>
        </is>
      </c>
      <c r="J149" s="5" t="inlineStr">
        <is>
          <t>LG-40x15</t>
        </is>
      </c>
      <c r="K149" s="5" t="n">
        <v>2698</v>
      </c>
      <c r="L149" s="5" t="n">
        <v>41</v>
      </c>
      <c r="M149" s="10">
        <f>IF(AND(ISNUMBER(K149),L149&gt;0),K149/L149,"")</f>
        <v/>
      </c>
      <c r="N149" s="5" t="n">
        <v>11.063</v>
      </c>
      <c r="O149" s="5" t="n">
        <v>90</v>
      </c>
      <c r="P149" s="5" t="n">
        <v>4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115</v>
      </c>
      <c r="V149" s="5" t="n">
        <v>8</v>
      </c>
      <c r="W149" s="5" t="n">
        <v>20.83</v>
      </c>
      <c r="X149" s="5" t="inlineStr"/>
      <c r="Y149" s="5" t="n">
        <v>4292.5</v>
      </c>
      <c r="Z149" s="5" t="n">
        <v>1333.6</v>
      </c>
      <c r="AA149" s="5" t="n">
        <v>4305.3</v>
      </c>
      <c r="AB149" s="5" t="n">
        <v>2130.3</v>
      </c>
      <c r="AC149" s="5" t="inlineStr"/>
      <c r="AD149" s="5">
        <f>IF(AC149="","",IF(OR(AC149=F149,AND(AC149="crane_footing",F149="isolated_footing")),"yes","no"))</f>
        <v/>
      </c>
    </row>
    <row r="150">
      <c r="A150" s="5" t="n">
        <v>149</v>
      </c>
      <c r="B150" s="5" t="inlineStr">
        <is>
          <t>121</t>
        </is>
      </c>
      <c r="C150" s="5" t="inlineStr">
        <is>
          <t>nearest labels in its region</t>
        </is>
      </c>
      <c r="D150" s="5" t="inlineStr">
        <is>
          <t>band</t>
        </is>
      </c>
      <c r="E150" s="5" t="n">
        <v>4</v>
      </c>
      <c r="F150" s="5" t="inlineStr">
        <is>
          <t>grade_beam</t>
        </is>
      </c>
      <c r="G150" s="5" t="inlineStr">
        <is>
          <t>label vote</t>
        </is>
      </c>
      <c r="H150" s="5" t="inlineStr">
        <is>
          <t>LG40x15</t>
        </is>
      </c>
      <c r="I150" s="5" t="inlineStr">
        <is>
          <t>printed label</t>
        </is>
      </c>
      <c r="J150" s="5" t="inlineStr">
        <is>
          <t>LG-40x15</t>
        </is>
      </c>
      <c r="K150" s="5" t="n">
        <v>2034</v>
      </c>
      <c r="L150" s="5" t="n">
        <v>41</v>
      </c>
      <c r="M150" s="10">
        <f>IF(AND(ISNUMBER(K150),L150&gt;0),K150/L150,"")</f>
        <v/>
      </c>
      <c r="N150" s="5" t="n">
        <v>8.340999999999999</v>
      </c>
      <c r="O150" s="5" t="n">
        <v>0</v>
      </c>
      <c r="P150" s="5" t="n">
        <v>5</v>
      </c>
      <c r="Q150" s="5" t="n">
        <v>0</v>
      </c>
      <c r="R150" s="5" t="n">
        <v>0</v>
      </c>
      <c r="S150" s="5" t="n">
        <v>0</v>
      </c>
      <c r="T150" s="5" t="n">
        <v>2</v>
      </c>
      <c r="U150" s="5" t="n">
        <v>14</v>
      </c>
      <c r="V150" s="5" t="n">
        <v>3</v>
      </c>
      <c r="W150" s="5" t="n">
        <v>12.91</v>
      </c>
      <c r="X150" s="5" t="inlineStr"/>
      <c r="Y150" s="5" t="n">
        <v>4164.9</v>
      </c>
      <c r="Z150" s="5" t="n">
        <v>1333.5</v>
      </c>
      <c r="AA150" s="5" t="n">
        <v>4765.6</v>
      </c>
      <c r="AB150" s="5" t="n">
        <v>1345.6</v>
      </c>
      <c r="AC150" s="5" t="inlineStr"/>
      <c r="AD150" s="5">
        <f>IF(AC150="","",IF(OR(AC150=F150,AND(AC150="crane_footing",F150="isolated_footing")),"yes","no"))</f>
        <v/>
      </c>
    </row>
    <row r="151">
      <c r="A151" s="5" t="n">
        <v>150</v>
      </c>
      <c r="B151" s="5" t="inlineStr">
        <is>
          <t>121</t>
        </is>
      </c>
      <c r="C151" s="5" t="inlineStr">
        <is>
          <t>nearest labels in its region</t>
        </is>
      </c>
      <c r="D151" s="5" t="inlineStr">
        <is>
          <t>band</t>
        </is>
      </c>
      <c r="E151" s="5" t="n">
        <v>4</v>
      </c>
      <c r="F151" s="5" t="inlineStr">
        <is>
          <t>grade_beam</t>
        </is>
      </c>
      <c r="G151" s="5" t="inlineStr">
        <is>
          <t>label vote</t>
        </is>
      </c>
      <c r="H151" s="5" t="inlineStr">
        <is>
          <t>LG40x15</t>
        </is>
      </c>
      <c r="I151" s="5" t="inlineStr">
        <is>
          <t>printed label</t>
        </is>
      </c>
      <c r="J151" s="5" t="inlineStr">
        <is>
          <t>LG-40x15</t>
        </is>
      </c>
      <c r="K151" s="5" t="n">
        <v>1479</v>
      </c>
      <c r="L151" s="5" t="n">
        <v>41</v>
      </c>
      <c r="M151" s="10">
        <f>IF(AND(ISNUMBER(K151),L151&gt;0),K151/L151,"")</f>
        <v/>
      </c>
      <c r="N151" s="5" t="n">
        <v>6.065</v>
      </c>
      <c r="O151" s="5" t="n">
        <v>90</v>
      </c>
      <c r="P151" s="5" t="n">
        <v>2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32</v>
      </c>
      <c r="V151" s="5" t="n">
        <v>5</v>
      </c>
      <c r="W151" s="5" t="n">
        <v>3.8</v>
      </c>
      <c r="X151" s="5" t="inlineStr"/>
      <c r="Y151" s="5" t="n">
        <v>4603</v>
      </c>
      <c r="Z151" s="5" t="n">
        <v>1333.5</v>
      </c>
      <c r="AA151" s="5" t="n">
        <v>4615.5</v>
      </c>
      <c r="AB151" s="5" t="n">
        <v>1770.3</v>
      </c>
      <c r="AC151" s="5" t="inlineStr"/>
      <c r="AD151" s="5">
        <f>IF(AC151="","",IF(OR(AC151=F151,AND(AC151="crane_footing",F151="isolated_footing")),"yes","no"))</f>
        <v/>
      </c>
    </row>
    <row r="152">
      <c r="A152" s="5" t="n">
        <v>151</v>
      </c>
      <c r="B152" s="5" t="inlineStr">
        <is>
          <t>121</t>
        </is>
      </c>
      <c r="C152" s="5" t="inlineStr">
        <is>
          <t>nearest labels in its region</t>
        </is>
      </c>
      <c r="D152" s="5" t="inlineStr">
        <is>
          <t>band</t>
        </is>
      </c>
      <c r="E152" s="5" t="n">
        <v>4</v>
      </c>
      <c r="F152" s="5" t="inlineStr">
        <is>
          <t>grade_beam</t>
        </is>
      </c>
      <c r="G152" s="5" t="inlineStr">
        <is>
          <t>label vote</t>
        </is>
      </c>
      <c r="H152" s="5" t="inlineStr">
        <is>
          <t>LG40x15</t>
        </is>
      </c>
      <c r="I152" s="5" t="inlineStr">
        <is>
          <t>printed label</t>
        </is>
      </c>
      <c r="J152" s="5" t="inlineStr">
        <is>
          <t>LG-40x15</t>
        </is>
      </c>
      <c r="K152" s="5" t="n">
        <v>1272</v>
      </c>
      <c r="L152" s="5" t="n">
        <v>41</v>
      </c>
      <c r="M152" s="10">
        <f>IF(AND(ISNUMBER(K152),L152&gt;0),K152/L152,"")</f>
        <v/>
      </c>
      <c r="N152" s="5" t="n">
        <v>5.215</v>
      </c>
      <c r="O152" s="5" t="n">
        <v>0</v>
      </c>
      <c r="P152" s="5" t="n">
        <v>2</v>
      </c>
      <c r="Q152" s="5" t="n">
        <v>0</v>
      </c>
      <c r="R152" s="5" t="n">
        <v>0</v>
      </c>
      <c r="S152" s="5" t="n">
        <v>0</v>
      </c>
      <c r="T152" s="5" t="n">
        <v>1</v>
      </c>
      <c r="U152" s="5" t="n">
        <v>29</v>
      </c>
      <c r="V152" s="5" t="n">
        <v>1</v>
      </c>
      <c r="W152" s="5" t="n">
        <v>7.2</v>
      </c>
      <c r="X152" s="5" t="inlineStr"/>
      <c r="Y152" s="5" t="n">
        <v>4164.6</v>
      </c>
      <c r="Z152" s="5" t="n">
        <v>1788.4</v>
      </c>
      <c r="AA152" s="5" t="n">
        <v>4540.2</v>
      </c>
      <c r="AB152" s="5" t="n">
        <v>1800.8</v>
      </c>
      <c r="AC152" s="5" t="inlineStr"/>
      <c r="AD152" s="5">
        <f>IF(AC152="","",IF(OR(AC152=F152,AND(AC152="crane_footing",F152="isolated_footing")),"yes","no"))</f>
        <v/>
      </c>
    </row>
    <row r="153">
      <c r="A153" s="5" t="n">
        <v>152</v>
      </c>
      <c r="B153" s="5" t="inlineStr">
        <is>
          <t>121</t>
        </is>
      </c>
      <c r="C153" s="5" t="inlineStr">
        <is>
          <t>nearest labels in its region</t>
        </is>
      </c>
      <c r="D153" s="5" t="inlineStr">
        <is>
          <t>band</t>
        </is>
      </c>
      <c r="E153" s="5" t="n">
        <v>4</v>
      </c>
      <c r="F153" s="5" t="inlineStr">
        <is>
          <t>grade_beam</t>
        </is>
      </c>
      <c r="G153" s="5" t="inlineStr">
        <is>
          <t>label vote</t>
        </is>
      </c>
      <c r="H153" s="5" t="inlineStr">
        <is>
          <t>LG40x15</t>
        </is>
      </c>
      <c r="I153" s="5" t="inlineStr">
        <is>
          <t>printed label</t>
        </is>
      </c>
      <c r="J153" s="5" t="inlineStr">
        <is>
          <t>LG-40x15</t>
        </is>
      </c>
      <c r="K153" s="5" t="n">
        <v>1272</v>
      </c>
      <c r="L153" s="5" t="n">
        <v>41</v>
      </c>
      <c r="M153" s="10">
        <f>IF(AND(ISNUMBER(K153),L153&gt;0),K153/L153,"")</f>
        <v/>
      </c>
      <c r="N153" s="5" t="n">
        <v>5.214</v>
      </c>
      <c r="O153" s="5" t="n">
        <v>0</v>
      </c>
      <c r="P153" s="5" t="n">
        <v>2</v>
      </c>
      <c r="Q153" s="5" t="n">
        <v>0</v>
      </c>
      <c r="R153" s="5" t="n">
        <v>0</v>
      </c>
      <c r="S153" s="5" t="n">
        <v>0</v>
      </c>
      <c r="T153" s="5" t="n">
        <v>1</v>
      </c>
      <c r="U153" s="5" t="n">
        <v>16</v>
      </c>
      <c r="V153" s="5" t="n">
        <v>1</v>
      </c>
      <c r="W153" s="5" t="n">
        <v>9.220000000000001</v>
      </c>
      <c r="X153" s="5" t="inlineStr"/>
      <c r="Y153" s="5" t="n">
        <v>4164.5</v>
      </c>
      <c r="Z153" s="5" t="n">
        <v>2016.7</v>
      </c>
      <c r="AA153" s="5" t="n">
        <v>4540</v>
      </c>
      <c r="AB153" s="5" t="n">
        <v>2029.1</v>
      </c>
      <c r="AC153" s="5" t="inlineStr"/>
      <c r="AD153" s="5">
        <f>IF(AC153="","",IF(OR(AC153=F153,AND(AC153="crane_footing",F153="isolated_footing")),"yes","no"))</f>
        <v/>
      </c>
    </row>
    <row r="154">
      <c r="A154" s="5" t="n">
        <v>153</v>
      </c>
      <c r="B154" s="5" t="inlineStr">
        <is>
          <t>121</t>
        </is>
      </c>
      <c r="C154" s="5" t="inlineStr">
        <is>
          <t>nearest labels in its region</t>
        </is>
      </c>
      <c r="D154" s="5" t="inlineStr">
        <is>
          <t>band</t>
        </is>
      </c>
      <c r="E154" s="5" t="n">
        <v>4</v>
      </c>
      <c r="F154" s="5" t="inlineStr">
        <is>
          <t>grade_beam</t>
        </is>
      </c>
      <c r="G154" s="5" t="inlineStr">
        <is>
          <t>label vote</t>
        </is>
      </c>
      <c r="H154" s="5" t="inlineStr">
        <is>
          <t>LG40x15</t>
        </is>
      </c>
      <c r="I154" s="5" t="inlineStr">
        <is>
          <t>printed label</t>
        </is>
      </c>
      <c r="J154" s="5" t="inlineStr">
        <is>
          <t>LG-40x15</t>
        </is>
      </c>
      <c r="K154" s="5" t="n">
        <v>1272</v>
      </c>
      <c r="L154" s="5" t="n">
        <v>41</v>
      </c>
      <c r="M154" s="10">
        <f>IF(AND(ISNUMBER(K154),L154&gt;0),K154/L154,"")</f>
        <v/>
      </c>
      <c r="N154" s="5" t="n">
        <v>5.214</v>
      </c>
      <c r="O154" s="5" t="n">
        <v>0</v>
      </c>
      <c r="P154" s="5" t="n">
        <v>2</v>
      </c>
      <c r="Q154" s="5" t="n">
        <v>0</v>
      </c>
      <c r="R154" s="5" t="n">
        <v>0</v>
      </c>
      <c r="S154" s="5" t="n">
        <v>1</v>
      </c>
      <c r="T154" s="5" t="n">
        <v>1</v>
      </c>
      <c r="U154" s="5" t="n">
        <v>14</v>
      </c>
      <c r="V154" s="5" t="n">
        <v>1</v>
      </c>
      <c r="W154" s="5" t="n">
        <v>12.72</v>
      </c>
      <c r="X154" s="5" t="inlineStr"/>
      <c r="Y154" s="5" t="n">
        <v>4164.8</v>
      </c>
      <c r="Z154" s="5" t="n">
        <v>1558.5</v>
      </c>
      <c r="AA154" s="5" t="n">
        <v>4540.3</v>
      </c>
      <c r="AB154" s="5" t="n">
        <v>1570.8</v>
      </c>
      <c r="AC154" s="5" t="inlineStr"/>
      <c r="AD154" s="5">
        <f>IF(AC154="","",IF(OR(AC154=F154,AND(AC154="crane_footing",F154="isolated_footing")),"yes","no"))</f>
        <v/>
      </c>
    </row>
    <row r="155">
      <c r="A155" s="5" t="n">
        <v>154</v>
      </c>
      <c r="B155" s="5" t="inlineStr">
        <is>
          <t>121</t>
        </is>
      </c>
      <c r="C155" s="5" t="inlineStr">
        <is>
          <t>nearest labels in its region</t>
        </is>
      </c>
      <c r="D155" s="5" t="inlineStr">
        <is>
          <t>band</t>
        </is>
      </c>
      <c r="E155" s="5" t="n">
        <v>4</v>
      </c>
      <c r="F155" s="5" t="inlineStr">
        <is>
          <t>grade_beam</t>
        </is>
      </c>
      <c r="G155" s="5" t="inlineStr">
        <is>
          <t>label vote</t>
        </is>
      </c>
      <c r="H155" s="5" t="inlineStr">
        <is>
          <t>LG40x15</t>
        </is>
      </c>
      <c r="I155" s="5" t="inlineStr">
        <is>
          <t>printed label</t>
        </is>
      </c>
      <c r="J155" s="5" t="inlineStr">
        <is>
          <t>LG-40x15</t>
        </is>
      </c>
      <c r="K155" s="5" t="n">
        <v>798</v>
      </c>
      <c r="L155" s="5" t="n">
        <v>41</v>
      </c>
      <c r="M155" s="10">
        <f>IF(AND(ISNUMBER(K155),L155&gt;0),K155/L155,"")</f>
        <v/>
      </c>
      <c r="N155" s="5" t="n">
        <v>3.27</v>
      </c>
      <c r="O155" s="5" t="n">
        <v>0</v>
      </c>
      <c r="P155" s="5" t="n">
        <v>1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16</v>
      </c>
      <c r="V155" s="5" t="n">
        <v>2</v>
      </c>
      <c r="W155" s="5" t="n">
        <v>6.55</v>
      </c>
      <c r="X155" s="5" t="inlineStr"/>
      <c r="Y155" s="5" t="n">
        <v>4304.7</v>
      </c>
      <c r="Z155" s="5" t="n">
        <v>1653.5</v>
      </c>
      <c r="AA155" s="5" t="n">
        <v>4540.3</v>
      </c>
      <c r="AB155" s="5" t="n">
        <v>1665.7</v>
      </c>
      <c r="AC155" s="5" t="inlineStr"/>
      <c r="AD155" s="5">
        <f>IF(AC155="","",IF(OR(AC155=F155,AND(AC155="crane_footing",F155="isolated_footing")),"yes","no"))</f>
        <v/>
      </c>
    </row>
    <row r="156">
      <c r="A156" s="5" t="n">
        <v>155</v>
      </c>
      <c r="B156" s="5" t="inlineStr">
        <is>
          <t>121</t>
        </is>
      </c>
      <c r="C156" s="5" t="inlineStr">
        <is>
          <t>nearest labels in its region</t>
        </is>
      </c>
      <c r="D156" s="5" t="inlineStr">
        <is>
          <t>band</t>
        </is>
      </c>
      <c r="E156" s="5" t="n">
        <v>4</v>
      </c>
      <c r="F156" s="5" t="inlineStr">
        <is>
          <t>grade_beam</t>
        </is>
      </c>
      <c r="G156" s="5" t="inlineStr">
        <is>
          <t>label vote</t>
        </is>
      </c>
      <c r="H156" s="5" t="inlineStr">
        <is>
          <t>LG40x15</t>
        </is>
      </c>
      <c r="I156" s="5" t="inlineStr">
        <is>
          <t>printed label</t>
        </is>
      </c>
      <c r="J156" s="5" t="inlineStr">
        <is>
          <t>LG-40x15</t>
        </is>
      </c>
      <c r="K156" s="5" t="n">
        <v>722</v>
      </c>
      <c r="L156" s="5" t="n">
        <v>41</v>
      </c>
      <c r="M156" s="10">
        <f>IF(AND(ISNUMBER(K156),L156&gt;0),K156/L156,"")</f>
        <v/>
      </c>
      <c r="N156" s="5" t="n">
        <v>2.962</v>
      </c>
      <c r="O156" s="5" t="n">
        <v>0</v>
      </c>
      <c r="P156" s="5" t="n">
        <v>2</v>
      </c>
      <c r="Q156" s="5" t="n">
        <v>0</v>
      </c>
      <c r="R156" s="5" t="n">
        <v>0</v>
      </c>
      <c r="S156" s="5" t="n">
        <v>0</v>
      </c>
      <c r="T156" s="5" t="n">
        <v>1</v>
      </c>
      <c r="U156" s="5" t="n">
        <v>23</v>
      </c>
      <c r="V156" s="5" t="n">
        <v>0</v>
      </c>
      <c r="W156" s="5" t="n">
        <v>2.74</v>
      </c>
      <c r="X156" s="5" t="inlineStr"/>
      <c r="Y156" s="5" t="n">
        <v>4551.9</v>
      </c>
      <c r="Z156" s="5" t="n">
        <v>1938.2</v>
      </c>
      <c r="AA156" s="5" t="n">
        <v>4765.2</v>
      </c>
      <c r="AB156" s="5" t="n">
        <v>1950.4</v>
      </c>
      <c r="AC156" s="5" t="inlineStr"/>
      <c r="AD156" s="5">
        <f>IF(AC156="","",IF(OR(AC156=F156,AND(AC156="crane_footing",F156="isolated_footing")),"yes","no"))</f>
        <v/>
      </c>
    </row>
    <row r="157">
      <c r="A157" s="5" t="n">
        <v>156</v>
      </c>
      <c r="B157" s="5" t="inlineStr">
        <is>
          <t>121</t>
        </is>
      </c>
      <c r="C157" s="5" t="inlineStr">
        <is>
          <t>nearest labels in its region</t>
        </is>
      </c>
      <c r="D157" s="5" t="inlineStr">
        <is>
          <t>band</t>
        </is>
      </c>
      <c r="E157" s="5" t="n">
        <v>4</v>
      </c>
      <c r="F157" s="5" t="inlineStr">
        <is>
          <t>grade_beam</t>
        </is>
      </c>
      <c r="G157" s="5" t="inlineStr">
        <is>
          <t>label vote</t>
        </is>
      </c>
      <c r="H157" s="5" t="inlineStr">
        <is>
          <t>LG40x15</t>
        </is>
      </c>
      <c r="I157" s="5" t="inlineStr">
        <is>
          <t>printed label</t>
        </is>
      </c>
      <c r="J157" s="5" t="inlineStr">
        <is>
          <t>LG-40x15</t>
        </is>
      </c>
      <c r="K157" s="5" t="n">
        <v>721</v>
      </c>
      <c r="L157" s="5" t="n">
        <v>41</v>
      </c>
      <c r="M157" s="10">
        <f>IF(AND(ISNUMBER(K157),L157&gt;0),K157/L157,"")</f>
        <v/>
      </c>
      <c r="N157" s="5" t="n">
        <v>2.955</v>
      </c>
      <c r="O157" s="5" t="n">
        <v>0.1</v>
      </c>
      <c r="P157" s="5" t="n">
        <v>2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8</v>
      </c>
      <c r="V157" s="5" t="n">
        <v>1</v>
      </c>
      <c r="W157" s="5" t="n">
        <v>3.5</v>
      </c>
      <c r="X157" s="5" t="inlineStr"/>
      <c r="Y157" s="5" t="n">
        <v>4552</v>
      </c>
      <c r="Z157" s="5" t="n">
        <v>1770.1</v>
      </c>
      <c r="AA157" s="5" t="n">
        <v>4764.8</v>
      </c>
      <c r="AB157" s="5" t="n">
        <v>1782.4</v>
      </c>
      <c r="AC157" s="5" t="inlineStr"/>
      <c r="AD157" s="5">
        <f>IF(AC157="","",IF(OR(AC157=F157,AND(AC157="crane_footing",F157="isolated_footing")),"yes","no"))</f>
        <v/>
      </c>
    </row>
    <row r="158">
      <c r="A158" s="5" t="n">
        <v>157</v>
      </c>
      <c r="B158" s="5" t="inlineStr">
        <is>
          <t>121</t>
        </is>
      </c>
      <c r="C158" s="5" t="inlineStr">
        <is>
          <t>nearest labels in its region</t>
        </is>
      </c>
      <c r="D158" s="5" t="inlineStr">
        <is>
          <t>band</t>
        </is>
      </c>
      <c r="E158" s="5" t="n">
        <v>4</v>
      </c>
      <c r="F158" s="5" t="inlineStr">
        <is>
          <t>grade_beam</t>
        </is>
      </c>
      <c r="G158" s="5" t="inlineStr">
        <is>
          <t>label vote</t>
        </is>
      </c>
      <c r="H158" s="5" t="inlineStr">
        <is>
          <t>LG40x15</t>
        </is>
      </c>
      <c r="I158" s="5" t="inlineStr">
        <is>
          <t>printed label</t>
        </is>
      </c>
      <c r="J158" s="5" t="inlineStr">
        <is>
          <t>LG-40x15</t>
        </is>
      </c>
      <c r="K158" s="5" t="n">
        <v>450</v>
      </c>
      <c r="L158" s="5" t="n">
        <v>41</v>
      </c>
      <c r="M158" s="10">
        <f>IF(AND(ISNUMBER(K158),L158&gt;0),K158/L158,"")</f>
        <v/>
      </c>
      <c r="N158" s="5" t="n">
        <v>1.845</v>
      </c>
      <c r="O158" s="5" t="n">
        <v>179.9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1</v>
      </c>
      <c r="U158" s="5" t="n">
        <v>2</v>
      </c>
      <c r="V158" s="5" t="n">
        <v>1</v>
      </c>
      <c r="W158" s="5" t="n">
        <v>1</v>
      </c>
      <c r="X158" s="5" t="inlineStr"/>
      <c r="Y158" s="5" t="n">
        <v>4552.2</v>
      </c>
      <c r="Z158" s="5" t="n">
        <v>1523.3</v>
      </c>
      <c r="AA158" s="5" t="n">
        <v>4685.1</v>
      </c>
      <c r="AB158" s="5" t="n">
        <v>1535.7</v>
      </c>
      <c r="AC158" s="5" t="inlineStr"/>
      <c r="AD158" s="5">
        <f>IF(AC158="","",IF(OR(AC158=F158,AND(AC158="crane_footing",F158="isolated_footing")),"yes","no"))</f>
        <v/>
      </c>
    </row>
    <row r="159">
      <c r="A159" s="5" t="n">
        <v>158</v>
      </c>
      <c r="B159" s="5" t="inlineStr">
        <is>
          <t>121</t>
        </is>
      </c>
      <c r="C159" s="5" t="inlineStr">
        <is>
          <t>nearest labels in its region</t>
        </is>
      </c>
      <c r="D159" s="5" t="inlineStr">
        <is>
          <t>band</t>
        </is>
      </c>
      <c r="E159" s="5" t="n">
        <v>4</v>
      </c>
      <c r="F159" s="5" t="inlineStr">
        <is>
          <t>grade_beam</t>
        </is>
      </c>
      <c r="G159" s="5" t="inlineStr">
        <is>
          <t>label vote</t>
        </is>
      </c>
      <c r="H159" s="5" t="inlineStr">
        <is>
          <t>LG40x15</t>
        </is>
      </c>
      <c r="I159" s="5" t="inlineStr">
        <is>
          <t>printed label</t>
        </is>
      </c>
      <c r="J159" s="5" t="inlineStr">
        <is>
          <t>LG-40x15</t>
        </is>
      </c>
      <c r="K159" s="5" t="n">
        <v>449</v>
      </c>
      <c r="L159" s="5" t="n">
        <v>41</v>
      </c>
      <c r="M159" s="10">
        <f>IF(AND(ISNUMBER(K159),L159&gt;0),K159/L159,"")</f>
        <v/>
      </c>
      <c r="N159" s="5" t="n">
        <v>1.841</v>
      </c>
      <c r="O159" s="5" t="n">
        <v>179.9</v>
      </c>
      <c r="P159" s="5" t="n">
        <v>1</v>
      </c>
      <c r="Q159" s="5" t="n">
        <v>1</v>
      </c>
      <c r="R159" s="5" t="n">
        <v>0</v>
      </c>
      <c r="S159" s="5" t="n">
        <v>0</v>
      </c>
      <c r="T159" s="5" t="n">
        <v>1</v>
      </c>
      <c r="U159" s="5" t="n">
        <v>4</v>
      </c>
      <c r="V159" s="5" t="n">
        <v>1</v>
      </c>
      <c r="W159" s="5" t="n">
        <v>1.72</v>
      </c>
      <c r="X159" s="5" t="inlineStr"/>
      <c r="Y159" s="5" t="n">
        <v>4552.4</v>
      </c>
      <c r="Z159" s="5" t="n">
        <v>1610.4</v>
      </c>
      <c r="AA159" s="5" t="n">
        <v>4685</v>
      </c>
      <c r="AB159" s="5" t="n">
        <v>1622.8</v>
      </c>
      <c r="AC159" s="5" t="inlineStr"/>
      <c r="AD159" s="5">
        <f>IF(AC159="","",IF(OR(AC159=F159,AND(AC159="crane_footing",F159="isolated_footing")),"yes","no"))</f>
        <v/>
      </c>
    </row>
    <row r="160">
      <c r="A160" s="5" t="n">
        <v>159</v>
      </c>
      <c r="B160" s="5" t="inlineStr">
        <is>
          <t>121</t>
        </is>
      </c>
      <c r="C160" s="5" t="inlineStr">
        <is>
          <t>nearest labels in its region</t>
        </is>
      </c>
      <c r="D160" s="5" t="inlineStr">
        <is>
          <t>band</t>
        </is>
      </c>
      <c r="E160" s="5" t="n">
        <v>4</v>
      </c>
      <c r="F160" s="5" t="inlineStr">
        <is>
          <t>grade_beam</t>
        </is>
      </c>
      <c r="G160" s="5" t="inlineStr">
        <is>
          <t>label vote</t>
        </is>
      </c>
      <c r="H160" s="5" t="inlineStr">
        <is>
          <t>(none)</t>
        </is>
      </c>
      <c r="I160" s="5" t="inlineStr"/>
      <c r="J160" s="5" t="inlineStr"/>
      <c r="K160" s="5" t="n">
        <v>169</v>
      </c>
      <c r="L160" s="5" t="n">
        <v>41</v>
      </c>
      <c r="M160" s="10">
        <f>IF(AND(ISNUMBER(K160),L160&gt;0),K160/L160,"")</f>
        <v/>
      </c>
      <c r="N160" s="5" t="n">
        <v>0.6929999999999999</v>
      </c>
      <c r="O160" s="5" t="n">
        <v>179.9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  <c r="U160" s="5" t="n">
        <v>2</v>
      </c>
      <c r="V160" s="5" t="n">
        <v>7</v>
      </c>
      <c r="W160" s="5" t="n">
        <v>1.69</v>
      </c>
      <c r="X160" s="5" t="inlineStr"/>
      <c r="Y160" s="5" t="n">
        <v>4710</v>
      </c>
      <c r="Z160" s="5" t="n">
        <v>2036.2</v>
      </c>
      <c r="AA160" s="5" t="n">
        <v>4759.9</v>
      </c>
      <c r="AB160" s="5" t="n">
        <v>2048.4</v>
      </c>
      <c r="AC160" s="5" t="inlineStr"/>
      <c r="AD160" s="5">
        <f>IF(AC160="","",IF(OR(AC160=F160,AND(AC160="crane_footing",F160="isolated_footing")),"yes","no"))</f>
        <v/>
      </c>
    </row>
    <row r="161">
      <c r="A161" s="5" t="n">
        <v>160</v>
      </c>
      <c r="B161" s="5" t="inlineStr">
        <is>
          <t>121</t>
        </is>
      </c>
      <c r="C161" s="5" t="inlineStr">
        <is>
          <t>nearest labels in its region</t>
        </is>
      </c>
      <c r="D161" s="5" t="inlineStr">
        <is>
          <t>stamped_region</t>
        </is>
      </c>
      <c r="E161" s="5" t="n">
        <v>39</v>
      </c>
      <c r="F161" s="5" t="inlineStr">
        <is>
          <t>raft</t>
        </is>
      </c>
      <c r="G161" s="5" t="inlineStr">
        <is>
          <t>label vote</t>
        </is>
      </c>
      <c r="H161" s="5" t="inlineStr">
        <is>
          <t>Radier 190</t>
        </is>
      </c>
      <c r="I161" s="5" t="inlineStr">
        <is>
          <t>printed label</t>
        </is>
      </c>
      <c r="J161" s="5" t="inlineStr">
        <is>
          <t>Radier</t>
        </is>
      </c>
      <c r="K161" s="5" t="n">
        <v>925</v>
      </c>
      <c r="L161" s="5" t="n">
        <v>780</v>
      </c>
      <c r="M161" s="10">
        <f>IF(AND(ISNUMBER(K161),L161&gt;0),K161/L161,"")</f>
        <v/>
      </c>
      <c r="N161" s="5" t="n">
        <v>72.155</v>
      </c>
      <c r="O161" s="5" t="n">
        <v>90</v>
      </c>
      <c r="P161" s="5" t="n">
        <v>5</v>
      </c>
      <c r="Q161" s="5" t="n">
        <v>0</v>
      </c>
      <c r="R161" s="5" t="n">
        <v>0</v>
      </c>
      <c r="S161" s="5" t="n">
        <v>0</v>
      </c>
      <c r="T161" s="5" t="n">
        <v>3</v>
      </c>
      <c r="U161" s="5" t="n">
        <v>104</v>
      </c>
      <c r="V161" s="5" t="n">
        <v>6</v>
      </c>
      <c r="W161" s="5" t="n"/>
      <c r="X161" s="5" t="inlineStr">
        <is>
          <t>rays' extent (approximate)</t>
        </is>
      </c>
      <c r="Y161" s="5" t="n">
        <v>4145.2</v>
      </c>
      <c r="Z161" s="5" t="n">
        <v>1310.4</v>
      </c>
      <c r="AA161" s="5" t="n">
        <v>4375.6</v>
      </c>
      <c r="AB161" s="5" t="n">
        <v>1583.5</v>
      </c>
      <c r="AC161" s="5" t="inlineStr"/>
      <c r="AD161" s="5">
        <f>IF(AC161="","",IF(OR(AC161=F161,AND(AC161="crane_footing",F161="isolated_footing")),"yes","no"))</f>
        <v/>
      </c>
    </row>
    <row r="162">
      <c r="A162" s="5" t="n">
        <v>161</v>
      </c>
      <c r="B162" s="5" t="inlineStr">
        <is>
          <t>121</t>
        </is>
      </c>
      <c r="C162" s="5" t="inlineStr">
        <is>
          <t>nearest labels in its region</t>
        </is>
      </c>
      <c r="D162" s="5" t="inlineStr">
        <is>
          <t>stamped_region</t>
        </is>
      </c>
      <c r="E162" s="5" t="n">
        <v>39</v>
      </c>
      <c r="F162" s="5" t="inlineStr">
        <is>
          <t>raft</t>
        </is>
      </c>
      <c r="G162" s="5" t="inlineStr">
        <is>
          <t>label vote</t>
        </is>
      </c>
      <c r="H162" s="5" t="inlineStr">
        <is>
          <t>Radier 90</t>
        </is>
      </c>
      <c r="I162" s="5" t="inlineStr">
        <is>
          <t>printed label</t>
        </is>
      </c>
      <c r="J162" s="5" t="inlineStr">
        <is>
          <t>Radier</t>
        </is>
      </c>
      <c r="K162" s="5" t="n">
        <v>1201</v>
      </c>
      <c r="L162" s="5" t="n">
        <v>600</v>
      </c>
      <c r="M162" s="10">
        <f>IF(AND(ISNUMBER(K162),L162&gt;0),K162/L162,"")</f>
        <v/>
      </c>
      <c r="N162" s="5" t="n">
        <v>72</v>
      </c>
      <c r="O162" s="5" t="n">
        <v>0.1</v>
      </c>
      <c r="P162" s="5" t="n">
        <v>10</v>
      </c>
      <c r="Q162" s="5" t="n">
        <v>0</v>
      </c>
      <c r="R162" s="5" t="n">
        <v>0</v>
      </c>
      <c r="S162" s="5" t="n">
        <v>0</v>
      </c>
      <c r="T162" s="5" t="n">
        <v>8</v>
      </c>
      <c r="U162" s="5" t="n">
        <v>163</v>
      </c>
      <c r="V162" s="5" t="n">
        <v>9</v>
      </c>
      <c r="W162" s="5" t="n"/>
      <c r="X162" s="5" t="inlineStr">
        <is>
          <t>traced outline</t>
        </is>
      </c>
      <c r="Y162" s="5" t="n">
        <v>4685</v>
      </c>
      <c r="Z162" s="5" t="n">
        <v>1483.7</v>
      </c>
      <c r="AA162" s="5" t="n">
        <v>5039.4</v>
      </c>
      <c r="AB162" s="5" t="n">
        <v>1661.6</v>
      </c>
      <c r="AC162" s="5" t="inlineStr"/>
      <c r="AD162" s="5">
        <f>IF(AC162="","",IF(OR(AC162=F162,AND(AC162="crane_footing",F162="isolated_footing")),"yes","no"))</f>
        <v/>
      </c>
    </row>
    <row r="163">
      <c r="A163" s="5" t="n">
        <v>162</v>
      </c>
      <c r="B163" s="5" t="inlineStr">
        <is>
          <t>121</t>
        </is>
      </c>
      <c r="C163" s="5" t="inlineStr">
        <is>
          <t>nearest labels in its region</t>
        </is>
      </c>
      <c r="D163" s="5" t="inlineStr">
        <is>
          <t>outline</t>
        </is>
      </c>
      <c r="E163" s="5" t="n">
        <v>20</v>
      </c>
      <c r="F163" s="5" t="inlineStr">
        <is>
          <t>sump_pit</t>
        </is>
      </c>
      <c r="G163" s="5" t="inlineStr">
        <is>
          <t>label vote</t>
        </is>
      </c>
      <c r="H163" s="5" t="inlineStr">
        <is>
          <t>Fosse</t>
        </is>
      </c>
      <c r="I163" s="5" t="inlineStr">
        <is>
          <t>printed label</t>
        </is>
      </c>
      <c r="J163" s="5" t="inlineStr">
        <is>
          <t>FOSSE DE RELEVAGE2.00x1.50x1.50</t>
        </is>
      </c>
      <c r="K163" s="5" t="n">
        <v>290</v>
      </c>
      <c r="L163" s="5" t="n">
        <v>240</v>
      </c>
      <c r="M163" s="10">
        <f>IF(AND(ISNUMBER(K163),L163&gt;0),K163/L163,"")</f>
        <v/>
      </c>
      <c r="N163" s="5" t="n">
        <v>6.961</v>
      </c>
      <c r="O163" s="5" t="n">
        <v>89.90000000000001</v>
      </c>
      <c r="P163" s="5" t="n">
        <v>4</v>
      </c>
      <c r="Q163" s="5" t="n">
        <v>1</v>
      </c>
      <c r="R163" s="5" t="n">
        <v>0</v>
      </c>
      <c r="S163" s="5" t="n">
        <v>0</v>
      </c>
      <c r="T163" s="5" t="n">
        <v>3</v>
      </c>
      <c r="U163" s="5" t="n">
        <v>7</v>
      </c>
      <c r="V163" s="5" t="n">
        <v>0</v>
      </c>
      <c r="W163" s="5" t="n"/>
      <c r="X163" s="5" t="inlineStr"/>
      <c r="Y163" s="5" t="n">
        <v>4708.7</v>
      </c>
      <c r="Z163" s="5" t="n">
        <v>1815</v>
      </c>
      <c r="AA163" s="5" t="n">
        <v>4779.8</v>
      </c>
      <c r="AB163" s="5" t="n">
        <v>1900.8</v>
      </c>
      <c r="AC163" s="5" t="inlineStr"/>
      <c r="AD163" s="5">
        <f>IF(AC163="","",IF(OR(AC163=F163,AND(AC163="crane_footing",F163="isolated_footing")),"yes","no"))</f>
        <v/>
      </c>
    </row>
    <row r="164">
      <c r="A164" s="5" t="n">
        <v>163</v>
      </c>
      <c r="B164" s="5" t="inlineStr">
        <is>
          <t>121</t>
        </is>
      </c>
      <c r="C164" s="5" t="inlineStr">
        <is>
          <t>nearest labels in its region</t>
        </is>
      </c>
      <c r="D164" s="5" t="inlineStr">
        <is>
          <t>outline</t>
        </is>
      </c>
      <c r="E164" s="5" t="n">
        <v>20</v>
      </c>
      <c r="F164" s="5" t="inlineStr">
        <is>
          <t>sump_pit</t>
        </is>
      </c>
      <c r="G164" s="5" t="inlineStr">
        <is>
          <t>label vote</t>
        </is>
      </c>
      <c r="H164" s="5" t="inlineStr">
        <is>
          <t>(none)</t>
        </is>
      </c>
      <c r="I164" s="5" t="inlineStr"/>
      <c r="J164" s="5" t="inlineStr"/>
      <c r="K164" s="5" t="n">
        <v>240</v>
      </c>
      <c r="L164" s="5" t="n">
        <v>190</v>
      </c>
      <c r="M164" s="10">
        <f>IF(AND(ISNUMBER(K164),L164&gt;0),K164/L164,"")</f>
        <v/>
      </c>
      <c r="N164" s="5" t="n">
        <v>4.56</v>
      </c>
      <c r="O164" s="5" t="n">
        <v>89.90000000000001</v>
      </c>
      <c r="P164" s="5" t="n">
        <v>4</v>
      </c>
      <c r="Q164" s="5" t="n">
        <v>1</v>
      </c>
      <c r="R164" s="5" t="n">
        <v>0</v>
      </c>
      <c r="S164" s="5" t="n">
        <v>0</v>
      </c>
      <c r="T164" s="5" t="n">
        <v>3</v>
      </c>
      <c r="U164" s="5" t="n">
        <v>6</v>
      </c>
      <c r="V164" s="5" t="n">
        <v>0</v>
      </c>
      <c r="W164" s="5" t="n"/>
      <c r="X164" s="5" t="inlineStr"/>
      <c r="Y164" s="5" t="n">
        <v>4716.2</v>
      </c>
      <c r="Z164" s="5" t="n">
        <v>1822.4</v>
      </c>
      <c r="AA164" s="5" t="n">
        <v>4772.4</v>
      </c>
      <c r="AB164" s="5" t="n">
        <v>1893.4</v>
      </c>
      <c r="AC164" s="5" t="inlineStr"/>
      <c r="AD164" s="5">
        <f>IF(AC164="","",IF(OR(AC164=F164,AND(AC164="crane_footing",F164="isolated_footing")),"yes","no"))</f>
        <v/>
      </c>
    </row>
    <row r="165">
      <c r="A165" s="5" t="n">
        <v>164</v>
      </c>
      <c r="B165" s="5" t="inlineStr">
        <is>
          <t>121</t>
        </is>
      </c>
      <c r="C165" s="5" t="inlineStr">
        <is>
          <t>nearest labels in its region</t>
        </is>
      </c>
      <c r="D165" s="5" t="inlineStr">
        <is>
          <t>solid</t>
        </is>
      </c>
      <c r="E165" s="5" t="n">
        <v>38</v>
      </c>
      <c r="F165" s="5" t="inlineStr">
        <is>
          <t>unnamed</t>
        </is>
      </c>
      <c r="G165" s="5" t="inlineStr">
        <is>
          <t>no label votes</t>
        </is>
      </c>
      <c r="H165" s="5" t="inlineStr">
        <is>
          <t>(none)</t>
        </is>
      </c>
      <c r="I165" s="5" t="inlineStr"/>
      <c r="J165" s="5" t="inlineStr"/>
      <c r="K165" s="5" t="n">
        <v>200</v>
      </c>
      <c r="L165" s="5" t="n">
        <v>20</v>
      </c>
      <c r="M165" s="10">
        <f>IF(AND(ISNUMBER(K165),L165&gt;0),K165/L165,"")</f>
        <v/>
      </c>
      <c r="N165" s="5" t="n">
        <v>0.4</v>
      </c>
      <c r="O165" s="5" t="n">
        <v>89.90000000000001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/>
      <c r="X165" s="5" t="inlineStr"/>
      <c r="Y165" s="5" t="n">
        <v>4716.2</v>
      </c>
      <c r="Z165" s="5" t="n">
        <v>1828.4</v>
      </c>
      <c r="AA165" s="5" t="n">
        <v>4722.2</v>
      </c>
      <c r="AB165" s="5" t="n">
        <v>1887.4</v>
      </c>
      <c r="AC165" s="5" t="inlineStr"/>
      <c r="AD165" s="5">
        <f>IF(AC165="","",IF(OR(AC165=F165,AND(AC165="crane_footing",F165="isolated_footing")),"yes","no"))</f>
        <v/>
      </c>
    </row>
    <row r="166">
      <c r="A166" s="5" t="n">
        <v>165</v>
      </c>
      <c r="B166" s="5" t="inlineStr">
        <is>
          <t>121</t>
        </is>
      </c>
      <c r="C166" s="5" t="inlineStr">
        <is>
          <t>nearest labels in its region</t>
        </is>
      </c>
      <c r="D166" s="5" t="inlineStr">
        <is>
          <t>cross_hatch</t>
        </is>
      </c>
      <c r="E166" s="5" t="n">
        <v>14</v>
      </c>
      <c r="F166" s="5" t="inlineStr">
        <is>
          <t>unnamed</t>
        </is>
      </c>
      <c r="G166" s="5" t="inlineStr">
        <is>
          <t>no label votes</t>
        </is>
      </c>
      <c r="H166" s="5" t="inlineStr">
        <is>
          <t>(none)</t>
        </is>
      </c>
      <c r="I166" s="5" t="inlineStr"/>
      <c r="J166" s="5" t="inlineStr"/>
      <c r="K166" s="5" t="n">
        <v>149</v>
      </c>
      <c r="L166" s="5" t="n">
        <v>20</v>
      </c>
      <c r="M166" s="10">
        <f>IF(AND(ISNUMBER(K166),L166&gt;0),K166/L166,"")</f>
        <v/>
      </c>
      <c r="N166" s="5" t="n">
        <v>0.3</v>
      </c>
      <c r="O166" s="5" t="n">
        <v>89.90000000000001</v>
      </c>
      <c r="P166" s="5" t="n">
        <v>1</v>
      </c>
      <c r="Q166" s="5" t="n">
        <v>0</v>
      </c>
      <c r="R166" s="5" t="n">
        <v>0</v>
      </c>
      <c r="S166" s="5" t="n">
        <v>1</v>
      </c>
      <c r="T166" s="5" t="n">
        <v>0</v>
      </c>
      <c r="U166" s="5" t="n">
        <v>0</v>
      </c>
      <c r="V166" s="5" t="n">
        <v>1</v>
      </c>
      <c r="W166" s="5" t="n"/>
      <c r="X166" s="5" t="inlineStr"/>
      <c r="Y166" s="5" t="n">
        <v>4705.3</v>
      </c>
      <c r="Z166" s="5" t="n">
        <v>1533.1</v>
      </c>
      <c r="AA166" s="5" t="n">
        <v>4711.3</v>
      </c>
      <c r="AB166" s="5" t="n">
        <v>1597.3</v>
      </c>
      <c r="AC166" s="5" t="inlineStr"/>
      <c r="AD166" s="5">
        <f>IF(AC166="","",IF(OR(AC166=F166,AND(AC166="crane_footing",F166="isolated_footing")),"yes","no"))</f>
        <v/>
      </c>
    </row>
    <row r="167">
      <c r="A167" s="5" t="n">
        <v>166</v>
      </c>
      <c r="B167" s="5" t="inlineStr">
        <is>
          <t>121</t>
        </is>
      </c>
      <c r="C167" s="5" t="inlineStr">
        <is>
          <t>nearest labels in its region</t>
        </is>
      </c>
      <c r="D167" s="5" t="inlineStr">
        <is>
          <t>cross_hatch</t>
        </is>
      </c>
      <c r="E167" s="5" t="n">
        <v>14</v>
      </c>
      <c r="F167" s="5" t="inlineStr">
        <is>
          <t>unnamed</t>
        </is>
      </c>
      <c r="G167" s="5" t="inlineStr">
        <is>
          <t>no label votes</t>
        </is>
      </c>
      <c r="H167" s="5" t="inlineStr">
        <is>
          <t>(none)</t>
        </is>
      </c>
      <c r="I167" s="5" t="inlineStr"/>
      <c r="J167" s="5" t="inlineStr"/>
      <c r="K167" s="5" t="n">
        <v>231</v>
      </c>
      <c r="L167" s="5" t="n">
        <v>20</v>
      </c>
      <c r="M167" s="10">
        <f>IF(AND(ISNUMBER(K167),L167&gt;0),K167/L167,"")</f>
        <v/>
      </c>
      <c r="N167" s="5" t="n">
        <v>0.467</v>
      </c>
      <c r="O167" s="5" t="n">
        <v>179.9</v>
      </c>
      <c r="P167" s="5" t="n">
        <v>0</v>
      </c>
      <c r="Q167" s="5" t="n">
        <v>0</v>
      </c>
      <c r="R167" s="5" t="n">
        <v>0</v>
      </c>
      <c r="S167" s="5" t="n">
        <v>1</v>
      </c>
      <c r="T167" s="5" t="n">
        <v>0</v>
      </c>
      <c r="U167" s="5" t="n">
        <v>0</v>
      </c>
      <c r="V167" s="5" t="n">
        <v>2</v>
      </c>
      <c r="W167" s="5" t="n"/>
      <c r="X167" s="5" t="inlineStr"/>
      <c r="Y167" s="5" t="n">
        <v>4772.8</v>
      </c>
      <c r="Z167" s="5" t="n">
        <v>1578.4</v>
      </c>
      <c r="AA167" s="5" t="n">
        <v>4869.7</v>
      </c>
      <c r="AB167" s="5" t="n">
        <v>1584.5</v>
      </c>
      <c r="AC167" s="5" t="inlineStr"/>
      <c r="AD167" s="5">
        <f>IF(AC167="","",IF(OR(AC167=F167,AND(AC167="crane_footing",F167="isolated_footing")),"yes","no"))</f>
        <v/>
      </c>
    </row>
    <row r="168">
      <c r="A168" s="5" t="n">
        <v>167</v>
      </c>
      <c r="B168" s="5" t="inlineStr">
        <is>
          <t>121</t>
        </is>
      </c>
      <c r="C168" s="5" t="inlineStr">
        <is>
          <t>nearest labels in its region</t>
        </is>
      </c>
      <c r="D168" s="5" t="inlineStr">
        <is>
          <t>cross_hatch</t>
        </is>
      </c>
      <c r="E168" s="5" t="n">
        <v>14</v>
      </c>
      <c r="F168" s="5" t="inlineStr">
        <is>
          <t>unnamed</t>
        </is>
      </c>
      <c r="G168" s="5" t="inlineStr">
        <is>
          <t>no label votes</t>
        </is>
      </c>
      <c r="H168" s="5" t="inlineStr">
        <is>
          <t>(none)</t>
        </is>
      </c>
      <c r="I168" s="5" t="inlineStr"/>
      <c r="J168" s="5" t="inlineStr"/>
      <c r="K168" s="5" t="n">
        <v>586</v>
      </c>
      <c r="L168" s="5" t="n">
        <v>20</v>
      </c>
      <c r="M168" s="10">
        <f>IF(AND(ISNUMBER(K168),L168&gt;0),K168/L168,"")</f>
        <v/>
      </c>
      <c r="N168" s="5" t="n">
        <v>1.184</v>
      </c>
      <c r="O168" s="5" t="n">
        <v>179.8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  <c r="U168" s="5" t="n">
        <v>5</v>
      </c>
      <c r="V168" s="5" t="n">
        <v>2</v>
      </c>
      <c r="W168" s="5" t="n"/>
      <c r="X168" s="5" t="inlineStr"/>
      <c r="Y168" s="5" t="n">
        <v>4755.2</v>
      </c>
      <c r="Z168" s="5" t="n">
        <v>1612.1</v>
      </c>
      <c r="AA168" s="5" t="n">
        <v>4873.3</v>
      </c>
      <c r="AB168" s="5" t="n">
        <v>1621.9</v>
      </c>
      <c r="AC168" s="5" t="inlineStr"/>
      <c r="AD168" s="5">
        <f>IF(AC168="","",IF(OR(AC168=F168,AND(AC168="crane_footing",F168="isolated_footing")),"yes","no"))</f>
        <v/>
      </c>
    </row>
    <row r="169">
      <c r="A169" s="5" t="n">
        <v>168</v>
      </c>
      <c r="B169" s="5" t="inlineStr">
        <is>
          <t>121</t>
        </is>
      </c>
      <c r="C169" s="5" t="inlineStr">
        <is>
          <t>nearest labels in its region</t>
        </is>
      </c>
      <c r="D169" s="5" t="inlineStr">
        <is>
          <t>outline</t>
        </is>
      </c>
      <c r="E169" s="5" t="n">
        <v>24</v>
      </c>
      <c r="F169" s="5" t="inlineStr">
        <is>
          <t>unnamed</t>
        </is>
      </c>
      <c r="G169" s="5" t="inlineStr">
        <is>
          <t>no label votes</t>
        </is>
      </c>
      <c r="H169" s="5" t="inlineStr">
        <is>
          <t>(none)</t>
        </is>
      </c>
      <c r="I169" s="5" t="inlineStr"/>
      <c r="J169" s="5" t="inlineStr"/>
      <c r="K169" s="5" t="n">
        <v>60</v>
      </c>
      <c r="L169" s="5" t="n">
        <v>60</v>
      </c>
      <c r="M169" s="10">
        <f>IF(AND(ISNUMBER(K169),L169&gt;0),K169/L169,"")</f>
        <v/>
      </c>
      <c r="N169" s="5" t="n">
        <v>0.359</v>
      </c>
      <c r="O169" s="5" t="n">
        <v>90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53</v>
      </c>
      <c r="V169" s="5" t="n">
        <v>3</v>
      </c>
      <c r="W169" s="5" t="n"/>
      <c r="X169" s="5" t="inlineStr"/>
      <c r="Y169" s="5" t="n">
        <v>4290.4</v>
      </c>
      <c r="Z169" s="5" t="n">
        <v>1651.6</v>
      </c>
      <c r="AA169" s="5" t="n">
        <v>4308.1</v>
      </c>
      <c r="AB169" s="5" t="n">
        <v>1669.3</v>
      </c>
      <c r="AC169" s="5" t="inlineStr">
        <is>
          <t>mass_concrete_pad</t>
        </is>
      </c>
      <c r="AD169" s="5">
        <f>IF(AC169="","",IF(OR(AC169=F169,AND(AC169="crane_footing",F169="isolated_footing")),"yes","no"))</f>
        <v/>
      </c>
    </row>
    <row r="170">
      <c r="A170" s="5" t="n">
        <v>169</v>
      </c>
      <c r="B170" s="5" t="inlineStr">
        <is>
          <t>121</t>
        </is>
      </c>
      <c r="C170" s="5" t="inlineStr">
        <is>
          <t>nearest labels in its region</t>
        </is>
      </c>
      <c r="D170" s="5" t="inlineStr">
        <is>
          <t>outline</t>
        </is>
      </c>
      <c r="E170" s="5" t="n">
        <v>22</v>
      </c>
      <c r="F170" s="5" t="inlineStr">
        <is>
          <t>unnamed</t>
        </is>
      </c>
      <c r="G170" s="5" t="inlineStr">
        <is>
          <t>no label votes</t>
        </is>
      </c>
      <c r="H170" s="5" t="inlineStr">
        <is>
          <t>(none)</t>
        </is>
      </c>
      <c r="I170" s="5" t="inlineStr"/>
      <c r="J170" s="5" t="inlineStr"/>
      <c r="K170" s="5" t="n">
        <v>120</v>
      </c>
      <c r="L170" s="5" t="n">
        <v>20</v>
      </c>
      <c r="M170" s="10">
        <f>IF(AND(ISNUMBER(K170),L170&gt;0),K170/L170,"")</f>
        <v/>
      </c>
      <c r="N170" s="5" t="n">
        <v>0.24</v>
      </c>
      <c r="O170" s="5" t="n">
        <v>0</v>
      </c>
      <c r="P170" s="5" t="n">
        <v>2</v>
      </c>
      <c r="Q170" s="5" t="n">
        <v>0</v>
      </c>
      <c r="R170" s="5" t="n">
        <v>0</v>
      </c>
      <c r="S170" s="5" t="n">
        <v>1</v>
      </c>
      <c r="T170" s="5" t="n">
        <v>0</v>
      </c>
      <c r="U170" s="5" t="n">
        <v>3</v>
      </c>
      <c r="V170" s="5" t="n">
        <v>1</v>
      </c>
      <c r="W170" s="5" t="n"/>
      <c r="X170" s="5" t="inlineStr"/>
      <c r="Y170" s="5" t="n">
        <v>4728.9</v>
      </c>
      <c r="Z170" s="5" t="n">
        <v>1527</v>
      </c>
      <c r="AA170" s="5" t="n">
        <v>4764.3</v>
      </c>
      <c r="AB170" s="5" t="n">
        <v>1533</v>
      </c>
      <c r="AC170" s="5" t="inlineStr"/>
      <c r="AD170" s="5">
        <f>IF(AC170="","",IF(OR(AC170=F170,AND(AC170="crane_footing",F170="isolated_footing")),"yes","no"))</f>
        <v/>
      </c>
    </row>
    <row r="171">
      <c r="A171" s="5" t="n">
        <v>170</v>
      </c>
      <c r="B171" s="5" t="inlineStr">
        <is>
          <t>121</t>
        </is>
      </c>
      <c r="C171" s="5" t="inlineStr">
        <is>
          <t>nearest labels in its region</t>
        </is>
      </c>
      <c r="D171" s="5" t="inlineStr">
        <is>
          <t>outline</t>
        </is>
      </c>
      <c r="E171" s="5" t="n">
        <v>22</v>
      </c>
      <c r="F171" s="5" t="inlineStr">
        <is>
          <t>unnamed</t>
        </is>
      </c>
      <c r="G171" s="5" t="inlineStr">
        <is>
          <t>no label votes</t>
        </is>
      </c>
      <c r="H171" s="5" t="inlineStr">
        <is>
          <t>(none)</t>
        </is>
      </c>
      <c r="I171" s="5" t="inlineStr"/>
      <c r="J171" s="5" t="inlineStr"/>
      <c r="K171" s="5" t="n">
        <v>109</v>
      </c>
      <c r="L171" s="5" t="n">
        <v>20</v>
      </c>
      <c r="M171" s="10">
        <f>IF(AND(ISNUMBER(K171),L171&gt;0),K171/L171,"")</f>
        <v/>
      </c>
      <c r="N171" s="5" t="n">
        <v>0.217</v>
      </c>
      <c r="O171" s="5" t="n">
        <v>179.4</v>
      </c>
      <c r="P171" s="5" t="n">
        <v>2</v>
      </c>
      <c r="Q171" s="5" t="n">
        <v>0</v>
      </c>
      <c r="R171" s="5" t="n">
        <v>0</v>
      </c>
      <c r="S171" s="5" t="n">
        <v>1</v>
      </c>
      <c r="T171" s="5" t="n">
        <v>0</v>
      </c>
      <c r="U171" s="5" t="n">
        <v>13</v>
      </c>
      <c r="V171" s="5" t="n">
        <v>1</v>
      </c>
      <c r="W171" s="5" t="n"/>
      <c r="X171" s="5" t="inlineStr"/>
      <c r="Y171" s="5" t="n">
        <v>4878.7</v>
      </c>
      <c r="Z171" s="5" t="n">
        <v>1613.5</v>
      </c>
      <c r="AA171" s="5" t="n">
        <v>4910.8</v>
      </c>
      <c r="AB171" s="5" t="n">
        <v>1619.7</v>
      </c>
      <c r="AC171" s="5" t="inlineStr"/>
      <c r="AD171" s="5">
        <f>IF(AC171="","",IF(OR(AC171=F171,AND(AC171="crane_footing",F171="isolated_footing")),"yes","no"))</f>
        <v/>
      </c>
    </row>
    <row r="172">
      <c r="A172" s="5" t="n">
        <v>171</v>
      </c>
      <c r="B172" s="5" t="inlineStr">
        <is>
          <t>121</t>
        </is>
      </c>
      <c r="C172" s="5" t="inlineStr">
        <is>
          <t>nearest labels in its region</t>
        </is>
      </c>
      <c r="D172" s="5" t="inlineStr">
        <is>
          <t>band</t>
        </is>
      </c>
      <c r="E172" s="5" t="n">
        <v>0</v>
      </c>
      <c r="F172" s="5" t="inlineStr">
        <is>
          <t>unnamed</t>
        </is>
      </c>
      <c r="G172" s="5" t="inlineStr">
        <is>
          <t>no label votes</t>
        </is>
      </c>
      <c r="H172" s="5" t="inlineStr">
        <is>
          <t>(none)</t>
        </is>
      </c>
      <c r="I172" s="5" t="inlineStr"/>
      <c r="J172" s="5" t="inlineStr"/>
      <c r="K172" s="5" t="n">
        <v>1219</v>
      </c>
      <c r="L172" s="5" t="n">
        <v>11</v>
      </c>
      <c r="M172" s="10">
        <f>IF(AND(ISNUMBER(K172),L172&gt;0),K172/L172,"")</f>
        <v/>
      </c>
      <c r="N172" s="5" t="n">
        <v>1.34</v>
      </c>
      <c r="O172" s="5" t="n">
        <v>179.9</v>
      </c>
      <c r="P172" s="5" t="n">
        <v>6</v>
      </c>
      <c r="Q172" s="5" t="n">
        <v>0</v>
      </c>
      <c r="R172" s="5" t="n">
        <v>0</v>
      </c>
      <c r="S172" s="5" t="n">
        <v>0</v>
      </c>
      <c r="T172" s="5" t="n">
        <v>0</v>
      </c>
      <c r="U172" s="5" t="n">
        <v>0</v>
      </c>
      <c r="V172" s="5" t="n">
        <v>2</v>
      </c>
      <c r="W172" s="5" t="n">
        <v>5.3</v>
      </c>
      <c r="X172" s="5" t="inlineStr"/>
      <c r="Y172" s="5" t="n">
        <v>4158.5</v>
      </c>
      <c r="Z172" s="5" t="n">
        <v>2135.7</v>
      </c>
      <c r="AA172" s="5" t="n">
        <v>4518.3</v>
      </c>
      <c r="AB172" s="5" t="n">
        <v>2139.7</v>
      </c>
      <c r="AC172" s="5" t="inlineStr"/>
      <c r="AD172" s="5">
        <f>IF(AC172="","",IF(OR(AC172=F172,AND(AC172="crane_footing",F172="isolated_footing")),"yes","no"))</f>
        <v/>
      </c>
    </row>
    <row r="173">
      <c r="A173" s="5" t="n">
        <v>172</v>
      </c>
      <c r="B173" s="5" t="inlineStr">
        <is>
          <t>121</t>
        </is>
      </c>
      <c r="C173" s="5" t="inlineStr">
        <is>
          <t>nearest labels in its region</t>
        </is>
      </c>
      <c r="D173" s="5" t="inlineStr">
        <is>
          <t>band</t>
        </is>
      </c>
      <c r="E173" s="5" t="n">
        <v>0</v>
      </c>
      <c r="F173" s="5" t="inlineStr">
        <is>
          <t>unnamed</t>
        </is>
      </c>
      <c r="G173" s="5" t="inlineStr">
        <is>
          <t>no label votes</t>
        </is>
      </c>
      <c r="H173" s="5" t="inlineStr">
        <is>
          <t>(none)</t>
        </is>
      </c>
      <c r="I173" s="5" t="inlineStr"/>
      <c r="J173" s="5" t="inlineStr"/>
      <c r="K173" s="5" t="n">
        <v>60</v>
      </c>
      <c r="L173" s="5" t="n">
        <v>11</v>
      </c>
      <c r="M173" s="10">
        <f>IF(AND(ISNUMBER(K173),L173&gt;0),K173/L173,"")</f>
        <v/>
      </c>
      <c r="N173" s="5" t="n">
        <v>0.066</v>
      </c>
      <c r="O173" s="5" t="n">
        <v>90</v>
      </c>
      <c r="P173" s="5" t="n">
        <v>0</v>
      </c>
      <c r="Q173" s="5" t="n">
        <v>1</v>
      </c>
      <c r="R173" s="5" t="n">
        <v>0</v>
      </c>
      <c r="S173" s="5" t="n">
        <v>0</v>
      </c>
      <c r="T173" s="5" t="n">
        <v>0</v>
      </c>
      <c r="U173" s="5" t="n">
        <v>10</v>
      </c>
      <c r="V173" s="5" t="n">
        <v>2</v>
      </c>
      <c r="W173" s="5" t="n">
        <v>0</v>
      </c>
      <c r="X173" s="5" t="inlineStr"/>
      <c r="Y173" s="5" t="n">
        <v>4304.8</v>
      </c>
      <c r="Z173" s="5" t="n">
        <v>1651.6</v>
      </c>
      <c r="AA173" s="5" t="n">
        <v>4308.1</v>
      </c>
      <c r="AB173" s="5" t="n">
        <v>1669.3</v>
      </c>
      <c r="AC173" s="5" t="inlineStr"/>
      <c r="AD173" s="5">
        <f>IF(AC173="","",IF(OR(AC173=F173,AND(AC173="crane_footing",F173="isolated_footing")),"yes","no"))</f>
        <v/>
      </c>
    </row>
    <row r="174">
      <c r="A174" s="5" t="n">
        <v>173</v>
      </c>
      <c r="B174" s="5" t="inlineStr">
        <is>
          <t>121</t>
        </is>
      </c>
      <c r="C174" s="5" t="inlineStr">
        <is>
          <t>nearest labels in its region</t>
        </is>
      </c>
      <c r="D174" s="5" t="inlineStr">
        <is>
          <t>band</t>
        </is>
      </c>
      <c r="E174" s="5" t="n">
        <v>1</v>
      </c>
      <c r="F174" s="5" t="inlineStr">
        <is>
          <t>unnamed</t>
        </is>
      </c>
      <c r="G174" s="5" t="inlineStr">
        <is>
          <t>no label votes</t>
        </is>
      </c>
      <c r="H174" s="5" t="inlineStr">
        <is>
          <t>(none)</t>
        </is>
      </c>
      <c r="I174" s="5" t="inlineStr"/>
      <c r="J174" s="5" t="inlineStr"/>
      <c r="K174" s="5" t="n">
        <v>482</v>
      </c>
      <c r="L174" s="5" t="n">
        <v>20</v>
      </c>
      <c r="M174" s="10">
        <f>IF(AND(ISNUMBER(K174),L174&gt;0),K174/L174,"")</f>
        <v/>
      </c>
      <c r="N174" s="5" t="n">
        <v>0.965</v>
      </c>
      <c r="O174" s="5" t="n">
        <v>179.8</v>
      </c>
      <c r="P174" s="5" t="n">
        <v>2</v>
      </c>
      <c r="Q174" s="5" t="n">
        <v>0</v>
      </c>
      <c r="R174" s="5" t="n">
        <v>0</v>
      </c>
      <c r="S174" s="5" t="n">
        <v>1</v>
      </c>
      <c r="T174" s="5" t="n">
        <v>0</v>
      </c>
      <c r="U174" s="5" t="n">
        <v>8</v>
      </c>
      <c r="V174" s="5" t="n">
        <v>1</v>
      </c>
      <c r="W174" s="5" t="n">
        <v>4.82</v>
      </c>
      <c r="X174" s="5" t="inlineStr"/>
      <c r="Y174" s="5" t="n">
        <v>4729.1</v>
      </c>
      <c r="Z174" s="5" t="n">
        <v>1613.9</v>
      </c>
      <c r="AA174" s="5" t="n">
        <v>4871.5</v>
      </c>
      <c r="AB174" s="5" t="n">
        <v>1620.2</v>
      </c>
      <c r="AC174" s="5" t="inlineStr"/>
      <c r="AD174" s="5">
        <f>IF(AC174="","",IF(OR(AC174=F174,AND(AC174="crane_footing",F174="isolated_footing")),"yes","no"))</f>
        <v/>
      </c>
    </row>
    <row r="175">
      <c r="A175" s="5" t="n">
        <v>174</v>
      </c>
      <c r="B175" s="5" t="inlineStr">
        <is>
          <t>121</t>
        </is>
      </c>
      <c r="C175" s="5" t="inlineStr">
        <is>
          <t>nearest labels in its region</t>
        </is>
      </c>
      <c r="D175" s="5" t="inlineStr">
        <is>
          <t>band</t>
        </is>
      </c>
      <c r="E175" s="5" t="n">
        <v>1</v>
      </c>
      <c r="F175" s="5" t="inlineStr">
        <is>
          <t>unnamed</t>
        </is>
      </c>
      <c r="G175" s="5" t="inlineStr">
        <is>
          <t>no label votes</t>
        </is>
      </c>
      <c r="H175" s="5" t="inlineStr">
        <is>
          <t>(none)</t>
        </is>
      </c>
      <c r="I175" s="5" t="inlineStr"/>
      <c r="J175" s="5" t="inlineStr"/>
      <c r="K175" s="5" t="n">
        <v>337</v>
      </c>
      <c r="L175" s="5" t="n">
        <v>20</v>
      </c>
      <c r="M175" s="10">
        <f>IF(AND(ISNUMBER(K175),L175&gt;0),K175/L175,"")</f>
        <v/>
      </c>
      <c r="N175" s="5" t="n">
        <v>0.675</v>
      </c>
      <c r="O175" s="5" t="n">
        <v>179.9</v>
      </c>
      <c r="P175" s="5" t="n">
        <v>2</v>
      </c>
      <c r="Q175" s="5" t="n">
        <v>0</v>
      </c>
      <c r="R175" s="5" t="n">
        <v>0</v>
      </c>
      <c r="S175" s="5" t="n">
        <v>1</v>
      </c>
      <c r="T175" s="5" t="n">
        <v>0</v>
      </c>
      <c r="U175" s="5" t="n">
        <v>3</v>
      </c>
      <c r="V175" s="5" t="n">
        <v>1</v>
      </c>
      <c r="W175" s="5" t="n">
        <v>3.37</v>
      </c>
      <c r="X175" s="5" t="inlineStr"/>
      <c r="Y175" s="5" t="n">
        <v>4771.8</v>
      </c>
      <c r="Z175" s="5" t="n">
        <v>1578.4</v>
      </c>
      <c r="AA175" s="5" t="n">
        <v>4871.4</v>
      </c>
      <c r="AB175" s="5" t="n">
        <v>1584.6</v>
      </c>
      <c r="AC175" s="5" t="inlineStr"/>
      <c r="AD175" s="5">
        <f>IF(AC175="","",IF(OR(AC175=F175,AND(AC175="crane_footing",F175="isolated_footing")),"yes","no"))</f>
        <v/>
      </c>
    </row>
    <row r="176">
      <c r="A176" s="5" t="n">
        <v>175</v>
      </c>
      <c r="B176" s="5" t="inlineStr">
        <is>
          <t>121</t>
        </is>
      </c>
      <c r="C176" s="5" t="inlineStr">
        <is>
          <t>nearest labels in its region</t>
        </is>
      </c>
      <c r="D176" s="5" t="inlineStr">
        <is>
          <t>band</t>
        </is>
      </c>
      <c r="E176" s="5" t="n">
        <v>1</v>
      </c>
      <c r="F176" s="5" t="inlineStr">
        <is>
          <t>unnamed</t>
        </is>
      </c>
      <c r="G176" s="5" t="inlineStr">
        <is>
          <t>no label votes</t>
        </is>
      </c>
      <c r="H176" s="5" t="inlineStr">
        <is>
          <t>(none)</t>
        </is>
      </c>
      <c r="I176" s="5" t="inlineStr"/>
      <c r="J176" s="5" t="inlineStr"/>
      <c r="K176" s="5" t="n">
        <v>270</v>
      </c>
      <c r="L176" s="5" t="n">
        <v>20</v>
      </c>
      <c r="M176" s="10">
        <f>IF(AND(ISNUMBER(K176),L176&gt;0),K176/L176,"")</f>
        <v/>
      </c>
      <c r="N176" s="5" t="n">
        <v>0.54</v>
      </c>
      <c r="O176" s="5" t="n">
        <v>89.90000000000001</v>
      </c>
      <c r="P176" s="5" t="n">
        <v>2</v>
      </c>
      <c r="Q176" s="5" t="n">
        <v>0</v>
      </c>
      <c r="R176" s="5" t="n">
        <v>0</v>
      </c>
      <c r="S176" s="5" t="n">
        <v>1</v>
      </c>
      <c r="T176" s="5" t="n">
        <v>0</v>
      </c>
      <c r="U176" s="5" t="n">
        <v>2</v>
      </c>
      <c r="V176" s="5" t="n">
        <v>0</v>
      </c>
      <c r="W176" s="5" t="n">
        <v>2.7</v>
      </c>
      <c r="X176" s="5" t="inlineStr"/>
      <c r="Y176" s="5" t="n">
        <v>4705.2</v>
      </c>
      <c r="Z176" s="5" t="n">
        <v>1533</v>
      </c>
      <c r="AA176" s="5" t="n">
        <v>4711.3</v>
      </c>
      <c r="AB176" s="5" t="n">
        <v>1612.7</v>
      </c>
      <c r="AC176" s="5" t="inlineStr"/>
      <c r="AD176" s="5">
        <f>IF(AC176="","",IF(OR(AC176=F176,AND(AC176="crane_footing",F176="isolated_footing")),"yes","no"))</f>
        <v/>
      </c>
    </row>
    <row r="177">
      <c r="A177" s="5" t="n">
        <v>176</v>
      </c>
      <c r="B177" s="5" t="inlineStr">
        <is>
          <t>121</t>
        </is>
      </c>
      <c r="C177" s="5" t="inlineStr">
        <is>
          <t>nearest labels in its region</t>
        </is>
      </c>
      <c r="D177" s="5" t="inlineStr">
        <is>
          <t>band</t>
        </is>
      </c>
      <c r="E177" s="5" t="n">
        <v>1</v>
      </c>
      <c r="F177" s="5" t="inlineStr">
        <is>
          <t>unnamed</t>
        </is>
      </c>
      <c r="G177" s="5" t="inlineStr">
        <is>
          <t>no label votes</t>
        </is>
      </c>
      <c r="H177" s="5" t="inlineStr">
        <is>
          <t>(none)</t>
        </is>
      </c>
      <c r="I177" s="5" t="inlineStr"/>
      <c r="J177" s="5" t="inlineStr"/>
      <c r="K177" s="5" t="n">
        <v>120</v>
      </c>
      <c r="L177" s="5" t="n">
        <v>20</v>
      </c>
      <c r="M177" s="10">
        <f>IF(AND(ISNUMBER(K177),L177&gt;0),K177/L177,"")</f>
        <v/>
      </c>
      <c r="N177" s="5" t="n">
        <v>0.24</v>
      </c>
      <c r="O177" s="5" t="n">
        <v>0</v>
      </c>
      <c r="P177" s="5" t="n">
        <v>2</v>
      </c>
      <c r="Q177" s="5" t="n">
        <v>1</v>
      </c>
      <c r="R177" s="5" t="n">
        <v>0</v>
      </c>
      <c r="S177" s="5" t="n">
        <v>1</v>
      </c>
      <c r="T177" s="5" t="n">
        <v>0</v>
      </c>
      <c r="U177" s="5" t="n">
        <v>3</v>
      </c>
      <c r="V177" s="5" t="n">
        <v>0</v>
      </c>
      <c r="W177" s="5" t="n">
        <v>0</v>
      </c>
      <c r="X177" s="5" t="inlineStr"/>
      <c r="Y177" s="5" t="n">
        <v>4728.9</v>
      </c>
      <c r="Z177" s="5" t="n">
        <v>1527.1</v>
      </c>
      <c r="AA177" s="5" t="n">
        <v>4764.3</v>
      </c>
      <c r="AB177" s="5" t="n">
        <v>1533</v>
      </c>
      <c r="AC177" s="5" t="inlineStr"/>
      <c r="AD177" s="5">
        <f>IF(AC177="","",IF(OR(AC177=F177,AND(AC177="crane_footing",F177="isolated_footing")),"yes","no"))</f>
        <v/>
      </c>
    </row>
    <row r="178">
      <c r="A178" s="5" t="n">
        <v>177</v>
      </c>
      <c r="B178" s="5" t="inlineStr">
        <is>
          <t>121</t>
        </is>
      </c>
      <c r="C178" s="5" t="inlineStr">
        <is>
          <t>nearest labels in its region</t>
        </is>
      </c>
      <c r="D178" s="5" t="inlineStr">
        <is>
          <t>band</t>
        </is>
      </c>
      <c r="E178" s="5" t="n">
        <v>1</v>
      </c>
      <c r="F178" s="5" t="inlineStr">
        <is>
          <t>unnamed</t>
        </is>
      </c>
      <c r="G178" s="5" t="inlineStr">
        <is>
          <t>no label votes</t>
        </is>
      </c>
      <c r="H178" s="5" t="inlineStr">
        <is>
          <t>(none)</t>
        </is>
      </c>
      <c r="I178" s="5" t="inlineStr"/>
      <c r="J178" s="5" t="inlineStr"/>
      <c r="K178" s="5" t="n">
        <v>109</v>
      </c>
      <c r="L178" s="5" t="n">
        <v>20</v>
      </c>
      <c r="M178" s="10">
        <f>IF(AND(ISNUMBER(K178),L178&gt;0),K178/L178,"")</f>
        <v/>
      </c>
      <c r="N178" s="5" t="n">
        <v>0.217</v>
      </c>
      <c r="O178" s="5" t="n">
        <v>179.4</v>
      </c>
      <c r="P178" s="5" t="n">
        <v>2</v>
      </c>
      <c r="Q178" s="5" t="n">
        <v>1</v>
      </c>
      <c r="R178" s="5" t="n">
        <v>0</v>
      </c>
      <c r="S178" s="5" t="n">
        <v>1</v>
      </c>
      <c r="T178" s="5" t="n">
        <v>0</v>
      </c>
      <c r="U178" s="5" t="n">
        <v>13</v>
      </c>
      <c r="V178" s="5" t="n">
        <v>0</v>
      </c>
      <c r="W178" s="5" t="n">
        <v>0</v>
      </c>
      <c r="X178" s="5" t="inlineStr"/>
      <c r="Y178" s="5" t="n">
        <v>4878.7</v>
      </c>
      <c r="Z178" s="5" t="n">
        <v>1613.5</v>
      </c>
      <c r="AA178" s="5" t="n">
        <v>4910.8</v>
      </c>
      <c r="AB178" s="5" t="n">
        <v>1619.7</v>
      </c>
      <c r="AC178" s="5" t="inlineStr"/>
      <c r="AD178" s="5">
        <f>IF(AC178="","",IF(OR(AC178=F178,AND(AC178="crane_footing",F178="isolated_footing")),"yes","no"))</f>
        <v/>
      </c>
    </row>
    <row r="179">
      <c r="A179" s="5" t="n">
        <v>178</v>
      </c>
      <c r="B179" s="5" t="inlineStr">
        <is>
          <t>121</t>
        </is>
      </c>
      <c r="C179" s="5" t="inlineStr">
        <is>
          <t>nearest labels in its region</t>
        </is>
      </c>
      <c r="D179" s="5" t="inlineStr">
        <is>
          <t>band</t>
        </is>
      </c>
      <c r="E179" s="5" t="n">
        <v>3</v>
      </c>
      <c r="F179" s="5" t="inlineStr">
        <is>
          <t>unnamed</t>
        </is>
      </c>
      <c r="G179" s="5" t="inlineStr">
        <is>
          <t>no label votes</t>
        </is>
      </c>
      <c r="H179" s="5" t="inlineStr">
        <is>
          <t>(none)</t>
        </is>
      </c>
      <c r="I179" s="5" t="inlineStr"/>
      <c r="J179" s="5" t="inlineStr"/>
      <c r="K179" s="5" t="n">
        <v>217</v>
      </c>
      <c r="L179" s="5" t="n">
        <v>31</v>
      </c>
      <c r="M179" s="10">
        <f>IF(AND(ISNUMBER(K179),L179&gt;0),K179/L179,"")</f>
        <v/>
      </c>
      <c r="N179" s="5" t="n">
        <v>0.674</v>
      </c>
      <c r="O179" s="5" t="n">
        <v>36.6</v>
      </c>
      <c r="P179" s="5" t="n">
        <v>1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16</v>
      </c>
      <c r="W179" s="5" t="n">
        <v>2.17</v>
      </c>
      <c r="X179" s="5" t="inlineStr"/>
      <c r="Y179" s="5" t="n">
        <v>4676.2</v>
      </c>
      <c r="Z179" s="5" t="n">
        <v>2038.1</v>
      </c>
      <c r="AA179" s="5" t="n">
        <v>4733.2</v>
      </c>
      <c r="AB179" s="5" t="n">
        <v>2083.8</v>
      </c>
      <c r="AC179" s="5" t="inlineStr"/>
      <c r="AD179" s="5">
        <f>IF(AC179="","",IF(OR(AC179=F179,AND(AC179="crane_footing",F179="isolated_footing")),"yes","no"))</f>
        <v/>
      </c>
    </row>
    <row r="180">
      <c r="A180" s="5" t="n">
        <v>179</v>
      </c>
      <c r="B180" s="5" t="inlineStr">
        <is>
          <t>121</t>
        </is>
      </c>
      <c r="C180" s="5" t="inlineStr">
        <is>
          <t>nearest labels in its region</t>
        </is>
      </c>
      <c r="D180" s="5" t="inlineStr">
        <is>
          <t>band</t>
        </is>
      </c>
      <c r="E180" s="5" t="n">
        <v>3</v>
      </c>
      <c r="F180" s="5" t="inlineStr">
        <is>
          <t>unnamed</t>
        </is>
      </c>
      <c r="G180" s="5" t="inlineStr">
        <is>
          <t>no label votes</t>
        </is>
      </c>
      <c r="H180" s="5" t="inlineStr">
        <is>
          <t>(none)</t>
        </is>
      </c>
      <c r="I180" s="5" t="inlineStr"/>
      <c r="J180" s="5" t="inlineStr"/>
      <c r="K180" s="5" t="n">
        <v>217</v>
      </c>
      <c r="L180" s="5" t="n">
        <v>31</v>
      </c>
      <c r="M180" s="10">
        <f>IF(AND(ISNUMBER(K180),L180&gt;0),K180/L180,"")</f>
        <v/>
      </c>
      <c r="N180" s="5" t="n">
        <v>0.673</v>
      </c>
      <c r="O180" s="5" t="n">
        <v>36.6</v>
      </c>
      <c r="P180" s="5" t="n">
        <v>1</v>
      </c>
      <c r="Q180" s="5" t="n">
        <v>0</v>
      </c>
      <c r="R180" s="5" t="n">
        <v>0</v>
      </c>
      <c r="S180" s="5" t="n">
        <v>0</v>
      </c>
      <c r="T180" s="5" t="n">
        <v>0</v>
      </c>
      <c r="U180" s="5" t="n">
        <v>0</v>
      </c>
      <c r="V180" s="5" t="n">
        <v>12</v>
      </c>
      <c r="W180" s="5" t="n">
        <v>2.17</v>
      </c>
      <c r="X180" s="5" t="inlineStr"/>
      <c r="Y180" s="5" t="n">
        <v>4707.6</v>
      </c>
      <c r="Z180" s="5" t="n">
        <v>2038.1</v>
      </c>
      <c r="AA180" s="5" t="n">
        <v>4764.5</v>
      </c>
      <c r="AB180" s="5" t="n">
        <v>2083.7</v>
      </c>
      <c r="AC180" s="5" t="inlineStr"/>
      <c r="AD180" s="5">
        <f>IF(AC180="","",IF(OR(AC180=F180,AND(AC180="crane_footing",F180="isolated_footing")),"yes","no"))</f>
        <v/>
      </c>
    </row>
    <row r="181">
      <c r="A181" s="5" t="n">
        <v>180</v>
      </c>
      <c r="B181" s="5" t="inlineStr">
        <is>
          <t>121</t>
        </is>
      </c>
      <c r="C181" s="5" t="inlineStr">
        <is>
          <t>nearest labels in its region</t>
        </is>
      </c>
      <c r="D181" s="5" t="inlineStr">
        <is>
          <t>band</t>
        </is>
      </c>
      <c r="E181" s="5" t="n">
        <v>3</v>
      </c>
      <c r="F181" s="5" t="inlineStr">
        <is>
          <t>unnamed</t>
        </is>
      </c>
      <c r="G181" s="5" t="inlineStr">
        <is>
          <t>no label votes</t>
        </is>
      </c>
      <c r="H181" s="5" t="inlineStr">
        <is>
          <t>(none)</t>
        </is>
      </c>
      <c r="I181" s="5" t="inlineStr"/>
      <c r="J181" s="5" t="inlineStr"/>
      <c r="K181" s="5" t="n">
        <v>217</v>
      </c>
      <c r="L181" s="5" t="n">
        <v>31</v>
      </c>
      <c r="M181" s="10">
        <f>IF(AND(ISNUMBER(K181),L181&gt;0),K181/L181,"")</f>
        <v/>
      </c>
      <c r="N181" s="5" t="n">
        <v>0.673</v>
      </c>
      <c r="O181" s="5" t="n">
        <v>36.6</v>
      </c>
      <c r="P181" s="5" t="n">
        <v>1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14</v>
      </c>
      <c r="V181" s="5" t="n">
        <v>15</v>
      </c>
      <c r="W181" s="5" t="n">
        <v>2.17</v>
      </c>
      <c r="X181" s="5" t="inlineStr"/>
      <c r="Y181" s="5" t="n">
        <v>4691.9</v>
      </c>
      <c r="Z181" s="5" t="n">
        <v>2038.1</v>
      </c>
      <c r="AA181" s="5" t="n">
        <v>4748.8</v>
      </c>
      <c r="AB181" s="5" t="n">
        <v>2083.7</v>
      </c>
      <c r="AC181" s="5" t="inlineStr"/>
      <c r="AD181" s="5">
        <f>IF(AC181="","",IF(OR(AC181=F181,AND(AC181="crane_footing",F181="isolated_footing")),"yes","no"))</f>
        <v/>
      </c>
    </row>
    <row r="182">
      <c r="A182" s="5" t="n">
        <v>181</v>
      </c>
      <c r="B182" s="5" t="inlineStr">
        <is>
          <t>121</t>
        </is>
      </c>
      <c r="C182" s="5" t="inlineStr">
        <is>
          <t>nearest labels in its region</t>
        </is>
      </c>
      <c r="D182" s="5" t="inlineStr">
        <is>
          <t>band</t>
        </is>
      </c>
      <c r="E182" s="5" t="n">
        <v>3</v>
      </c>
      <c r="F182" s="5" t="inlineStr">
        <is>
          <t>unnamed</t>
        </is>
      </c>
      <c r="G182" s="5" t="inlineStr">
        <is>
          <t>no label votes</t>
        </is>
      </c>
      <c r="H182" s="5" t="inlineStr">
        <is>
          <t>(none)</t>
        </is>
      </c>
      <c r="I182" s="5" t="inlineStr"/>
      <c r="J182" s="5" t="inlineStr"/>
      <c r="K182" s="5" t="n">
        <v>217</v>
      </c>
      <c r="L182" s="5" t="n">
        <v>31</v>
      </c>
      <c r="M182" s="10">
        <f>IF(AND(ISNUMBER(K182),L182&gt;0),K182/L182,"")</f>
        <v/>
      </c>
      <c r="N182" s="5" t="n">
        <v>0.673</v>
      </c>
      <c r="O182" s="5" t="n">
        <v>36.7</v>
      </c>
      <c r="P182" s="5" t="n">
        <v>1</v>
      </c>
      <c r="Q182" s="5" t="n">
        <v>0</v>
      </c>
      <c r="R182" s="5" t="n">
        <v>0</v>
      </c>
      <c r="S182" s="5" t="n">
        <v>0</v>
      </c>
      <c r="T182" s="5" t="n">
        <v>0</v>
      </c>
      <c r="U182" s="5" t="n">
        <v>14</v>
      </c>
      <c r="V182" s="5" t="n">
        <v>14</v>
      </c>
      <c r="W182" s="5" t="n">
        <v>2.17</v>
      </c>
      <c r="X182" s="5" t="inlineStr"/>
      <c r="Y182" s="5" t="n">
        <v>4629.2</v>
      </c>
      <c r="Z182" s="5" t="n">
        <v>2038.2</v>
      </c>
      <c r="AA182" s="5" t="n">
        <v>4686.1</v>
      </c>
      <c r="AB182" s="5" t="n">
        <v>2083.8</v>
      </c>
      <c r="AC182" s="5" t="inlineStr"/>
      <c r="AD182" s="5">
        <f>IF(AC182="","",IF(OR(AC182=F182,AND(AC182="crane_footing",F182="isolated_footing")),"yes","no"))</f>
        <v/>
      </c>
    </row>
    <row r="183">
      <c r="A183" s="5" t="n">
        <v>182</v>
      </c>
      <c r="B183" s="5" t="inlineStr">
        <is>
          <t>121</t>
        </is>
      </c>
      <c r="C183" s="5" t="inlineStr">
        <is>
          <t>nearest labels in its region</t>
        </is>
      </c>
      <c r="D183" s="5" t="inlineStr">
        <is>
          <t>band</t>
        </is>
      </c>
      <c r="E183" s="5" t="n">
        <v>3</v>
      </c>
      <c r="F183" s="5" t="inlineStr">
        <is>
          <t>unnamed</t>
        </is>
      </c>
      <c r="G183" s="5" t="inlineStr">
        <is>
          <t>no label votes</t>
        </is>
      </c>
      <c r="H183" s="5" t="inlineStr">
        <is>
          <t>(none)</t>
        </is>
      </c>
      <c r="I183" s="5" t="inlineStr"/>
      <c r="J183" s="5" t="inlineStr"/>
      <c r="K183" s="5" t="n">
        <v>217</v>
      </c>
      <c r="L183" s="5" t="n">
        <v>31</v>
      </c>
      <c r="M183" s="10">
        <f>IF(AND(ISNUMBER(K183),L183&gt;0),K183/L183,"")</f>
        <v/>
      </c>
      <c r="N183" s="5" t="n">
        <v>0.673</v>
      </c>
      <c r="O183" s="5" t="n">
        <v>36.6</v>
      </c>
      <c r="P183" s="5" t="n">
        <v>1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2</v>
      </c>
      <c r="V183" s="5" t="n">
        <v>16</v>
      </c>
      <c r="W183" s="5" t="n">
        <v>2.17</v>
      </c>
      <c r="X183" s="5" t="inlineStr"/>
      <c r="Y183" s="5" t="n">
        <v>4660.6</v>
      </c>
      <c r="Z183" s="5" t="n">
        <v>2038.2</v>
      </c>
      <c r="AA183" s="5" t="n">
        <v>4717.5</v>
      </c>
      <c r="AB183" s="5" t="n">
        <v>2083.8</v>
      </c>
      <c r="AC183" s="5" t="inlineStr"/>
      <c r="AD183" s="5">
        <f>IF(AC183="","",IF(OR(AC183=F183,AND(AC183="crane_footing",F183="isolated_footing")),"yes","no"))</f>
        <v/>
      </c>
    </row>
    <row r="184">
      <c r="A184" s="5" t="n">
        <v>183</v>
      </c>
      <c r="B184" s="5" t="inlineStr">
        <is>
          <t>121</t>
        </is>
      </c>
      <c r="C184" s="5" t="inlineStr">
        <is>
          <t>nearest labels in its region</t>
        </is>
      </c>
      <c r="D184" s="5" t="inlineStr">
        <is>
          <t>band</t>
        </is>
      </c>
      <c r="E184" s="5" t="n">
        <v>3</v>
      </c>
      <c r="F184" s="5" t="inlineStr">
        <is>
          <t>unnamed</t>
        </is>
      </c>
      <c r="G184" s="5" t="inlineStr">
        <is>
          <t>no label votes</t>
        </is>
      </c>
      <c r="H184" s="5" t="inlineStr">
        <is>
          <t>(none)</t>
        </is>
      </c>
      <c r="I184" s="5" t="inlineStr"/>
      <c r="J184" s="5" t="inlineStr"/>
      <c r="K184" s="5" t="n">
        <v>217</v>
      </c>
      <c r="L184" s="5" t="n">
        <v>31</v>
      </c>
      <c r="M184" s="10">
        <f>IF(AND(ISNUMBER(K184),L184&gt;0),K184/L184,"")</f>
        <v/>
      </c>
      <c r="N184" s="5" t="n">
        <v>0.673</v>
      </c>
      <c r="O184" s="5" t="n">
        <v>36.6</v>
      </c>
      <c r="P184" s="5" t="n">
        <v>1</v>
      </c>
      <c r="Q184" s="5" t="n">
        <v>0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15</v>
      </c>
      <c r="W184" s="5" t="n">
        <v>2.17</v>
      </c>
      <c r="X184" s="5" t="inlineStr"/>
      <c r="Y184" s="5" t="n">
        <v>4644.9</v>
      </c>
      <c r="Z184" s="5" t="n">
        <v>2038.2</v>
      </c>
      <c r="AA184" s="5" t="n">
        <v>4701.8</v>
      </c>
      <c r="AB184" s="5" t="n">
        <v>2083.8</v>
      </c>
      <c r="AC184" s="5" t="inlineStr"/>
      <c r="AD184" s="5">
        <f>IF(AC184="","",IF(OR(AC184=F184,AND(AC184="crane_footing",F184="isolated_footing")),"yes","no"))</f>
        <v/>
      </c>
    </row>
    <row r="185">
      <c r="A185" s="5" t="n">
        <v>184</v>
      </c>
      <c r="B185" s="5" t="inlineStr">
        <is>
          <t>121</t>
        </is>
      </c>
      <c r="C185" s="5" t="inlineStr">
        <is>
          <t>nearest labels in its region</t>
        </is>
      </c>
      <c r="D185" s="5" t="inlineStr">
        <is>
          <t>band</t>
        </is>
      </c>
      <c r="E185" s="5" t="n">
        <v>3</v>
      </c>
      <c r="F185" s="5" t="inlineStr">
        <is>
          <t>unnamed</t>
        </is>
      </c>
      <c r="G185" s="5" t="inlineStr">
        <is>
          <t>no label votes</t>
        </is>
      </c>
      <c r="H185" s="5" t="inlineStr">
        <is>
          <t>(none)</t>
        </is>
      </c>
      <c r="I185" s="5" t="inlineStr"/>
      <c r="J185" s="5" t="inlineStr"/>
      <c r="K185" s="5" t="n">
        <v>217</v>
      </c>
      <c r="L185" s="5" t="n">
        <v>31</v>
      </c>
      <c r="M185" s="10">
        <f>IF(AND(ISNUMBER(K185),L185&gt;0),K185/L185,"")</f>
        <v/>
      </c>
      <c r="N185" s="5" t="n">
        <v>0.672</v>
      </c>
      <c r="O185" s="5" t="n">
        <v>36.6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14</v>
      </c>
      <c r="V185" s="5" t="n">
        <v>15</v>
      </c>
      <c r="W185" s="5" t="n">
        <v>2.17</v>
      </c>
      <c r="X185" s="5" t="inlineStr"/>
      <c r="Y185" s="5" t="n">
        <v>4582.3</v>
      </c>
      <c r="Z185" s="5" t="n">
        <v>2038.3</v>
      </c>
      <c r="AA185" s="5" t="n">
        <v>4639.1</v>
      </c>
      <c r="AB185" s="5" t="n">
        <v>2083.9</v>
      </c>
      <c r="AC185" s="5" t="inlineStr"/>
      <c r="AD185" s="5">
        <f>IF(AC185="","",IF(OR(AC185=F185,AND(AC185="crane_footing",F185="isolated_footing")),"yes","no"))</f>
        <v/>
      </c>
    </row>
    <row r="186">
      <c r="A186" s="5" t="n">
        <v>185</v>
      </c>
      <c r="B186" s="5" t="inlineStr">
        <is>
          <t>121</t>
        </is>
      </c>
      <c r="C186" s="5" t="inlineStr">
        <is>
          <t>nearest labels in its region</t>
        </is>
      </c>
      <c r="D186" s="5" t="inlineStr">
        <is>
          <t>band</t>
        </is>
      </c>
      <c r="E186" s="5" t="n">
        <v>3</v>
      </c>
      <c r="F186" s="5" t="inlineStr">
        <is>
          <t>unnamed</t>
        </is>
      </c>
      <c r="G186" s="5" t="inlineStr">
        <is>
          <t>no label votes</t>
        </is>
      </c>
      <c r="H186" s="5" t="inlineStr">
        <is>
          <t>(none)</t>
        </is>
      </c>
      <c r="I186" s="5" t="inlineStr"/>
      <c r="J186" s="5" t="inlineStr"/>
      <c r="K186" s="5" t="n">
        <v>217</v>
      </c>
      <c r="L186" s="5" t="n">
        <v>31</v>
      </c>
      <c r="M186" s="10">
        <f>IF(AND(ISNUMBER(K186),L186&gt;0),K186/L186,"")</f>
        <v/>
      </c>
      <c r="N186" s="5" t="n">
        <v>0.672</v>
      </c>
      <c r="O186" s="5" t="n">
        <v>36.6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  <c r="U186" s="5" t="n">
        <v>0</v>
      </c>
      <c r="V186" s="5" t="n">
        <v>14</v>
      </c>
      <c r="W186" s="5" t="n">
        <v>2.17</v>
      </c>
      <c r="X186" s="5" t="inlineStr"/>
      <c r="Y186" s="5" t="n">
        <v>4613.6</v>
      </c>
      <c r="Z186" s="5" t="n">
        <v>2038.3</v>
      </c>
      <c r="AA186" s="5" t="n">
        <v>4670.4</v>
      </c>
      <c r="AB186" s="5" t="n">
        <v>2083.8</v>
      </c>
      <c r="AC186" s="5" t="inlineStr"/>
      <c r="AD186" s="5">
        <f>IF(AC186="","",IF(OR(AC186=F186,AND(AC186="crane_footing",F186="isolated_footing")),"yes","no"))</f>
        <v/>
      </c>
    </row>
    <row r="187">
      <c r="A187" s="5" t="n">
        <v>186</v>
      </c>
      <c r="B187" s="5" t="inlineStr">
        <is>
          <t>121</t>
        </is>
      </c>
      <c r="C187" s="5" t="inlineStr">
        <is>
          <t>nearest labels in its region</t>
        </is>
      </c>
      <c r="D187" s="5" t="inlineStr">
        <is>
          <t>band</t>
        </is>
      </c>
      <c r="E187" s="5" t="n">
        <v>3</v>
      </c>
      <c r="F187" s="5" t="inlineStr">
        <is>
          <t>unnamed</t>
        </is>
      </c>
      <c r="G187" s="5" t="inlineStr">
        <is>
          <t>no label votes</t>
        </is>
      </c>
      <c r="H187" s="5" t="inlineStr">
        <is>
          <t>(none)</t>
        </is>
      </c>
      <c r="I187" s="5" t="inlineStr"/>
      <c r="J187" s="5" t="inlineStr"/>
      <c r="K187" s="5" t="n">
        <v>217</v>
      </c>
      <c r="L187" s="5" t="n">
        <v>31</v>
      </c>
      <c r="M187" s="10">
        <f>IF(AND(ISNUMBER(K187),L187&gt;0),K187/L187,"")</f>
        <v/>
      </c>
      <c r="N187" s="5" t="n">
        <v>0.672</v>
      </c>
      <c r="O187" s="5" t="n">
        <v>36.7</v>
      </c>
      <c r="P187" s="5" t="n">
        <v>1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2</v>
      </c>
      <c r="V187" s="5" t="n">
        <v>15</v>
      </c>
      <c r="W187" s="5" t="n">
        <v>2.17</v>
      </c>
      <c r="X187" s="5" t="inlineStr"/>
      <c r="Y187" s="5" t="n">
        <v>4597.9</v>
      </c>
      <c r="Z187" s="5" t="n">
        <v>2038.3</v>
      </c>
      <c r="AA187" s="5" t="n">
        <v>4654.7</v>
      </c>
      <c r="AB187" s="5" t="n">
        <v>2083.8</v>
      </c>
      <c r="AC187" s="5" t="inlineStr"/>
      <c r="AD187" s="5">
        <f>IF(AC187="","",IF(OR(AC187=F187,AND(AC187="crane_footing",F187="isolated_footing")),"yes","no"))</f>
        <v/>
      </c>
    </row>
    <row r="188">
      <c r="A188" s="5" t="n">
        <v>187</v>
      </c>
      <c r="B188" s="5" t="inlineStr">
        <is>
          <t>121</t>
        </is>
      </c>
      <c r="C188" s="5" t="inlineStr">
        <is>
          <t>nearest labels in its region</t>
        </is>
      </c>
      <c r="D188" s="5" t="inlineStr">
        <is>
          <t>band</t>
        </is>
      </c>
      <c r="E188" s="5" t="n">
        <v>3</v>
      </c>
      <c r="F188" s="5" t="inlineStr">
        <is>
          <t>unnamed</t>
        </is>
      </c>
      <c r="G188" s="5" t="inlineStr">
        <is>
          <t>no label votes</t>
        </is>
      </c>
      <c r="H188" s="5" t="inlineStr">
        <is>
          <t>(none)</t>
        </is>
      </c>
      <c r="I188" s="5" t="inlineStr"/>
      <c r="J188" s="5" t="inlineStr"/>
      <c r="K188" s="5" t="n">
        <v>209</v>
      </c>
      <c r="L188" s="5" t="n">
        <v>31</v>
      </c>
      <c r="M188" s="10">
        <f>IF(AND(ISNUMBER(K188),L188&gt;0),K188/L188,"")</f>
        <v/>
      </c>
      <c r="N188" s="5" t="n">
        <v>0.646</v>
      </c>
      <c r="O188" s="5" t="n">
        <v>36.7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  <c r="U188" s="5" t="n">
        <v>0</v>
      </c>
      <c r="V188" s="5" t="n">
        <v>15</v>
      </c>
      <c r="W188" s="5" t="n">
        <v>1.5</v>
      </c>
      <c r="X188" s="5" t="inlineStr"/>
      <c r="Y188" s="5" t="n">
        <v>4537.2</v>
      </c>
      <c r="Z188" s="5" t="n">
        <v>2039.8</v>
      </c>
      <c r="AA188" s="5" t="n">
        <v>4592</v>
      </c>
      <c r="AB188" s="5" t="n">
        <v>2084</v>
      </c>
      <c r="AC188" s="5" t="inlineStr"/>
      <c r="AD188" s="5">
        <f>IF(AC188="","",IF(OR(AC188=F188,AND(AC188="crane_footing",F188="isolated_footing")),"yes","no"))</f>
        <v/>
      </c>
    </row>
    <row r="189">
      <c r="A189" s="5" t="n">
        <v>188</v>
      </c>
      <c r="B189" s="5" t="inlineStr">
        <is>
          <t>121</t>
        </is>
      </c>
      <c r="C189" s="5" t="inlineStr">
        <is>
          <t>nearest labels in its region</t>
        </is>
      </c>
      <c r="D189" s="5" t="inlineStr">
        <is>
          <t>band</t>
        </is>
      </c>
      <c r="E189" s="5" t="n">
        <v>3</v>
      </c>
      <c r="F189" s="5" t="inlineStr">
        <is>
          <t>unnamed</t>
        </is>
      </c>
      <c r="G189" s="5" t="inlineStr">
        <is>
          <t>no label votes</t>
        </is>
      </c>
      <c r="H189" s="5" t="inlineStr">
        <is>
          <t>(none)</t>
        </is>
      </c>
      <c r="I189" s="5" t="inlineStr"/>
      <c r="J189" s="5" t="inlineStr"/>
      <c r="K189" s="5" t="n">
        <v>209</v>
      </c>
      <c r="L189" s="5" t="n">
        <v>31</v>
      </c>
      <c r="M189" s="10">
        <f>IF(AND(ISNUMBER(K189),L189&gt;0),K189/L189,"")</f>
        <v/>
      </c>
      <c r="N189" s="5" t="n">
        <v>0.646</v>
      </c>
      <c r="O189" s="5" t="n">
        <v>36.6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15</v>
      </c>
      <c r="W189" s="5" t="n">
        <v>1.94</v>
      </c>
      <c r="X189" s="5" t="inlineStr"/>
      <c r="Y189" s="5" t="n">
        <v>4568.5</v>
      </c>
      <c r="Z189" s="5" t="n">
        <v>2039.8</v>
      </c>
      <c r="AA189" s="5" t="n">
        <v>4623.4</v>
      </c>
      <c r="AB189" s="5" t="n">
        <v>2083.9</v>
      </c>
      <c r="AC189" s="5" t="inlineStr"/>
      <c r="AD189" s="5">
        <f>IF(AC189="","",IF(OR(AC189=F189,AND(AC189="crane_footing",F189="isolated_footing")),"yes","no"))</f>
        <v/>
      </c>
    </row>
    <row r="190">
      <c r="A190" s="5" t="n">
        <v>189</v>
      </c>
      <c r="B190" s="5" t="inlineStr">
        <is>
          <t>121</t>
        </is>
      </c>
      <c r="C190" s="5" t="inlineStr">
        <is>
          <t>nearest labels in its region</t>
        </is>
      </c>
      <c r="D190" s="5" t="inlineStr">
        <is>
          <t>band</t>
        </is>
      </c>
      <c r="E190" s="5" t="n">
        <v>3</v>
      </c>
      <c r="F190" s="5" t="inlineStr">
        <is>
          <t>unnamed</t>
        </is>
      </c>
      <c r="G190" s="5" t="inlineStr">
        <is>
          <t>no label votes</t>
        </is>
      </c>
      <c r="H190" s="5" t="inlineStr">
        <is>
          <t>(none)</t>
        </is>
      </c>
      <c r="I190" s="5" t="inlineStr"/>
      <c r="J190" s="5" t="inlineStr"/>
      <c r="K190" s="5" t="n">
        <v>208</v>
      </c>
      <c r="L190" s="5" t="n">
        <v>31</v>
      </c>
      <c r="M190" s="10">
        <f>IF(AND(ISNUMBER(K190),L190&gt;0),K190/L190,"")</f>
        <v/>
      </c>
      <c r="N190" s="5" t="n">
        <v>0.646</v>
      </c>
      <c r="O190" s="5" t="n">
        <v>36.6</v>
      </c>
      <c r="P190" s="5" t="n">
        <v>1</v>
      </c>
      <c r="Q190" s="5" t="n">
        <v>0</v>
      </c>
      <c r="R190" s="5" t="n">
        <v>0</v>
      </c>
      <c r="S190" s="5" t="n">
        <v>0</v>
      </c>
      <c r="T190" s="5" t="n">
        <v>0</v>
      </c>
      <c r="U190" s="5" t="n">
        <v>1</v>
      </c>
      <c r="V190" s="5" t="n">
        <v>15</v>
      </c>
      <c r="W190" s="5" t="n">
        <v>1.5</v>
      </c>
      <c r="X190" s="5" t="inlineStr"/>
      <c r="Y190" s="5" t="n">
        <v>4552.8</v>
      </c>
      <c r="Z190" s="5" t="n">
        <v>2039.8</v>
      </c>
      <c r="AA190" s="5" t="n">
        <v>4607.7</v>
      </c>
      <c r="AB190" s="5" t="n">
        <v>2083.9</v>
      </c>
      <c r="AC190" s="5" t="inlineStr"/>
      <c r="AD190" s="5">
        <f>IF(AC190="","",IF(OR(AC190=F190,AND(AC190="crane_footing",F190="isolated_footing")),"yes","no"))</f>
        <v/>
      </c>
    </row>
    <row r="191">
      <c r="A191" s="5" t="n">
        <v>190</v>
      </c>
      <c r="B191" s="5" t="inlineStr">
        <is>
          <t>121</t>
        </is>
      </c>
      <c r="C191" s="5" t="inlineStr">
        <is>
          <t>nearest labels in its region</t>
        </is>
      </c>
      <c r="D191" s="5" t="inlineStr">
        <is>
          <t>band</t>
        </is>
      </c>
      <c r="E191" s="5" t="n">
        <v>3</v>
      </c>
      <c r="F191" s="5" t="inlineStr">
        <is>
          <t>unnamed</t>
        </is>
      </c>
      <c r="G191" s="5" t="inlineStr">
        <is>
          <t>no label votes</t>
        </is>
      </c>
      <c r="H191" s="5" t="inlineStr">
        <is>
          <t>(none)</t>
        </is>
      </c>
      <c r="I191" s="5" t="inlineStr"/>
      <c r="J191" s="5" t="inlineStr"/>
      <c r="K191" s="5" t="n">
        <v>208</v>
      </c>
      <c r="L191" s="5" t="n">
        <v>31</v>
      </c>
      <c r="M191" s="10">
        <f>IF(AND(ISNUMBER(K191),L191&gt;0),K191/L191,"")</f>
        <v/>
      </c>
      <c r="N191" s="5" t="n">
        <v>0.646</v>
      </c>
      <c r="O191" s="5" t="n">
        <v>36.6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14</v>
      </c>
      <c r="V191" s="5" t="n">
        <v>13</v>
      </c>
      <c r="W191" s="5" t="n">
        <v>1.5</v>
      </c>
      <c r="X191" s="5" t="inlineStr"/>
      <c r="Y191" s="5" t="n">
        <v>4521.5</v>
      </c>
      <c r="Z191" s="5" t="n">
        <v>2039.9</v>
      </c>
      <c r="AA191" s="5" t="n">
        <v>4576.3</v>
      </c>
      <c r="AB191" s="5" t="n">
        <v>2084</v>
      </c>
      <c r="AC191" s="5" t="inlineStr"/>
      <c r="AD191" s="5">
        <f>IF(AC191="","",IF(OR(AC191=F191,AND(AC191="crane_footing",F191="isolated_footing")),"yes","no"))</f>
        <v/>
      </c>
    </row>
    <row r="192">
      <c r="A192" s="5" t="n">
        <v>191</v>
      </c>
      <c r="B192" s="5" t="inlineStr">
        <is>
          <t>121</t>
        </is>
      </c>
      <c r="C192" s="5" t="inlineStr">
        <is>
          <t>nearest labels in its region</t>
        </is>
      </c>
      <c r="D192" s="5" t="inlineStr">
        <is>
          <t>band</t>
        </is>
      </c>
      <c r="E192" s="5" t="n">
        <v>3</v>
      </c>
      <c r="F192" s="5" t="inlineStr">
        <is>
          <t>unnamed</t>
        </is>
      </c>
      <c r="G192" s="5" t="inlineStr">
        <is>
          <t>no label votes</t>
        </is>
      </c>
      <c r="H192" s="5" t="inlineStr">
        <is>
          <t>(none)</t>
        </is>
      </c>
      <c r="I192" s="5" t="inlineStr"/>
      <c r="J192" s="5" t="inlineStr"/>
      <c r="K192" s="5" t="n">
        <v>163</v>
      </c>
      <c r="L192" s="5" t="n">
        <v>31</v>
      </c>
      <c r="M192" s="10">
        <f>IF(AND(ISNUMBER(K192),L192&gt;0),K192/L192,"")</f>
        <v/>
      </c>
      <c r="N192" s="5" t="n">
        <v>0.506</v>
      </c>
      <c r="O192" s="5" t="n">
        <v>126.6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  <c r="U192" s="5" t="n">
        <v>28</v>
      </c>
      <c r="V192" s="5" t="n">
        <v>11</v>
      </c>
      <c r="W192" s="5" t="n">
        <v>0</v>
      </c>
      <c r="X192" s="5" t="inlineStr"/>
      <c r="Y192" s="5" t="n">
        <v>4528.6</v>
      </c>
      <c r="Z192" s="5" t="n">
        <v>2084.1</v>
      </c>
      <c r="AA192" s="5" t="n">
        <v>4564.7</v>
      </c>
      <c r="AB192" s="5" t="n">
        <v>2128.3</v>
      </c>
      <c r="AC192" s="5" t="inlineStr"/>
      <c r="AD192" s="5">
        <f>IF(AC192="","",IF(OR(AC192=F192,AND(AC192="crane_footing",F192="isolated_footing")),"yes","no"))</f>
        <v/>
      </c>
    </row>
    <row r="193">
      <c r="A193" s="5" t="n">
        <v>192</v>
      </c>
      <c r="B193" s="5" t="inlineStr">
        <is>
          <t>121</t>
        </is>
      </c>
      <c r="C193" s="5" t="inlineStr">
        <is>
          <t>nearest labels in its region</t>
        </is>
      </c>
      <c r="D193" s="5" t="inlineStr">
        <is>
          <t>band</t>
        </is>
      </c>
      <c r="E193" s="5" t="n">
        <v>3</v>
      </c>
      <c r="F193" s="5" t="inlineStr">
        <is>
          <t>unnamed</t>
        </is>
      </c>
      <c r="G193" s="5" t="inlineStr">
        <is>
          <t>no label votes</t>
        </is>
      </c>
      <c r="H193" s="5" t="inlineStr">
        <is>
          <t>(none)</t>
        </is>
      </c>
      <c r="I193" s="5" t="inlineStr"/>
      <c r="J193" s="5" t="inlineStr"/>
      <c r="K193" s="5" t="n">
        <v>163</v>
      </c>
      <c r="L193" s="5" t="n">
        <v>31</v>
      </c>
      <c r="M193" s="10">
        <f>IF(AND(ISNUMBER(K193),L193&gt;0),K193/L193,"")</f>
        <v/>
      </c>
      <c r="N193" s="5" t="n">
        <v>0.506</v>
      </c>
      <c r="O193" s="5" t="n">
        <v>126.6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  <c r="U193" s="5" t="n">
        <v>14</v>
      </c>
      <c r="V193" s="5" t="n">
        <v>13</v>
      </c>
      <c r="W193" s="5" t="n">
        <v>0</v>
      </c>
      <c r="X193" s="5" t="inlineStr"/>
      <c r="Y193" s="5" t="n">
        <v>4540.3</v>
      </c>
      <c r="Z193" s="5" t="n">
        <v>2084.1</v>
      </c>
      <c r="AA193" s="5" t="n">
        <v>4576.4</v>
      </c>
      <c r="AB193" s="5" t="n">
        <v>2128.3</v>
      </c>
      <c r="AC193" s="5" t="inlineStr"/>
      <c r="AD193" s="5">
        <f>IF(AC193="","",IF(OR(AC193=F193,AND(AC193="crane_footing",F193="isolated_footing")),"yes","no"))</f>
        <v/>
      </c>
    </row>
    <row r="194">
      <c r="A194" s="5" t="n">
        <v>193</v>
      </c>
      <c r="B194" s="5" t="inlineStr">
        <is>
          <t>121</t>
        </is>
      </c>
      <c r="C194" s="5" t="inlineStr">
        <is>
          <t>nearest labels in its region</t>
        </is>
      </c>
      <c r="D194" s="5" t="inlineStr">
        <is>
          <t>band</t>
        </is>
      </c>
      <c r="E194" s="5" t="n">
        <v>3</v>
      </c>
      <c r="F194" s="5" t="inlineStr">
        <is>
          <t>unnamed</t>
        </is>
      </c>
      <c r="G194" s="5" t="inlineStr">
        <is>
          <t>no label votes</t>
        </is>
      </c>
      <c r="H194" s="5" t="inlineStr">
        <is>
          <t>(none)</t>
        </is>
      </c>
      <c r="I194" s="5" t="inlineStr"/>
      <c r="J194" s="5" t="inlineStr"/>
      <c r="K194" s="5" t="n">
        <v>163</v>
      </c>
      <c r="L194" s="5" t="n">
        <v>31</v>
      </c>
      <c r="M194" s="10">
        <f>IF(AND(ISNUMBER(K194),L194&gt;0),K194/L194,"")</f>
        <v/>
      </c>
      <c r="N194" s="5" t="n">
        <v>0.506</v>
      </c>
      <c r="O194" s="5" t="n">
        <v>126.6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0</v>
      </c>
      <c r="U194" s="5" t="n">
        <v>0</v>
      </c>
      <c r="V194" s="5" t="n">
        <v>13</v>
      </c>
      <c r="W194" s="5" t="n">
        <v>0</v>
      </c>
      <c r="X194" s="5" t="inlineStr"/>
      <c r="Y194" s="5" t="n">
        <v>4563.7</v>
      </c>
      <c r="Z194" s="5" t="n">
        <v>2084.1</v>
      </c>
      <c r="AA194" s="5" t="n">
        <v>4599.8</v>
      </c>
      <c r="AB194" s="5" t="n">
        <v>2128.2</v>
      </c>
      <c r="AC194" s="5" t="inlineStr"/>
      <c r="AD194" s="5">
        <f>IF(AC194="","",IF(OR(AC194=F194,AND(AC194="crane_footing",F194="isolated_footing")),"yes","no"))</f>
        <v/>
      </c>
    </row>
    <row r="195">
      <c r="A195" s="5" t="n">
        <v>194</v>
      </c>
      <c r="B195" s="5" t="inlineStr">
        <is>
          <t>121</t>
        </is>
      </c>
      <c r="C195" s="5" t="inlineStr">
        <is>
          <t>nearest labels in its region</t>
        </is>
      </c>
      <c r="D195" s="5" t="inlineStr">
        <is>
          <t>band</t>
        </is>
      </c>
      <c r="E195" s="5" t="n">
        <v>3</v>
      </c>
      <c r="F195" s="5" t="inlineStr">
        <is>
          <t>unnamed</t>
        </is>
      </c>
      <c r="G195" s="5" t="inlineStr">
        <is>
          <t>no label votes</t>
        </is>
      </c>
      <c r="H195" s="5" t="inlineStr">
        <is>
          <t>(none)</t>
        </is>
      </c>
      <c r="I195" s="5" t="inlineStr"/>
      <c r="J195" s="5" t="inlineStr"/>
      <c r="K195" s="5" t="n">
        <v>163</v>
      </c>
      <c r="L195" s="5" t="n">
        <v>31</v>
      </c>
      <c r="M195" s="10">
        <f>IF(AND(ISNUMBER(K195),L195&gt;0),K195/L195,"")</f>
        <v/>
      </c>
      <c r="N195" s="5" t="n">
        <v>0.506</v>
      </c>
      <c r="O195" s="5" t="n">
        <v>126.7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14</v>
      </c>
      <c r="W195" s="5" t="n">
        <v>0.53</v>
      </c>
      <c r="X195" s="5" t="inlineStr"/>
      <c r="Y195" s="5" t="n">
        <v>4587.1</v>
      </c>
      <c r="Z195" s="5" t="n">
        <v>2084</v>
      </c>
      <c r="AA195" s="5" t="n">
        <v>4623.2</v>
      </c>
      <c r="AB195" s="5" t="n">
        <v>2128.2</v>
      </c>
      <c r="AC195" s="5" t="inlineStr"/>
      <c r="AD195" s="5">
        <f>IF(AC195="","",IF(OR(AC195=F195,AND(AC195="crane_footing",F195="isolated_footing")),"yes","no"))</f>
        <v/>
      </c>
    </row>
    <row r="196">
      <c r="A196" s="5" t="n">
        <v>195</v>
      </c>
      <c r="B196" s="5" t="inlineStr">
        <is>
          <t>121</t>
        </is>
      </c>
      <c r="C196" s="5" t="inlineStr">
        <is>
          <t>nearest labels in its region</t>
        </is>
      </c>
      <c r="D196" s="5" t="inlineStr">
        <is>
          <t>band</t>
        </is>
      </c>
      <c r="E196" s="5" t="n">
        <v>3</v>
      </c>
      <c r="F196" s="5" t="inlineStr">
        <is>
          <t>unnamed</t>
        </is>
      </c>
      <c r="G196" s="5" t="inlineStr">
        <is>
          <t>no label votes</t>
        </is>
      </c>
      <c r="H196" s="5" t="inlineStr">
        <is>
          <t>(none)</t>
        </is>
      </c>
      <c r="I196" s="5" t="inlineStr"/>
      <c r="J196" s="5" t="inlineStr"/>
      <c r="K196" s="5" t="n">
        <v>163</v>
      </c>
      <c r="L196" s="5" t="n">
        <v>31</v>
      </c>
      <c r="M196" s="10">
        <f>IF(AND(ISNUMBER(K196),L196&gt;0),K196/L196,"")</f>
        <v/>
      </c>
      <c r="N196" s="5" t="n">
        <v>0.506</v>
      </c>
      <c r="O196" s="5" t="n">
        <v>126.7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  <c r="U196" s="5" t="n">
        <v>0</v>
      </c>
      <c r="V196" s="5" t="n">
        <v>14</v>
      </c>
      <c r="W196" s="5" t="n">
        <v>0</v>
      </c>
      <c r="X196" s="5" t="inlineStr"/>
      <c r="Y196" s="5" t="n">
        <v>4575.4</v>
      </c>
      <c r="Z196" s="5" t="n">
        <v>2084.1</v>
      </c>
      <c r="AA196" s="5" t="n">
        <v>4611.5</v>
      </c>
      <c r="AB196" s="5" t="n">
        <v>2128.2</v>
      </c>
      <c r="AC196" s="5" t="inlineStr"/>
      <c r="AD196" s="5">
        <f>IF(AC196="","",IF(OR(AC196=F196,AND(AC196="crane_footing",F196="isolated_footing")),"yes","no"))</f>
        <v/>
      </c>
    </row>
    <row r="197">
      <c r="A197" s="5" t="n">
        <v>196</v>
      </c>
      <c r="B197" s="5" t="inlineStr">
        <is>
          <t>121</t>
        </is>
      </c>
      <c r="C197" s="5" t="inlineStr">
        <is>
          <t>nearest labels in its region</t>
        </is>
      </c>
      <c r="D197" s="5" t="inlineStr">
        <is>
          <t>band</t>
        </is>
      </c>
      <c r="E197" s="5" t="n">
        <v>3</v>
      </c>
      <c r="F197" s="5" t="inlineStr">
        <is>
          <t>unnamed</t>
        </is>
      </c>
      <c r="G197" s="5" t="inlineStr">
        <is>
          <t>no label votes</t>
        </is>
      </c>
      <c r="H197" s="5" t="inlineStr">
        <is>
          <t>(none)</t>
        </is>
      </c>
      <c r="I197" s="5" t="inlineStr"/>
      <c r="J197" s="5" t="inlineStr"/>
      <c r="K197" s="5" t="n">
        <v>163</v>
      </c>
      <c r="L197" s="5" t="n">
        <v>31</v>
      </c>
      <c r="M197" s="10">
        <f>IF(AND(ISNUMBER(K197),L197&gt;0),K197/L197,"")</f>
        <v/>
      </c>
      <c r="N197" s="5" t="n">
        <v>0.506</v>
      </c>
      <c r="O197" s="5" t="n">
        <v>126.6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13</v>
      </c>
      <c r="W197" s="5" t="n">
        <v>1.63</v>
      </c>
      <c r="X197" s="5" t="inlineStr"/>
      <c r="Y197" s="5" t="n">
        <v>4622.2</v>
      </c>
      <c r="Z197" s="5" t="n">
        <v>2084</v>
      </c>
      <c r="AA197" s="5" t="n">
        <v>4658.3</v>
      </c>
      <c r="AB197" s="5" t="n">
        <v>2128.1</v>
      </c>
      <c r="AC197" s="5" t="inlineStr"/>
      <c r="AD197" s="5">
        <f>IF(AC197="","",IF(OR(AC197=F197,AND(AC197="crane_footing",F197="isolated_footing")),"yes","no"))</f>
        <v/>
      </c>
    </row>
    <row r="198">
      <c r="A198" s="5" t="n">
        <v>197</v>
      </c>
      <c r="B198" s="5" t="inlineStr">
        <is>
          <t>121</t>
        </is>
      </c>
      <c r="C198" s="5" t="inlineStr">
        <is>
          <t>nearest labels in its region</t>
        </is>
      </c>
      <c r="D198" s="5" t="inlineStr">
        <is>
          <t>band</t>
        </is>
      </c>
      <c r="E198" s="5" t="n">
        <v>3</v>
      </c>
      <c r="F198" s="5" t="inlineStr">
        <is>
          <t>unnamed</t>
        </is>
      </c>
      <c r="G198" s="5" t="inlineStr">
        <is>
          <t>no label votes</t>
        </is>
      </c>
      <c r="H198" s="5" t="inlineStr">
        <is>
          <t>(none)</t>
        </is>
      </c>
      <c r="I198" s="5" t="inlineStr"/>
      <c r="J198" s="5" t="inlineStr"/>
      <c r="K198" s="5" t="n">
        <v>163</v>
      </c>
      <c r="L198" s="5" t="n">
        <v>31</v>
      </c>
      <c r="M198" s="10">
        <f>IF(AND(ISNUMBER(K198),L198&gt;0),K198/L198,"")</f>
        <v/>
      </c>
      <c r="N198" s="5" t="n">
        <v>0.506</v>
      </c>
      <c r="O198" s="5" t="n">
        <v>126.6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14</v>
      </c>
      <c r="W198" s="5" t="n">
        <v>1.19</v>
      </c>
      <c r="X198" s="5" t="inlineStr"/>
      <c r="Y198" s="5" t="n">
        <v>4598.8</v>
      </c>
      <c r="Z198" s="5" t="n">
        <v>2084</v>
      </c>
      <c r="AA198" s="5" t="n">
        <v>4634.9</v>
      </c>
      <c r="AB198" s="5" t="n">
        <v>2128.2</v>
      </c>
      <c r="AC198" s="5" t="inlineStr"/>
      <c r="AD198" s="5">
        <f>IF(AC198="","",IF(OR(AC198=F198,AND(AC198="crane_footing",F198="isolated_footing")),"yes","no"))</f>
        <v/>
      </c>
    </row>
    <row r="199">
      <c r="A199" s="5" t="n">
        <v>198</v>
      </c>
      <c r="B199" s="5" t="inlineStr">
        <is>
          <t>121</t>
        </is>
      </c>
      <c r="C199" s="5" t="inlineStr">
        <is>
          <t>nearest labels in its region</t>
        </is>
      </c>
      <c r="D199" s="5" t="inlineStr">
        <is>
          <t>band</t>
        </is>
      </c>
      <c r="E199" s="5" t="n">
        <v>3</v>
      </c>
      <c r="F199" s="5" t="inlineStr">
        <is>
          <t>unnamed</t>
        </is>
      </c>
      <c r="G199" s="5" t="inlineStr">
        <is>
          <t>no label votes</t>
        </is>
      </c>
      <c r="H199" s="5" t="inlineStr">
        <is>
          <t>(none)</t>
        </is>
      </c>
      <c r="I199" s="5" t="inlineStr"/>
      <c r="J199" s="5" t="inlineStr"/>
      <c r="K199" s="5" t="n">
        <v>163</v>
      </c>
      <c r="L199" s="5" t="n">
        <v>31</v>
      </c>
      <c r="M199" s="10">
        <f>IF(AND(ISNUMBER(K199),L199&gt;0),K199/L199,"")</f>
        <v/>
      </c>
      <c r="N199" s="5" t="n">
        <v>0.506</v>
      </c>
      <c r="O199" s="5" t="n">
        <v>126.7</v>
      </c>
      <c r="P199" s="5" t="n">
        <v>0</v>
      </c>
      <c r="Q199" s="5" t="n">
        <v>1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13</v>
      </c>
      <c r="W199" s="5" t="n">
        <v>0</v>
      </c>
      <c r="X199" s="5" t="inlineStr"/>
      <c r="Y199" s="5" t="n">
        <v>4552</v>
      </c>
      <c r="Z199" s="5" t="n">
        <v>2084.1</v>
      </c>
      <c r="AA199" s="5" t="n">
        <v>4588.1</v>
      </c>
      <c r="AB199" s="5" t="n">
        <v>2128.2</v>
      </c>
      <c r="AC199" s="5" t="inlineStr"/>
      <c r="AD199" s="5">
        <f>IF(AC199="","",IF(OR(AC199=F199,AND(AC199="crane_footing",F199="isolated_footing")),"yes","no"))</f>
        <v/>
      </c>
    </row>
    <row r="200">
      <c r="A200" s="5" t="n">
        <v>199</v>
      </c>
      <c r="B200" s="5" t="inlineStr">
        <is>
          <t>121</t>
        </is>
      </c>
      <c r="C200" s="5" t="inlineStr">
        <is>
          <t>nearest labels in its region</t>
        </is>
      </c>
      <c r="D200" s="5" t="inlineStr">
        <is>
          <t>band</t>
        </is>
      </c>
      <c r="E200" s="5" t="n">
        <v>3</v>
      </c>
      <c r="F200" s="5" t="inlineStr">
        <is>
          <t>unnamed</t>
        </is>
      </c>
      <c r="G200" s="5" t="inlineStr">
        <is>
          <t>no label votes</t>
        </is>
      </c>
      <c r="H200" s="5" t="inlineStr">
        <is>
          <t>(none)</t>
        </is>
      </c>
      <c r="I200" s="5" t="inlineStr"/>
      <c r="J200" s="5" t="inlineStr"/>
      <c r="K200" s="5" t="n">
        <v>163</v>
      </c>
      <c r="L200" s="5" t="n">
        <v>31</v>
      </c>
      <c r="M200" s="10">
        <f>IF(AND(ISNUMBER(K200),L200&gt;0),K200/L200,"")</f>
        <v/>
      </c>
      <c r="N200" s="5" t="n">
        <v>0.505</v>
      </c>
      <c r="O200" s="5" t="n">
        <v>126.6</v>
      </c>
      <c r="P200" s="5" t="n">
        <v>0</v>
      </c>
      <c r="Q200" s="5" t="n">
        <v>0</v>
      </c>
      <c r="R200" s="5" t="n">
        <v>0</v>
      </c>
      <c r="S200" s="5" t="n">
        <v>0</v>
      </c>
      <c r="T200" s="5" t="n">
        <v>0</v>
      </c>
      <c r="U200" s="5" t="n">
        <v>0</v>
      </c>
      <c r="V200" s="5" t="n">
        <v>13</v>
      </c>
      <c r="W200" s="5" t="n">
        <v>1.63</v>
      </c>
      <c r="X200" s="5" t="inlineStr"/>
      <c r="Y200" s="5" t="n">
        <v>4657.3</v>
      </c>
      <c r="Z200" s="5" t="n">
        <v>2084</v>
      </c>
      <c r="AA200" s="5" t="n">
        <v>4693.3</v>
      </c>
      <c r="AB200" s="5" t="n">
        <v>2128</v>
      </c>
      <c r="AC200" s="5" t="inlineStr"/>
      <c r="AD200" s="5">
        <f>IF(AC200="","",IF(OR(AC200=F200,AND(AC200="crane_footing",F200="isolated_footing")),"yes","no"))</f>
        <v/>
      </c>
    </row>
    <row r="201">
      <c r="A201" s="5" t="n">
        <v>200</v>
      </c>
      <c r="B201" s="5" t="inlineStr">
        <is>
          <t>121</t>
        </is>
      </c>
      <c r="C201" s="5" t="inlineStr">
        <is>
          <t>nearest labels in its region</t>
        </is>
      </c>
      <c r="D201" s="5" t="inlineStr">
        <is>
          <t>band</t>
        </is>
      </c>
      <c r="E201" s="5" t="n">
        <v>3</v>
      </c>
      <c r="F201" s="5" t="inlineStr">
        <is>
          <t>unnamed</t>
        </is>
      </c>
      <c r="G201" s="5" t="inlineStr">
        <is>
          <t>no label votes</t>
        </is>
      </c>
      <c r="H201" s="5" t="inlineStr">
        <is>
          <t>(none)</t>
        </is>
      </c>
      <c r="I201" s="5" t="inlineStr"/>
      <c r="J201" s="5" t="inlineStr"/>
      <c r="K201" s="5" t="n">
        <v>163</v>
      </c>
      <c r="L201" s="5" t="n">
        <v>31</v>
      </c>
      <c r="M201" s="10">
        <f>IF(AND(ISNUMBER(K201),L201&gt;0),K201/L201,"")</f>
        <v/>
      </c>
      <c r="N201" s="5" t="n">
        <v>0.505</v>
      </c>
      <c r="O201" s="5" t="n">
        <v>126.6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13</v>
      </c>
      <c r="W201" s="5" t="n">
        <v>1.63</v>
      </c>
      <c r="X201" s="5" t="inlineStr"/>
      <c r="Y201" s="5" t="n">
        <v>4610.5</v>
      </c>
      <c r="Z201" s="5" t="n">
        <v>2084</v>
      </c>
      <c r="AA201" s="5" t="n">
        <v>4646.5</v>
      </c>
      <c r="AB201" s="5" t="n">
        <v>2128.1</v>
      </c>
      <c r="AC201" s="5" t="inlineStr"/>
      <c r="AD201" s="5">
        <f>IF(AC201="","",IF(OR(AC201=F201,AND(AC201="crane_footing",F201="isolated_footing")),"yes","no"))</f>
        <v/>
      </c>
    </row>
    <row r="202">
      <c r="A202" s="5" t="n">
        <v>201</v>
      </c>
      <c r="B202" s="5" t="inlineStr">
        <is>
          <t>121</t>
        </is>
      </c>
      <c r="C202" s="5" t="inlineStr">
        <is>
          <t>nearest labels in its region</t>
        </is>
      </c>
      <c r="D202" s="5" t="inlineStr">
        <is>
          <t>band</t>
        </is>
      </c>
      <c r="E202" s="5" t="n">
        <v>3</v>
      </c>
      <c r="F202" s="5" t="inlineStr">
        <is>
          <t>unnamed</t>
        </is>
      </c>
      <c r="G202" s="5" t="inlineStr">
        <is>
          <t>no label votes</t>
        </is>
      </c>
      <c r="H202" s="5" t="inlineStr">
        <is>
          <t>(none)</t>
        </is>
      </c>
      <c r="I202" s="5" t="inlineStr"/>
      <c r="J202" s="5" t="inlineStr"/>
      <c r="K202" s="5" t="n">
        <v>163</v>
      </c>
      <c r="L202" s="5" t="n">
        <v>31</v>
      </c>
      <c r="M202" s="10">
        <f>IF(AND(ISNUMBER(K202),L202&gt;0),K202/L202,"")</f>
        <v/>
      </c>
      <c r="N202" s="5" t="n">
        <v>0.505</v>
      </c>
      <c r="O202" s="5" t="n">
        <v>126.6</v>
      </c>
      <c r="P202" s="5" t="n">
        <v>0</v>
      </c>
      <c r="Q202" s="5" t="n">
        <v>0</v>
      </c>
      <c r="R202" s="5" t="n">
        <v>0</v>
      </c>
      <c r="S202" s="5" t="n">
        <v>0</v>
      </c>
      <c r="T202" s="5" t="n">
        <v>0</v>
      </c>
      <c r="U202" s="5" t="n">
        <v>0</v>
      </c>
      <c r="V202" s="5" t="n">
        <v>13</v>
      </c>
      <c r="W202" s="5" t="n">
        <v>1.63</v>
      </c>
      <c r="X202" s="5" t="inlineStr"/>
      <c r="Y202" s="5" t="n">
        <v>4633.9</v>
      </c>
      <c r="Z202" s="5" t="n">
        <v>2084</v>
      </c>
      <c r="AA202" s="5" t="n">
        <v>4669.9</v>
      </c>
      <c r="AB202" s="5" t="n">
        <v>2128</v>
      </c>
      <c r="AC202" s="5" t="inlineStr"/>
      <c r="AD202" s="5">
        <f>IF(AC202="","",IF(OR(AC202=F202,AND(AC202="crane_footing",F202="isolated_footing")),"yes","no"))</f>
        <v/>
      </c>
    </row>
    <row r="203">
      <c r="A203" s="5" t="n">
        <v>202</v>
      </c>
      <c r="B203" s="5" t="inlineStr">
        <is>
          <t>121</t>
        </is>
      </c>
      <c r="C203" s="5" t="inlineStr">
        <is>
          <t>nearest labels in its region</t>
        </is>
      </c>
      <c r="D203" s="5" t="inlineStr">
        <is>
          <t>band</t>
        </is>
      </c>
      <c r="E203" s="5" t="n">
        <v>3</v>
      </c>
      <c r="F203" s="5" t="inlineStr">
        <is>
          <t>unnamed</t>
        </is>
      </c>
      <c r="G203" s="5" t="inlineStr">
        <is>
          <t>no label votes</t>
        </is>
      </c>
      <c r="H203" s="5" t="inlineStr">
        <is>
          <t>(none)</t>
        </is>
      </c>
      <c r="I203" s="5" t="inlineStr"/>
      <c r="J203" s="5" t="inlineStr"/>
      <c r="K203" s="5" t="n">
        <v>163</v>
      </c>
      <c r="L203" s="5" t="n">
        <v>31</v>
      </c>
      <c r="M203" s="10">
        <f>IF(AND(ISNUMBER(K203),L203&gt;0),K203/L203,"")</f>
        <v/>
      </c>
      <c r="N203" s="5" t="n">
        <v>0.505</v>
      </c>
      <c r="O203" s="5" t="n">
        <v>126.6</v>
      </c>
      <c r="P203" s="5" t="n">
        <v>0</v>
      </c>
      <c r="Q203" s="5" t="n">
        <v>1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14</v>
      </c>
      <c r="W203" s="5" t="n">
        <v>0.63</v>
      </c>
      <c r="X203" s="5" t="inlineStr"/>
      <c r="Y203" s="5" t="n">
        <v>4680.7</v>
      </c>
      <c r="Z203" s="5" t="n">
        <v>2083.9</v>
      </c>
      <c r="AA203" s="5" t="n">
        <v>4716.7</v>
      </c>
      <c r="AB203" s="5" t="n">
        <v>2128</v>
      </c>
      <c r="AC203" s="5" t="inlineStr"/>
      <c r="AD203" s="5">
        <f>IF(AC203="","",IF(OR(AC203=F203,AND(AC203="crane_footing",F203="isolated_footing")),"yes","no"))</f>
        <v/>
      </c>
    </row>
    <row r="204">
      <c r="A204" s="5" t="n">
        <v>203</v>
      </c>
      <c r="B204" s="5" t="inlineStr">
        <is>
          <t>121</t>
        </is>
      </c>
      <c r="C204" s="5" t="inlineStr">
        <is>
          <t>nearest labels in its region</t>
        </is>
      </c>
      <c r="D204" s="5" t="inlineStr">
        <is>
          <t>band</t>
        </is>
      </c>
      <c r="E204" s="5" t="n">
        <v>3</v>
      </c>
      <c r="F204" s="5" t="inlineStr">
        <is>
          <t>unnamed</t>
        </is>
      </c>
      <c r="G204" s="5" t="inlineStr">
        <is>
          <t>no label votes</t>
        </is>
      </c>
      <c r="H204" s="5" t="inlineStr">
        <is>
          <t>(none)</t>
        </is>
      </c>
      <c r="I204" s="5" t="inlineStr"/>
      <c r="J204" s="5" t="inlineStr"/>
      <c r="K204" s="5" t="n">
        <v>163</v>
      </c>
      <c r="L204" s="5" t="n">
        <v>31</v>
      </c>
      <c r="M204" s="10">
        <f>IF(AND(ISNUMBER(K204),L204&gt;0),K204/L204,"")</f>
        <v/>
      </c>
      <c r="N204" s="5" t="n">
        <v>0.505</v>
      </c>
      <c r="O204" s="5" t="n">
        <v>126.6</v>
      </c>
      <c r="P204" s="5" t="n">
        <v>0</v>
      </c>
      <c r="Q204" s="5" t="n">
        <v>0</v>
      </c>
      <c r="R204" s="5" t="n">
        <v>0</v>
      </c>
      <c r="S204" s="5" t="n">
        <v>0</v>
      </c>
      <c r="T204" s="5" t="n">
        <v>0</v>
      </c>
      <c r="U204" s="5" t="n">
        <v>0</v>
      </c>
      <c r="V204" s="5" t="n">
        <v>14</v>
      </c>
      <c r="W204" s="5" t="n">
        <v>1.3</v>
      </c>
      <c r="X204" s="5" t="inlineStr"/>
      <c r="Y204" s="5" t="n">
        <v>4669</v>
      </c>
      <c r="Z204" s="5" t="n">
        <v>2083.9</v>
      </c>
      <c r="AA204" s="5" t="n">
        <v>4705.1</v>
      </c>
      <c r="AB204" s="5" t="n">
        <v>2128</v>
      </c>
      <c r="AC204" s="5" t="inlineStr"/>
      <c r="AD204" s="5">
        <f>IF(AC204="","",IF(OR(AC204=F204,AND(AC204="crane_footing",F204="isolated_footing")),"yes","no"))</f>
        <v/>
      </c>
    </row>
    <row r="205">
      <c r="A205" s="5" t="n">
        <v>204</v>
      </c>
      <c r="B205" s="5" t="inlineStr">
        <is>
          <t>121</t>
        </is>
      </c>
      <c r="C205" s="5" t="inlineStr">
        <is>
          <t>nearest labels in its region</t>
        </is>
      </c>
      <c r="D205" s="5" t="inlineStr">
        <is>
          <t>band</t>
        </is>
      </c>
      <c r="E205" s="5" t="n">
        <v>3</v>
      </c>
      <c r="F205" s="5" t="inlineStr">
        <is>
          <t>unnamed</t>
        </is>
      </c>
      <c r="G205" s="5" t="inlineStr">
        <is>
          <t>no label votes</t>
        </is>
      </c>
      <c r="H205" s="5" t="inlineStr">
        <is>
          <t>(none)</t>
        </is>
      </c>
      <c r="I205" s="5" t="inlineStr"/>
      <c r="J205" s="5" t="inlineStr"/>
      <c r="K205" s="5" t="n">
        <v>163</v>
      </c>
      <c r="L205" s="5" t="n">
        <v>31</v>
      </c>
      <c r="M205" s="10">
        <f>IF(AND(ISNUMBER(K205),L205&gt;0),K205/L205,"")</f>
        <v/>
      </c>
      <c r="N205" s="5" t="n">
        <v>0.505</v>
      </c>
      <c r="O205" s="5" t="n">
        <v>126.7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13</v>
      </c>
      <c r="W205" s="5" t="n">
        <v>1.63</v>
      </c>
      <c r="X205" s="5" t="inlineStr"/>
      <c r="Y205" s="5" t="n">
        <v>4645.6</v>
      </c>
      <c r="Z205" s="5" t="n">
        <v>2084</v>
      </c>
      <c r="AA205" s="5" t="n">
        <v>4681.6</v>
      </c>
      <c r="AB205" s="5" t="n">
        <v>2128</v>
      </c>
      <c r="AC205" s="5" t="inlineStr"/>
      <c r="AD205" s="5">
        <f>IF(AC205="","",IF(OR(AC205=F205,AND(AC205="crane_footing",F205="isolated_footing")),"yes","no"))</f>
        <v/>
      </c>
    </row>
    <row r="206">
      <c r="A206" s="5" t="n">
        <v>205</v>
      </c>
      <c r="B206" s="5" t="inlineStr">
        <is>
          <t>121</t>
        </is>
      </c>
      <c r="C206" s="5" t="inlineStr">
        <is>
          <t>nearest labels in its region</t>
        </is>
      </c>
      <c r="D206" s="5" t="inlineStr">
        <is>
          <t>band</t>
        </is>
      </c>
      <c r="E206" s="5" t="n">
        <v>3</v>
      </c>
      <c r="F206" s="5" t="inlineStr">
        <is>
          <t>unnamed</t>
        </is>
      </c>
      <c r="G206" s="5" t="inlineStr">
        <is>
          <t>no label votes</t>
        </is>
      </c>
      <c r="H206" s="5" t="inlineStr">
        <is>
          <t>(none)</t>
        </is>
      </c>
      <c r="I206" s="5" t="inlineStr"/>
      <c r="J206" s="5" t="inlineStr"/>
      <c r="K206" s="5" t="n">
        <v>163</v>
      </c>
      <c r="L206" s="5" t="n">
        <v>31</v>
      </c>
      <c r="M206" s="10">
        <f>IF(AND(ISNUMBER(K206),L206&gt;0),K206/L206,"")</f>
        <v/>
      </c>
      <c r="N206" s="5" t="n">
        <v>0.505</v>
      </c>
      <c r="O206" s="5" t="n">
        <v>126.6</v>
      </c>
      <c r="P206" s="5" t="n">
        <v>0</v>
      </c>
      <c r="Q206" s="5" t="n">
        <v>1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10</v>
      </c>
      <c r="W206" s="5" t="n">
        <v>0</v>
      </c>
      <c r="X206" s="5" t="inlineStr"/>
      <c r="Y206" s="5" t="n">
        <v>4715.8</v>
      </c>
      <c r="Z206" s="5" t="n">
        <v>2083.9</v>
      </c>
      <c r="AA206" s="5" t="n">
        <v>4751.8</v>
      </c>
      <c r="AB206" s="5" t="n">
        <v>2127.9</v>
      </c>
      <c r="AC206" s="5" t="inlineStr"/>
      <c r="AD206" s="5">
        <f>IF(AC206="","",IF(OR(AC206=F206,AND(AC206="crane_footing",F206="isolated_footing")),"yes","no"))</f>
        <v/>
      </c>
    </row>
    <row r="207">
      <c r="A207" s="5" t="n">
        <v>206</v>
      </c>
      <c r="B207" s="5" t="inlineStr">
        <is>
          <t>121</t>
        </is>
      </c>
      <c r="C207" s="5" t="inlineStr">
        <is>
          <t>nearest labels in its region</t>
        </is>
      </c>
      <c r="D207" s="5" t="inlineStr">
        <is>
          <t>band</t>
        </is>
      </c>
      <c r="E207" s="5" t="n">
        <v>3</v>
      </c>
      <c r="F207" s="5" t="inlineStr">
        <is>
          <t>unnamed</t>
        </is>
      </c>
      <c r="G207" s="5" t="inlineStr">
        <is>
          <t>no label votes</t>
        </is>
      </c>
      <c r="H207" s="5" t="inlineStr">
        <is>
          <t>(none)</t>
        </is>
      </c>
      <c r="I207" s="5" t="inlineStr"/>
      <c r="J207" s="5" t="inlineStr"/>
      <c r="K207" s="5" t="n">
        <v>163</v>
      </c>
      <c r="L207" s="5" t="n">
        <v>31</v>
      </c>
      <c r="M207" s="10">
        <f>IF(AND(ISNUMBER(K207),L207&gt;0),K207/L207,"")</f>
        <v/>
      </c>
      <c r="N207" s="5" t="n">
        <v>0.504</v>
      </c>
      <c r="O207" s="5" t="n">
        <v>126.7</v>
      </c>
      <c r="P207" s="5" t="n">
        <v>0</v>
      </c>
      <c r="Q207" s="5" t="n">
        <v>1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13</v>
      </c>
      <c r="W207" s="5" t="n">
        <v>0</v>
      </c>
      <c r="X207" s="5" t="inlineStr"/>
      <c r="Y207" s="5" t="n">
        <v>4692.4</v>
      </c>
      <c r="Z207" s="5" t="n">
        <v>2083.9</v>
      </c>
      <c r="AA207" s="5" t="n">
        <v>4728.4</v>
      </c>
      <c r="AB207" s="5" t="n">
        <v>2127.9</v>
      </c>
      <c r="AC207" s="5" t="inlineStr"/>
      <c r="AD207" s="5">
        <f>IF(AC207="","",IF(OR(AC207=F207,AND(AC207="crane_footing",F207="isolated_footing")),"yes","no"))</f>
        <v/>
      </c>
    </row>
    <row r="208">
      <c r="A208" s="5" t="n">
        <v>207</v>
      </c>
      <c r="B208" s="5" t="inlineStr">
        <is>
          <t>121</t>
        </is>
      </c>
      <c r="C208" s="5" t="inlineStr">
        <is>
          <t>nearest labels in its region</t>
        </is>
      </c>
      <c r="D208" s="5" t="inlineStr">
        <is>
          <t>band</t>
        </is>
      </c>
      <c r="E208" s="5" t="n">
        <v>3</v>
      </c>
      <c r="F208" s="5" t="inlineStr">
        <is>
          <t>unnamed</t>
        </is>
      </c>
      <c r="G208" s="5" t="inlineStr">
        <is>
          <t>no label votes</t>
        </is>
      </c>
      <c r="H208" s="5" t="inlineStr">
        <is>
          <t>(none)</t>
        </is>
      </c>
      <c r="I208" s="5" t="inlineStr"/>
      <c r="J208" s="5" t="inlineStr"/>
      <c r="K208" s="5" t="n">
        <v>163</v>
      </c>
      <c r="L208" s="5" t="n">
        <v>31</v>
      </c>
      <c r="M208" s="10">
        <f>IF(AND(ISNUMBER(K208),L208&gt;0),K208/L208,"")</f>
        <v/>
      </c>
      <c r="N208" s="5" t="n">
        <v>0.504</v>
      </c>
      <c r="O208" s="5" t="n">
        <v>126.6</v>
      </c>
      <c r="P208" s="5" t="n">
        <v>0</v>
      </c>
      <c r="Q208" s="5" t="n">
        <v>1</v>
      </c>
      <c r="R208" s="5" t="n">
        <v>0</v>
      </c>
      <c r="S208" s="5" t="n">
        <v>0</v>
      </c>
      <c r="T208" s="5" t="n">
        <v>0</v>
      </c>
      <c r="U208" s="5" t="n">
        <v>0</v>
      </c>
      <c r="V208" s="5" t="n">
        <v>11</v>
      </c>
      <c r="W208" s="5" t="n">
        <v>0</v>
      </c>
      <c r="X208" s="5" t="inlineStr"/>
      <c r="Y208" s="5" t="n">
        <v>4704.1</v>
      </c>
      <c r="Z208" s="5" t="n">
        <v>2083.9</v>
      </c>
      <c r="AA208" s="5" t="n">
        <v>4740.1</v>
      </c>
      <c r="AB208" s="5" t="n">
        <v>2127.9</v>
      </c>
      <c r="AC208" s="5" t="inlineStr"/>
      <c r="AD208" s="5">
        <f>IF(AC208="","",IF(OR(AC208=F208,AND(AC208="crane_footing",F208="isolated_footing")),"yes","no"))</f>
        <v/>
      </c>
    </row>
    <row r="209">
      <c r="A209" s="5" t="n">
        <v>208</v>
      </c>
      <c r="B209" s="5" t="inlineStr">
        <is>
          <t>121</t>
        </is>
      </c>
      <c r="C209" s="5" t="inlineStr">
        <is>
          <t>nearest labels in its region</t>
        </is>
      </c>
      <c r="D209" s="5" t="inlineStr">
        <is>
          <t>band</t>
        </is>
      </c>
      <c r="E209" s="5" t="n">
        <v>3</v>
      </c>
      <c r="F209" s="5" t="inlineStr">
        <is>
          <t>unnamed</t>
        </is>
      </c>
      <c r="G209" s="5" t="inlineStr">
        <is>
          <t>no label votes</t>
        </is>
      </c>
      <c r="H209" s="5" t="inlineStr">
        <is>
          <t>(none)</t>
        </is>
      </c>
      <c r="I209" s="5" t="inlineStr"/>
      <c r="J209" s="5" t="inlineStr"/>
      <c r="K209" s="5" t="n">
        <v>163</v>
      </c>
      <c r="L209" s="5" t="n">
        <v>31</v>
      </c>
      <c r="M209" s="10">
        <f>IF(AND(ISNUMBER(K209),L209&gt;0),K209/L209,"")</f>
        <v/>
      </c>
      <c r="N209" s="5" t="n">
        <v>0.504</v>
      </c>
      <c r="O209" s="5" t="n">
        <v>126.6</v>
      </c>
      <c r="P209" s="5" t="n">
        <v>0</v>
      </c>
      <c r="Q209" s="5" t="n">
        <v>1</v>
      </c>
      <c r="R209" s="5" t="n">
        <v>0</v>
      </c>
      <c r="S209" s="5" t="n">
        <v>0</v>
      </c>
      <c r="T209" s="5" t="n">
        <v>0</v>
      </c>
      <c r="U209" s="5" t="n">
        <v>2</v>
      </c>
      <c r="V209" s="5" t="n">
        <v>8</v>
      </c>
      <c r="W209" s="5" t="n">
        <v>0</v>
      </c>
      <c r="X209" s="5" t="inlineStr"/>
      <c r="Y209" s="5" t="n">
        <v>4727.5</v>
      </c>
      <c r="Z209" s="5" t="n">
        <v>2083.9</v>
      </c>
      <c r="AA209" s="5" t="n">
        <v>4763.5</v>
      </c>
      <c r="AB209" s="5" t="n">
        <v>2127.9</v>
      </c>
      <c r="AC209" s="5" t="inlineStr"/>
      <c r="AD209" s="5">
        <f>IF(AC209="","",IF(OR(AC209=F209,AND(AC209="crane_footing",F209="isolated_footing")),"yes","no"))</f>
        <v/>
      </c>
    </row>
    <row r="210">
      <c r="A210" s="5" t="n">
        <v>209</v>
      </c>
      <c r="B210" s="5" t="inlineStr">
        <is>
          <t>121</t>
        </is>
      </c>
      <c r="C210" s="5" t="inlineStr">
        <is>
          <t>nearest labels in its region</t>
        </is>
      </c>
      <c r="D210" s="5" t="inlineStr">
        <is>
          <t>band</t>
        </is>
      </c>
      <c r="E210" s="5" t="n">
        <v>3</v>
      </c>
      <c r="F210" s="5" t="inlineStr">
        <is>
          <t>unnamed</t>
        </is>
      </c>
      <c r="G210" s="5" t="inlineStr">
        <is>
          <t>no label votes</t>
        </is>
      </c>
      <c r="H210" s="5" t="inlineStr">
        <is>
          <t>(none)</t>
        </is>
      </c>
      <c r="I210" s="5" t="inlineStr"/>
      <c r="J210" s="5" t="inlineStr"/>
      <c r="K210" s="5" t="n">
        <v>156</v>
      </c>
      <c r="L210" s="5" t="n">
        <v>31</v>
      </c>
      <c r="M210" s="10">
        <f>IF(AND(ISNUMBER(K210),L210&gt;0),K210/L210,"")</f>
        <v/>
      </c>
      <c r="N210" s="5" t="n">
        <v>0.484</v>
      </c>
      <c r="O210" s="5" t="n">
        <v>36.6</v>
      </c>
      <c r="P210" s="5" t="n">
        <v>0</v>
      </c>
      <c r="Q210" s="5" t="n">
        <v>0</v>
      </c>
      <c r="R210" s="5" t="n">
        <v>0</v>
      </c>
      <c r="S210" s="5" t="n">
        <v>0</v>
      </c>
      <c r="T210" s="5" t="n">
        <v>0</v>
      </c>
      <c r="U210" s="5" t="n">
        <v>0</v>
      </c>
      <c r="V210" s="5" t="n">
        <v>10</v>
      </c>
      <c r="W210" s="5" t="n">
        <v>0.98</v>
      </c>
      <c r="X210" s="5" t="inlineStr"/>
      <c r="Y210" s="5" t="n">
        <v>4518.2</v>
      </c>
      <c r="Z210" s="5" t="n">
        <v>2049.1</v>
      </c>
      <c r="AA210" s="5" t="n">
        <v>4560.6</v>
      </c>
      <c r="AB210" s="5" t="n">
        <v>2084</v>
      </c>
      <c r="AC210" s="5" t="inlineStr"/>
      <c r="AD210" s="5">
        <f>IF(AC210="","",IF(OR(AC210=F210,AND(AC210="crane_footing",F210="isolated_footing")),"yes","no"))</f>
        <v/>
      </c>
    </row>
    <row r="211">
      <c r="A211" s="5" t="n">
        <v>210</v>
      </c>
      <c r="B211" s="5" t="inlineStr">
        <is>
          <t>121</t>
        </is>
      </c>
      <c r="C211" s="5" t="inlineStr">
        <is>
          <t>nearest labels in its region</t>
        </is>
      </c>
      <c r="D211" s="5" t="inlineStr">
        <is>
          <t>band</t>
        </is>
      </c>
      <c r="E211" s="5" t="n">
        <v>3</v>
      </c>
      <c r="F211" s="5" t="inlineStr">
        <is>
          <t>unnamed</t>
        </is>
      </c>
      <c r="G211" s="5" t="inlineStr">
        <is>
          <t>no label votes</t>
        </is>
      </c>
      <c r="H211" s="5" t="inlineStr">
        <is>
          <t>(none)</t>
        </is>
      </c>
      <c r="I211" s="5" t="inlineStr"/>
      <c r="J211" s="5" t="inlineStr"/>
      <c r="K211" s="5" t="n">
        <v>155</v>
      </c>
      <c r="L211" s="5" t="n">
        <v>31</v>
      </c>
      <c r="M211" s="10">
        <f>IF(AND(ISNUMBER(K211),L211&gt;0),K211/L211,"")</f>
        <v/>
      </c>
      <c r="N211" s="5" t="n">
        <v>0.48</v>
      </c>
      <c r="O211" s="5" t="n">
        <v>126.6</v>
      </c>
      <c r="P211" s="5" t="n">
        <v>0</v>
      </c>
      <c r="Q211" s="5" t="n">
        <v>1</v>
      </c>
      <c r="R211" s="5" t="n">
        <v>0</v>
      </c>
      <c r="S211" s="5" t="n">
        <v>0</v>
      </c>
      <c r="T211" s="5" t="n">
        <v>0</v>
      </c>
      <c r="U211" s="5" t="n">
        <v>2</v>
      </c>
      <c r="V211" s="5" t="n">
        <v>10</v>
      </c>
      <c r="W211" s="5" t="n">
        <v>0</v>
      </c>
      <c r="X211" s="5" t="inlineStr"/>
      <c r="Y211" s="5" t="n">
        <v>4518.4</v>
      </c>
      <c r="Z211" s="5" t="n">
        <v>2084.2</v>
      </c>
      <c r="AA211" s="5" t="n">
        <v>4553</v>
      </c>
      <c r="AB211" s="5" t="n">
        <v>2126.3</v>
      </c>
      <c r="AC211" s="5" t="inlineStr"/>
      <c r="AD211" s="5">
        <f>IF(AC211="","",IF(OR(AC211=F211,AND(AC211="crane_footing",F211="isolated_footing")),"yes","no"))</f>
        <v/>
      </c>
    </row>
    <row r="212">
      <c r="A212" s="5" t="n">
        <v>211</v>
      </c>
      <c r="B212" s="5" t="inlineStr">
        <is>
          <t>121</t>
        </is>
      </c>
      <c r="C212" s="5" t="inlineStr">
        <is>
          <t>nearest labels in its region</t>
        </is>
      </c>
      <c r="D212" s="5" t="inlineStr">
        <is>
          <t>band</t>
        </is>
      </c>
      <c r="E212" s="5" t="n">
        <v>3</v>
      </c>
      <c r="F212" s="5" t="inlineStr">
        <is>
          <t>unnamed</t>
        </is>
      </c>
      <c r="G212" s="5" t="inlineStr">
        <is>
          <t>no label votes</t>
        </is>
      </c>
      <c r="H212" s="5" t="inlineStr">
        <is>
          <t>(none)</t>
        </is>
      </c>
      <c r="I212" s="5" t="inlineStr"/>
      <c r="J212" s="5" t="inlineStr"/>
      <c r="K212" s="5" t="n">
        <v>153</v>
      </c>
      <c r="L212" s="5" t="n">
        <v>31</v>
      </c>
      <c r="M212" s="10">
        <f>IF(AND(ISNUMBER(K212),L212&gt;0),K212/L212,"")</f>
        <v/>
      </c>
      <c r="N212" s="5" t="n">
        <v>0.474</v>
      </c>
      <c r="O212" s="5" t="n">
        <v>36.7</v>
      </c>
      <c r="P212" s="5" t="n">
        <v>2</v>
      </c>
      <c r="Q212" s="5" t="n">
        <v>0</v>
      </c>
      <c r="R212" s="5" t="n">
        <v>0</v>
      </c>
      <c r="S212" s="5" t="n">
        <v>0</v>
      </c>
      <c r="T212" s="5" t="n">
        <v>0</v>
      </c>
      <c r="U212" s="5" t="n">
        <v>1</v>
      </c>
      <c r="V212" s="5" t="n">
        <v>6</v>
      </c>
      <c r="W212" s="5" t="n">
        <v>1.53</v>
      </c>
      <c r="X212" s="5" t="inlineStr"/>
      <c r="Y212" s="5" t="n">
        <v>4725.2</v>
      </c>
      <c r="Z212" s="5" t="n">
        <v>2039.4</v>
      </c>
      <c r="AA212" s="5" t="n">
        <v>4766.8</v>
      </c>
      <c r="AB212" s="5" t="n">
        <v>2073.7</v>
      </c>
      <c r="AC212" s="5" t="inlineStr"/>
      <c r="AD212" s="5">
        <f>IF(AC212="","",IF(OR(AC212=F212,AND(AC212="crane_footing",F212="isolated_footing")),"yes","no"))</f>
        <v/>
      </c>
    </row>
    <row r="213">
      <c r="A213" s="5" t="n">
        <v>212</v>
      </c>
      <c r="B213" s="5" t="inlineStr">
        <is>
          <t>121</t>
        </is>
      </c>
      <c r="C213" s="5" t="inlineStr">
        <is>
          <t>nearest labels in its region</t>
        </is>
      </c>
      <c r="D213" s="5" t="inlineStr">
        <is>
          <t>band</t>
        </is>
      </c>
      <c r="E213" s="5" t="n">
        <v>3</v>
      </c>
      <c r="F213" s="5" t="inlineStr">
        <is>
          <t>unnamed</t>
        </is>
      </c>
      <c r="G213" s="5" t="inlineStr">
        <is>
          <t>no label votes</t>
        </is>
      </c>
      <c r="H213" s="5" t="inlineStr">
        <is>
          <t>(none)</t>
        </is>
      </c>
      <c r="I213" s="5" t="inlineStr"/>
      <c r="J213" s="5" t="inlineStr"/>
      <c r="K213" s="5" t="n">
        <v>127</v>
      </c>
      <c r="L213" s="5" t="n">
        <v>31</v>
      </c>
      <c r="M213" s="10">
        <f>IF(AND(ISNUMBER(K213),L213&gt;0),K213/L213,"")</f>
        <v/>
      </c>
      <c r="N213" s="5" t="n">
        <v>0.394</v>
      </c>
      <c r="O213" s="5" t="n">
        <v>179.9</v>
      </c>
      <c r="P213" s="5" t="n">
        <v>1</v>
      </c>
      <c r="Q213" s="5" t="n">
        <v>0</v>
      </c>
      <c r="R213" s="5" t="n">
        <v>0</v>
      </c>
      <c r="S213" s="5" t="n">
        <v>1</v>
      </c>
      <c r="T213" s="5" t="n">
        <v>0</v>
      </c>
      <c r="U213" s="5" t="n">
        <v>0</v>
      </c>
      <c r="V213" s="5" t="n">
        <v>0</v>
      </c>
      <c r="W213" s="5" t="n">
        <v>1.27</v>
      </c>
      <c r="X213" s="5" t="inlineStr"/>
      <c r="Y213" s="5" t="n">
        <v>4878.8</v>
      </c>
      <c r="Z213" s="5" t="n">
        <v>1567.8</v>
      </c>
      <c r="AA213" s="5" t="n">
        <v>4916.3</v>
      </c>
      <c r="AB213" s="5" t="n">
        <v>1577.1</v>
      </c>
      <c r="AC213" s="5" t="inlineStr"/>
      <c r="AD213" s="5">
        <f>IF(AC213="","",IF(OR(AC213=F213,AND(AC213="crane_footing",F213="isolated_footing")),"yes","no"))</f>
        <v/>
      </c>
    </row>
    <row r="214">
      <c r="A214" s="5" t="n">
        <v>213</v>
      </c>
      <c r="B214" s="5" t="inlineStr">
        <is>
          <t>121</t>
        </is>
      </c>
      <c r="C214" s="5" t="inlineStr">
        <is>
          <t>nearest labels in its region</t>
        </is>
      </c>
      <c r="D214" s="5" t="inlineStr">
        <is>
          <t>band</t>
        </is>
      </c>
      <c r="E214" s="5" t="n">
        <v>3</v>
      </c>
      <c r="F214" s="5" t="inlineStr">
        <is>
          <t>unnamed</t>
        </is>
      </c>
      <c r="G214" s="5" t="inlineStr">
        <is>
          <t>no label votes</t>
        </is>
      </c>
      <c r="H214" s="5" t="inlineStr">
        <is>
          <t>(none)</t>
        </is>
      </c>
      <c r="I214" s="5" t="inlineStr"/>
      <c r="J214" s="5" t="inlineStr"/>
      <c r="K214" s="5" t="n">
        <v>115</v>
      </c>
      <c r="L214" s="5" t="n">
        <v>31</v>
      </c>
      <c r="M214" s="10">
        <f>IF(AND(ISNUMBER(K214),L214&gt;0),K214/L214,"")</f>
        <v/>
      </c>
      <c r="N214" s="5" t="n">
        <v>0.357</v>
      </c>
      <c r="O214" s="5" t="n">
        <v>126.6</v>
      </c>
      <c r="P214" s="5" t="n">
        <v>1</v>
      </c>
      <c r="Q214" s="5" t="n">
        <v>1</v>
      </c>
      <c r="R214" s="5" t="n">
        <v>0</v>
      </c>
      <c r="S214" s="5" t="n">
        <v>0</v>
      </c>
      <c r="T214" s="5" t="n">
        <v>0</v>
      </c>
      <c r="U214" s="5" t="n">
        <v>14</v>
      </c>
      <c r="V214" s="5" t="n">
        <v>3</v>
      </c>
      <c r="W214" s="5" t="n">
        <v>0</v>
      </c>
      <c r="X214" s="5" t="inlineStr"/>
      <c r="Y214" s="5" t="n">
        <v>4739.2</v>
      </c>
      <c r="Z214" s="5" t="n">
        <v>2095.1</v>
      </c>
      <c r="AA214" s="5" t="n">
        <v>4766.8</v>
      </c>
      <c r="AB214" s="5" t="n">
        <v>2127.9</v>
      </c>
      <c r="AC214" s="5" t="inlineStr"/>
      <c r="AD214" s="5">
        <f>IF(AC214="","",IF(OR(AC214=F214,AND(AC214="crane_footing",F214="isolated_footing")),"yes","no"))</f>
        <v/>
      </c>
    </row>
    <row r="215">
      <c r="A215" s="5" t="n">
        <v>214</v>
      </c>
      <c r="B215" s="5" t="inlineStr">
        <is>
          <t>121</t>
        </is>
      </c>
      <c r="C215" s="5" t="inlineStr">
        <is>
          <t>nearest labels in its region</t>
        </is>
      </c>
      <c r="D215" s="5" t="inlineStr">
        <is>
          <t>band</t>
        </is>
      </c>
      <c r="E215" s="5" t="n">
        <v>3</v>
      </c>
      <c r="F215" s="5" t="inlineStr">
        <is>
          <t>unnamed</t>
        </is>
      </c>
      <c r="G215" s="5" t="inlineStr">
        <is>
          <t>no label votes</t>
        </is>
      </c>
      <c r="H215" s="5" t="inlineStr">
        <is>
          <t>(none)</t>
        </is>
      </c>
      <c r="I215" s="5" t="inlineStr"/>
      <c r="J215" s="5" t="inlineStr"/>
      <c r="K215" s="5" t="n">
        <v>90</v>
      </c>
      <c r="L215" s="5" t="n">
        <v>31</v>
      </c>
      <c r="M215" s="10">
        <f>IF(AND(ISNUMBER(K215),L215&gt;0),K215/L215,"")</f>
        <v/>
      </c>
      <c r="N215" s="5" t="n">
        <v>0.279</v>
      </c>
      <c r="O215" s="5" t="n">
        <v>36.7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  <c r="U215" s="5" t="n">
        <v>1</v>
      </c>
      <c r="V215" s="5" t="n">
        <v>8</v>
      </c>
      <c r="W215" s="5" t="n">
        <v>0.32</v>
      </c>
      <c r="X215" s="5" t="inlineStr"/>
      <c r="Y215" s="5" t="n">
        <v>4518.2</v>
      </c>
      <c r="Z215" s="5" t="n">
        <v>2060.8</v>
      </c>
      <c r="AA215" s="5" t="n">
        <v>4545</v>
      </c>
      <c r="AB215" s="5" t="n">
        <v>2084</v>
      </c>
      <c r="AC215" s="5" t="inlineStr"/>
      <c r="AD215" s="5">
        <f>IF(AC215="","",IF(OR(AC215=F215,AND(AC215="crane_footing",F215="isolated_footing")),"yes","no"))</f>
        <v/>
      </c>
    </row>
    <row r="216">
      <c r="A216" s="5" t="n">
        <v>215</v>
      </c>
      <c r="B216" s="5" t="inlineStr">
        <is>
          <t>121</t>
        </is>
      </c>
      <c r="C216" s="5" t="inlineStr">
        <is>
          <t>nearest labels in its region</t>
        </is>
      </c>
      <c r="D216" s="5" t="inlineStr">
        <is>
          <t>band</t>
        </is>
      </c>
      <c r="E216" s="5" t="n">
        <v>3</v>
      </c>
      <c r="F216" s="5" t="inlineStr">
        <is>
          <t>unnamed</t>
        </is>
      </c>
      <c r="G216" s="5" t="inlineStr">
        <is>
          <t>no label votes</t>
        </is>
      </c>
      <c r="H216" s="5" t="inlineStr">
        <is>
          <t>(none)</t>
        </is>
      </c>
      <c r="I216" s="5" t="inlineStr"/>
      <c r="J216" s="5" t="inlineStr"/>
      <c r="K216" s="5" t="n">
        <v>89</v>
      </c>
      <c r="L216" s="5" t="n">
        <v>31</v>
      </c>
      <c r="M216" s="10">
        <f>IF(AND(ISNUMBER(K216),L216&gt;0),K216/L216,"")</f>
        <v/>
      </c>
      <c r="N216" s="5" t="n">
        <v>0.275</v>
      </c>
      <c r="O216" s="5" t="n">
        <v>126.7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  <c r="U216" s="5" t="n">
        <v>0</v>
      </c>
      <c r="V216" s="5" t="n">
        <v>8</v>
      </c>
      <c r="W216" s="5" t="n">
        <v>0</v>
      </c>
      <c r="X216" s="5" t="inlineStr"/>
      <c r="Y216" s="5" t="n">
        <v>4518.3</v>
      </c>
      <c r="Z216" s="5" t="n">
        <v>2084.2</v>
      </c>
      <c r="AA216" s="5" t="n">
        <v>4541.3</v>
      </c>
      <c r="AB216" s="5" t="n">
        <v>2110.7</v>
      </c>
      <c r="AC216" s="5" t="inlineStr"/>
      <c r="AD216" s="5">
        <f>IF(AC216="","",IF(OR(AC216=F216,AND(AC216="crane_footing",F216="isolated_footing")),"yes","no"))</f>
        <v/>
      </c>
    </row>
    <row r="217">
      <c r="A217" s="5" t="n">
        <v>216</v>
      </c>
      <c r="B217" s="5" t="inlineStr">
        <is>
          <t>121</t>
        </is>
      </c>
      <c r="C217" s="5" t="inlineStr">
        <is>
          <t>nearest labels in its region</t>
        </is>
      </c>
      <c r="D217" s="5" t="inlineStr">
        <is>
          <t>band</t>
        </is>
      </c>
      <c r="E217" s="5" t="n">
        <v>3</v>
      </c>
      <c r="F217" s="5" t="inlineStr">
        <is>
          <t>unnamed</t>
        </is>
      </c>
      <c r="G217" s="5" t="inlineStr">
        <is>
          <t>no label votes</t>
        </is>
      </c>
      <c r="H217" s="5" t="inlineStr">
        <is>
          <t>(none)</t>
        </is>
      </c>
      <c r="I217" s="5" t="inlineStr"/>
      <c r="J217" s="5" t="inlineStr"/>
      <c r="K217" s="5" t="n">
        <v>86</v>
      </c>
      <c r="L217" s="5" t="n">
        <v>31</v>
      </c>
      <c r="M217" s="10">
        <f>IF(AND(ISNUMBER(K217),L217&gt;0),K217/L217,"")</f>
        <v/>
      </c>
      <c r="N217" s="5" t="n">
        <v>0.267</v>
      </c>
      <c r="O217" s="5" t="n">
        <v>36.7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13</v>
      </c>
      <c r="V217" s="5" t="n">
        <v>5</v>
      </c>
      <c r="W217" s="5" t="n">
        <v>0.86</v>
      </c>
      <c r="X217" s="5" t="inlineStr"/>
      <c r="Y217" s="5" t="n">
        <v>4740.8</v>
      </c>
      <c r="Z217" s="5" t="n">
        <v>2039.4</v>
      </c>
      <c r="AA217" s="5" t="n">
        <v>4766.7</v>
      </c>
      <c r="AB217" s="5" t="n">
        <v>2062</v>
      </c>
      <c r="AC217" s="5" t="inlineStr"/>
      <c r="AD217" s="5">
        <f>IF(AC217="","",IF(OR(AC217=F217,AND(AC217="crane_footing",F217="isolated_footing")),"yes","no"))</f>
        <v/>
      </c>
    </row>
    <row r="218">
      <c r="A218" s="5" t="n">
        <v>217</v>
      </c>
      <c r="B218" s="5" t="inlineStr">
        <is>
          <t>121</t>
        </is>
      </c>
      <c r="C218" s="5" t="inlineStr">
        <is>
          <t>nearest labels in its region</t>
        </is>
      </c>
      <c r="D218" s="5" t="inlineStr">
        <is>
          <t>band</t>
        </is>
      </c>
      <c r="E218" s="5" t="n">
        <v>8</v>
      </c>
      <c r="F218" s="5" t="inlineStr">
        <is>
          <t>unnamed</t>
        </is>
      </c>
      <c r="G218" s="5" t="inlineStr">
        <is>
          <t>no label votes</t>
        </is>
      </c>
      <c r="H218" s="5" t="inlineStr">
        <is>
          <t>(none)</t>
        </is>
      </c>
      <c r="I218" s="5" t="inlineStr"/>
      <c r="J218" s="5" t="inlineStr"/>
      <c r="K218" s="5" t="n">
        <v>226</v>
      </c>
      <c r="L218" s="5" t="n">
        <v>94</v>
      </c>
      <c r="M218" s="10">
        <f>IF(AND(ISNUMBER(K218),L218&gt;0),K218/L218,"")</f>
        <v/>
      </c>
      <c r="N218" s="5" t="n">
        <v>2.123</v>
      </c>
      <c r="O218" s="5" t="n">
        <v>179.9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  <c r="U218" s="5" t="n">
        <v>0</v>
      </c>
      <c r="V218" s="5" t="n">
        <v>17</v>
      </c>
      <c r="W218" s="5" t="n">
        <v>0</v>
      </c>
      <c r="X218" s="5" t="inlineStr"/>
      <c r="Y218" s="5" t="n">
        <v>4539.2</v>
      </c>
      <c r="Z218" s="5" t="n">
        <v>2056.1</v>
      </c>
      <c r="AA218" s="5" t="n">
        <v>4605.9</v>
      </c>
      <c r="AB218" s="5" t="n">
        <v>2084</v>
      </c>
      <c r="AC218" s="5" t="inlineStr"/>
      <c r="AD218" s="5">
        <f>IF(AC218="","",IF(OR(AC218=F218,AND(AC218="crane_footing",F218="isolated_footing")),"yes","no"))</f>
        <v/>
      </c>
    </row>
    <row r="219">
      <c r="A219" s="5" t="n">
        <v>218</v>
      </c>
      <c r="B219" s="5" t="inlineStr">
        <is>
          <t>121</t>
        </is>
      </c>
      <c r="C219" s="5" t="inlineStr">
        <is>
          <t>nearest labels in its region</t>
        </is>
      </c>
      <c r="D219" s="5" t="inlineStr">
        <is>
          <t>band</t>
        </is>
      </c>
      <c r="E219" s="5" t="n">
        <v>9</v>
      </c>
      <c r="F219" s="5" t="inlineStr">
        <is>
          <t>unnamed</t>
        </is>
      </c>
      <c r="G219" s="5" t="inlineStr">
        <is>
          <t>no label votes</t>
        </is>
      </c>
      <c r="H219" s="5" t="inlineStr">
        <is>
          <t>(none)</t>
        </is>
      </c>
      <c r="I219" s="5" t="inlineStr"/>
      <c r="J219" s="5" t="inlineStr"/>
      <c r="K219" s="5" t="n">
        <v>337</v>
      </c>
      <c r="L219" s="5" t="n">
        <v>99</v>
      </c>
      <c r="M219" s="10">
        <f>IF(AND(ISNUMBER(K219),L219&gt;0),K219/L219,"")</f>
        <v/>
      </c>
      <c r="N219" s="5" t="n">
        <v>3.34</v>
      </c>
      <c r="O219" s="5" t="n">
        <v>179.9</v>
      </c>
      <c r="P219" s="5" t="n">
        <v>2</v>
      </c>
      <c r="Q219" s="5" t="n">
        <v>0</v>
      </c>
      <c r="R219" s="5" t="n">
        <v>0</v>
      </c>
      <c r="S219" s="5" t="n">
        <v>1</v>
      </c>
      <c r="T219" s="5" t="n">
        <v>0</v>
      </c>
      <c r="U219" s="5" t="n">
        <v>5</v>
      </c>
      <c r="V219" s="5" t="n">
        <v>2</v>
      </c>
      <c r="W219" s="5" t="n">
        <v>3.37</v>
      </c>
      <c r="X219" s="5" t="inlineStr"/>
      <c r="Y219" s="5" t="n">
        <v>4771.8</v>
      </c>
      <c r="Z219" s="5" t="n">
        <v>1584.5</v>
      </c>
      <c r="AA219" s="5" t="n">
        <v>4871.5</v>
      </c>
      <c r="AB219" s="5" t="n">
        <v>1613.9</v>
      </c>
      <c r="AC219" s="5" t="inlineStr"/>
      <c r="AD219" s="5">
        <f>IF(AC219="","",IF(OR(AC219=F219,AND(AC219="crane_footing",F219="isolated_footing")),"yes","no"))</f>
        <v/>
      </c>
    </row>
    <row r="220">
      <c r="A220" s="5" t="n">
        <v>219</v>
      </c>
      <c r="B220" s="5" t="inlineStr">
        <is>
          <t>121</t>
        </is>
      </c>
      <c r="C220" s="5" t="inlineStr">
        <is>
          <t>nearest labels in its region</t>
        </is>
      </c>
      <c r="D220" s="5" t="inlineStr">
        <is>
          <t>band</t>
        </is>
      </c>
      <c r="E220" s="5" t="n">
        <v>10</v>
      </c>
      <c r="F220" s="5" t="inlineStr">
        <is>
          <t>unnamed</t>
        </is>
      </c>
      <c r="G220" s="5" t="inlineStr">
        <is>
          <t>no label votes</t>
        </is>
      </c>
      <c r="H220" s="5" t="inlineStr">
        <is>
          <t>(none)</t>
        </is>
      </c>
      <c r="I220" s="5" t="inlineStr"/>
      <c r="J220" s="5" t="inlineStr"/>
      <c r="K220" s="5" t="n">
        <v>218</v>
      </c>
      <c r="L220" s="5" t="n">
        <v>121</v>
      </c>
      <c r="M220" s="10">
        <f>IF(AND(ISNUMBER(K220),L220&gt;0),K220/L220,"")</f>
        <v/>
      </c>
      <c r="N220" s="5" t="n">
        <v>2.641</v>
      </c>
      <c r="O220" s="5" t="n">
        <v>179.9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  <c r="U220" s="5" t="n">
        <v>16</v>
      </c>
      <c r="V220" s="5" t="n">
        <v>14</v>
      </c>
      <c r="W220" s="5" t="n">
        <v>2.18</v>
      </c>
      <c r="X220" s="5" t="inlineStr"/>
      <c r="Y220" s="5" t="n">
        <v>4695.5</v>
      </c>
      <c r="Z220" s="5" t="n">
        <v>2048</v>
      </c>
      <c r="AA220" s="5" t="n">
        <v>4760</v>
      </c>
      <c r="AB220" s="5" t="n">
        <v>2083.8</v>
      </c>
      <c r="AC220" s="5" t="inlineStr"/>
      <c r="AD220" s="5">
        <f>IF(AC220="","",IF(OR(AC220=F220,AND(AC220="crane_footing",F220="isolated_footing")),"yes","no"))</f>
        <v/>
      </c>
    </row>
    <row r="221">
      <c r="A221" s="5" t="n">
        <v>220</v>
      </c>
      <c r="B221" s="5" t="inlineStr">
        <is>
          <t>121</t>
        </is>
      </c>
      <c r="C221" s="5" t="inlineStr">
        <is>
          <t>nearest labels in its region</t>
        </is>
      </c>
      <c r="D221" s="5" t="inlineStr">
        <is>
          <t>solid</t>
        </is>
      </c>
      <c r="E221" s="5" t="n">
        <v>38</v>
      </c>
      <c r="F221" s="5" t="inlineStr">
        <is>
          <t>unnamed</t>
        </is>
      </c>
      <c r="G221" s="5" t="inlineStr">
        <is>
          <t>no label votes</t>
        </is>
      </c>
      <c r="H221" s="5" t="inlineStr">
        <is>
          <t>Radier 25</t>
        </is>
      </c>
      <c r="I221" s="5" t="inlineStr">
        <is>
          <t>printed label</t>
        </is>
      </c>
      <c r="J221" s="5" t="inlineStr">
        <is>
          <t>RADIER</t>
        </is>
      </c>
      <c r="K221" s="5" t="n">
        <v>150</v>
      </c>
      <c r="L221" s="5" t="n">
        <v>20</v>
      </c>
      <c r="M221" s="10">
        <f>IF(AND(ISNUMBER(K221),L221&gt;0),K221/L221,"")</f>
        <v/>
      </c>
      <c r="N221" s="5" t="n">
        <v>0.302</v>
      </c>
      <c r="O221" s="5" t="n">
        <v>0.1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/>
      <c r="X221" s="5" t="inlineStr"/>
      <c r="Y221" s="5" t="n">
        <v>4722.1</v>
      </c>
      <c r="Z221" s="5" t="n">
        <v>1822.5</v>
      </c>
      <c r="AA221" s="5" t="n">
        <v>4766.3</v>
      </c>
      <c r="AB221" s="5" t="n">
        <v>1828.5</v>
      </c>
      <c r="AC221" s="5" t="inlineStr"/>
      <c r="AD221" s="5">
        <f>IF(AC221="","",IF(OR(AC221=F221,AND(AC221="crane_footing",F221="isolated_footing")),"yes","no"))</f>
        <v/>
      </c>
    </row>
    <row r="222">
      <c r="A222" s="5" t="n">
        <v>221</v>
      </c>
      <c r="B222" s="5" t="inlineStr">
        <is>
          <t>121</t>
        </is>
      </c>
      <c r="C222" s="5" t="inlineStr">
        <is>
          <t>nearest labels in its region</t>
        </is>
      </c>
      <c r="D222" s="5" t="inlineStr">
        <is>
          <t>solid</t>
        </is>
      </c>
      <c r="E222" s="5" t="n">
        <v>34</v>
      </c>
      <c r="F222" s="5" t="inlineStr">
        <is>
          <t>unnamed</t>
        </is>
      </c>
      <c r="G222" s="5" t="inlineStr">
        <is>
          <t>no label votes</t>
        </is>
      </c>
      <c r="H222" s="5" t="inlineStr">
        <is>
          <t>SF1</t>
        </is>
      </c>
      <c r="I222" s="5" t="inlineStr">
        <is>
          <t>printed label</t>
        </is>
      </c>
      <c r="J222" s="5" t="inlineStr">
        <is>
          <t>SF1 80x25</t>
        </is>
      </c>
      <c r="K222" s="5" t="n">
        <v>130</v>
      </c>
      <c r="L222" s="5" t="n">
        <v>20</v>
      </c>
      <c r="M222" s="10">
        <f>IF(AND(ISNUMBER(K222),L222&gt;0),K222/L222,"")</f>
        <v/>
      </c>
      <c r="N222" s="5" t="n">
        <v>0.263</v>
      </c>
      <c r="O222" s="5" t="n">
        <v>179.9</v>
      </c>
      <c r="P222" s="5" t="n">
        <v>1</v>
      </c>
      <c r="Q222" s="5" t="n">
        <v>1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/>
      <c r="X222" s="5" t="inlineStr"/>
      <c r="Y222" s="5" t="n">
        <v>4722.3</v>
      </c>
      <c r="Z222" s="5" t="n">
        <v>1887.4</v>
      </c>
      <c r="AA222" s="5" t="n">
        <v>4760.7</v>
      </c>
      <c r="AB222" s="5" t="n">
        <v>1893.4</v>
      </c>
      <c r="AC222" s="5" t="inlineStr"/>
      <c r="AD222" s="5">
        <f>IF(AC222="","",IF(OR(AC222=F222,AND(AC222="crane_footing",F222="isolated_footing")),"yes","no"))</f>
        <v/>
      </c>
    </row>
    <row r="223">
      <c r="A223" s="5" t="n">
        <v>222</v>
      </c>
      <c r="B223" s="5" t="inlineStr">
        <is>
          <t>122</t>
        </is>
      </c>
      <c r="C223" s="5" t="inlineStr">
        <is>
          <t>region between joints</t>
        </is>
      </c>
      <c r="D223" s="5" t="inlineStr">
        <is>
          <t>solid</t>
        </is>
      </c>
      <c r="E223" s="5" t="n">
        <v>31</v>
      </c>
      <c r="F223" s="5" t="inlineStr">
        <is>
          <t>column</t>
        </is>
      </c>
      <c r="G223" s="5" t="inlineStr">
        <is>
          <t>label vote</t>
        </is>
      </c>
      <c r="H223" s="5" t="inlineStr">
        <is>
          <t>(none)</t>
        </is>
      </c>
      <c r="I223" s="5" t="inlineStr">
        <is>
          <t>no column type in its building has this size</t>
        </is>
      </c>
      <c r="J223" s="5" t="inlineStr"/>
      <c r="K223" s="5" t="n">
        <v>50</v>
      </c>
      <c r="L223" s="5" t="n">
        <v>25</v>
      </c>
      <c r="M223" s="10">
        <f>IF(AND(ISNUMBER(K223),L223&gt;0),K223/L223,"")</f>
        <v/>
      </c>
      <c r="N223" s="5" t="n">
        <v>0.126</v>
      </c>
      <c r="O223" s="5" t="n">
        <v>89.8</v>
      </c>
      <c r="P223" s="5" t="n">
        <v>0</v>
      </c>
      <c r="Q223" s="5" t="n">
        <v>0</v>
      </c>
      <c r="R223" s="5" t="n">
        <v>0</v>
      </c>
      <c r="S223" s="5" t="n">
        <v>1</v>
      </c>
      <c r="T223" s="5" t="n">
        <v>0</v>
      </c>
      <c r="U223" s="5" t="n">
        <v>0</v>
      </c>
      <c r="V223" s="5" t="n">
        <v>0</v>
      </c>
      <c r="W223" s="5" t="n"/>
      <c r="X223" s="5" t="inlineStr"/>
      <c r="Y223" s="5" t="n">
        <v>4873.9</v>
      </c>
      <c r="Z223" s="5" t="n">
        <v>2721.9</v>
      </c>
      <c r="AA223" s="5" t="n">
        <v>4881.4</v>
      </c>
      <c r="AB223" s="5" t="n">
        <v>2736.6</v>
      </c>
      <c r="AC223" s="5" t="inlineStr"/>
      <c r="AD223" s="5">
        <f>IF(AC223="","",IF(OR(AC223=F223,AND(AC223="crane_footing",F223="isolated_footing")),"yes","no"))</f>
        <v/>
      </c>
    </row>
    <row r="224">
      <c r="A224" s="5" t="n">
        <v>223</v>
      </c>
      <c r="B224" s="5" t="inlineStr">
        <is>
          <t>122</t>
        </is>
      </c>
      <c r="C224" s="5" t="inlineStr">
        <is>
          <t>region between joints</t>
        </is>
      </c>
      <c r="D224" s="5" t="inlineStr">
        <is>
          <t>solid</t>
        </is>
      </c>
      <c r="E224" s="5" t="n">
        <v>31</v>
      </c>
      <c r="F224" s="5" t="inlineStr">
        <is>
          <t>column</t>
        </is>
      </c>
      <c r="G224" s="5" t="inlineStr">
        <is>
          <t>label vote</t>
        </is>
      </c>
      <c r="H224" s="5" t="inlineStr">
        <is>
          <t>(none)</t>
        </is>
      </c>
      <c r="I224" s="5" t="inlineStr">
        <is>
          <t>no column type in its building has this size</t>
        </is>
      </c>
      <c r="J224" s="5" t="inlineStr"/>
      <c r="K224" s="5" t="n">
        <v>91</v>
      </c>
      <c r="L224" s="5" t="n">
        <v>25</v>
      </c>
      <c r="M224" s="10">
        <f>IF(AND(ISNUMBER(K224),L224&gt;0),K224/L224,"")</f>
        <v/>
      </c>
      <c r="N224" s="5" t="n">
        <v>0.227</v>
      </c>
      <c r="O224" s="5" t="n">
        <v>89.90000000000001</v>
      </c>
      <c r="P224" s="5" t="n">
        <v>1</v>
      </c>
      <c r="Q224" s="5" t="n">
        <v>0</v>
      </c>
      <c r="R224" s="5" t="n">
        <v>0</v>
      </c>
      <c r="S224" s="5" t="n">
        <v>1</v>
      </c>
      <c r="T224" s="5" t="n">
        <v>0</v>
      </c>
      <c r="U224" s="5" t="n">
        <v>4</v>
      </c>
      <c r="V224" s="5" t="n">
        <v>0</v>
      </c>
      <c r="W224" s="5" t="n"/>
      <c r="X224" s="5" t="inlineStr"/>
      <c r="Y224" s="5" t="n">
        <v>4766.9</v>
      </c>
      <c r="Z224" s="5" t="n">
        <v>2713.5</v>
      </c>
      <c r="AA224" s="5" t="n">
        <v>4774.2</v>
      </c>
      <c r="AB224" s="5" t="n">
        <v>2740.5</v>
      </c>
      <c r="AC224" s="5" t="inlineStr"/>
      <c r="AD224" s="5">
        <f>IF(AC224="","",IF(OR(AC224=F224,AND(AC224="crane_footing",F224="isolated_footing")),"yes","no"))</f>
        <v/>
      </c>
    </row>
    <row r="225">
      <c r="A225" s="5" t="n">
        <v>224</v>
      </c>
      <c r="B225" s="5" t="inlineStr">
        <is>
          <t>122</t>
        </is>
      </c>
      <c r="C225" s="5" t="inlineStr">
        <is>
          <t>own label</t>
        </is>
      </c>
      <c r="D225" s="5" t="inlineStr">
        <is>
          <t>solid</t>
        </is>
      </c>
      <c r="E225" s="5" t="n">
        <v>29</v>
      </c>
      <c r="F225" s="5" t="inlineStr">
        <is>
          <t>column</t>
        </is>
      </c>
      <c r="G225" s="5" t="inlineStr">
        <is>
          <t>label vote</t>
        </is>
      </c>
      <c r="H225" s="5" t="inlineStr">
        <is>
          <t>P2/122</t>
        </is>
      </c>
      <c r="I225" s="5" t="inlineStr">
        <is>
          <t>printed label</t>
        </is>
      </c>
      <c r="J225" s="5" t="inlineStr">
        <is>
          <t>P2/122/122</t>
        </is>
      </c>
      <c r="K225" s="5" t="n">
        <v>100</v>
      </c>
      <c r="L225" s="5" t="n">
        <v>30</v>
      </c>
      <c r="M225" s="10">
        <f>IF(AND(ISNUMBER(K225),L225&gt;0),K225/L225,"")</f>
        <v/>
      </c>
      <c r="N225" s="5" t="n">
        <v>0.301</v>
      </c>
      <c r="O225" s="5" t="n">
        <v>179.9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  <c r="U225" s="5" t="n">
        <v>1</v>
      </c>
      <c r="V225" s="5" t="n">
        <v>3</v>
      </c>
      <c r="W225" s="5" t="n"/>
      <c r="X225" s="5" t="inlineStr"/>
      <c r="Y225" s="5" t="n">
        <v>4582.2</v>
      </c>
      <c r="Z225" s="5" t="n">
        <v>2698</v>
      </c>
      <c r="AA225" s="5" t="n">
        <v>4611.8</v>
      </c>
      <c r="AB225" s="5" t="n">
        <v>2707</v>
      </c>
      <c r="AC225" s="5" t="inlineStr">
        <is>
          <t>column</t>
        </is>
      </c>
      <c r="AD225" s="5">
        <f>IF(AC225="","",IF(OR(AC225=F225,AND(AC225="crane_footing",F225="isolated_footing")),"yes","no"))</f>
        <v/>
      </c>
    </row>
    <row r="226">
      <c r="A226" s="5" t="n">
        <v>225</v>
      </c>
      <c r="B226" s="5" t="inlineStr">
        <is>
          <t>122</t>
        </is>
      </c>
      <c r="C226" s="5" t="inlineStr">
        <is>
          <t>own label</t>
        </is>
      </c>
      <c r="D226" s="5" t="inlineStr">
        <is>
          <t>solid</t>
        </is>
      </c>
      <c r="E226" s="5" t="n">
        <v>29</v>
      </c>
      <c r="F226" s="5" t="inlineStr">
        <is>
          <t>column</t>
        </is>
      </c>
      <c r="G226" s="5" t="inlineStr">
        <is>
          <t>label vote</t>
        </is>
      </c>
      <c r="H226" s="5" t="inlineStr">
        <is>
          <t>P2a/122</t>
        </is>
      </c>
      <c r="I226" s="5" t="inlineStr">
        <is>
          <t>printed label</t>
        </is>
      </c>
      <c r="J226" s="5" t="inlineStr">
        <is>
          <t>P2a/122a/122</t>
        </is>
      </c>
      <c r="K226" s="5" t="n">
        <v>100</v>
      </c>
      <c r="L226" s="5" t="n">
        <v>30</v>
      </c>
      <c r="M226" s="10">
        <f>IF(AND(ISNUMBER(K226),L226&gt;0),K226/L226,"")</f>
        <v/>
      </c>
      <c r="N226" s="5" t="n">
        <v>0.299</v>
      </c>
      <c r="O226" s="5" t="n">
        <v>179.9</v>
      </c>
      <c r="P226" s="5" t="n">
        <v>0</v>
      </c>
      <c r="Q226" s="5" t="n">
        <v>0</v>
      </c>
      <c r="R226" s="5" t="n">
        <v>0</v>
      </c>
      <c r="S226" s="5" t="n">
        <v>1</v>
      </c>
      <c r="T226" s="5" t="n">
        <v>0</v>
      </c>
      <c r="U226" s="5" t="n">
        <v>0</v>
      </c>
      <c r="V226" s="5" t="n">
        <v>2</v>
      </c>
      <c r="W226" s="5" t="n"/>
      <c r="X226" s="5" t="inlineStr"/>
      <c r="Y226" s="5" t="n">
        <v>4705.4</v>
      </c>
      <c r="Z226" s="5" t="n">
        <v>2697.8</v>
      </c>
      <c r="AA226" s="5" t="n">
        <v>4734.9</v>
      </c>
      <c r="AB226" s="5" t="n">
        <v>2706.7</v>
      </c>
      <c r="AC226" s="5" t="inlineStr">
        <is>
          <t>column</t>
        </is>
      </c>
      <c r="AD226" s="5">
        <f>IF(AC226="","",IF(OR(AC226=F226,AND(AC226="crane_footing",F226="isolated_footing")),"yes","no"))</f>
        <v/>
      </c>
    </row>
    <row r="227">
      <c r="A227" s="5" t="n">
        <v>226</v>
      </c>
      <c r="B227" s="5" t="inlineStr">
        <is>
          <t>122</t>
        </is>
      </c>
      <c r="C227" s="5" t="inlineStr">
        <is>
          <t>own label</t>
        </is>
      </c>
      <c r="D227" s="5" t="inlineStr">
        <is>
          <t>solid</t>
        </is>
      </c>
      <c r="E227" s="5" t="n">
        <v>29</v>
      </c>
      <c r="F227" s="5" t="inlineStr">
        <is>
          <t>column</t>
        </is>
      </c>
      <c r="G227" s="5" t="inlineStr">
        <is>
          <t>label vote</t>
        </is>
      </c>
      <c r="H227" s="5" t="inlineStr">
        <is>
          <t>P2a/122</t>
        </is>
      </c>
      <c r="I227" s="5" t="inlineStr">
        <is>
          <t>printed label</t>
        </is>
      </c>
      <c r="J227" s="5" t="inlineStr">
        <is>
          <t>P2a/122/122</t>
        </is>
      </c>
      <c r="K227" s="5" t="n">
        <v>100</v>
      </c>
      <c r="L227" s="5" t="n">
        <v>30</v>
      </c>
      <c r="M227" s="10">
        <f>IF(AND(ISNUMBER(K227),L227&gt;0),K227/L227,"")</f>
        <v/>
      </c>
      <c r="N227" s="5" t="n">
        <v>0.299</v>
      </c>
      <c r="O227" s="5" t="n">
        <v>179.9</v>
      </c>
      <c r="P227" s="5" t="n">
        <v>0</v>
      </c>
      <c r="Q227" s="5" t="n">
        <v>0</v>
      </c>
      <c r="R227" s="5" t="n">
        <v>0</v>
      </c>
      <c r="S227" s="5" t="n">
        <v>1</v>
      </c>
      <c r="T227" s="5" t="n">
        <v>0</v>
      </c>
      <c r="U227" s="5" t="n">
        <v>0</v>
      </c>
      <c r="V227" s="5" t="n">
        <v>2</v>
      </c>
      <c r="W227" s="5" t="n"/>
      <c r="X227" s="5" t="inlineStr"/>
      <c r="Y227" s="5" t="n">
        <v>4705.2</v>
      </c>
      <c r="Z227" s="5" t="n">
        <v>2609.2</v>
      </c>
      <c r="AA227" s="5" t="n">
        <v>4734.7</v>
      </c>
      <c r="AB227" s="5" t="n">
        <v>2618.2</v>
      </c>
      <c r="AC227" s="5" t="inlineStr">
        <is>
          <t>column</t>
        </is>
      </c>
      <c r="AD227" s="5">
        <f>IF(AC227="","",IF(OR(AC227=F227,AND(AC227="crane_footing",F227="isolated_footing")),"yes","no"))</f>
        <v/>
      </c>
    </row>
    <row r="228">
      <c r="A228" s="5" t="n">
        <v>227</v>
      </c>
      <c r="B228" s="5" t="inlineStr">
        <is>
          <t>122</t>
        </is>
      </c>
      <c r="C228" s="5" t="inlineStr">
        <is>
          <t>own label</t>
        </is>
      </c>
      <c r="D228" s="5" t="inlineStr">
        <is>
          <t>solid</t>
        </is>
      </c>
      <c r="E228" s="5" t="n">
        <v>29</v>
      </c>
      <c r="F228" s="5" t="inlineStr">
        <is>
          <t>column</t>
        </is>
      </c>
      <c r="G228" s="5" t="inlineStr">
        <is>
          <t>label vote</t>
        </is>
      </c>
      <c r="H228" s="5" t="inlineStr">
        <is>
          <t>P3/122</t>
        </is>
      </c>
      <c r="I228" s="5" t="inlineStr">
        <is>
          <t>printed label</t>
        </is>
      </c>
      <c r="J228" s="5" t="inlineStr">
        <is>
          <t>P3/122/122</t>
        </is>
      </c>
      <c r="K228" s="5" t="n">
        <v>50</v>
      </c>
      <c r="L228" s="5" t="n">
        <v>30</v>
      </c>
      <c r="M228" s="10">
        <f>IF(AND(ISNUMBER(K228),L228&gt;0),K228/L228,"")</f>
        <v/>
      </c>
      <c r="N228" s="5" t="n">
        <v>0.15</v>
      </c>
      <c r="O228" s="5" t="n">
        <v>79.40000000000001</v>
      </c>
      <c r="P228" s="5" t="n">
        <v>0</v>
      </c>
      <c r="Q228" s="5" t="n">
        <v>1</v>
      </c>
      <c r="R228" s="5" t="n">
        <v>0</v>
      </c>
      <c r="S228" s="5" t="n">
        <v>0</v>
      </c>
      <c r="T228" s="5" t="n">
        <v>0</v>
      </c>
      <c r="U228" s="5" t="n">
        <v>1</v>
      </c>
      <c r="V228" s="5" t="n">
        <v>4</v>
      </c>
      <c r="W228" s="5" t="n"/>
      <c r="X228" s="5" t="inlineStr"/>
      <c r="Y228" s="5" t="n">
        <v>4246.1</v>
      </c>
      <c r="Z228" s="5" t="n">
        <v>3072.2</v>
      </c>
      <c r="AA228" s="5" t="n">
        <v>4257.4</v>
      </c>
      <c r="AB228" s="5" t="n">
        <v>3088.4</v>
      </c>
      <c r="AC228" s="5" t="inlineStr">
        <is>
          <t>column</t>
        </is>
      </c>
      <c r="AD228" s="5">
        <f>IF(AC228="","",IF(OR(AC228=F228,AND(AC228="crane_footing",F228="isolated_footing")),"yes","no"))</f>
        <v/>
      </c>
    </row>
    <row r="229">
      <c r="A229" s="5" t="n">
        <v>228</v>
      </c>
      <c r="B229" s="5" t="inlineStr">
        <is>
          <t>122</t>
        </is>
      </c>
      <c r="C229" s="5" t="inlineStr">
        <is>
          <t>own label</t>
        </is>
      </c>
      <c r="D229" s="5" t="inlineStr">
        <is>
          <t>solid</t>
        </is>
      </c>
      <c r="E229" s="5" t="n">
        <v>29</v>
      </c>
      <c r="F229" s="5" t="inlineStr">
        <is>
          <t>column</t>
        </is>
      </c>
      <c r="G229" s="5" t="inlineStr">
        <is>
          <t>label vote</t>
        </is>
      </c>
      <c r="H229" s="5" t="inlineStr">
        <is>
          <t>P4/122</t>
        </is>
      </c>
      <c r="I229" s="5" t="inlineStr">
        <is>
          <t>printed label</t>
        </is>
      </c>
      <c r="J229" s="5" t="inlineStr">
        <is>
          <t>P4/122/122</t>
        </is>
      </c>
      <c r="K229" s="5" t="n">
        <v>60</v>
      </c>
      <c r="L229" s="5" t="n">
        <v>30</v>
      </c>
      <c r="M229" s="10">
        <f>IF(AND(ISNUMBER(K229),L229&gt;0),K229/L229,"")</f>
        <v/>
      </c>
      <c r="N229" s="5" t="n">
        <v>0.18</v>
      </c>
      <c r="O229" s="5" t="n">
        <v>169.4</v>
      </c>
      <c r="P229" s="5" t="n">
        <v>0</v>
      </c>
      <c r="Q229" s="5" t="n">
        <v>1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3</v>
      </c>
      <c r="W229" s="5" t="n"/>
      <c r="X229" s="5" t="inlineStr"/>
      <c r="Y229" s="5" t="n">
        <v>4296.4</v>
      </c>
      <c r="Z229" s="5" t="n">
        <v>2881.5</v>
      </c>
      <c r="AA229" s="5" t="n">
        <v>4315.5</v>
      </c>
      <c r="AB229" s="5" t="n">
        <v>2893.5</v>
      </c>
      <c r="AC229" s="5" t="inlineStr">
        <is>
          <t>column</t>
        </is>
      </c>
      <c r="AD229" s="5">
        <f>IF(AC229="","",IF(OR(AC229=F229,AND(AC229="crane_footing",F229="isolated_footing")),"yes","no"))</f>
        <v/>
      </c>
    </row>
    <row r="230">
      <c r="A230" s="5" t="n">
        <v>229</v>
      </c>
      <c r="B230" s="5" t="inlineStr">
        <is>
          <t>122</t>
        </is>
      </c>
      <c r="C230" s="5" t="inlineStr">
        <is>
          <t>own label</t>
        </is>
      </c>
      <c r="D230" s="5" t="inlineStr">
        <is>
          <t>solid</t>
        </is>
      </c>
      <c r="E230" s="5" t="n">
        <v>29</v>
      </c>
      <c r="F230" s="5" t="inlineStr">
        <is>
          <t>column</t>
        </is>
      </c>
      <c r="G230" s="5" t="inlineStr">
        <is>
          <t>label vote</t>
        </is>
      </c>
      <c r="H230" s="5" t="inlineStr">
        <is>
          <t>P4/122</t>
        </is>
      </c>
      <c r="I230" s="5" t="inlineStr">
        <is>
          <t>printed label</t>
        </is>
      </c>
      <c r="J230" s="5" t="inlineStr">
        <is>
          <t>P4/122/122</t>
        </is>
      </c>
      <c r="K230" s="5" t="n">
        <v>60</v>
      </c>
      <c r="L230" s="5" t="n">
        <v>30</v>
      </c>
      <c r="M230" s="10">
        <f>IF(AND(ISNUMBER(K230),L230&gt;0),K230/L230,"")</f>
        <v/>
      </c>
      <c r="N230" s="5" t="n">
        <v>0.18</v>
      </c>
      <c r="O230" s="5" t="n">
        <v>169.1</v>
      </c>
      <c r="P230" s="5" t="n">
        <v>0</v>
      </c>
      <c r="Q230" s="5" t="n">
        <v>1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3</v>
      </c>
      <c r="W230" s="5" t="n"/>
      <c r="X230" s="5" t="inlineStr"/>
      <c r="Y230" s="5" t="n">
        <v>4420.1</v>
      </c>
      <c r="Z230" s="5" t="n">
        <v>3043</v>
      </c>
      <c r="AA230" s="5" t="n">
        <v>4439.1</v>
      </c>
      <c r="AB230" s="5" t="n">
        <v>3055</v>
      </c>
      <c r="AC230" s="5" t="inlineStr">
        <is>
          <t>column</t>
        </is>
      </c>
      <c r="AD230" s="5">
        <f>IF(AC230="","",IF(OR(AC230=F230,AND(AC230="crane_footing",F230="isolated_footing")),"yes","no"))</f>
        <v/>
      </c>
    </row>
    <row r="231">
      <c r="A231" s="5" t="n">
        <v>230</v>
      </c>
      <c r="B231" s="5" t="inlineStr">
        <is>
          <t>122</t>
        </is>
      </c>
      <c r="C231" s="5" t="inlineStr">
        <is>
          <t>region between joints</t>
        </is>
      </c>
      <c r="D231" s="5" t="inlineStr">
        <is>
          <t>solid</t>
        </is>
      </c>
      <c r="E231" s="5" t="n">
        <v>30</v>
      </c>
      <c r="F231" s="5" t="inlineStr">
        <is>
          <t>shear_wall</t>
        </is>
      </c>
      <c r="G231" s="5" t="inlineStr">
        <is>
          <t>label vote</t>
        </is>
      </c>
      <c r="H231" s="5" t="inlineStr">
        <is>
          <t>(none)</t>
        </is>
      </c>
      <c r="I231" s="5" t="inlineStr">
        <is>
          <t>no shear_wall type in its building has this size</t>
        </is>
      </c>
      <c r="J231" s="5" t="inlineStr"/>
      <c r="K231" s="5" t="n">
        <v>342</v>
      </c>
      <c r="L231" s="5" t="n">
        <v>25</v>
      </c>
      <c r="M231" s="10">
        <f>IF(AND(ISNUMBER(K231),L231&gt;0),K231/L231,"")</f>
        <v/>
      </c>
      <c r="N231" s="5" t="n">
        <v>0.852</v>
      </c>
      <c r="O231" s="5" t="n">
        <v>0</v>
      </c>
      <c r="P231" s="5" t="n">
        <v>2</v>
      </c>
      <c r="Q231" s="5" t="n">
        <v>0</v>
      </c>
      <c r="R231" s="5" t="n">
        <v>0</v>
      </c>
      <c r="S231" s="5" t="n">
        <v>1</v>
      </c>
      <c r="T231" s="5" t="n">
        <v>0</v>
      </c>
      <c r="U231" s="5" t="n">
        <v>2</v>
      </c>
      <c r="V231" s="5" t="n">
        <v>0</v>
      </c>
      <c r="W231" s="5" t="n"/>
      <c r="X231" s="5" t="inlineStr"/>
      <c r="Y231" s="5" t="n">
        <v>4913.1</v>
      </c>
      <c r="Z231" s="5" t="n">
        <v>2652.9</v>
      </c>
      <c r="AA231" s="5" t="n">
        <v>5014</v>
      </c>
      <c r="AB231" s="5" t="n">
        <v>2660.3</v>
      </c>
      <c r="AC231" s="5" t="inlineStr"/>
      <c r="AD231" s="5">
        <f>IF(AC231="","",IF(OR(AC231=F231,AND(AC231="crane_footing",F231="isolated_footing")),"yes","no"))</f>
        <v/>
      </c>
    </row>
    <row r="232">
      <c r="A232" s="5" t="n">
        <v>231</v>
      </c>
      <c r="B232" s="5" t="inlineStr">
        <is>
          <t>122</t>
        </is>
      </c>
      <c r="C232" s="5" t="inlineStr">
        <is>
          <t>region between joints</t>
        </is>
      </c>
      <c r="D232" s="5" t="inlineStr">
        <is>
          <t>solid</t>
        </is>
      </c>
      <c r="E232" s="5" t="n">
        <v>30</v>
      </c>
      <c r="F232" s="5" t="inlineStr">
        <is>
          <t>shear_wall</t>
        </is>
      </c>
      <c r="G232" s="5" t="inlineStr">
        <is>
          <t>label vote</t>
        </is>
      </c>
      <c r="H232" s="5" t="inlineStr">
        <is>
          <t>(none)</t>
        </is>
      </c>
      <c r="I232" s="5" t="inlineStr">
        <is>
          <t>no shear_wall type in its building has this size</t>
        </is>
      </c>
      <c r="J232" s="5" t="inlineStr"/>
      <c r="K232" s="5" t="n">
        <v>295</v>
      </c>
      <c r="L232" s="5" t="n">
        <v>25</v>
      </c>
      <c r="M232" s="10">
        <f>IF(AND(ISNUMBER(K232),L232&gt;0),K232/L232,"")</f>
        <v/>
      </c>
      <c r="N232" s="5" t="n">
        <v>0.736</v>
      </c>
      <c r="O232" s="5" t="n">
        <v>89.90000000000001</v>
      </c>
      <c r="P232" s="5" t="n">
        <v>2</v>
      </c>
      <c r="Q232" s="5" t="n">
        <v>0</v>
      </c>
      <c r="R232" s="5" t="n">
        <v>0</v>
      </c>
      <c r="S232" s="5" t="n">
        <v>1</v>
      </c>
      <c r="T232" s="5" t="n">
        <v>0</v>
      </c>
      <c r="U232" s="5" t="n">
        <v>0</v>
      </c>
      <c r="V232" s="5" t="n">
        <v>0</v>
      </c>
      <c r="W232" s="5" t="n"/>
      <c r="X232" s="5" t="inlineStr"/>
      <c r="Y232" s="5" t="n">
        <v>5014</v>
      </c>
      <c r="Z232" s="5" t="n">
        <v>2652.9</v>
      </c>
      <c r="AA232" s="5" t="n">
        <v>5021.6</v>
      </c>
      <c r="AB232" s="5" t="n">
        <v>2740</v>
      </c>
      <c r="AC232" s="5" t="inlineStr"/>
      <c r="AD232" s="5">
        <f>IF(AC232="","",IF(OR(AC232=F232,AND(AC232="crane_footing",F232="isolated_footing")),"yes","no"))</f>
        <v/>
      </c>
    </row>
    <row r="233">
      <c r="A233" s="5" t="n">
        <v>232</v>
      </c>
      <c r="B233" s="5" t="inlineStr">
        <is>
          <t>122</t>
        </is>
      </c>
      <c r="C233" s="5" t="inlineStr">
        <is>
          <t>region between joints</t>
        </is>
      </c>
      <c r="D233" s="5" t="inlineStr">
        <is>
          <t>solid</t>
        </is>
      </c>
      <c r="E233" s="5" t="n">
        <v>36</v>
      </c>
      <c r="F233" s="5" t="inlineStr">
        <is>
          <t>shear_wall</t>
        </is>
      </c>
      <c r="G233" s="5" t="inlineStr">
        <is>
          <t>label vote</t>
        </is>
      </c>
      <c r="H233" s="5" t="inlineStr">
        <is>
          <t>(none)</t>
        </is>
      </c>
      <c r="I233" s="5" t="inlineStr">
        <is>
          <t>no shear_wall type in its building has this size</t>
        </is>
      </c>
      <c r="J233" s="5" t="inlineStr"/>
      <c r="K233" s="5" t="n">
        <v>207</v>
      </c>
      <c r="L233" s="5" t="n">
        <v>25</v>
      </c>
      <c r="M233" s="10">
        <f>IF(AND(ISNUMBER(K233),L233&gt;0),K233/L233,"")</f>
        <v/>
      </c>
      <c r="N233" s="5" t="n">
        <v>0.518</v>
      </c>
      <c r="O233" s="5" t="n">
        <v>89.90000000000001</v>
      </c>
      <c r="P233" s="5" t="n">
        <v>0</v>
      </c>
      <c r="Q233" s="5" t="n">
        <v>0</v>
      </c>
      <c r="R233" s="5" t="n">
        <v>0</v>
      </c>
      <c r="S233" s="5" t="n">
        <v>1</v>
      </c>
      <c r="T233" s="5" t="n">
        <v>0</v>
      </c>
      <c r="U233" s="5" t="n">
        <v>0</v>
      </c>
      <c r="V233" s="5" t="n">
        <v>1</v>
      </c>
      <c r="W233" s="5" t="n"/>
      <c r="X233" s="5" t="inlineStr"/>
      <c r="Y233" s="5" t="n">
        <v>4873.8</v>
      </c>
      <c r="Z233" s="5" t="n">
        <v>2656.9</v>
      </c>
      <c r="AA233" s="5" t="n">
        <v>4881.2</v>
      </c>
      <c r="AB233" s="5" t="n">
        <v>2718.2</v>
      </c>
      <c r="AC233" s="5" t="inlineStr"/>
      <c r="AD233" s="5">
        <f>IF(AC233="","",IF(OR(AC233=F233,AND(AC233="crane_footing",F233="isolated_footing")),"yes","no"))</f>
        <v/>
      </c>
    </row>
    <row r="234">
      <c r="A234" s="5" t="n">
        <v>233</v>
      </c>
      <c r="B234" s="5" t="inlineStr">
        <is>
          <t>122</t>
        </is>
      </c>
      <c r="C234" s="5" t="inlineStr">
        <is>
          <t>region between joints</t>
        </is>
      </c>
      <c r="D234" s="5" t="inlineStr">
        <is>
          <t>solid</t>
        </is>
      </c>
      <c r="E234" s="5" t="n">
        <v>36</v>
      </c>
      <c r="F234" s="5" t="inlineStr">
        <is>
          <t>shear_wall</t>
        </is>
      </c>
      <c r="G234" s="5" t="inlineStr">
        <is>
          <t>label vote</t>
        </is>
      </c>
      <c r="H234" s="5" t="inlineStr">
        <is>
          <t>(none)</t>
        </is>
      </c>
      <c r="I234" s="5" t="inlineStr">
        <is>
          <t>no shear_wall type in its building has this size</t>
        </is>
      </c>
      <c r="J234" s="5" t="inlineStr"/>
      <c r="K234" s="5" t="n">
        <v>376</v>
      </c>
      <c r="L234" s="5" t="n">
        <v>25</v>
      </c>
      <c r="M234" s="10">
        <f>IF(AND(ISNUMBER(K234),L234&gt;0),K234/L234,"")</f>
        <v/>
      </c>
      <c r="N234" s="5" t="n">
        <v>0.9429999999999999</v>
      </c>
      <c r="O234" s="5" t="n">
        <v>179.9</v>
      </c>
      <c r="P234" s="5" t="n">
        <v>0</v>
      </c>
      <c r="Q234" s="5" t="n">
        <v>0</v>
      </c>
      <c r="R234" s="5" t="n">
        <v>0</v>
      </c>
      <c r="S234" s="5" t="n">
        <v>1</v>
      </c>
      <c r="T234" s="5" t="n">
        <v>0</v>
      </c>
      <c r="U234" s="5" t="n">
        <v>2</v>
      </c>
      <c r="V234" s="5" t="n">
        <v>0</v>
      </c>
      <c r="W234" s="5" t="n"/>
      <c r="X234" s="5" t="inlineStr"/>
      <c r="Y234" s="5" t="n">
        <v>4895.9</v>
      </c>
      <c r="Z234" s="5" t="n">
        <v>2740</v>
      </c>
      <c r="AA234" s="5" t="n">
        <v>5007</v>
      </c>
      <c r="AB234" s="5" t="n">
        <v>2747.7</v>
      </c>
      <c r="AC234" s="5" t="inlineStr"/>
      <c r="AD234" s="5">
        <f>IF(AC234="","",IF(OR(AC234=F234,AND(AC234="crane_footing",F234="isolated_footing")),"yes","no"))</f>
        <v/>
      </c>
    </row>
    <row r="235">
      <c r="A235" s="5" t="n">
        <v>234</v>
      </c>
      <c r="B235" s="5" t="inlineStr">
        <is>
          <t>122</t>
        </is>
      </c>
      <c r="C235" s="5" t="inlineStr">
        <is>
          <t>region between joints</t>
        </is>
      </c>
      <c r="D235" s="5" t="inlineStr">
        <is>
          <t>solid</t>
        </is>
      </c>
      <c r="E235" s="5" t="n">
        <v>32</v>
      </c>
      <c r="F235" s="5" t="inlineStr">
        <is>
          <t>shear_wall</t>
        </is>
      </c>
      <c r="G235" s="5" t="inlineStr">
        <is>
          <t>label vote</t>
        </is>
      </c>
      <c r="H235" s="5" t="inlineStr">
        <is>
          <t>(none)</t>
        </is>
      </c>
      <c r="I235" s="5" t="inlineStr">
        <is>
          <t>no shear_wall type in its building has this size</t>
        </is>
      </c>
      <c r="J235" s="5" t="inlineStr"/>
      <c r="K235" s="5" t="n">
        <v>161</v>
      </c>
      <c r="L235" s="5" t="n">
        <v>25</v>
      </c>
      <c r="M235" s="10">
        <f>IF(AND(ISNUMBER(K235),L235&gt;0),K235/L235,"")</f>
        <v/>
      </c>
      <c r="N235" s="5" t="n">
        <v>0.404</v>
      </c>
      <c r="O235" s="5" t="n">
        <v>179.9</v>
      </c>
      <c r="P235" s="5" t="n">
        <v>1</v>
      </c>
      <c r="Q235" s="5" t="n">
        <v>0</v>
      </c>
      <c r="R235" s="5" t="n">
        <v>0</v>
      </c>
      <c r="S235" s="5" t="n">
        <v>1</v>
      </c>
      <c r="T235" s="5" t="n">
        <v>0</v>
      </c>
      <c r="U235" s="5" t="n">
        <v>1</v>
      </c>
      <c r="V235" s="5" t="n">
        <v>1</v>
      </c>
      <c r="W235" s="5" t="n"/>
      <c r="X235" s="5" t="inlineStr"/>
      <c r="Y235" s="5" t="n">
        <v>4774.2</v>
      </c>
      <c r="Z235" s="5" t="n">
        <v>2740.4</v>
      </c>
      <c r="AA235" s="5" t="n">
        <v>4821.8</v>
      </c>
      <c r="AB235" s="5" t="n">
        <v>2747.9</v>
      </c>
      <c r="AC235" s="5" t="inlineStr"/>
      <c r="AD235" s="5">
        <f>IF(AC235="","",IF(OR(AC235=F235,AND(AC235="crane_footing",F235="isolated_footing")),"yes","no"))</f>
        <v/>
      </c>
    </row>
    <row r="236">
      <c r="A236" s="5" t="n">
        <v>235</v>
      </c>
      <c r="B236" s="5" t="inlineStr">
        <is>
          <t>122</t>
        </is>
      </c>
      <c r="C236" s="5" t="inlineStr">
        <is>
          <t>own label</t>
        </is>
      </c>
      <c r="D236" s="5" t="inlineStr">
        <is>
          <t>solid</t>
        </is>
      </c>
      <c r="E236" s="5" t="n">
        <v>37</v>
      </c>
      <c r="F236" s="5" t="inlineStr">
        <is>
          <t>shear_wall</t>
        </is>
      </c>
      <c r="G236" s="5" t="inlineStr">
        <is>
          <t>label vote</t>
        </is>
      </c>
      <c r="H236" s="5" t="inlineStr">
        <is>
          <t>V1/122</t>
        </is>
      </c>
      <c r="I236" s="5" t="inlineStr">
        <is>
          <t>printed label</t>
        </is>
      </c>
      <c r="J236" s="5" t="inlineStr">
        <is>
          <t>V1/122/122</t>
        </is>
      </c>
      <c r="K236" s="5" t="n">
        <v>125</v>
      </c>
      <c r="L236" s="5" t="n">
        <v>30</v>
      </c>
      <c r="M236" s="10">
        <f>IF(AND(ISNUMBER(K236),L236&gt;0),K236/L236,"")</f>
        <v/>
      </c>
      <c r="N236" s="5" t="n">
        <v>0.376</v>
      </c>
      <c r="O236" s="5" t="n">
        <v>169.3</v>
      </c>
      <c r="P236" s="5" t="n">
        <v>1</v>
      </c>
      <c r="Q236" s="5" t="n">
        <v>1</v>
      </c>
      <c r="R236" s="5" t="n">
        <v>0</v>
      </c>
      <c r="S236" s="5" t="n">
        <v>0</v>
      </c>
      <c r="T236" s="5" t="n">
        <v>0</v>
      </c>
      <c r="U236" s="5" t="n">
        <v>1</v>
      </c>
      <c r="V236" s="5" t="n">
        <v>2</v>
      </c>
      <c r="W236" s="5" t="n"/>
      <c r="X236" s="5" t="inlineStr"/>
      <c r="Y236" s="5" t="n">
        <v>4977.8</v>
      </c>
      <c r="Z236" s="5" t="n">
        <v>2935.2</v>
      </c>
      <c r="AA236" s="5" t="n">
        <v>5015.7</v>
      </c>
      <c r="AB236" s="5" t="n">
        <v>2950.8</v>
      </c>
      <c r="AC236" s="5" t="inlineStr"/>
      <c r="AD236" s="5">
        <f>IF(AC236="","",IF(OR(AC236=F236,AND(AC236="crane_footing",F236="isolated_footing")),"yes","no"))</f>
        <v/>
      </c>
    </row>
    <row r="237">
      <c r="A237" s="5" t="n">
        <v>236</v>
      </c>
      <c r="B237" s="5" t="inlineStr">
        <is>
          <t>122</t>
        </is>
      </c>
      <c r="C237" s="5" t="inlineStr">
        <is>
          <t>own label</t>
        </is>
      </c>
      <c r="D237" s="5" t="inlineStr">
        <is>
          <t>solid</t>
        </is>
      </c>
      <c r="E237" s="5" t="n">
        <v>37</v>
      </c>
      <c r="F237" s="5" t="inlineStr">
        <is>
          <t>shear_wall</t>
        </is>
      </c>
      <c r="G237" s="5" t="inlineStr">
        <is>
          <t>label vote</t>
        </is>
      </c>
      <c r="H237" s="5" t="inlineStr">
        <is>
          <t>V1/122</t>
        </is>
      </c>
      <c r="I237" s="5" t="inlineStr">
        <is>
          <t>printed label</t>
        </is>
      </c>
      <c r="J237" s="5" t="inlineStr">
        <is>
          <t>V1/122/122</t>
        </is>
      </c>
      <c r="K237" s="5" t="n">
        <v>125</v>
      </c>
      <c r="L237" s="5" t="n">
        <v>30</v>
      </c>
      <c r="M237" s="10">
        <f>IF(AND(ISNUMBER(K237),L237&gt;0),K237/L237,"")</f>
        <v/>
      </c>
      <c r="N237" s="5" t="n">
        <v>0.375</v>
      </c>
      <c r="O237" s="5" t="n">
        <v>179.8</v>
      </c>
      <c r="P237" s="5" t="n">
        <v>1</v>
      </c>
      <c r="Q237" s="5" t="n">
        <v>1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1</v>
      </c>
      <c r="W237" s="5" t="n"/>
      <c r="X237" s="5" t="inlineStr"/>
      <c r="Y237" s="5" t="n">
        <v>4750.9</v>
      </c>
      <c r="Z237" s="5" t="n">
        <v>2138.2</v>
      </c>
      <c r="AA237" s="5" t="n">
        <v>4787.8</v>
      </c>
      <c r="AB237" s="5" t="n">
        <v>2147.1</v>
      </c>
      <c r="AC237" s="5" t="inlineStr"/>
      <c r="AD237" s="5">
        <f>IF(AC237="","",IF(OR(AC237=F237,AND(AC237="crane_footing",F237="isolated_footing")),"yes","no"))</f>
        <v/>
      </c>
    </row>
    <row r="238">
      <c r="A238" s="5" t="n">
        <v>237</v>
      </c>
      <c r="B238" s="5" t="inlineStr">
        <is>
          <t>122</t>
        </is>
      </c>
      <c r="C238" s="5" t="inlineStr">
        <is>
          <t>own label</t>
        </is>
      </c>
      <c r="D238" s="5" t="inlineStr">
        <is>
          <t>solid</t>
        </is>
      </c>
      <c r="E238" s="5" t="n">
        <v>37</v>
      </c>
      <c r="F238" s="5" t="inlineStr">
        <is>
          <t>shear_wall</t>
        </is>
      </c>
      <c r="G238" s="5" t="inlineStr">
        <is>
          <t>label vote</t>
        </is>
      </c>
      <c r="H238" s="5" t="inlineStr">
        <is>
          <t>V1/122</t>
        </is>
      </c>
      <c r="I238" s="5" t="inlineStr">
        <is>
          <t>printed label</t>
        </is>
      </c>
      <c r="J238" s="5" t="inlineStr">
        <is>
          <t>V1/122/122</t>
        </is>
      </c>
      <c r="K238" s="5" t="n">
        <v>125</v>
      </c>
      <c r="L238" s="5" t="n">
        <v>30</v>
      </c>
      <c r="M238" s="10">
        <f>IF(AND(ISNUMBER(K238),L238&gt;0),K238/L238,"")</f>
        <v/>
      </c>
      <c r="N238" s="5" t="n">
        <v>0.375</v>
      </c>
      <c r="O238" s="5" t="n">
        <v>179.8</v>
      </c>
      <c r="P238" s="5" t="n">
        <v>1</v>
      </c>
      <c r="Q238" s="5" t="n">
        <v>1</v>
      </c>
      <c r="R238" s="5" t="n">
        <v>0</v>
      </c>
      <c r="S238" s="5" t="n">
        <v>0</v>
      </c>
      <c r="T238" s="5" t="n">
        <v>0</v>
      </c>
      <c r="U238" s="5" t="n">
        <v>2</v>
      </c>
      <c r="V238" s="5" t="n">
        <v>3</v>
      </c>
      <c r="W238" s="5" t="n"/>
      <c r="X238" s="5" t="inlineStr"/>
      <c r="Y238" s="5" t="n">
        <v>4518.8</v>
      </c>
      <c r="Z238" s="5" t="n">
        <v>2138.7</v>
      </c>
      <c r="AA238" s="5" t="n">
        <v>4555.8</v>
      </c>
      <c r="AB238" s="5" t="n">
        <v>2147.6</v>
      </c>
      <c r="AC238" s="5" t="inlineStr"/>
      <c r="AD238" s="5">
        <f>IF(AC238="","",IF(OR(AC238=F238,AND(AC238="crane_footing",F238="isolated_footing")),"yes","no"))</f>
        <v/>
      </c>
    </row>
    <row r="239">
      <c r="A239" s="5" t="n">
        <v>238</v>
      </c>
      <c r="B239" s="5" t="inlineStr">
        <is>
          <t>122</t>
        </is>
      </c>
      <c r="C239" s="5" t="inlineStr">
        <is>
          <t>own label</t>
        </is>
      </c>
      <c r="D239" s="5" t="inlineStr">
        <is>
          <t>solid</t>
        </is>
      </c>
      <c r="E239" s="5" t="n">
        <v>35</v>
      </c>
      <c r="F239" s="5" t="inlineStr">
        <is>
          <t>shear_wall</t>
        </is>
      </c>
      <c r="G239" s="5" t="inlineStr">
        <is>
          <t>label vote</t>
        </is>
      </c>
      <c r="H239" s="5" t="inlineStr">
        <is>
          <t>V1/122</t>
        </is>
      </c>
      <c r="I239" s="5" t="inlineStr">
        <is>
          <t>printed label</t>
        </is>
      </c>
      <c r="J239" s="5" t="inlineStr">
        <is>
          <t>V1/122/122</t>
        </is>
      </c>
      <c r="K239" s="5" t="n">
        <v>125</v>
      </c>
      <c r="L239" s="5" t="n">
        <v>30</v>
      </c>
      <c r="M239" s="10">
        <f>IF(AND(ISNUMBER(K239),L239&gt;0),K239/L239,"")</f>
        <v/>
      </c>
      <c r="N239" s="5" t="n">
        <v>0.375</v>
      </c>
      <c r="O239" s="5" t="n">
        <v>169.3</v>
      </c>
      <c r="P239" s="5" t="n">
        <v>0</v>
      </c>
      <c r="Q239" s="5" t="n">
        <v>0</v>
      </c>
      <c r="R239" s="5" t="n">
        <v>0</v>
      </c>
      <c r="S239" s="5" t="n">
        <v>1</v>
      </c>
      <c r="T239" s="5" t="n">
        <v>0</v>
      </c>
      <c r="U239" s="5" t="n">
        <v>1</v>
      </c>
      <c r="V239" s="5" t="n">
        <v>4</v>
      </c>
      <c r="W239" s="5" t="n"/>
      <c r="X239" s="5" t="inlineStr"/>
      <c r="Y239" s="5" t="n">
        <v>4750.2</v>
      </c>
      <c r="Z239" s="5" t="n">
        <v>2978.1</v>
      </c>
      <c r="AA239" s="5" t="n">
        <v>4788.1</v>
      </c>
      <c r="AB239" s="5" t="n">
        <v>2993.6</v>
      </c>
      <c r="AC239" s="5" t="inlineStr">
        <is>
          <t>shear_wall</t>
        </is>
      </c>
      <c r="AD239" s="5">
        <f>IF(AC239="","",IF(OR(AC239=F239,AND(AC239="crane_footing",F239="isolated_footing")),"yes","no"))</f>
        <v/>
      </c>
    </row>
    <row r="240">
      <c r="A240" s="5" t="n">
        <v>239</v>
      </c>
      <c r="B240" s="5" t="inlineStr">
        <is>
          <t>122</t>
        </is>
      </c>
      <c r="C240" s="5" t="inlineStr">
        <is>
          <t>own label</t>
        </is>
      </c>
      <c r="D240" s="5" t="inlineStr">
        <is>
          <t>solid</t>
        </is>
      </c>
      <c r="E240" s="5" t="n">
        <v>35</v>
      </c>
      <c r="F240" s="5" t="inlineStr">
        <is>
          <t>shear_wall</t>
        </is>
      </c>
      <c r="G240" s="5" t="inlineStr">
        <is>
          <t>label vote</t>
        </is>
      </c>
      <c r="H240" s="5" t="inlineStr">
        <is>
          <t>V2/122</t>
        </is>
      </c>
      <c r="I240" s="5" t="inlineStr">
        <is>
          <t>printed label</t>
        </is>
      </c>
      <c r="J240" s="5" t="inlineStr">
        <is>
          <t>V2/122/122</t>
        </is>
      </c>
      <c r="K240" s="5" t="n">
        <v>250</v>
      </c>
      <c r="L240" s="5" t="n">
        <v>30</v>
      </c>
      <c r="M240" s="10">
        <f>IF(AND(ISNUMBER(K240),L240&gt;0),K240/L240,"")</f>
        <v/>
      </c>
      <c r="N240" s="5" t="n">
        <v>0.751</v>
      </c>
      <c r="O240" s="5" t="n">
        <v>179.9</v>
      </c>
      <c r="P240" s="5" t="n">
        <v>0</v>
      </c>
      <c r="Q240" s="5" t="n">
        <v>1</v>
      </c>
      <c r="R240" s="5" t="n">
        <v>0</v>
      </c>
      <c r="S240" s="5" t="n">
        <v>0</v>
      </c>
      <c r="T240" s="5" t="n">
        <v>0</v>
      </c>
      <c r="U240" s="5" t="n">
        <v>2</v>
      </c>
      <c r="V240" s="5" t="n">
        <v>3</v>
      </c>
      <c r="W240" s="5" t="n"/>
      <c r="X240" s="5" t="inlineStr"/>
      <c r="Y240" s="5" t="n">
        <v>4519.1</v>
      </c>
      <c r="Z240" s="5" t="n">
        <v>2324.5</v>
      </c>
      <c r="AA240" s="5" t="n">
        <v>4593</v>
      </c>
      <c r="AB240" s="5" t="n">
        <v>2333.4</v>
      </c>
      <c r="AC240" s="5" t="inlineStr">
        <is>
          <t>shear_wall</t>
        </is>
      </c>
      <c r="AD240" s="5">
        <f>IF(AC240="","",IF(OR(AC240=F240,AND(AC240="crane_footing",F240="isolated_footing")),"yes","no"))</f>
        <v/>
      </c>
    </row>
    <row r="241">
      <c r="A241" s="5" t="n">
        <v>240</v>
      </c>
      <c r="B241" s="5" t="inlineStr">
        <is>
          <t>122</t>
        </is>
      </c>
      <c r="C241" s="5" t="inlineStr">
        <is>
          <t>own label</t>
        </is>
      </c>
      <c r="D241" s="5" t="inlineStr">
        <is>
          <t>solid</t>
        </is>
      </c>
      <c r="E241" s="5" t="n">
        <v>35</v>
      </c>
      <c r="F241" s="5" t="inlineStr">
        <is>
          <t>shear_wall</t>
        </is>
      </c>
      <c r="G241" s="5" t="inlineStr">
        <is>
          <t>label vote</t>
        </is>
      </c>
      <c r="H241" s="5" t="inlineStr">
        <is>
          <t>V2/122</t>
        </is>
      </c>
      <c r="I241" s="5" t="inlineStr">
        <is>
          <t>printed label</t>
        </is>
      </c>
      <c r="J241" s="5" t="inlineStr">
        <is>
          <t>V2/122/122</t>
        </is>
      </c>
      <c r="K241" s="5" t="n">
        <v>250</v>
      </c>
      <c r="L241" s="5" t="n">
        <v>30</v>
      </c>
      <c r="M241" s="10">
        <f>IF(AND(ISNUMBER(K241),L241&gt;0),K241/L241,"")</f>
        <v/>
      </c>
      <c r="N241" s="5" t="n">
        <v>0.75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  <c r="U241" s="5" t="n">
        <v>2</v>
      </c>
      <c r="V241" s="5" t="n">
        <v>5</v>
      </c>
      <c r="W241" s="5" t="n"/>
      <c r="X241" s="5" t="inlineStr"/>
      <c r="Y241" s="5" t="n">
        <v>4518.7</v>
      </c>
      <c r="Z241" s="5" t="n">
        <v>2811.7</v>
      </c>
      <c r="AA241" s="5" t="n">
        <v>4592.6</v>
      </c>
      <c r="AB241" s="5" t="n">
        <v>2820.7</v>
      </c>
      <c r="AC241" s="5" t="inlineStr">
        <is>
          <t>shear_wall</t>
        </is>
      </c>
      <c r="AD241" s="5">
        <f>IF(AC241="","",IF(OR(AC241=F241,AND(AC241="crane_footing",F241="isolated_footing")),"yes","no"))</f>
        <v/>
      </c>
    </row>
    <row r="242">
      <c r="A242" s="5" t="n">
        <v>241</v>
      </c>
      <c r="B242" s="5" t="inlineStr">
        <is>
          <t>122</t>
        </is>
      </c>
      <c r="C242" s="5" t="inlineStr">
        <is>
          <t>own label</t>
        </is>
      </c>
      <c r="D242" s="5" t="inlineStr">
        <is>
          <t>solid</t>
        </is>
      </c>
      <c r="E242" s="5" t="n">
        <v>35</v>
      </c>
      <c r="F242" s="5" t="inlineStr">
        <is>
          <t>shear_wall</t>
        </is>
      </c>
      <c r="G242" s="5" t="inlineStr">
        <is>
          <t>label vote</t>
        </is>
      </c>
      <c r="H242" s="5" t="inlineStr">
        <is>
          <t>V3/122</t>
        </is>
      </c>
      <c r="I242" s="5" t="inlineStr">
        <is>
          <t>printed label</t>
        </is>
      </c>
      <c r="J242" s="5" t="inlineStr">
        <is>
          <t>V3/122/122</t>
        </is>
      </c>
      <c r="K242" s="5" t="n">
        <v>200</v>
      </c>
      <c r="L242" s="5" t="n">
        <v>30</v>
      </c>
      <c r="M242" s="10">
        <f>IF(AND(ISNUMBER(K242),L242&gt;0),K242/L242,"")</f>
        <v/>
      </c>
      <c r="N242" s="5" t="n">
        <v>0.598</v>
      </c>
      <c r="O242" s="5" t="n">
        <v>179.7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  <c r="U242" s="5" t="n">
        <v>1</v>
      </c>
      <c r="V242" s="5" t="n">
        <v>2</v>
      </c>
      <c r="W242" s="5" t="n"/>
      <c r="X242" s="5" t="inlineStr"/>
      <c r="Y242" s="5" t="n">
        <v>4521</v>
      </c>
      <c r="Z242" s="5" t="n">
        <v>2494.4</v>
      </c>
      <c r="AA242" s="5" t="n">
        <v>4580.1</v>
      </c>
      <c r="AB242" s="5" t="n">
        <v>2503.5</v>
      </c>
      <c r="AC242" s="5" t="inlineStr">
        <is>
          <t>shear_wall</t>
        </is>
      </c>
      <c r="AD242" s="5">
        <f>IF(AC242="","",IF(OR(AC242=F242,AND(AC242="crane_footing",F242="isolated_footing")),"yes","no"))</f>
        <v/>
      </c>
    </row>
    <row r="243">
      <c r="A243" s="5" t="n">
        <v>242</v>
      </c>
      <c r="B243" s="5" t="inlineStr">
        <is>
          <t>122</t>
        </is>
      </c>
      <c r="C243" s="5" t="inlineStr">
        <is>
          <t>own label</t>
        </is>
      </c>
      <c r="D243" s="5" t="inlineStr">
        <is>
          <t>solid</t>
        </is>
      </c>
      <c r="E243" s="5" t="n">
        <v>37</v>
      </c>
      <c r="F243" s="5" t="inlineStr">
        <is>
          <t>shear_wall</t>
        </is>
      </c>
      <c r="G243" s="5" t="inlineStr">
        <is>
          <t>label vote</t>
        </is>
      </c>
      <c r="H243" s="5" t="inlineStr">
        <is>
          <t>V4/122</t>
        </is>
      </c>
      <c r="I243" s="5" t="inlineStr">
        <is>
          <t>printed label</t>
        </is>
      </c>
      <c r="J243" s="5" t="inlineStr">
        <is>
          <t>V4/122/122</t>
        </is>
      </c>
      <c r="K243" s="5" t="n">
        <v>200</v>
      </c>
      <c r="L243" s="5" t="n">
        <v>30</v>
      </c>
      <c r="M243" s="10">
        <f>IF(AND(ISNUMBER(K243),L243&gt;0),K243/L243,"")</f>
        <v/>
      </c>
      <c r="N243" s="5" t="n">
        <v>0.601</v>
      </c>
      <c r="O243" s="5" t="n">
        <v>179.9</v>
      </c>
      <c r="P243" s="5" t="n">
        <v>1</v>
      </c>
      <c r="Q243" s="5" t="n">
        <v>1</v>
      </c>
      <c r="R243" s="5" t="n">
        <v>0</v>
      </c>
      <c r="S243" s="5" t="n">
        <v>0</v>
      </c>
      <c r="T243" s="5" t="n">
        <v>0</v>
      </c>
      <c r="U243" s="5" t="n">
        <v>1</v>
      </c>
      <c r="V243" s="5" t="n">
        <v>0</v>
      </c>
      <c r="W243" s="5" t="n"/>
      <c r="X243" s="5" t="inlineStr"/>
      <c r="Y243" s="5" t="n">
        <v>4940.9</v>
      </c>
      <c r="Z243" s="5" t="n">
        <v>2493.6</v>
      </c>
      <c r="AA243" s="5" t="n">
        <v>4999.9</v>
      </c>
      <c r="AB243" s="5" t="n">
        <v>2502.5</v>
      </c>
      <c r="AC243" s="5" t="inlineStr"/>
      <c r="AD243" s="5">
        <f>IF(AC243="","",IF(OR(AC243=F243,AND(AC243="crane_footing",F243="isolated_footing")),"yes","no"))</f>
        <v/>
      </c>
    </row>
    <row r="244">
      <c r="A244" s="5" t="n">
        <v>243</v>
      </c>
      <c r="B244" s="5" t="inlineStr">
        <is>
          <t>122</t>
        </is>
      </c>
      <c r="C244" s="5" t="inlineStr">
        <is>
          <t>own label</t>
        </is>
      </c>
      <c r="D244" s="5" t="inlineStr">
        <is>
          <t>solid</t>
        </is>
      </c>
      <c r="E244" s="5" t="n">
        <v>35</v>
      </c>
      <c r="F244" s="5" t="inlineStr">
        <is>
          <t>shear_wall</t>
        </is>
      </c>
      <c r="G244" s="5" t="inlineStr">
        <is>
          <t>label vote</t>
        </is>
      </c>
      <c r="H244" s="5" t="inlineStr">
        <is>
          <t>V4/122</t>
        </is>
      </c>
      <c r="I244" s="5" t="inlineStr">
        <is>
          <t>printed label</t>
        </is>
      </c>
      <c r="J244" s="5" t="inlineStr">
        <is>
          <t>V4/122/122</t>
        </is>
      </c>
      <c r="K244" s="5" t="n">
        <v>200</v>
      </c>
      <c r="L244" s="5" t="n">
        <v>30</v>
      </c>
      <c r="M244" s="10">
        <f>IF(AND(ISNUMBER(K244),L244&gt;0),K244/L244,"")</f>
        <v/>
      </c>
      <c r="N244" s="5" t="n">
        <v>0.6</v>
      </c>
      <c r="O244" s="5" t="n">
        <v>169.3</v>
      </c>
      <c r="P244" s="5" t="n">
        <v>0</v>
      </c>
      <c r="Q244" s="5" t="n">
        <v>0</v>
      </c>
      <c r="R244" s="5" t="n">
        <v>0</v>
      </c>
      <c r="S244" s="5" t="n">
        <v>1</v>
      </c>
      <c r="T244" s="5" t="n">
        <v>0</v>
      </c>
      <c r="U244" s="5" t="n">
        <v>1</v>
      </c>
      <c r="V244" s="5" t="n">
        <v>2</v>
      </c>
      <c r="W244" s="5" t="n"/>
      <c r="X244" s="5" t="inlineStr"/>
      <c r="Y244" s="5" t="n">
        <v>4587.1</v>
      </c>
      <c r="Z244" s="5" t="n">
        <v>3004.7</v>
      </c>
      <c r="AA244" s="5" t="n">
        <v>4646.7</v>
      </c>
      <c r="AB244" s="5" t="n">
        <v>3024.4</v>
      </c>
      <c r="AC244" s="5" t="inlineStr">
        <is>
          <t>shear_wall</t>
        </is>
      </c>
      <c r="AD244" s="5">
        <f>IF(AC244="","",IF(OR(AC244=F244,AND(AC244="crane_footing",F244="isolated_footing")),"yes","no"))</f>
        <v/>
      </c>
    </row>
    <row r="245">
      <c r="A245" s="5" t="n">
        <v>244</v>
      </c>
      <c r="B245" s="5" t="inlineStr">
        <is>
          <t>122</t>
        </is>
      </c>
      <c r="C245" s="5" t="inlineStr">
        <is>
          <t>own label</t>
        </is>
      </c>
      <c r="D245" s="5" t="inlineStr">
        <is>
          <t>solid</t>
        </is>
      </c>
      <c r="E245" s="5" t="n">
        <v>35</v>
      </c>
      <c r="F245" s="5" t="inlineStr">
        <is>
          <t>shear_wall</t>
        </is>
      </c>
      <c r="G245" s="5" t="inlineStr">
        <is>
          <t>label vote</t>
        </is>
      </c>
      <c r="H245" s="5" t="inlineStr">
        <is>
          <t>V4/122</t>
        </is>
      </c>
      <c r="I245" s="5" t="inlineStr">
        <is>
          <t>printed label</t>
        </is>
      </c>
      <c r="J245" s="5" t="inlineStr">
        <is>
          <t>V4/122/122</t>
        </is>
      </c>
      <c r="K245" s="5" t="n">
        <v>200</v>
      </c>
      <c r="L245" s="5" t="n">
        <v>30</v>
      </c>
      <c r="M245" s="10">
        <f>IF(AND(ISNUMBER(K245),L245&gt;0),K245/L245,"")</f>
        <v/>
      </c>
      <c r="N245" s="5" t="n">
        <v>0.6</v>
      </c>
      <c r="O245" s="5" t="n">
        <v>179.9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  <c r="U245" s="5" t="n">
        <v>1</v>
      </c>
      <c r="V245" s="5" t="n">
        <v>2</v>
      </c>
      <c r="W245" s="5" t="n"/>
      <c r="X245" s="5" t="inlineStr"/>
      <c r="Y245" s="5" t="n">
        <v>4518.4</v>
      </c>
      <c r="Z245" s="5" t="n">
        <v>2610.6</v>
      </c>
      <c r="AA245" s="5" t="n">
        <v>4577.5</v>
      </c>
      <c r="AB245" s="5" t="n">
        <v>2619.6</v>
      </c>
      <c r="AC245" s="5" t="inlineStr">
        <is>
          <t>shear_wall</t>
        </is>
      </c>
      <c r="AD245" s="5">
        <f>IF(AC245="","",IF(OR(AC245=F245,AND(AC245="crane_footing",F245="isolated_footing")),"yes","no"))</f>
        <v/>
      </c>
    </row>
    <row r="246">
      <c r="A246" s="5" t="n">
        <v>245</v>
      </c>
      <c r="B246" s="5" t="inlineStr">
        <is>
          <t>122</t>
        </is>
      </c>
      <c r="C246" s="5" t="inlineStr">
        <is>
          <t>own label</t>
        </is>
      </c>
      <c r="D246" s="5" t="inlineStr">
        <is>
          <t>solid</t>
        </is>
      </c>
      <c r="E246" s="5" t="n">
        <v>35</v>
      </c>
      <c r="F246" s="5" t="inlineStr">
        <is>
          <t>shear_wall</t>
        </is>
      </c>
      <c r="G246" s="5" t="inlineStr">
        <is>
          <t>label vote</t>
        </is>
      </c>
      <c r="H246" s="5" t="inlineStr">
        <is>
          <t>V5/122</t>
        </is>
      </c>
      <c r="I246" s="5" t="inlineStr">
        <is>
          <t>printed label</t>
        </is>
      </c>
      <c r="J246" s="5" t="inlineStr">
        <is>
          <t>V5/122/122</t>
        </is>
      </c>
      <c r="K246" s="5" t="n">
        <v>250</v>
      </c>
      <c r="L246" s="5" t="n">
        <v>30</v>
      </c>
      <c r="M246" s="10">
        <f>IF(AND(ISNUMBER(K246),L246&gt;0),K246/L246,"")</f>
        <v/>
      </c>
      <c r="N246" s="5" t="n">
        <v>0.75</v>
      </c>
      <c r="O246" s="5" t="n">
        <v>89.90000000000001</v>
      </c>
      <c r="P246" s="5" t="n">
        <v>0</v>
      </c>
      <c r="Q246" s="5" t="n">
        <v>1</v>
      </c>
      <c r="R246" s="5" t="n">
        <v>0</v>
      </c>
      <c r="S246" s="5" t="n">
        <v>0</v>
      </c>
      <c r="T246" s="5" t="n">
        <v>0</v>
      </c>
      <c r="U246" s="5" t="n">
        <v>1</v>
      </c>
      <c r="V246" s="5" t="n">
        <v>1</v>
      </c>
      <c r="W246" s="5" t="n"/>
      <c r="X246" s="5" t="inlineStr"/>
      <c r="Y246" s="5" t="n">
        <v>4764.9</v>
      </c>
      <c r="Z246" s="5" t="n">
        <v>2503</v>
      </c>
      <c r="AA246" s="5" t="n">
        <v>4773.9</v>
      </c>
      <c r="AB246" s="5" t="n">
        <v>2576.8</v>
      </c>
      <c r="AC246" s="5" t="inlineStr">
        <is>
          <t>shear_wall</t>
        </is>
      </c>
      <c r="AD246" s="5">
        <f>IF(AC246="","",IF(OR(AC246=F246,AND(AC246="crane_footing",F246="isolated_footing")),"yes","no"))</f>
        <v/>
      </c>
    </row>
    <row r="247">
      <c r="A247" s="5" t="n">
        <v>246</v>
      </c>
      <c r="B247" s="5" t="inlineStr">
        <is>
          <t>122</t>
        </is>
      </c>
      <c r="C247" s="5" t="inlineStr">
        <is>
          <t>own label</t>
        </is>
      </c>
      <c r="D247" s="5" t="inlineStr">
        <is>
          <t>solid</t>
        </is>
      </c>
      <c r="E247" s="5" t="n">
        <v>37</v>
      </c>
      <c r="F247" s="5" t="inlineStr">
        <is>
          <t>shear_wall</t>
        </is>
      </c>
      <c r="G247" s="5" t="inlineStr">
        <is>
          <t>label vote</t>
        </is>
      </c>
      <c r="H247" s="5" t="inlineStr">
        <is>
          <t>V5/122</t>
        </is>
      </c>
      <c r="I247" s="5" t="inlineStr">
        <is>
          <t>printed label</t>
        </is>
      </c>
      <c r="J247" s="5" t="inlineStr">
        <is>
          <t>V5/122/122</t>
        </is>
      </c>
      <c r="K247" s="5" t="n">
        <v>250</v>
      </c>
      <c r="L247" s="5" t="n">
        <v>30</v>
      </c>
      <c r="M247" s="10">
        <f>IF(AND(ISNUMBER(K247),L247&gt;0),K247/L247,"")</f>
        <v/>
      </c>
      <c r="N247" s="5" t="n">
        <v>0.75</v>
      </c>
      <c r="O247" s="5" t="n">
        <v>90</v>
      </c>
      <c r="P247" s="5" t="n">
        <v>1</v>
      </c>
      <c r="Q247" s="5" t="n">
        <v>1</v>
      </c>
      <c r="R247" s="5" t="n">
        <v>0</v>
      </c>
      <c r="S247" s="5" t="n">
        <v>0</v>
      </c>
      <c r="T247" s="5" t="n">
        <v>0</v>
      </c>
      <c r="U247" s="5" t="n">
        <v>1</v>
      </c>
      <c r="V247" s="5" t="n">
        <v>1</v>
      </c>
      <c r="W247" s="5" t="n"/>
      <c r="X247" s="5" t="inlineStr"/>
      <c r="Y247" s="5" t="n">
        <v>4764.5</v>
      </c>
      <c r="Z247" s="5" t="n">
        <v>2260.8</v>
      </c>
      <c r="AA247" s="5" t="n">
        <v>4773.4</v>
      </c>
      <c r="AB247" s="5" t="n">
        <v>2334.6</v>
      </c>
      <c r="AC247" s="5" t="inlineStr"/>
      <c r="AD247" s="5">
        <f>IF(AC247="","",IF(OR(AC247=F247,AND(AC247="crane_footing",F247="isolated_footing")),"yes","no"))</f>
        <v/>
      </c>
    </row>
    <row r="248">
      <c r="A248" s="5" t="n">
        <v>247</v>
      </c>
      <c r="B248" s="5" t="inlineStr">
        <is>
          <t>122</t>
        </is>
      </c>
      <c r="C248" s="5" t="inlineStr">
        <is>
          <t>own label</t>
        </is>
      </c>
      <c r="D248" s="5" t="inlineStr">
        <is>
          <t>solid</t>
        </is>
      </c>
      <c r="E248" s="5" t="n">
        <v>35</v>
      </c>
      <c r="F248" s="5" t="inlineStr">
        <is>
          <t>shear_wall</t>
        </is>
      </c>
      <c r="G248" s="5" t="inlineStr">
        <is>
          <t>label vote</t>
        </is>
      </c>
      <c r="H248" s="5" t="inlineStr">
        <is>
          <t>V6/122</t>
        </is>
      </c>
      <c r="I248" s="5" t="inlineStr">
        <is>
          <t>printed label</t>
        </is>
      </c>
      <c r="J248" s="5" t="inlineStr">
        <is>
          <t>V6/122/122</t>
        </is>
      </c>
      <c r="K248" s="5" t="n">
        <v>125</v>
      </c>
      <c r="L248" s="5" t="n">
        <v>30</v>
      </c>
      <c r="M248" s="10">
        <f>IF(AND(ISNUMBER(K248),L248&gt;0),K248/L248,"")</f>
        <v/>
      </c>
      <c r="N248" s="5" t="n">
        <v>0.376</v>
      </c>
      <c r="O248" s="5" t="n">
        <v>79.3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  <c r="U248" s="5" t="n">
        <v>1</v>
      </c>
      <c r="V248" s="5" t="n">
        <v>3</v>
      </c>
      <c r="W248" s="5" t="n"/>
      <c r="X248" s="5" t="inlineStr"/>
      <c r="Y248" s="5" t="n">
        <v>4209.5</v>
      </c>
      <c r="Z248" s="5" t="n">
        <v>2878.3</v>
      </c>
      <c r="AA248" s="5" t="n">
        <v>4225.1</v>
      </c>
      <c r="AB248" s="5" t="n">
        <v>2916.2</v>
      </c>
      <c r="AC248" s="5" t="inlineStr">
        <is>
          <t>shear_wall</t>
        </is>
      </c>
      <c r="AD248" s="5">
        <f>IF(AC248="","",IF(OR(AC248=F248,AND(AC248="crane_footing",F248="isolated_footing")),"yes","no"))</f>
        <v/>
      </c>
    </row>
    <row r="249">
      <c r="A249" s="5" t="n">
        <v>248</v>
      </c>
      <c r="B249" s="5" t="inlineStr">
        <is>
          <t>122</t>
        </is>
      </c>
      <c r="C249" s="5" t="inlineStr">
        <is>
          <t>own label</t>
        </is>
      </c>
      <c r="D249" s="5" t="inlineStr">
        <is>
          <t>solid</t>
        </is>
      </c>
      <c r="E249" s="5" t="n">
        <v>35</v>
      </c>
      <c r="F249" s="5" t="inlineStr">
        <is>
          <t>shear_wall</t>
        </is>
      </c>
      <c r="G249" s="5" t="inlineStr">
        <is>
          <t>label vote</t>
        </is>
      </c>
      <c r="H249" s="5" t="inlineStr">
        <is>
          <t>V6/122</t>
        </is>
      </c>
      <c r="I249" s="5" t="inlineStr">
        <is>
          <t>printed label</t>
        </is>
      </c>
      <c r="J249" s="5" t="inlineStr">
        <is>
          <t>V6/122/122</t>
        </is>
      </c>
      <c r="K249" s="5" t="n">
        <v>125</v>
      </c>
      <c r="L249" s="5" t="n">
        <v>30</v>
      </c>
      <c r="M249" s="10">
        <f>IF(AND(ISNUMBER(K249),L249&gt;0),K249/L249,"")</f>
        <v/>
      </c>
      <c r="N249" s="5" t="n">
        <v>0.375</v>
      </c>
      <c r="O249" s="5" t="n">
        <v>179.8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  <c r="U249" s="5" t="n">
        <v>1</v>
      </c>
      <c r="V249" s="5" t="n">
        <v>3</v>
      </c>
      <c r="W249" s="5" t="n"/>
      <c r="X249" s="5" t="inlineStr"/>
      <c r="Y249" s="5" t="n">
        <v>4303.4</v>
      </c>
      <c r="Z249" s="5" t="n">
        <v>2485.7</v>
      </c>
      <c r="AA249" s="5" t="n">
        <v>4340.3</v>
      </c>
      <c r="AB249" s="5" t="n">
        <v>2494.6</v>
      </c>
      <c r="AC249" s="5" t="inlineStr">
        <is>
          <t>shear_wall</t>
        </is>
      </c>
      <c r="AD249" s="5">
        <f>IF(AC249="","",IF(OR(AC249=F249,AND(AC249="crane_footing",F249="isolated_footing")),"yes","no"))</f>
        <v/>
      </c>
    </row>
    <row r="250">
      <c r="A250" s="5" t="n">
        <v>249</v>
      </c>
      <c r="B250" s="5" t="inlineStr">
        <is>
          <t>122</t>
        </is>
      </c>
      <c r="C250" s="5" t="inlineStr">
        <is>
          <t>own label</t>
        </is>
      </c>
      <c r="D250" s="5" t="inlineStr">
        <is>
          <t>solid</t>
        </is>
      </c>
      <c r="E250" s="5" t="n">
        <v>35</v>
      </c>
      <c r="F250" s="5" t="inlineStr">
        <is>
          <t>shear_wall</t>
        </is>
      </c>
      <c r="G250" s="5" t="inlineStr">
        <is>
          <t>label vote</t>
        </is>
      </c>
      <c r="H250" s="5" t="inlineStr">
        <is>
          <t>V6/122</t>
        </is>
      </c>
      <c r="I250" s="5" t="inlineStr">
        <is>
          <t>printed label</t>
        </is>
      </c>
      <c r="J250" s="5" t="inlineStr">
        <is>
          <t>V6/122/122</t>
        </is>
      </c>
      <c r="K250" s="5" t="n">
        <v>125</v>
      </c>
      <c r="L250" s="5" t="n">
        <v>30</v>
      </c>
      <c r="M250" s="10">
        <f>IF(AND(ISNUMBER(K250),L250&gt;0),K250/L250,"")</f>
        <v/>
      </c>
      <c r="N250" s="5" t="n">
        <v>0.375</v>
      </c>
      <c r="O250" s="5" t="n">
        <v>179.8</v>
      </c>
      <c r="P250" s="5" t="n">
        <v>0</v>
      </c>
      <c r="Q250" s="5" t="n">
        <v>1</v>
      </c>
      <c r="R250" s="5" t="n">
        <v>0</v>
      </c>
      <c r="S250" s="5" t="n">
        <v>0</v>
      </c>
      <c r="T250" s="5" t="n">
        <v>0</v>
      </c>
      <c r="U250" s="5" t="n">
        <v>1</v>
      </c>
      <c r="V250" s="5" t="n">
        <v>2</v>
      </c>
      <c r="W250" s="5" t="n"/>
      <c r="X250" s="5" t="inlineStr"/>
      <c r="Y250" s="5" t="n">
        <v>4303.6</v>
      </c>
      <c r="Z250" s="5" t="n">
        <v>2255.4</v>
      </c>
      <c r="AA250" s="5" t="n">
        <v>4340.5</v>
      </c>
      <c r="AB250" s="5" t="n">
        <v>2264.3</v>
      </c>
      <c r="AC250" s="5" t="inlineStr">
        <is>
          <t>shear_wall</t>
        </is>
      </c>
      <c r="AD250" s="5">
        <f>IF(AC250="","",IF(OR(AC250=F250,AND(AC250="crane_footing",F250="isolated_footing")),"yes","no"))</f>
        <v/>
      </c>
    </row>
    <row r="251">
      <c r="A251" s="5" t="n">
        <v>250</v>
      </c>
      <c r="B251" s="5" t="inlineStr">
        <is>
          <t>122</t>
        </is>
      </c>
      <c r="C251" s="5" t="inlineStr">
        <is>
          <t>own label</t>
        </is>
      </c>
      <c r="D251" s="5" t="inlineStr">
        <is>
          <t>solid</t>
        </is>
      </c>
      <c r="E251" s="5" t="n">
        <v>35</v>
      </c>
      <c r="F251" s="5" t="inlineStr">
        <is>
          <t>shear_wall</t>
        </is>
      </c>
      <c r="G251" s="5" t="inlineStr">
        <is>
          <t>label vote</t>
        </is>
      </c>
      <c r="H251" s="5" t="inlineStr">
        <is>
          <t>V6/122</t>
        </is>
      </c>
      <c r="I251" s="5" t="inlineStr">
        <is>
          <t>printed label</t>
        </is>
      </c>
      <c r="J251" s="5" t="inlineStr">
        <is>
          <t>V6/122/122</t>
        </is>
      </c>
      <c r="K251" s="5" t="n">
        <v>125</v>
      </c>
      <c r="L251" s="5" t="n">
        <v>30</v>
      </c>
      <c r="M251" s="10">
        <f>IF(AND(ISNUMBER(K251),L251&gt;0),K251/L251,"")</f>
        <v/>
      </c>
      <c r="N251" s="5" t="n">
        <v>0.375</v>
      </c>
      <c r="O251" s="5" t="n">
        <v>179.8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  <c r="U251" s="5" t="n">
        <v>2</v>
      </c>
      <c r="V251" s="5" t="n">
        <v>3</v>
      </c>
      <c r="W251" s="5" t="n"/>
      <c r="X251" s="5" t="inlineStr"/>
      <c r="Y251" s="5" t="n">
        <v>4303.1</v>
      </c>
      <c r="Z251" s="5" t="n">
        <v>2715.5</v>
      </c>
      <c r="AA251" s="5" t="n">
        <v>4340.1</v>
      </c>
      <c r="AB251" s="5" t="n">
        <v>2724.5</v>
      </c>
      <c r="AC251" s="5" t="inlineStr">
        <is>
          <t>shear_wall</t>
        </is>
      </c>
      <c r="AD251" s="5">
        <f>IF(AC251="","",IF(OR(AC251=F251,AND(AC251="crane_footing",F251="isolated_footing")),"yes","no"))</f>
        <v/>
      </c>
    </row>
    <row r="252">
      <c r="A252" s="5" t="n">
        <v>251</v>
      </c>
      <c r="B252" s="5" t="inlineStr">
        <is>
          <t>122</t>
        </is>
      </c>
      <c r="C252" s="5" t="inlineStr">
        <is>
          <t>own label (region says 121)</t>
        </is>
      </c>
      <c r="D252" s="5" t="inlineStr">
        <is>
          <t>solid</t>
        </is>
      </c>
      <c r="E252" s="5" t="n">
        <v>35</v>
      </c>
      <c r="F252" s="5" t="inlineStr">
        <is>
          <t>shear_wall</t>
        </is>
      </c>
      <c r="G252" s="5" t="inlineStr">
        <is>
          <t>label vote</t>
        </is>
      </c>
      <c r="H252" s="5" t="inlineStr">
        <is>
          <t>V6/122</t>
        </is>
      </c>
      <c r="I252" s="5" t="inlineStr">
        <is>
          <t>printed label</t>
        </is>
      </c>
      <c r="J252" s="5" t="inlineStr">
        <is>
          <t>V6/122/122</t>
        </is>
      </c>
      <c r="K252" s="5" t="n">
        <v>125</v>
      </c>
      <c r="L252" s="5" t="n">
        <v>30</v>
      </c>
      <c r="M252" s="10">
        <f>IF(AND(ISNUMBER(K252),L252&gt;0),K252/L252,"")</f>
        <v/>
      </c>
      <c r="N252" s="5" t="n">
        <v>0.375</v>
      </c>
      <c r="O252" s="5" t="n">
        <v>179.9</v>
      </c>
      <c r="P252" s="5" t="n">
        <v>0</v>
      </c>
      <c r="Q252" s="5" t="n">
        <v>1</v>
      </c>
      <c r="R252" s="5" t="n">
        <v>0</v>
      </c>
      <c r="S252" s="5" t="n">
        <v>0</v>
      </c>
      <c r="T252" s="5" t="n">
        <v>0</v>
      </c>
      <c r="U252" s="5" t="n">
        <v>2</v>
      </c>
      <c r="V252" s="5" t="n">
        <v>3</v>
      </c>
      <c r="W252" s="5" t="n"/>
      <c r="X252" s="5" t="inlineStr"/>
      <c r="Y252" s="5" t="n">
        <v>4303.3</v>
      </c>
      <c r="Z252" s="5" t="n">
        <v>2139.6</v>
      </c>
      <c r="AA252" s="5" t="n">
        <v>4340.3</v>
      </c>
      <c r="AB252" s="5" t="n">
        <v>2148.5</v>
      </c>
      <c r="AC252" s="5" t="inlineStr">
        <is>
          <t>shear_wall</t>
        </is>
      </c>
      <c r="AD252" s="5">
        <f>IF(AC252="","",IF(OR(AC252=F252,AND(AC252="crane_footing",F252="isolated_footing")),"yes","no"))</f>
        <v/>
      </c>
    </row>
    <row r="253">
      <c r="A253" s="5" t="n">
        <v>252</v>
      </c>
      <c r="B253" s="5" t="inlineStr">
        <is>
          <t>122</t>
        </is>
      </c>
      <c r="C253" s="5" t="inlineStr">
        <is>
          <t>own label</t>
        </is>
      </c>
      <c r="D253" s="5" t="inlineStr">
        <is>
          <t>solid</t>
        </is>
      </c>
      <c r="E253" s="5" t="n">
        <v>35</v>
      </c>
      <c r="F253" s="5" t="inlineStr">
        <is>
          <t>shear_wall</t>
        </is>
      </c>
      <c r="G253" s="5" t="inlineStr">
        <is>
          <t>label vote</t>
        </is>
      </c>
      <c r="H253" s="5" t="inlineStr">
        <is>
          <t>V6/122</t>
        </is>
      </c>
      <c r="I253" s="5" t="inlineStr">
        <is>
          <t>printed label</t>
        </is>
      </c>
      <c r="J253" s="5" t="inlineStr">
        <is>
          <t>V6/122/122</t>
        </is>
      </c>
      <c r="K253" s="5" t="n">
        <v>125</v>
      </c>
      <c r="L253" s="5" t="n">
        <v>30</v>
      </c>
      <c r="M253" s="10">
        <f>IF(AND(ISNUMBER(K253),L253&gt;0),K253/L253,"")</f>
        <v/>
      </c>
      <c r="N253" s="5" t="n">
        <v>0.374</v>
      </c>
      <c r="O253" s="5" t="n">
        <v>79.3</v>
      </c>
      <c r="P253" s="5" t="n">
        <v>0</v>
      </c>
      <c r="Q253" s="5" t="n">
        <v>1</v>
      </c>
      <c r="R253" s="5" t="n">
        <v>0</v>
      </c>
      <c r="S253" s="5" t="n">
        <v>0</v>
      </c>
      <c r="T253" s="5" t="n">
        <v>0</v>
      </c>
      <c r="U253" s="5" t="n">
        <v>1</v>
      </c>
      <c r="V253" s="5" t="n">
        <v>3</v>
      </c>
      <c r="W253" s="5" t="n"/>
      <c r="X253" s="5" t="inlineStr"/>
      <c r="Y253" s="5" t="n">
        <v>4180.9</v>
      </c>
      <c r="Z253" s="5" t="n">
        <v>2726.9</v>
      </c>
      <c r="AA253" s="5" t="n">
        <v>4196.5</v>
      </c>
      <c r="AB253" s="5" t="n">
        <v>2764.7</v>
      </c>
      <c r="AC253" s="5" t="inlineStr">
        <is>
          <t>shear_wall</t>
        </is>
      </c>
      <c r="AD253" s="5">
        <f>IF(AC253="","",IF(OR(AC253=F253,AND(AC253="crane_footing",F253="isolated_footing")),"yes","no"))</f>
        <v/>
      </c>
    </row>
    <row r="254">
      <c r="A254" s="5" t="n">
        <v>253</v>
      </c>
      <c r="B254" s="5" t="inlineStr">
        <is>
          <t>122</t>
        </is>
      </c>
      <c r="C254" s="5" t="inlineStr">
        <is>
          <t>nearest labels in its region</t>
        </is>
      </c>
      <c r="D254" s="5" t="inlineStr">
        <is>
          <t>solid</t>
        </is>
      </c>
      <c r="E254" s="5" t="n">
        <v>33</v>
      </c>
      <c r="F254" s="5" t="inlineStr">
        <is>
          <t>retaining_wall</t>
        </is>
      </c>
      <c r="G254" s="5" t="inlineStr">
        <is>
          <t>label vote</t>
        </is>
      </c>
      <c r="H254" s="5" t="inlineStr">
        <is>
          <t>VP20</t>
        </is>
      </c>
      <c r="I254" s="5" t="inlineStr">
        <is>
          <t>inferred: the only retaining_wall type with this size</t>
        </is>
      </c>
      <c r="J254" s="5" t="inlineStr"/>
      <c r="K254" s="5" t="n">
        <v>888</v>
      </c>
      <c r="L254" s="5" t="n">
        <v>20</v>
      </c>
      <c r="M254" s="10">
        <f>IF(AND(ISNUMBER(K254),L254&gt;0),K254/L254,"")</f>
        <v/>
      </c>
      <c r="N254" s="5" t="n">
        <v>1.775</v>
      </c>
      <c r="O254" s="5" t="n">
        <v>179.9</v>
      </c>
      <c r="P254" s="5" t="n">
        <v>1</v>
      </c>
      <c r="Q254" s="5" t="n">
        <v>0</v>
      </c>
      <c r="R254" s="5" t="n">
        <v>1</v>
      </c>
      <c r="S254" s="5" t="n">
        <v>0</v>
      </c>
      <c r="T254" s="5" t="n">
        <v>0</v>
      </c>
      <c r="U254" s="5" t="n">
        <v>5</v>
      </c>
      <c r="V254" s="5" t="n">
        <v>21</v>
      </c>
      <c r="W254" s="5" t="n"/>
      <c r="X254" s="5" t="inlineStr"/>
      <c r="Y254" s="5" t="n">
        <v>4511.2</v>
      </c>
      <c r="Z254" s="5" t="n">
        <v>2234.1</v>
      </c>
      <c r="AA254" s="5" t="n">
        <v>4773.4</v>
      </c>
      <c r="AB254" s="5" t="n">
        <v>2240.6</v>
      </c>
      <c r="AC254" s="5" t="inlineStr"/>
      <c r="AD254" s="5">
        <f>IF(AC254="","",IF(OR(AC254=F254,AND(AC254="crane_footing",F254="isolated_footing")),"yes","no"))</f>
        <v/>
      </c>
    </row>
    <row r="255">
      <c r="A255" s="5" t="n">
        <v>254</v>
      </c>
      <c r="B255" s="5" t="inlineStr">
        <is>
          <t>122</t>
        </is>
      </c>
      <c r="C255" s="5" t="inlineStr">
        <is>
          <t>nearest labels in its region</t>
        </is>
      </c>
      <c r="D255" s="5" t="inlineStr">
        <is>
          <t>solid</t>
        </is>
      </c>
      <c r="E255" s="5" t="n">
        <v>28</v>
      </c>
      <c r="F255" s="5" t="inlineStr">
        <is>
          <t>retaining_wall</t>
        </is>
      </c>
      <c r="G255" s="5" t="inlineStr">
        <is>
          <t>label vote</t>
        </is>
      </c>
      <c r="H255" s="5" t="inlineStr">
        <is>
          <t>VP20</t>
        </is>
      </c>
      <c r="I255" s="5" t="inlineStr">
        <is>
          <t>inferred: the only retaining_wall type with this size</t>
        </is>
      </c>
      <c r="J255" s="5" t="inlineStr"/>
      <c r="K255" s="5" t="n">
        <v>663</v>
      </c>
      <c r="L255" s="5" t="n">
        <v>20</v>
      </c>
      <c r="M255" s="10">
        <f>IF(AND(ISNUMBER(K255),L255&gt;0),K255/L255,"")</f>
        <v/>
      </c>
      <c r="N255" s="5" t="n">
        <v>1.324</v>
      </c>
      <c r="O255" s="5" t="n">
        <v>179.9</v>
      </c>
      <c r="P255" s="5" t="n">
        <v>2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11</v>
      </c>
      <c r="V255" s="5" t="n">
        <v>18</v>
      </c>
      <c r="W255" s="5" t="n"/>
      <c r="X255" s="5" t="inlineStr"/>
      <c r="Y255" s="5" t="n">
        <v>4555.3</v>
      </c>
      <c r="Z255" s="5" t="n">
        <v>2129.4</v>
      </c>
      <c r="AA255" s="5" t="n">
        <v>4750.9</v>
      </c>
      <c r="AB255" s="5" t="n">
        <v>2135.7</v>
      </c>
      <c r="AC255" s="5" t="inlineStr"/>
      <c r="AD255" s="5">
        <f>IF(AC255="","",IF(OR(AC255=F255,AND(AC255="crane_footing",F255="isolated_footing")),"yes","no"))</f>
        <v/>
      </c>
    </row>
    <row r="256">
      <c r="A256" s="5" t="n">
        <v>255</v>
      </c>
      <c r="B256" s="5" t="inlineStr">
        <is>
          <t>122</t>
        </is>
      </c>
      <c r="C256" s="5" t="inlineStr">
        <is>
          <t>nearest labels in its region</t>
        </is>
      </c>
      <c r="D256" s="5" t="inlineStr">
        <is>
          <t>solid</t>
        </is>
      </c>
      <c r="E256" s="5" t="n">
        <v>28</v>
      </c>
      <c r="F256" s="5" t="inlineStr">
        <is>
          <t>retaining_wall</t>
        </is>
      </c>
      <c r="G256" s="5" t="inlineStr">
        <is>
          <t>label vote</t>
        </is>
      </c>
      <c r="H256" s="5" t="inlineStr">
        <is>
          <t>VP20</t>
        </is>
      </c>
      <c r="I256" s="5" t="inlineStr">
        <is>
          <t>inferred: the only retaining_wall type with this size</t>
        </is>
      </c>
      <c r="J256" s="5" t="inlineStr"/>
      <c r="K256" s="5" t="n">
        <v>661</v>
      </c>
      <c r="L256" s="5" t="n">
        <v>20</v>
      </c>
      <c r="M256" s="10">
        <f>IF(AND(ISNUMBER(K256),L256&gt;0),K256/L256,"")</f>
        <v/>
      </c>
      <c r="N256" s="5" t="n">
        <v>1.321</v>
      </c>
      <c r="O256" s="5" t="n">
        <v>179.9</v>
      </c>
      <c r="P256" s="5" t="n">
        <v>2</v>
      </c>
      <c r="Q256" s="5" t="n">
        <v>0</v>
      </c>
      <c r="R256" s="5" t="n">
        <v>0</v>
      </c>
      <c r="S256" s="5" t="n">
        <v>0</v>
      </c>
      <c r="T256" s="5" t="n">
        <v>0</v>
      </c>
      <c r="U256" s="5" t="n">
        <v>8</v>
      </c>
      <c r="V256" s="5" t="n">
        <v>10</v>
      </c>
      <c r="W256" s="5" t="n"/>
      <c r="X256" s="5" t="inlineStr"/>
      <c r="Y256" s="5" t="n">
        <v>4555.7</v>
      </c>
      <c r="Z256" s="5" t="n">
        <v>2138.2</v>
      </c>
      <c r="AA256" s="5" t="n">
        <v>4750.9</v>
      </c>
      <c r="AB256" s="5" t="n">
        <v>2144.5</v>
      </c>
      <c r="AC256" s="5" t="inlineStr"/>
      <c r="AD256" s="5">
        <f>IF(AC256="","",IF(OR(AC256=F256,AND(AC256="crane_footing",F256="isolated_footing")),"yes","no"))</f>
        <v/>
      </c>
    </row>
    <row r="257">
      <c r="A257" s="5" t="n">
        <v>256</v>
      </c>
      <c r="B257" s="5" t="inlineStr">
        <is>
          <t>122</t>
        </is>
      </c>
      <c r="C257" s="5" t="inlineStr">
        <is>
          <t>nearest labels in its region</t>
        </is>
      </c>
      <c r="D257" s="5" t="inlineStr">
        <is>
          <t>solid</t>
        </is>
      </c>
      <c r="E257" s="5" t="n">
        <v>28</v>
      </c>
      <c r="F257" s="5" t="inlineStr">
        <is>
          <t>retaining_wall</t>
        </is>
      </c>
      <c r="G257" s="5" t="inlineStr">
        <is>
          <t>label vote</t>
        </is>
      </c>
      <c r="H257" s="5" t="inlineStr">
        <is>
          <t>VP20</t>
        </is>
      </c>
      <c r="I257" s="5" t="inlineStr">
        <is>
          <t>inferred: the only retaining_wall type with this size</t>
        </is>
      </c>
      <c r="J257" s="5" t="inlineStr"/>
      <c r="K257" s="5" t="n">
        <v>1170</v>
      </c>
      <c r="L257" s="5" t="n">
        <v>20</v>
      </c>
      <c r="M257" s="10">
        <f>IF(AND(ISNUMBER(K257),L257&gt;0),K257/L257,"")</f>
        <v/>
      </c>
      <c r="N257" s="5" t="n">
        <v>2.34</v>
      </c>
      <c r="O257" s="5" t="n">
        <v>90.09999999999999</v>
      </c>
      <c r="P257" s="5" t="n">
        <v>3</v>
      </c>
      <c r="Q257" s="5" t="n">
        <v>0</v>
      </c>
      <c r="R257" s="5" t="n">
        <v>0</v>
      </c>
      <c r="S257" s="5" t="n">
        <v>0</v>
      </c>
      <c r="T257" s="5" t="n">
        <v>1</v>
      </c>
      <c r="U257" s="5" t="n">
        <v>4</v>
      </c>
      <c r="V257" s="5" t="n">
        <v>2</v>
      </c>
      <c r="W257" s="5" t="n"/>
      <c r="X257" s="5" t="inlineStr"/>
      <c r="Y257" s="5" t="n">
        <v>4767.3</v>
      </c>
      <c r="Z257" s="5" t="n">
        <v>2148.5</v>
      </c>
      <c r="AA257" s="5" t="n">
        <v>4773.5</v>
      </c>
      <c r="AB257" s="5" t="n">
        <v>2494</v>
      </c>
      <c r="AC257" s="5" t="inlineStr"/>
      <c r="AD257" s="5">
        <f>IF(AC257="","",IF(OR(AC257=F257,AND(AC257="crane_footing",F257="isolated_footing")),"yes","no"))</f>
        <v/>
      </c>
    </row>
    <row r="258">
      <c r="A258" s="5" t="n">
        <v>257</v>
      </c>
      <c r="B258" s="5" t="inlineStr">
        <is>
          <t>122</t>
        </is>
      </c>
      <c r="C258" s="5" t="inlineStr">
        <is>
          <t>nearest labels in its region</t>
        </is>
      </c>
      <c r="D258" s="5" t="inlineStr">
        <is>
          <t>solid</t>
        </is>
      </c>
      <c r="E258" s="5" t="n">
        <v>28</v>
      </c>
      <c r="F258" s="5" t="inlineStr">
        <is>
          <t>retaining_wall</t>
        </is>
      </c>
      <c r="G258" s="5" t="inlineStr">
        <is>
          <t>label vote</t>
        </is>
      </c>
      <c r="H258" s="5" t="inlineStr">
        <is>
          <t>VP20</t>
        </is>
      </c>
      <c r="I258" s="5" t="inlineStr">
        <is>
          <t>printed label</t>
        </is>
      </c>
      <c r="J258" s="5" t="inlineStr">
        <is>
          <t>VP20/SF1 80x25</t>
        </is>
      </c>
      <c r="K258" s="5" t="n">
        <v>771</v>
      </c>
      <c r="L258" s="5" t="n">
        <v>20</v>
      </c>
      <c r="M258" s="10">
        <f>IF(AND(ISNUMBER(K258),L258&gt;0),K258/L258,"")</f>
        <v/>
      </c>
      <c r="N258" s="5" t="n">
        <v>1.538</v>
      </c>
      <c r="O258" s="5" t="n">
        <v>179.9</v>
      </c>
      <c r="P258" s="5" t="n">
        <v>2</v>
      </c>
      <c r="Q258" s="5" t="n">
        <v>0</v>
      </c>
      <c r="R258" s="5" t="n">
        <v>0</v>
      </c>
      <c r="S258" s="5" t="n">
        <v>0</v>
      </c>
      <c r="T258" s="5" t="n">
        <v>1</v>
      </c>
      <c r="U258" s="5" t="n">
        <v>13</v>
      </c>
      <c r="V258" s="5" t="n">
        <v>0</v>
      </c>
      <c r="W258" s="5" t="n"/>
      <c r="X258" s="5" t="inlineStr"/>
      <c r="Y258" s="5" t="n">
        <v>4773.2</v>
      </c>
      <c r="Z258" s="5" t="n">
        <v>2493.6</v>
      </c>
      <c r="AA258" s="5" t="n">
        <v>5000.9</v>
      </c>
      <c r="AB258" s="5" t="n">
        <v>2499.9</v>
      </c>
      <c r="AC258" s="5" t="inlineStr"/>
      <c r="AD258" s="5">
        <f>IF(AC258="","",IF(OR(AC258=F258,AND(AC258="crane_footing",F258="isolated_footing")),"yes","no"))</f>
        <v/>
      </c>
    </row>
    <row r="259">
      <c r="A259" s="5" t="n">
        <v>258</v>
      </c>
      <c r="B259" s="5" t="inlineStr">
        <is>
          <t>122</t>
        </is>
      </c>
      <c r="C259" s="5" t="inlineStr">
        <is>
          <t>region between joints</t>
        </is>
      </c>
      <c r="D259" s="5" t="inlineStr">
        <is>
          <t>solid</t>
        </is>
      </c>
      <c r="E259" s="5" t="n">
        <v>33</v>
      </c>
      <c r="F259" s="5" t="inlineStr">
        <is>
          <t>retaining_wall</t>
        </is>
      </c>
      <c r="G259" s="5" t="inlineStr">
        <is>
          <t>label vote</t>
        </is>
      </c>
      <c r="H259" s="5" t="inlineStr">
        <is>
          <t>VP25</t>
        </is>
      </c>
      <c r="I259" s="5" t="inlineStr">
        <is>
          <t>printed label</t>
        </is>
      </c>
      <c r="J259" s="5" t="inlineStr">
        <is>
          <t>VP25/SF1- 80x25</t>
        </is>
      </c>
      <c r="K259" s="5" t="n">
        <v>2324</v>
      </c>
      <c r="L259" s="5" t="n">
        <v>25</v>
      </c>
      <c r="M259" s="10">
        <f>IF(AND(ISNUMBER(K259),L259&gt;0),K259/L259,"")</f>
        <v/>
      </c>
      <c r="N259" s="5" t="n">
        <v>5.81</v>
      </c>
      <c r="O259" s="5" t="n">
        <v>169.4</v>
      </c>
      <c r="P259" s="5" t="n">
        <v>0</v>
      </c>
      <c r="Q259" s="5" t="n">
        <v>0</v>
      </c>
      <c r="R259" s="5" t="n">
        <v>1</v>
      </c>
      <c r="S259" s="5" t="n">
        <v>0</v>
      </c>
      <c r="T259" s="5" t="n">
        <v>0</v>
      </c>
      <c r="U259" s="5" t="n">
        <v>19</v>
      </c>
      <c r="V259" s="5" t="n">
        <v>7</v>
      </c>
      <c r="W259" s="5" t="n"/>
      <c r="X259" s="5" t="inlineStr"/>
      <c r="Y259" s="5" t="n">
        <v>3504</v>
      </c>
      <c r="Z259" s="5" t="n">
        <v>2731.7</v>
      </c>
      <c r="AA259" s="5" t="n">
        <v>4179.9</v>
      </c>
      <c r="AB259" s="5" t="n">
        <v>2865.1</v>
      </c>
      <c r="AC259" s="5" t="inlineStr">
        <is>
          <t>retaining_wall</t>
        </is>
      </c>
      <c r="AD259" s="5">
        <f>IF(AC259="","",IF(OR(AC259=F259,AND(AC259="crane_footing",F259="isolated_footing")),"yes","no"))</f>
        <v/>
      </c>
    </row>
    <row r="260">
      <c r="A260" s="5" t="n">
        <v>259</v>
      </c>
      <c r="B260" s="5" t="inlineStr">
        <is>
          <t>122</t>
        </is>
      </c>
      <c r="C260" s="5" t="inlineStr">
        <is>
          <t>nearest labels in its region</t>
        </is>
      </c>
      <c r="D260" s="5" t="inlineStr">
        <is>
          <t>solid</t>
        </is>
      </c>
      <c r="E260" s="5" t="n">
        <v>33</v>
      </c>
      <c r="F260" s="5" t="inlineStr">
        <is>
          <t>retaining_wall</t>
        </is>
      </c>
      <c r="G260" s="5" t="inlineStr">
        <is>
          <t>label vote</t>
        </is>
      </c>
      <c r="H260" s="5" t="inlineStr">
        <is>
          <t>VP25</t>
        </is>
      </c>
      <c r="I260" s="5" t="inlineStr">
        <is>
          <t>printed label</t>
        </is>
      </c>
      <c r="J260" s="5" t="inlineStr">
        <is>
          <t>VP25/SF1-80x25</t>
        </is>
      </c>
      <c r="K260" s="5" t="n">
        <v>2008</v>
      </c>
      <c r="L260" s="5" t="n">
        <v>25</v>
      </c>
      <c r="M260" s="10">
        <f>IF(AND(ISNUMBER(K260),L260&gt;0),K260/L260,"")</f>
        <v/>
      </c>
      <c r="N260" s="5" t="n">
        <v>5.012</v>
      </c>
      <c r="O260" s="5" t="n">
        <v>90</v>
      </c>
      <c r="P260" s="5" t="n">
        <v>0</v>
      </c>
      <c r="Q260" s="5" t="n">
        <v>0</v>
      </c>
      <c r="R260" s="5" t="n">
        <v>1</v>
      </c>
      <c r="S260" s="5" t="n">
        <v>0</v>
      </c>
      <c r="T260" s="5" t="n">
        <v>0</v>
      </c>
      <c r="U260" s="5" t="n">
        <v>14</v>
      </c>
      <c r="V260" s="5" t="n">
        <v>5</v>
      </c>
      <c r="W260" s="5" t="n"/>
      <c r="X260" s="5" t="inlineStr"/>
      <c r="Y260" s="5" t="n">
        <v>4158.1</v>
      </c>
      <c r="Z260" s="5" t="n">
        <v>2140</v>
      </c>
      <c r="AA260" s="5" t="n">
        <v>4165.9</v>
      </c>
      <c r="AB260" s="5" t="n">
        <v>2732.7</v>
      </c>
      <c r="AC260" s="5" t="inlineStr">
        <is>
          <t>retaining_wall</t>
        </is>
      </c>
      <c r="AD260" s="5">
        <f>IF(AC260="","",IF(OR(AC260=F260,AND(AC260="crane_footing",F260="isolated_footing")),"yes","no"))</f>
        <v/>
      </c>
    </row>
    <row r="261">
      <c r="A261" s="5" t="n">
        <v>260</v>
      </c>
      <c r="B261" s="5" t="inlineStr">
        <is>
          <t>122</t>
        </is>
      </c>
      <c r="C261" s="5" t="inlineStr">
        <is>
          <t>region between joints</t>
        </is>
      </c>
      <c r="D261" s="5" t="inlineStr">
        <is>
          <t>solid</t>
        </is>
      </c>
      <c r="E261" s="5" t="n">
        <v>28</v>
      </c>
      <c r="F261" s="5" t="inlineStr">
        <is>
          <t>retaining_wall</t>
        </is>
      </c>
      <c r="G261" s="5" t="inlineStr">
        <is>
          <t>label vote</t>
        </is>
      </c>
      <c r="H261" s="5" t="inlineStr">
        <is>
          <t>VP25</t>
        </is>
      </c>
      <c r="I261" s="5" t="inlineStr">
        <is>
          <t>inferred: the only retaining_wall type with this size</t>
        </is>
      </c>
      <c r="J261" s="5" t="inlineStr"/>
      <c r="K261" s="5" t="n">
        <v>1526</v>
      </c>
      <c r="L261" s="5" t="n">
        <v>25</v>
      </c>
      <c r="M261" s="10">
        <f>IF(AND(ISNUMBER(K261),L261&gt;0),K261/L261,"")</f>
        <v/>
      </c>
      <c r="N261" s="5" t="n">
        <v>3.841</v>
      </c>
      <c r="O261" s="5" t="n">
        <v>90</v>
      </c>
      <c r="P261" s="5" t="n">
        <v>3</v>
      </c>
      <c r="Q261" s="5" t="n">
        <v>0</v>
      </c>
      <c r="R261" s="5" t="n">
        <v>0</v>
      </c>
      <c r="S261" s="5" t="n">
        <v>1</v>
      </c>
      <c r="T261" s="5" t="n">
        <v>1</v>
      </c>
      <c r="U261" s="5" t="n">
        <v>1</v>
      </c>
      <c r="V261" s="5" t="n">
        <v>1</v>
      </c>
      <c r="W261" s="5" t="n"/>
      <c r="X261" s="5" t="inlineStr"/>
      <c r="Y261" s="5" t="n">
        <v>5014.1</v>
      </c>
      <c r="Z261" s="5" t="n">
        <v>2493.5</v>
      </c>
      <c r="AA261" s="5" t="n">
        <v>5021.9</v>
      </c>
      <c r="AB261" s="5" t="n">
        <v>2944.2</v>
      </c>
      <c r="AC261" s="5" t="inlineStr"/>
      <c r="AD261" s="5">
        <f>IF(AC261="","",IF(OR(AC261=F261,AND(AC261="crane_footing",F261="isolated_footing")),"yes","no"))</f>
        <v/>
      </c>
    </row>
    <row r="262">
      <c r="A262" s="5" t="n">
        <v>261</v>
      </c>
      <c r="B262" s="5" t="inlineStr">
        <is>
          <t>122</t>
        </is>
      </c>
      <c r="C262" s="5" t="inlineStr">
        <is>
          <t>region between joints</t>
        </is>
      </c>
      <c r="D262" s="5" t="inlineStr">
        <is>
          <t>outline</t>
        </is>
      </c>
      <c r="E262" s="5" t="n">
        <v>17</v>
      </c>
      <c r="F262" s="5" t="inlineStr">
        <is>
          <t>isolated_footing</t>
        </is>
      </c>
      <c r="G262" s="5" t="inlineStr">
        <is>
          <t>label vote</t>
        </is>
      </c>
      <c r="H262" s="5" t="inlineStr">
        <is>
          <t>(none)</t>
        </is>
      </c>
      <c r="I262" s="5" t="inlineStr">
        <is>
          <t>no isolated_footing type has this size</t>
        </is>
      </c>
      <c r="J262" s="5" t="inlineStr"/>
      <c r="K262" s="5" t="n">
        <v>350</v>
      </c>
      <c r="L262" s="5" t="n">
        <v>300</v>
      </c>
      <c r="M262" s="10">
        <f>IF(AND(ISNUMBER(K262),L262&gt;0),K262/L262,"")</f>
        <v/>
      </c>
      <c r="N262" s="5" t="n">
        <v>10.505</v>
      </c>
      <c r="O262" s="5" t="n">
        <v>89.90000000000001</v>
      </c>
      <c r="P262" s="5" t="n">
        <v>3</v>
      </c>
      <c r="Q262" s="5" t="n">
        <v>0</v>
      </c>
      <c r="R262" s="5" t="n">
        <v>0</v>
      </c>
      <c r="S262" s="5" t="n">
        <v>0</v>
      </c>
      <c r="T262" s="5" t="n">
        <v>1</v>
      </c>
      <c r="U262" s="5" t="n">
        <v>57</v>
      </c>
      <c r="V262" s="5" t="n">
        <v>1</v>
      </c>
      <c r="W262" s="5" t="n"/>
      <c r="X262" s="5" t="inlineStr"/>
      <c r="Y262" s="5" t="n">
        <v>4725</v>
      </c>
      <c r="Z262" s="5" t="n">
        <v>2477.4</v>
      </c>
      <c r="AA262" s="5" t="n">
        <v>4813.7</v>
      </c>
      <c r="AB262" s="5" t="n">
        <v>2581</v>
      </c>
      <c r="AC262" s="5" t="inlineStr"/>
      <c r="AD262" s="5">
        <f>IF(AC262="","",IF(OR(AC262=F262,AND(AC262="crane_footing",F262="isolated_footing")),"yes","no"))</f>
        <v/>
      </c>
    </row>
    <row r="263">
      <c r="A263" s="5" t="n">
        <v>262</v>
      </c>
      <c r="B263" s="5" t="inlineStr">
        <is>
          <t>122</t>
        </is>
      </c>
      <c r="C263" s="5" t="inlineStr">
        <is>
          <t>own label</t>
        </is>
      </c>
      <c r="D263" s="5" t="inlineStr">
        <is>
          <t>outline</t>
        </is>
      </c>
      <c r="E263" s="5" t="n">
        <v>16</v>
      </c>
      <c r="F263" s="5" t="inlineStr">
        <is>
          <t>isolated_footing</t>
        </is>
      </c>
      <c r="G263" s="5" t="inlineStr">
        <is>
          <t>label vote</t>
        </is>
      </c>
      <c r="H263" s="5" t="inlineStr">
        <is>
          <t>S10</t>
        </is>
      </c>
      <c r="I263" s="5" t="inlineStr">
        <is>
          <t>printed label</t>
        </is>
      </c>
      <c r="J263" s="5" t="inlineStr">
        <is>
          <t>S10-122122</t>
        </is>
      </c>
      <c r="K263" s="5" t="n">
        <v>450</v>
      </c>
      <c r="L263" s="5" t="n">
        <v>300</v>
      </c>
      <c r="M263" s="10">
        <f>IF(AND(ISNUMBER(K263),L263&gt;0),K263/L263,"")</f>
        <v/>
      </c>
      <c r="N263" s="5" t="n">
        <v>13.503</v>
      </c>
      <c r="O263" s="5" t="n">
        <v>89.90000000000001</v>
      </c>
      <c r="P263" s="5" t="n">
        <v>3</v>
      </c>
      <c r="Q263" s="5" t="n">
        <v>0</v>
      </c>
      <c r="R263" s="5" t="n">
        <v>0</v>
      </c>
      <c r="S263" s="5" t="n">
        <v>0</v>
      </c>
      <c r="T263" s="5" t="n">
        <v>1</v>
      </c>
      <c r="U263" s="5" t="n">
        <v>55</v>
      </c>
      <c r="V263" s="5" t="n">
        <v>7</v>
      </c>
      <c r="W263" s="5" t="n"/>
      <c r="X263" s="5" t="inlineStr"/>
      <c r="Y263" s="5" t="n">
        <v>4724.5</v>
      </c>
      <c r="Z263" s="5" t="n">
        <v>2231.2</v>
      </c>
      <c r="AA263" s="5" t="n">
        <v>4813.4</v>
      </c>
      <c r="AB263" s="5" t="n">
        <v>2364.2</v>
      </c>
      <c r="AC263" s="5" t="inlineStr">
        <is>
          <t>isolated_footing</t>
        </is>
      </c>
      <c r="AD263" s="5">
        <f>IF(AC263="","",IF(OR(AC263=F263,AND(AC263="crane_footing",F263="isolated_footing")),"yes","no"))</f>
        <v/>
      </c>
    </row>
    <row r="264">
      <c r="A264" s="5" t="n">
        <v>263</v>
      </c>
      <c r="B264" s="5" t="inlineStr">
        <is>
          <t>122</t>
        </is>
      </c>
      <c r="C264" s="5" t="inlineStr">
        <is>
          <t>own label</t>
        </is>
      </c>
      <c r="D264" s="5" t="inlineStr">
        <is>
          <t>outline</t>
        </is>
      </c>
      <c r="E264" s="5" t="n">
        <v>16</v>
      </c>
      <c r="F264" s="5" t="inlineStr">
        <is>
          <t>isolated_footing</t>
        </is>
      </c>
      <c r="G264" s="5" t="inlineStr">
        <is>
          <t>label vote</t>
        </is>
      </c>
      <c r="H264" s="5" t="inlineStr">
        <is>
          <t>S10</t>
        </is>
      </c>
      <c r="I264" s="5" t="inlineStr">
        <is>
          <t>printed label</t>
        </is>
      </c>
      <c r="J264" s="5" t="inlineStr">
        <is>
          <t>S10-122122</t>
        </is>
      </c>
      <c r="K264" s="5" t="n">
        <v>450</v>
      </c>
      <c r="L264" s="5" t="n">
        <v>300</v>
      </c>
      <c r="M264" s="10">
        <f>IF(AND(ISNUMBER(K264),L264&gt;0),K264/L264,"")</f>
        <v/>
      </c>
      <c r="N264" s="5" t="n">
        <v>13.503</v>
      </c>
      <c r="O264" s="5" t="n">
        <v>0</v>
      </c>
      <c r="P264" s="5" t="n">
        <v>1</v>
      </c>
      <c r="Q264" s="5" t="n">
        <v>0</v>
      </c>
      <c r="R264" s="5" t="n">
        <v>0</v>
      </c>
      <c r="S264" s="5" t="n">
        <v>0</v>
      </c>
      <c r="T264" s="5" t="n">
        <v>1</v>
      </c>
      <c r="U264" s="5" t="n">
        <v>25</v>
      </c>
      <c r="V264" s="5" t="n">
        <v>3</v>
      </c>
      <c r="W264" s="5" t="n"/>
      <c r="X264" s="5" t="inlineStr"/>
      <c r="Y264" s="5" t="n">
        <v>4481.4</v>
      </c>
      <c r="Z264" s="5" t="n">
        <v>2571.2</v>
      </c>
      <c r="AA264" s="5" t="n">
        <v>4614.3</v>
      </c>
      <c r="AB264" s="5" t="n">
        <v>2659.9</v>
      </c>
      <c r="AC264" s="5" t="inlineStr">
        <is>
          <t>isolated_footing</t>
        </is>
      </c>
      <c r="AD264" s="5">
        <f>IF(AC264="","",IF(OR(AC264=F264,AND(AC264="crane_footing",F264="isolated_footing")),"yes","no"))</f>
        <v/>
      </c>
    </row>
    <row r="265">
      <c r="A265" s="5" t="n">
        <v>264</v>
      </c>
      <c r="B265" s="5" t="inlineStr">
        <is>
          <t>122</t>
        </is>
      </c>
      <c r="C265" s="5" t="inlineStr">
        <is>
          <t>own label</t>
        </is>
      </c>
      <c r="D265" s="5" t="inlineStr">
        <is>
          <t>outline</t>
        </is>
      </c>
      <c r="E265" s="5" t="n">
        <v>16</v>
      </c>
      <c r="F265" s="5" t="inlineStr">
        <is>
          <t>isolated_footing</t>
        </is>
      </c>
      <c r="G265" s="5" t="inlineStr">
        <is>
          <t>label vote</t>
        </is>
      </c>
      <c r="H265" s="5" t="inlineStr">
        <is>
          <t>S10</t>
        </is>
      </c>
      <c r="I265" s="5" t="inlineStr">
        <is>
          <t>printed label</t>
        </is>
      </c>
      <c r="J265" s="5" t="inlineStr">
        <is>
          <t>S10-122122</t>
        </is>
      </c>
      <c r="K265" s="5" t="n">
        <v>450</v>
      </c>
      <c r="L265" s="5" t="n">
        <v>300</v>
      </c>
      <c r="M265" s="10">
        <f>IF(AND(ISNUMBER(K265),L265&gt;0),K265/L265,"")</f>
        <v/>
      </c>
      <c r="N265" s="5" t="n">
        <v>13.498</v>
      </c>
      <c r="O265" s="5" t="n">
        <v>0.1</v>
      </c>
      <c r="P265" s="5" t="n">
        <v>1</v>
      </c>
      <c r="Q265" s="5" t="n">
        <v>0</v>
      </c>
      <c r="R265" s="5" t="n">
        <v>0</v>
      </c>
      <c r="S265" s="5" t="n">
        <v>0</v>
      </c>
      <c r="T265" s="5" t="n">
        <v>1</v>
      </c>
      <c r="U265" s="5" t="n">
        <v>39</v>
      </c>
      <c r="V265" s="5" t="n">
        <v>3</v>
      </c>
      <c r="W265" s="5" t="n"/>
      <c r="X265" s="5" t="inlineStr"/>
      <c r="Y265" s="5" t="n">
        <v>4482.6</v>
      </c>
      <c r="Z265" s="5" t="n">
        <v>2454.5</v>
      </c>
      <c r="AA265" s="5" t="n">
        <v>4615.5</v>
      </c>
      <c r="AB265" s="5" t="n">
        <v>2543.2</v>
      </c>
      <c r="AC265" s="5" t="inlineStr">
        <is>
          <t>isolated_footing</t>
        </is>
      </c>
      <c r="AD265" s="5">
        <f>IF(AC265="","",IF(OR(AC265=F265,AND(AC265="crane_footing",F265="isolated_footing")),"yes","no"))</f>
        <v/>
      </c>
    </row>
    <row r="266">
      <c r="A266" s="5" t="n">
        <v>265</v>
      </c>
      <c r="B266" s="5" t="inlineStr">
        <is>
          <t>122</t>
        </is>
      </c>
      <c r="C266" s="5" t="inlineStr">
        <is>
          <t>own label</t>
        </is>
      </c>
      <c r="D266" s="5" t="inlineStr">
        <is>
          <t>outline</t>
        </is>
      </c>
      <c r="E266" s="5" t="n">
        <v>16</v>
      </c>
      <c r="F266" s="5" t="inlineStr">
        <is>
          <t>isolated_footing</t>
        </is>
      </c>
      <c r="G266" s="5" t="inlineStr">
        <is>
          <t>label vote</t>
        </is>
      </c>
      <c r="H266" s="5" t="inlineStr">
        <is>
          <t>S10</t>
        </is>
      </c>
      <c r="I266" s="5" t="inlineStr">
        <is>
          <t>printed label</t>
        </is>
      </c>
      <c r="J266" s="5" t="inlineStr">
        <is>
          <t>S10-122122</t>
        </is>
      </c>
      <c r="K266" s="5" t="n">
        <v>450</v>
      </c>
      <c r="L266" s="5" t="n">
        <v>300</v>
      </c>
      <c r="M266" s="10">
        <f>IF(AND(ISNUMBER(K266),L266&gt;0),K266/L266,"")</f>
        <v/>
      </c>
      <c r="N266" s="5" t="n">
        <v>13.498</v>
      </c>
      <c r="O266" s="5" t="n">
        <v>0.1</v>
      </c>
      <c r="P266" s="5" t="n">
        <v>3</v>
      </c>
      <c r="Q266" s="5" t="n">
        <v>0</v>
      </c>
      <c r="R266" s="5" t="n">
        <v>0</v>
      </c>
      <c r="S266" s="5" t="n">
        <v>0</v>
      </c>
      <c r="T266" s="5" t="n">
        <v>1</v>
      </c>
      <c r="U266" s="5" t="n">
        <v>61</v>
      </c>
      <c r="V266" s="5" t="n">
        <v>0</v>
      </c>
      <c r="W266" s="5" t="n"/>
      <c r="X266" s="5" t="inlineStr"/>
      <c r="Y266" s="5" t="n">
        <v>4903.9</v>
      </c>
      <c r="Z266" s="5" t="n">
        <v>2453.7</v>
      </c>
      <c r="AA266" s="5" t="n">
        <v>5036.9</v>
      </c>
      <c r="AB266" s="5" t="n">
        <v>2542.4</v>
      </c>
      <c r="AC266" s="5" t="inlineStr">
        <is>
          <t>isolated_footing</t>
        </is>
      </c>
      <c r="AD266" s="5">
        <f>IF(AC266="","",IF(OR(AC266=F266,AND(AC266="crane_footing",F266="isolated_footing")),"yes","no"))</f>
        <v/>
      </c>
    </row>
    <row r="267">
      <c r="A267" s="5" t="n">
        <v>266</v>
      </c>
      <c r="B267" s="5" t="inlineStr">
        <is>
          <t>122</t>
        </is>
      </c>
      <c r="C267" s="5" t="inlineStr">
        <is>
          <t>own label</t>
        </is>
      </c>
      <c r="D267" s="5" t="inlineStr">
        <is>
          <t>outline</t>
        </is>
      </c>
      <c r="E267" s="5" t="n">
        <v>16</v>
      </c>
      <c r="F267" s="5" t="inlineStr">
        <is>
          <t>isolated_footing</t>
        </is>
      </c>
      <c r="G267" s="5" t="inlineStr">
        <is>
          <t>label vote</t>
        </is>
      </c>
      <c r="H267" s="5" t="inlineStr">
        <is>
          <t>S11</t>
        </is>
      </c>
      <c r="I267" s="5" t="inlineStr">
        <is>
          <t>printed label</t>
        </is>
      </c>
      <c r="J267" s="5" t="inlineStr">
        <is>
          <t>S11-122122</t>
        </is>
      </c>
      <c r="K267" s="5" t="n">
        <v>500</v>
      </c>
      <c r="L267" s="5" t="n">
        <v>400</v>
      </c>
      <c r="M267" s="10">
        <f>IF(AND(ISNUMBER(K267),L267&gt;0),K267/L267,"")</f>
        <v/>
      </c>
      <c r="N267" s="5" t="n">
        <v>20.003</v>
      </c>
      <c r="O267" s="5" t="n">
        <v>0</v>
      </c>
      <c r="P267" s="5" t="n">
        <v>1</v>
      </c>
      <c r="Q267" s="5" t="n">
        <v>0</v>
      </c>
      <c r="R267" s="5" t="n">
        <v>0</v>
      </c>
      <c r="S267" s="5" t="n">
        <v>0</v>
      </c>
      <c r="T267" s="5" t="n">
        <v>1</v>
      </c>
      <c r="U267" s="5" t="n">
        <v>50</v>
      </c>
      <c r="V267" s="5" t="n">
        <v>3</v>
      </c>
      <c r="W267" s="5" t="n"/>
      <c r="X267" s="5" t="inlineStr"/>
      <c r="Y267" s="5" t="n">
        <v>4482.2</v>
      </c>
      <c r="Z267" s="5" t="n">
        <v>2270</v>
      </c>
      <c r="AA267" s="5" t="n">
        <v>4629.9</v>
      </c>
      <c r="AB267" s="5" t="n">
        <v>2388.2</v>
      </c>
      <c r="AC267" s="5" t="inlineStr">
        <is>
          <t>isolated_footing</t>
        </is>
      </c>
      <c r="AD267" s="5">
        <f>IF(AC267="","",IF(OR(AC267=F267,AND(AC267="crane_footing",F267="isolated_footing")),"yes","no"))</f>
        <v/>
      </c>
    </row>
    <row r="268">
      <c r="A268" s="5" t="n">
        <v>267</v>
      </c>
      <c r="B268" s="5" t="inlineStr">
        <is>
          <t>122</t>
        </is>
      </c>
      <c r="C268" s="5" t="inlineStr">
        <is>
          <t>own label</t>
        </is>
      </c>
      <c r="D268" s="5" t="inlineStr">
        <is>
          <t>outline</t>
        </is>
      </c>
      <c r="E268" s="5" t="n">
        <v>16</v>
      </c>
      <c r="F268" s="5" t="inlineStr">
        <is>
          <t>isolated_footing</t>
        </is>
      </c>
      <c r="G268" s="5" t="inlineStr">
        <is>
          <t>label vote</t>
        </is>
      </c>
      <c r="H268" s="5" t="inlineStr">
        <is>
          <t>S11</t>
        </is>
      </c>
      <c r="I268" s="5" t="inlineStr">
        <is>
          <t>printed label</t>
        </is>
      </c>
      <c r="J268" s="5" t="inlineStr">
        <is>
          <t>S11-122122</t>
        </is>
      </c>
      <c r="K268" s="5" t="n">
        <v>500</v>
      </c>
      <c r="L268" s="5" t="n">
        <v>400</v>
      </c>
      <c r="M268" s="10">
        <f>IF(AND(ISNUMBER(K268),L268&gt;0),K268/L268,"")</f>
        <v/>
      </c>
      <c r="N268" s="5" t="n">
        <v>20.003</v>
      </c>
      <c r="O268" s="5" t="n">
        <v>0</v>
      </c>
      <c r="P268" s="5" t="n">
        <v>1</v>
      </c>
      <c r="Q268" s="5" t="n">
        <v>0</v>
      </c>
      <c r="R268" s="5" t="n">
        <v>0</v>
      </c>
      <c r="S268" s="5" t="n">
        <v>0</v>
      </c>
      <c r="T268" s="5" t="n">
        <v>1</v>
      </c>
      <c r="U268" s="5" t="n">
        <v>82</v>
      </c>
      <c r="V268" s="5" t="n">
        <v>6</v>
      </c>
      <c r="W268" s="5" t="n"/>
      <c r="X268" s="5" t="inlineStr"/>
      <c r="Y268" s="5" t="n">
        <v>4481.7</v>
      </c>
      <c r="Z268" s="5" t="n">
        <v>2757.2</v>
      </c>
      <c r="AA268" s="5" t="n">
        <v>4629.5</v>
      </c>
      <c r="AB268" s="5" t="n">
        <v>2875.4</v>
      </c>
      <c r="AC268" s="5" t="inlineStr">
        <is>
          <t>isolated_footing</t>
        </is>
      </c>
      <c r="AD268" s="5">
        <f>IF(AC268="","",IF(OR(AC268=F268,AND(AC268="crane_footing",F268="isolated_footing")),"yes","no"))</f>
        <v/>
      </c>
    </row>
    <row r="269">
      <c r="A269" s="5" t="n">
        <v>268</v>
      </c>
      <c r="B269" s="5" t="inlineStr">
        <is>
          <t>122</t>
        </is>
      </c>
      <c r="C269" s="5" t="inlineStr">
        <is>
          <t>own label</t>
        </is>
      </c>
      <c r="D269" s="5" t="inlineStr">
        <is>
          <t>outline</t>
        </is>
      </c>
      <c r="E269" s="5" t="n">
        <v>17</v>
      </c>
      <c r="F269" s="5" t="inlineStr">
        <is>
          <t>isolated_footing</t>
        </is>
      </c>
      <c r="G269" s="5" t="inlineStr">
        <is>
          <t>label vote</t>
        </is>
      </c>
      <c r="H269" s="5" t="inlineStr">
        <is>
          <t>S12</t>
        </is>
      </c>
      <c r="I269" s="5" t="inlineStr">
        <is>
          <t>printed label</t>
        </is>
      </c>
      <c r="J269" s="5" t="inlineStr">
        <is>
          <t>S12-122122</t>
        </is>
      </c>
      <c r="K269" s="5" t="n">
        <v>250</v>
      </c>
      <c r="L269" s="5" t="n">
        <v>250</v>
      </c>
      <c r="M269" s="10">
        <f>IF(AND(ISNUMBER(K269),L269&gt;0),K269/L269,"")</f>
        <v/>
      </c>
      <c r="N269" s="5" t="n">
        <v>6.25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1</v>
      </c>
      <c r="U269" s="5" t="n">
        <v>2</v>
      </c>
      <c r="V269" s="5" t="n">
        <v>3</v>
      </c>
      <c r="W269" s="5" t="n"/>
      <c r="X269" s="5" t="inlineStr"/>
      <c r="Y269" s="5" t="n">
        <v>4560.1</v>
      </c>
      <c r="Z269" s="5" t="n">
        <v>2664.9</v>
      </c>
      <c r="AA269" s="5" t="n">
        <v>4633.9</v>
      </c>
      <c r="AB269" s="5" t="n">
        <v>2738.7</v>
      </c>
      <c r="AC269" s="5" t="inlineStr">
        <is>
          <t>isolated_footing</t>
        </is>
      </c>
      <c r="AD269" s="5">
        <f>IF(AC269="","",IF(OR(AC269=F269,AND(AC269="crane_footing",F269="isolated_footing")),"yes","no"))</f>
        <v/>
      </c>
    </row>
    <row r="270">
      <c r="A270" s="5" t="n">
        <v>269</v>
      </c>
      <c r="B270" s="5" t="inlineStr">
        <is>
          <t>122</t>
        </is>
      </c>
      <c r="C270" s="5" t="inlineStr">
        <is>
          <t>own label</t>
        </is>
      </c>
      <c r="D270" s="5" t="inlineStr">
        <is>
          <t>outline</t>
        </is>
      </c>
      <c r="E270" s="5" t="n">
        <v>17</v>
      </c>
      <c r="F270" s="5" t="inlineStr">
        <is>
          <t>isolated_footing</t>
        </is>
      </c>
      <c r="G270" s="5" t="inlineStr">
        <is>
          <t>label vote</t>
        </is>
      </c>
      <c r="H270" s="5" t="inlineStr">
        <is>
          <t>S12</t>
        </is>
      </c>
      <c r="I270" s="5" t="inlineStr">
        <is>
          <t>printed label</t>
        </is>
      </c>
      <c r="J270" s="5" t="inlineStr">
        <is>
          <t>S12-122122</t>
        </is>
      </c>
      <c r="K270" s="5" t="n">
        <v>250</v>
      </c>
      <c r="L270" s="5" t="n">
        <v>250</v>
      </c>
      <c r="M270" s="10">
        <f>IF(AND(ISNUMBER(K270),L270&gt;0),K270/L270,"")</f>
        <v/>
      </c>
      <c r="N270" s="5" t="n">
        <v>6.25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1</v>
      </c>
      <c r="U270" s="5" t="n">
        <v>5</v>
      </c>
      <c r="V270" s="5" t="n">
        <v>5</v>
      </c>
      <c r="W270" s="5" t="n"/>
      <c r="X270" s="5" t="inlineStr"/>
      <c r="Y270" s="5" t="n">
        <v>4269.1</v>
      </c>
      <c r="Z270" s="5" t="n">
        <v>2850.5</v>
      </c>
      <c r="AA270" s="5" t="n">
        <v>4342.9</v>
      </c>
      <c r="AB270" s="5" t="n">
        <v>2924.4</v>
      </c>
      <c r="AC270" s="5" t="inlineStr">
        <is>
          <t>isolated_footing</t>
        </is>
      </c>
      <c r="AD270" s="5">
        <f>IF(AC270="","",IF(OR(AC270=F270,AND(AC270="crane_footing",F270="isolated_footing")),"yes","no"))</f>
        <v/>
      </c>
    </row>
    <row r="271">
      <c r="A271" s="5" t="n">
        <v>270</v>
      </c>
      <c r="B271" s="5" t="inlineStr">
        <is>
          <t>122</t>
        </is>
      </c>
      <c r="C271" s="5" t="inlineStr">
        <is>
          <t>own label</t>
        </is>
      </c>
      <c r="D271" s="5" t="inlineStr">
        <is>
          <t>outline</t>
        </is>
      </c>
      <c r="E271" s="5" t="n">
        <v>17</v>
      </c>
      <c r="F271" s="5" t="inlineStr">
        <is>
          <t>isolated_footing</t>
        </is>
      </c>
      <c r="G271" s="5" t="inlineStr">
        <is>
          <t>label vote</t>
        </is>
      </c>
      <c r="H271" s="5" t="inlineStr">
        <is>
          <t>S2</t>
        </is>
      </c>
      <c r="I271" s="5" t="inlineStr">
        <is>
          <t>printed label</t>
        </is>
      </c>
      <c r="J271" s="5" t="inlineStr">
        <is>
          <t>S2-122122</t>
        </is>
      </c>
      <c r="K271" s="5" t="n">
        <v>350</v>
      </c>
      <c r="L271" s="5" t="n">
        <v>200</v>
      </c>
      <c r="M271" s="10">
        <f>IF(AND(ISNUMBER(K271),L271&gt;0),K271/L271,"")</f>
        <v/>
      </c>
      <c r="N271" s="5" t="n">
        <v>7.004</v>
      </c>
      <c r="O271" s="5" t="n">
        <v>79.3</v>
      </c>
      <c r="P271" s="5" t="n">
        <v>3</v>
      </c>
      <c r="Q271" s="5" t="n">
        <v>0</v>
      </c>
      <c r="R271" s="5" t="n">
        <v>0</v>
      </c>
      <c r="S271" s="5" t="n">
        <v>0</v>
      </c>
      <c r="T271" s="5" t="n">
        <v>1</v>
      </c>
      <c r="U271" s="5" t="n">
        <v>6</v>
      </c>
      <c r="V271" s="5" t="n">
        <v>3</v>
      </c>
      <c r="W271" s="5" t="n"/>
      <c r="X271" s="5" t="inlineStr"/>
      <c r="Y271" s="5" t="n">
        <v>4150.1</v>
      </c>
      <c r="Z271" s="5" t="n">
        <v>2689.5</v>
      </c>
      <c r="AA271" s="5" t="n">
        <v>4227.3</v>
      </c>
      <c r="AB271" s="5" t="n">
        <v>2802</v>
      </c>
      <c r="AC271" s="5" t="inlineStr">
        <is>
          <t>isolated_footing</t>
        </is>
      </c>
      <c r="AD271" s="5">
        <f>IF(AC271="","",IF(OR(AC271=F271,AND(AC271="crane_footing",F271="isolated_footing")),"yes","no"))</f>
        <v/>
      </c>
    </row>
    <row r="272">
      <c r="A272" s="5" t="n">
        <v>271</v>
      </c>
      <c r="B272" s="5" t="inlineStr">
        <is>
          <t>122</t>
        </is>
      </c>
      <c r="C272" s="5" t="inlineStr">
        <is>
          <t>own label</t>
        </is>
      </c>
      <c r="D272" s="5" t="inlineStr">
        <is>
          <t>outline</t>
        </is>
      </c>
      <c r="E272" s="5" t="n">
        <v>17</v>
      </c>
      <c r="F272" s="5" t="inlineStr">
        <is>
          <t>isolated_footing</t>
        </is>
      </c>
      <c r="G272" s="5" t="inlineStr">
        <is>
          <t>label vote</t>
        </is>
      </c>
      <c r="H272" s="5" t="inlineStr">
        <is>
          <t>S2</t>
        </is>
      </c>
      <c r="I272" s="5" t="inlineStr">
        <is>
          <t>printed label</t>
        </is>
      </c>
      <c r="J272" s="5" t="inlineStr">
        <is>
          <t>S2-122122</t>
        </is>
      </c>
      <c r="K272" s="5" t="n">
        <v>350</v>
      </c>
      <c r="L272" s="5" t="n">
        <v>200</v>
      </c>
      <c r="M272" s="10">
        <f>IF(AND(ISNUMBER(K272),L272&gt;0),K272/L272,"")</f>
        <v/>
      </c>
      <c r="N272" s="5" t="n">
        <v>7.001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1</v>
      </c>
      <c r="U272" s="5" t="n">
        <v>51</v>
      </c>
      <c r="V272" s="5" t="n">
        <v>3</v>
      </c>
      <c r="W272" s="5" t="n"/>
      <c r="X272" s="5" t="inlineStr"/>
      <c r="Y272" s="5" t="n">
        <v>4270.1</v>
      </c>
      <c r="Z272" s="5" t="n">
        <v>2460.5</v>
      </c>
      <c r="AA272" s="5" t="n">
        <v>4373.5</v>
      </c>
      <c r="AB272" s="5" t="n">
        <v>2519.7</v>
      </c>
      <c r="AC272" s="5" t="inlineStr">
        <is>
          <t>isolated_footing</t>
        </is>
      </c>
      <c r="AD272" s="5">
        <f>IF(AC272="","",IF(OR(AC272=F272,AND(AC272="crane_footing",F272="isolated_footing")),"yes","no"))</f>
        <v/>
      </c>
    </row>
    <row r="273">
      <c r="A273" s="5" t="n">
        <v>272</v>
      </c>
      <c r="B273" s="5" t="inlineStr">
        <is>
          <t>122</t>
        </is>
      </c>
      <c r="C273" s="5" t="inlineStr">
        <is>
          <t>own label</t>
        </is>
      </c>
      <c r="D273" s="5" t="inlineStr">
        <is>
          <t>outline</t>
        </is>
      </c>
      <c r="E273" s="5" t="n">
        <v>17</v>
      </c>
      <c r="F273" s="5" t="inlineStr">
        <is>
          <t>isolated_footing</t>
        </is>
      </c>
      <c r="G273" s="5" t="inlineStr">
        <is>
          <t>label vote</t>
        </is>
      </c>
      <c r="H273" s="5" t="inlineStr">
        <is>
          <t>S2</t>
        </is>
      </c>
      <c r="I273" s="5" t="inlineStr">
        <is>
          <t>printed label</t>
        </is>
      </c>
      <c r="J273" s="5" t="inlineStr">
        <is>
          <t>S2-122122</t>
        </is>
      </c>
      <c r="K273" s="5" t="n">
        <v>350</v>
      </c>
      <c r="L273" s="5" t="n">
        <v>200</v>
      </c>
      <c r="M273" s="10">
        <f>IF(AND(ISNUMBER(K273),L273&gt;0),K273/L273,"")</f>
        <v/>
      </c>
      <c r="N273" s="5" t="n">
        <v>7.001</v>
      </c>
      <c r="O273" s="5" t="n">
        <v>0</v>
      </c>
      <c r="P273" s="5" t="n">
        <v>1</v>
      </c>
      <c r="Q273" s="5" t="n">
        <v>0</v>
      </c>
      <c r="R273" s="5" t="n">
        <v>0</v>
      </c>
      <c r="S273" s="5" t="n">
        <v>0</v>
      </c>
      <c r="T273" s="5" t="n">
        <v>1</v>
      </c>
      <c r="U273" s="5" t="n">
        <v>35</v>
      </c>
      <c r="V273" s="5" t="n">
        <v>5</v>
      </c>
      <c r="W273" s="5" t="n"/>
      <c r="X273" s="5" t="inlineStr"/>
      <c r="Y273" s="5" t="n">
        <v>4269.9</v>
      </c>
      <c r="Z273" s="5" t="n">
        <v>2690.4</v>
      </c>
      <c r="AA273" s="5" t="n">
        <v>4373.3</v>
      </c>
      <c r="AB273" s="5" t="n">
        <v>2749.5</v>
      </c>
      <c r="AC273" s="5" t="inlineStr">
        <is>
          <t>isolated_footing</t>
        </is>
      </c>
      <c r="AD273" s="5">
        <f>IF(AC273="","",IF(OR(AC273=F273,AND(AC273="crane_footing",F273="isolated_footing")),"yes","no"))</f>
        <v/>
      </c>
    </row>
    <row r="274">
      <c r="A274" s="5" t="n">
        <v>273</v>
      </c>
      <c r="B274" s="5" t="inlineStr">
        <is>
          <t>122</t>
        </is>
      </c>
      <c r="C274" s="5" t="inlineStr">
        <is>
          <t>own label</t>
        </is>
      </c>
      <c r="D274" s="5" t="inlineStr">
        <is>
          <t>outline</t>
        </is>
      </c>
      <c r="E274" s="5" t="n">
        <v>17</v>
      </c>
      <c r="F274" s="5" t="inlineStr">
        <is>
          <t>isolated_footing</t>
        </is>
      </c>
      <c r="G274" s="5" t="inlineStr">
        <is>
          <t>label vote</t>
        </is>
      </c>
      <c r="H274" s="5" t="inlineStr">
        <is>
          <t>S2</t>
        </is>
      </c>
      <c r="I274" s="5" t="inlineStr">
        <is>
          <t>printed label</t>
        </is>
      </c>
      <c r="J274" s="5" t="inlineStr">
        <is>
          <t>S2-122122</t>
        </is>
      </c>
      <c r="K274" s="5" t="n">
        <v>350</v>
      </c>
      <c r="L274" s="5" t="n">
        <v>200</v>
      </c>
      <c r="M274" s="10">
        <f>IF(AND(ISNUMBER(K274),L274&gt;0),K274/L274,"")</f>
        <v/>
      </c>
      <c r="N274" s="5" t="n">
        <v>7.001</v>
      </c>
      <c r="O274" s="5" t="n">
        <v>0</v>
      </c>
      <c r="P274" s="5" t="n">
        <v>1</v>
      </c>
      <c r="Q274" s="5" t="n">
        <v>0</v>
      </c>
      <c r="R274" s="5" t="n">
        <v>0</v>
      </c>
      <c r="S274" s="5" t="n">
        <v>0</v>
      </c>
      <c r="T274" s="5" t="n">
        <v>1</v>
      </c>
      <c r="U274" s="5" t="n">
        <v>50</v>
      </c>
      <c r="V274" s="5" t="n">
        <v>3</v>
      </c>
      <c r="W274" s="5" t="n"/>
      <c r="X274" s="5" t="inlineStr"/>
      <c r="Y274" s="5" t="n">
        <v>4270.4</v>
      </c>
      <c r="Z274" s="5" t="n">
        <v>2230.2</v>
      </c>
      <c r="AA274" s="5" t="n">
        <v>4373.7</v>
      </c>
      <c r="AB274" s="5" t="n">
        <v>2289.4</v>
      </c>
      <c r="AC274" s="5" t="inlineStr">
        <is>
          <t>isolated_footing</t>
        </is>
      </c>
      <c r="AD274" s="5">
        <f>IF(AC274="","",IF(OR(AC274=F274,AND(AC274="crane_footing",F274="isolated_footing")),"yes","no"))</f>
        <v/>
      </c>
    </row>
    <row r="275">
      <c r="A275" s="5" t="n">
        <v>274</v>
      </c>
      <c r="B275" s="5" t="inlineStr">
        <is>
          <t>122</t>
        </is>
      </c>
      <c r="C275" s="5" t="inlineStr">
        <is>
          <t>nearest labels in its region</t>
        </is>
      </c>
      <c r="D275" s="5" t="inlineStr">
        <is>
          <t>outline</t>
        </is>
      </c>
      <c r="E275" s="5" t="n">
        <v>15</v>
      </c>
      <c r="F275" s="5" t="inlineStr">
        <is>
          <t>combined_footing</t>
        </is>
      </c>
      <c r="G275" s="5" t="inlineStr">
        <is>
          <t>label vote</t>
        </is>
      </c>
      <c r="H275" s="5" t="inlineStr">
        <is>
          <t>SC1</t>
        </is>
      </c>
      <c r="I275" s="5" t="inlineStr">
        <is>
          <t>printed label</t>
        </is>
      </c>
      <c r="J275" s="5" t="inlineStr">
        <is>
          <t>SC1-</t>
        </is>
      </c>
      <c r="K275" s="5" t="n">
        <v>500</v>
      </c>
      <c r="L275" s="5" t="n">
        <v>350</v>
      </c>
      <c r="M275" s="10">
        <f>IF(AND(ISNUMBER(K275),L275&gt;0),K275/L275,"")</f>
        <v/>
      </c>
      <c r="N275" s="5" t="n">
        <v>17.5</v>
      </c>
      <c r="O275" s="5" t="n">
        <v>0</v>
      </c>
      <c r="P275" s="5" t="n">
        <v>6</v>
      </c>
      <c r="Q275" s="5" t="n">
        <v>0</v>
      </c>
      <c r="R275" s="5" t="n">
        <v>0</v>
      </c>
      <c r="S275" s="5" t="n">
        <v>0</v>
      </c>
      <c r="T275" s="5" t="n">
        <v>2</v>
      </c>
      <c r="U275" s="5" t="n">
        <v>274</v>
      </c>
      <c r="V275" s="5" t="n">
        <v>19</v>
      </c>
      <c r="W275" s="5" t="n"/>
      <c r="X275" s="5" t="inlineStr"/>
      <c r="Y275" s="5" t="n">
        <v>4695.5</v>
      </c>
      <c r="Z275" s="5" t="n">
        <v>2083.5</v>
      </c>
      <c r="AA275" s="5" t="n">
        <v>4843.2</v>
      </c>
      <c r="AB275" s="5" t="n">
        <v>2186.9</v>
      </c>
      <c r="AC275" s="5" t="inlineStr">
        <is>
          <t>combined_footing</t>
        </is>
      </c>
      <c r="AD275" s="5">
        <f>IF(AC275="","",IF(OR(AC275=F275,AND(AC275="crane_footing",F275="isolated_footing")),"yes","no"))</f>
        <v/>
      </c>
    </row>
    <row r="276">
      <c r="A276" s="5" t="n">
        <v>275</v>
      </c>
      <c r="B276" s="5" t="inlineStr">
        <is>
          <t>122</t>
        </is>
      </c>
      <c r="C276" s="5" t="inlineStr">
        <is>
          <t>region between joints</t>
        </is>
      </c>
      <c r="D276" s="5" t="inlineStr">
        <is>
          <t>outline</t>
        </is>
      </c>
      <c r="E276" s="5" t="n">
        <v>23</v>
      </c>
      <c r="F276" s="5" t="inlineStr">
        <is>
          <t>combined_footing</t>
        </is>
      </c>
      <c r="G276" s="5" t="inlineStr">
        <is>
          <t>similar to cluster 15 (distance 0.87)</t>
        </is>
      </c>
      <c r="H276" s="5" t="inlineStr">
        <is>
          <t>SC2</t>
        </is>
      </c>
      <c r="I276" s="5" t="inlineStr">
        <is>
          <t>printed label</t>
        </is>
      </c>
      <c r="J276" s="5" t="inlineStr">
        <is>
          <t>SC2-</t>
        </is>
      </c>
      <c r="K276" s="5" t="n">
        <v>350</v>
      </c>
      <c r="L276" s="5" t="n">
        <v>200</v>
      </c>
      <c r="M276" s="10">
        <f>IF(AND(ISNUMBER(K276),L276&gt;0),K276/L276,"")</f>
        <v/>
      </c>
      <c r="N276" s="5" t="n">
        <v>7</v>
      </c>
      <c r="O276" s="5" t="n">
        <v>79.3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2</v>
      </c>
      <c r="U276" s="5" t="n">
        <v>24</v>
      </c>
      <c r="V276" s="5" t="n">
        <v>4</v>
      </c>
      <c r="W276" s="5" t="n"/>
      <c r="X276" s="5" t="inlineStr"/>
      <c r="Y276" s="5" t="n">
        <v>4170.1</v>
      </c>
      <c r="Z276" s="5" t="n">
        <v>2835.2</v>
      </c>
      <c r="AA276" s="5" t="n">
        <v>4247.2</v>
      </c>
      <c r="AB276" s="5" t="n">
        <v>2947.7</v>
      </c>
      <c r="AC276" s="5" t="inlineStr">
        <is>
          <t>combined_footing</t>
        </is>
      </c>
      <c r="AD276" s="5">
        <f>IF(AC276="","",IF(OR(AC276=F276,AND(AC276="crane_footing",F276="isolated_footing")),"yes","no"))</f>
        <v/>
      </c>
    </row>
    <row r="277">
      <c r="A277" s="5" t="n">
        <v>276</v>
      </c>
      <c r="B277" s="5" t="inlineStr">
        <is>
          <t>122</t>
        </is>
      </c>
      <c r="C277" s="5" t="inlineStr">
        <is>
          <t>nearest labels in its region</t>
        </is>
      </c>
      <c r="D277" s="5" t="inlineStr">
        <is>
          <t>outline</t>
        </is>
      </c>
      <c r="E277" s="5" t="n">
        <v>15</v>
      </c>
      <c r="F277" s="5" t="inlineStr">
        <is>
          <t>combined_footing</t>
        </is>
      </c>
      <c r="G277" s="5" t="inlineStr">
        <is>
          <t>label vote</t>
        </is>
      </c>
      <c r="H277" s="5" t="inlineStr">
        <is>
          <t>SC3</t>
        </is>
      </c>
      <c r="I277" s="5" t="inlineStr">
        <is>
          <t>printed label</t>
        </is>
      </c>
      <c r="J277" s="5" t="inlineStr">
        <is>
          <t>SC3-</t>
        </is>
      </c>
      <c r="K277" s="5" t="n">
        <v>500</v>
      </c>
      <c r="L277" s="5" t="n">
        <v>450</v>
      </c>
      <c r="M277" s="10">
        <f>IF(AND(ISNUMBER(K277),L277&gt;0),K277/L277,"")</f>
        <v/>
      </c>
      <c r="N277" s="5" t="n">
        <v>22.501</v>
      </c>
      <c r="O277" s="5" t="n">
        <v>179.9</v>
      </c>
      <c r="P277" s="5" t="n">
        <v>4</v>
      </c>
      <c r="Q277" s="5" t="n">
        <v>0</v>
      </c>
      <c r="R277" s="5" t="n">
        <v>0</v>
      </c>
      <c r="S277" s="5" t="n">
        <v>0</v>
      </c>
      <c r="T277" s="5" t="n">
        <v>2</v>
      </c>
      <c r="U277" s="5" t="n">
        <v>124</v>
      </c>
      <c r="V277" s="5" t="n">
        <v>41</v>
      </c>
      <c r="W277" s="5" t="n"/>
      <c r="X277" s="5" t="inlineStr"/>
      <c r="Y277" s="5" t="n">
        <v>4462.6</v>
      </c>
      <c r="Z277" s="5" t="n">
        <v>2069.9</v>
      </c>
      <c r="AA277" s="5" t="n">
        <v>4610.4</v>
      </c>
      <c r="AB277" s="5" t="n">
        <v>2203</v>
      </c>
      <c r="AC277" s="5" t="inlineStr">
        <is>
          <t>combined_footing</t>
        </is>
      </c>
      <c r="AD277" s="5">
        <f>IF(AC277="","",IF(OR(AC277=F277,AND(AC277="crane_footing",F277="isolated_footing")),"yes","no"))</f>
        <v/>
      </c>
    </row>
    <row r="278">
      <c r="A278" s="5" t="n">
        <v>277</v>
      </c>
      <c r="B278" s="5" t="inlineStr">
        <is>
          <t>122</t>
        </is>
      </c>
      <c r="C278" s="5" t="inlineStr">
        <is>
          <t>nearest labels in its region</t>
        </is>
      </c>
      <c r="D278" s="5" t="inlineStr">
        <is>
          <t>band</t>
        </is>
      </c>
      <c r="E278" s="5" t="n">
        <v>6</v>
      </c>
      <c r="F278" s="5" t="inlineStr">
        <is>
          <t>strip_footing</t>
        </is>
      </c>
      <c r="G278" s="5" t="inlineStr">
        <is>
          <t>label vote</t>
        </is>
      </c>
      <c r="H278" s="5" t="inlineStr">
        <is>
          <t>(none)</t>
        </is>
      </c>
      <c r="I278" s="5" t="inlineStr"/>
      <c r="J278" s="5" t="inlineStr"/>
      <c r="K278" s="5" t="n">
        <v>306</v>
      </c>
      <c r="L278" s="5" t="n">
        <v>80</v>
      </c>
      <c r="M278" s="10">
        <f>IF(AND(ISNUMBER(K278),L278&gt;0),K278/L278,"")</f>
        <v/>
      </c>
      <c r="N278" s="5" t="n">
        <v>2.448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  <c r="U278" s="5" t="n">
        <v>3</v>
      </c>
      <c r="V278" s="5" t="n">
        <v>0</v>
      </c>
      <c r="W278" s="5" t="n">
        <v>3.06</v>
      </c>
      <c r="X278" s="5" t="inlineStr"/>
      <c r="Y278" s="5" t="n">
        <v>4813.6</v>
      </c>
      <c r="Z278" s="5" t="n">
        <v>2484.6</v>
      </c>
      <c r="AA278" s="5" t="n">
        <v>4904</v>
      </c>
      <c r="AB278" s="5" t="n">
        <v>2508.3</v>
      </c>
      <c r="AC278" s="5" t="inlineStr"/>
      <c r="AD278" s="5">
        <f>IF(AC278="","",IF(OR(AC278=F278,AND(AC278="crane_footing",F278="isolated_footing")),"yes","no"))</f>
        <v/>
      </c>
    </row>
    <row r="279">
      <c r="A279" s="5" t="n">
        <v>278</v>
      </c>
      <c r="B279" s="5" t="inlineStr">
        <is>
          <t>122</t>
        </is>
      </c>
      <c r="C279" s="5" t="inlineStr">
        <is>
          <t>nearest labels in its region</t>
        </is>
      </c>
      <c r="D279" s="5" t="inlineStr">
        <is>
          <t>band</t>
        </is>
      </c>
      <c r="E279" s="5" t="n">
        <v>6</v>
      </c>
      <c r="F279" s="5" t="inlineStr">
        <is>
          <t>strip_footing</t>
        </is>
      </c>
      <c r="G279" s="5" t="inlineStr">
        <is>
          <t>label vote</t>
        </is>
      </c>
      <c r="H279" s="5" t="inlineStr">
        <is>
          <t>(none)</t>
        </is>
      </c>
      <c r="I279" s="5" t="inlineStr"/>
      <c r="J279" s="5" t="inlineStr"/>
      <c r="K279" s="5" t="n">
        <v>130</v>
      </c>
      <c r="L279" s="5" t="n">
        <v>80</v>
      </c>
      <c r="M279" s="10">
        <f>IF(AND(ISNUMBER(K279),L279&gt;0),K279/L279,"")</f>
        <v/>
      </c>
      <c r="N279" s="5" t="n">
        <v>1.04</v>
      </c>
      <c r="O279" s="5" t="n">
        <v>90</v>
      </c>
      <c r="P279" s="5" t="n">
        <v>1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4</v>
      </c>
      <c r="W279" s="5" t="n">
        <v>1.3</v>
      </c>
      <c r="X279" s="5" t="inlineStr"/>
      <c r="Y279" s="5" t="n">
        <v>4758.5</v>
      </c>
      <c r="Z279" s="5" t="n">
        <v>2186.9</v>
      </c>
      <c r="AA279" s="5" t="n">
        <v>4782.1</v>
      </c>
      <c r="AB279" s="5" t="n">
        <v>2225.3</v>
      </c>
      <c r="AC279" s="5" t="inlineStr"/>
      <c r="AD279" s="5">
        <f>IF(AC279="","",IF(OR(AC279=F279,AND(AC279="crane_footing",F279="isolated_footing")),"yes","no"))</f>
        <v/>
      </c>
    </row>
    <row r="280">
      <c r="A280" s="5" t="n">
        <v>279</v>
      </c>
      <c r="B280" s="5" t="inlineStr">
        <is>
          <t>122</t>
        </is>
      </c>
      <c r="C280" s="5" t="inlineStr">
        <is>
          <t>region between joints</t>
        </is>
      </c>
      <c r="D280" s="5" t="inlineStr">
        <is>
          <t>band</t>
        </is>
      </c>
      <c r="E280" s="5" t="n">
        <v>6</v>
      </c>
      <c r="F280" s="5" t="inlineStr">
        <is>
          <t>strip_footing</t>
        </is>
      </c>
      <c r="G280" s="5" t="inlineStr">
        <is>
          <t>label vote</t>
        </is>
      </c>
      <c r="H280" s="5" t="inlineStr">
        <is>
          <t>SF1</t>
        </is>
      </c>
      <c r="I280" s="5" t="inlineStr">
        <is>
          <t>printed label</t>
        </is>
      </c>
      <c r="J280" s="5" t="inlineStr">
        <is>
          <t>VP20/SF1- 80x25</t>
        </is>
      </c>
      <c r="K280" s="5" t="n">
        <v>3705</v>
      </c>
      <c r="L280" s="5" t="n">
        <v>80</v>
      </c>
      <c r="M280" s="10">
        <f>IF(AND(ISNUMBER(K280),L280&gt;0),K280/L280,"")</f>
        <v/>
      </c>
      <c r="N280" s="5" t="n">
        <v>29.636</v>
      </c>
      <c r="O280" s="5" t="n">
        <v>169.4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2</v>
      </c>
      <c r="U280" s="5" t="n">
        <v>51</v>
      </c>
      <c r="V280" s="5" t="n">
        <v>9</v>
      </c>
      <c r="W280" s="5" t="n">
        <v>37.05</v>
      </c>
      <c r="X280" s="5" t="inlineStr"/>
      <c r="Y280" s="5" t="n">
        <v>3074.1</v>
      </c>
      <c r="Z280" s="5" t="n">
        <v>2728.4</v>
      </c>
      <c r="AA280" s="5" t="n">
        <v>4153.5</v>
      </c>
      <c r="AB280" s="5" t="n">
        <v>2952.8</v>
      </c>
      <c r="AC280" s="5" t="inlineStr"/>
      <c r="AD280" s="5">
        <f>IF(AC280="","",IF(OR(AC280=F280,AND(AC280="crane_footing",F280="isolated_footing")),"yes","no"))</f>
        <v/>
      </c>
    </row>
    <row r="281">
      <c r="A281" s="5" t="n">
        <v>280</v>
      </c>
      <c r="B281" s="5" t="inlineStr">
        <is>
          <t>122</t>
        </is>
      </c>
      <c r="C281" s="5" t="inlineStr">
        <is>
          <t>nearest labels in its region</t>
        </is>
      </c>
      <c r="D281" s="5" t="inlineStr">
        <is>
          <t>band</t>
        </is>
      </c>
      <c r="E281" s="5" t="n">
        <v>6</v>
      </c>
      <c r="F281" s="5" t="inlineStr">
        <is>
          <t>strip_footing</t>
        </is>
      </c>
      <c r="G281" s="5" t="inlineStr">
        <is>
          <t>label vote</t>
        </is>
      </c>
      <c r="H281" s="5" t="inlineStr">
        <is>
          <t>SF1</t>
        </is>
      </c>
      <c r="I281" s="5" t="inlineStr">
        <is>
          <t>printed label</t>
        </is>
      </c>
      <c r="J281" s="5" t="inlineStr">
        <is>
          <t>SF1 80x25</t>
        </is>
      </c>
      <c r="K281" s="5" t="n">
        <v>751</v>
      </c>
      <c r="L281" s="5" t="n">
        <v>80</v>
      </c>
      <c r="M281" s="10">
        <f>IF(AND(ISNUMBER(K281),L281&gt;0),K281/L281,"")</f>
        <v/>
      </c>
      <c r="N281" s="5" t="n">
        <v>6.005</v>
      </c>
      <c r="O281" s="5" t="n">
        <v>179.9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1</v>
      </c>
      <c r="U281" s="5" t="n">
        <v>4</v>
      </c>
      <c r="V281" s="5" t="n">
        <v>20</v>
      </c>
      <c r="W281" s="5" t="n">
        <v>7.51</v>
      </c>
      <c r="X281" s="5" t="inlineStr"/>
      <c r="Y281" s="5" t="n">
        <v>4502.9</v>
      </c>
      <c r="Z281" s="5" t="n">
        <v>2225.4</v>
      </c>
      <c r="AA281" s="5" t="n">
        <v>4724.6</v>
      </c>
      <c r="AB281" s="5" t="n">
        <v>2249.5</v>
      </c>
      <c r="AC281" s="5" t="inlineStr"/>
      <c r="AD281" s="5">
        <f>IF(AC281="","",IF(OR(AC281=F281,AND(AC281="crane_footing",F281="isolated_footing")),"yes","no"))</f>
        <v/>
      </c>
    </row>
    <row r="282">
      <c r="A282" s="5" t="n">
        <v>281</v>
      </c>
      <c r="B282" s="5" t="inlineStr">
        <is>
          <t>122</t>
        </is>
      </c>
      <c r="C282" s="5" t="inlineStr">
        <is>
          <t>nearest labels in its region</t>
        </is>
      </c>
      <c r="D282" s="5" t="inlineStr">
        <is>
          <t>band</t>
        </is>
      </c>
      <c r="E282" s="5" t="n">
        <v>6</v>
      </c>
      <c r="F282" s="5" t="inlineStr">
        <is>
          <t>strip_footing</t>
        </is>
      </c>
      <c r="G282" s="5" t="inlineStr">
        <is>
          <t>label vote</t>
        </is>
      </c>
      <c r="H282" s="5" t="inlineStr">
        <is>
          <t>SF1</t>
        </is>
      </c>
      <c r="I282" s="5" t="inlineStr">
        <is>
          <t>printed label</t>
        </is>
      </c>
      <c r="J282" s="5" t="inlineStr">
        <is>
          <t>VP20/SF1 80x25</t>
        </is>
      </c>
      <c r="K282" s="5" t="n">
        <v>370</v>
      </c>
      <c r="L282" s="5" t="n">
        <v>80</v>
      </c>
      <c r="M282" s="10">
        <f>IF(AND(ISNUMBER(K282),L282&gt;0),K282/L282,"")</f>
        <v/>
      </c>
      <c r="N282" s="5" t="n">
        <v>2.96</v>
      </c>
      <c r="O282" s="5" t="n">
        <v>90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  <c r="U282" s="5" t="n">
        <v>2</v>
      </c>
      <c r="V282" s="5" t="n">
        <v>0</v>
      </c>
      <c r="W282" s="5" t="n">
        <v>3.7</v>
      </c>
      <c r="X282" s="5" t="inlineStr"/>
      <c r="Y282" s="5" t="n">
        <v>4758.4</v>
      </c>
      <c r="Z282" s="5" t="n">
        <v>2364.2</v>
      </c>
      <c r="AA282" s="5" t="n">
        <v>4782.1</v>
      </c>
      <c r="AB282" s="5" t="n">
        <v>2473.4</v>
      </c>
      <c r="AC282" s="5" t="inlineStr"/>
      <c r="AD282" s="5">
        <f>IF(AC282="","",IF(OR(AC282=F282,AND(AC282="crane_footing",F282="isolated_footing")),"yes","no"))</f>
        <v/>
      </c>
    </row>
    <row r="283">
      <c r="A283" s="5" t="n">
        <v>282</v>
      </c>
      <c r="B283" s="5" t="inlineStr">
        <is>
          <t>122</t>
        </is>
      </c>
      <c r="C283" s="5" t="inlineStr">
        <is>
          <t>region between joints</t>
        </is>
      </c>
      <c r="D283" s="5" t="inlineStr">
        <is>
          <t>band</t>
        </is>
      </c>
      <c r="E283" s="5" t="n">
        <v>6</v>
      </c>
      <c r="F283" s="5" t="inlineStr">
        <is>
          <t>strip_footing</t>
        </is>
      </c>
      <c r="G283" s="5" t="inlineStr">
        <is>
          <t>label vote</t>
        </is>
      </c>
      <c r="H283" s="5" t="inlineStr">
        <is>
          <t>SF1</t>
        </is>
      </c>
      <c r="I283" s="5" t="inlineStr">
        <is>
          <t>printed label</t>
        </is>
      </c>
      <c r="J283" s="5" t="inlineStr">
        <is>
          <t>VP25/SF1 80x25</t>
        </is>
      </c>
      <c r="K283" s="5" t="n">
        <v>344</v>
      </c>
      <c r="L283" s="5" t="n">
        <v>80</v>
      </c>
      <c r="M283" s="10">
        <f>IF(AND(ISNUMBER(K283),L283&gt;0),K283/L283,"")</f>
        <v/>
      </c>
      <c r="N283" s="5" t="n">
        <v>2.75</v>
      </c>
      <c r="O283" s="5" t="n">
        <v>90</v>
      </c>
      <c r="P283" s="5" t="n">
        <v>1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3</v>
      </c>
      <c r="V283" s="5" t="n">
        <v>0</v>
      </c>
      <c r="W283" s="5" t="n">
        <v>3.44</v>
      </c>
      <c r="X283" s="5" t="inlineStr"/>
      <c r="Y283" s="5" t="n">
        <v>5005.4</v>
      </c>
      <c r="Z283" s="5" t="n">
        <v>2787.7</v>
      </c>
      <c r="AA283" s="5" t="n">
        <v>5029.1</v>
      </c>
      <c r="AB283" s="5" t="n">
        <v>2889.2</v>
      </c>
      <c r="AC283" s="5" t="inlineStr"/>
      <c r="AD283" s="5">
        <f>IF(AC283="","",IF(OR(AC283=F283,AND(AC283="crane_footing",F283="isolated_footing")),"yes","no"))</f>
        <v/>
      </c>
    </row>
    <row r="284">
      <c r="A284" s="5" t="n">
        <v>283</v>
      </c>
      <c r="B284" s="5" t="inlineStr">
        <is>
          <t>122</t>
        </is>
      </c>
      <c r="C284" s="5" t="inlineStr">
        <is>
          <t>region between joints</t>
        </is>
      </c>
      <c r="D284" s="5" t="inlineStr">
        <is>
          <t>band</t>
        </is>
      </c>
      <c r="E284" s="5" t="n">
        <v>6</v>
      </c>
      <c r="F284" s="5" t="inlineStr">
        <is>
          <t>strip_footing</t>
        </is>
      </c>
      <c r="G284" s="5" t="inlineStr">
        <is>
          <t>label vote</t>
        </is>
      </c>
      <c r="H284" s="5" t="inlineStr">
        <is>
          <t>SF1</t>
        </is>
      </c>
      <c r="I284" s="5" t="inlineStr">
        <is>
          <t>printed label</t>
        </is>
      </c>
      <c r="J284" s="5" t="inlineStr">
        <is>
          <t>VP25/SF1 80x25</t>
        </is>
      </c>
      <c r="K284" s="5" t="n">
        <v>231</v>
      </c>
      <c r="L284" s="5" t="n">
        <v>80</v>
      </c>
      <c r="M284" s="10">
        <f>IF(AND(ISNUMBER(K284),L284&gt;0),K284/L284,"")</f>
        <v/>
      </c>
      <c r="N284" s="5" t="n">
        <v>1.846</v>
      </c>
      <c r="O284" s="5" t="n">
        <v>90.09999999999999</v>
      </c>
      <c r="P284" s="5" t="n">
        <v>1</v>
      </c>
      <c r="Q284" s="5" t="n">
        <v>0</v>
      </c>
      <c r="R284" s="5" t="n">
        <v>0</v>
      </c>
      <c r="S284" s="5" t="n">
        <v>0</v>
      </c>
      <c r="T284" s="5" t="n">
        <v>0</v>
      </c>
      <c r="U284" s="5" t="n">
        <v>2</v>
      </c>
      <c r="V284" s="5" t="n">
        <v>0</v>
      </c>
      <c r="W284" s="5" t="n">
        <v>2.31</v>
      </c>
      <c r="X284" s="5" t="inlineStr"/>
      <c r="Y284" s="5" t="n">
        <v>5005.6</v>
      </c>
      <c r="Z284" s="5" t="n">
        <v>2542.4</v>
      </c>
      <c r="AA284" s="5" t="n">
        <v>5029.2</v>
      </c>
      <c r="AB284" s="5" t="n">
        <v>2610.5</v>
      </c>
      <c r="AC284" s="5" t="inlineStr"/>
      <c r="AD284" s="5">
        <f>IF(AC284="","",IF(OR(AC284=F284,AND(AC284="crane_footing",F284="isolated_footing")),"yes","no"))</f>
        <v/>
      </c>
    </row>
    <row r="285">
      <c r="A285" s="5" t="n">
        <v>284</v>
      </c>
      <c r="B285" s="5" t="inlineStr">
        <is>
          <t>122</t>
        </is>
      </c>
      <c r="C285" s="5" t="inlineStr">
        <is>
          <t>region between joints</t>
        </is>
      </c>
      <c r="D285" s="5" t="inlineStr">
        <is>
          <t>band</t>
        </is>
      </c>
      <c r="E285" s="5" t="n">
        <v>4</v>
      </c>
      <c r="F285" s="5" t="inlineStr">
        <is>
          <t>grade_beam</t>
        </is>
      </c>
      <c r="G285" s="5" t="inlineStr">
        <is>
          <t>label vote</t>
        </is>
      </c>
      <c r="H285" s="5" t="inlineStr">
        <is>
          <t>LG40x15</t>
        </is>
      </c>
      <c r="I285" s="5" t="inlineStr">
        <is>
          <t>printed label</t>
        </is>
      </c>
      <c r="J285" s="5" t="inlineStr">
        <is>
          <t>LG-40x15</t>
        </is>
      </c>
      <c r="K285" s="5" t="n">
        <v>2634</v>
      </c>
      <c r="L285" s="5" t="n">
        <v>41</v>
      </c>
      <c r="M285" s="10">
        <f>IF(AND(ISNUMBER(K285),L285&gt;0),K285/L285,"")</f>
        <v/>
      </c>
      <c r="N285" s="5" t="n">
        <v>10.801</v>
      </c>
      <c r="O285" s="5" t="n">
        <v>90</v>
      </c>
      <c r="P285" s="5" t="n">
        <v>5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3</v>
      </c>
      <c r="V285" s="5" t="n">
        <v>13</v>
      </c>
      <c r="W285" s="5" t="n">
        <v>12.34</v>
      </c>
      <c r="X285" s="5" t="inlineStr"/>
      <c r="Y285" s="5" t="n">
        <v>4541.5</v>
      </c>
      <c r="Z285" s="5" t="n">
        <v>2240.5</v>
      </c>
      <c r="AA285" s="5" t="n">
        <v>4554.2</v>
      </c>
      <c r="AB285" s="5" t="n">
        <v>3018.4</v>
      </c>
      <c r="AC285" s="5" t="inlineStr"/>
      <c r="AD285" s="5">
        <f>IF(AC285="","",IF(OR(AC285=F285,AND(AC285="crane_footing",F285="isolated_footing")),"yes","no"))</f>
        <v/>
      </c>
    </row>
    <row r="286">
      <c r="A286" s="5" t="n">
        <v>285</v>
      </c>
      <c r="B286" s="5" t="inlineStr">
        <is>
          <t>122</t>
        </is>
      </c>
      <c r="C286" s="5" t="inlineStr">
        <is>
          <t>region between joints</t>
        </is>
      </c>
      <c r="D286" s="5" t="inlineStr">
        <is>
          <t>band</t>
        </is>
      </c>
      <c r="E286" s="5" t="n">
        <v>4</v>
      </c>
      <c r="F286" s="5" t="inlineStr">
        <is>
          <t>grade_beam</t>
        </is>
      </c>
      <c r="G286" s="5" t="inlineStr">
        <is>
          <t>label vote</t>
        </is>
      </c>
      <c r="H286" s="5" t="inlineStr">
        <is>
          <t>LG40x15</t>
        </is>
      </c>
      <c r="I286" s="5" t="inlineStr">
        <is>
          <t>printed label</t>
        </is>
      </c>
      <c r="J286" s="5" t="inlineStr">
        <is>
          <t>LG-40x15</t>
        </is>
      </c>
      <c r="K286" s="5" t="n">
        <v>2622</v>
      </c>
      <c r="L286" s="5" t="n">
        <v>41</v>
      </c>
      <c r="M286" s="10">
        <f>IF(AND(ISNUMBER(K286),L286&gt;0),K286/L286,"")</f>
        <v/>
      </c>
      <c r="N286" s="5" t="n">
        <v>10.749</v>
      </c>
      <c r="O286" s="5" t="n">
        <v>169.4</v>
      </c>
      <c r="P286" s="5" t="n">
        <v>6</v>
      </c>
      <c r="Q286" s="5" t="n">
        <v>0</v>
      </c>
      <c r="R286" s="5" t="n">
        <v>0</v>
      </c>
      <c r="S286" s="5" t="n">
        <v>1</v>
      </c>
      <c r="T286" s="5" t="n">
        <v>4</v>
      </c>
      <c r="U286" s="5" t="n">
        <v>43</v>
      </c>
      <c r="V286" s="5" t="n">
        <v>11</v>
      </c>
      <c r="W286" s="5" t="n">
        <v>16.63</v>
      </c>
      <c r="X286" s="5" t="inlineStr"/>
      <c r="Y286" s="5" t="n">
        <v>4255.1</v>
      </c>
      <c r="Z286" s="5" t="n">
        <v>2932.1</v>
      </c>
      <c r="AA286" s="5" t="n">
        <v>5018.3</v>
      </c>
      <c r="AB286" s="5" t="n">
        <v>3086</v>
      </c>
      <c r="AC286" s="5" t="inlineStr"/>
      <c r="AD286" s="5">
        <f>IF(AC286="","",IF(OR(AC286=F286,AND(AC286="crane_footing",F286="isolated_footing")),"yes","no"))</f>
        <v/>
      </c>
    </row>
    <row r="287">
      <c r="A287" s="5" t="n">
        <v>286</v>
      </c>
      <c r="B287" s="5" t="inlineStr">
        <is>
          <t>122</t>
        </is>
      </c>
      <c r="C287" s="5" t="inlineStr">
        <is>
          <t>region between joints</t>
        </is>
      </c>
      <c r="D287" s="5" t="inlineStr">
        <is>
          <t>band</t>
        </is>
      </c>
      <c r="E287" s="5" t="n">
        <v>4</v>
      </c>
      <c r="F287" s="5" t="inlineStr">
        <is>
          <t>grade_beam</t>
        </is>
      </c>
      <c r="G287" s="5" t="inlineStr">
        <is>
          <t>label vote</t>
        </is>
      </c>
      <c r="H287" s="5" t="inlineStr">
        <is>
          <t>LG40x15</t>
        </is>
      </c>
      <c r="I287" s="5" t="inlineStr">
        <is>
          <t>printed label</t>
        </is>
      </c>
      <c r="J287" s="5" t="inlineStr">
        <is>
          <t>LG-40x15</t>
        </is>
      </c>
      <c r="K287" s="5" t="n">
        <v>2088</v>
      </c>
      <c r="L287" s="5" t="n">
        <v>41</v>
      </c>
      <c r="M287" s="10">
        <f>IF(AND(ISNUMBER(K287),L287&gt;0),K287/L287,"")</f>
        <v/>
      </c>
      <c r="N287" s="5" t="n">
        <v>8.558999999999999</v>
      </c>
      <c r="O287" s="5" t="n">
        <v>79.3</v>
      </c>
      <c r="P287" s="5" t="n">
        <v>4</v>
      </c>
      <c r="Q287" s="5" t="n">
        <v>0</v>
      </c>
      <c r="R287" s="5" t="n">
        <v>0</v>
      </c>
      <c r="S287" s="5" t="n">
        <v>0</v>
      </c>
      <c r="T287" s="5" t="n">
        <v>2</v>
      </c>
      <c r="U287" s="5" t="n">
        <v>47</v>
      </c>
      <c r="V287" s="5" t="n">
        <v>7</v>
      </c>
      <c r="W287" s="5" t="n">
        <v>9.800000000000001</v>
      </c>
      <c r="X287" s="5" t="inlineStr"/>
      <c r="Y287" s="5" t="n">
        <v>3505.1</v>
      </c>
      <c r="Z287" s="5" t="n">
        <v>2861.7</v>
      </c>
      <c r="AA287" s="5" t="n">
        <v>3631</v>
      </c>
      <c r="AB287" s="5" t="n">
        <v>3469.7</v>
      </c>
      <c r="AC287" s="5" t="inlineStr"/>
      <c r="AD287" s="5">
        <f>IF(AC287="","",IF(OR(AC287=F287,AND(AC287="crane_footing",F287="isolated_footing")),"yes","no"))</f>
        <v/>
      </c>
    </row>
    <row r="288">
      <c r="A288" s="5" t="n">
        <v>287</v>
      </c>
      <c r="B288" s="5" t="inlineStr">
        <is>
          <t>122</t>
        </is>
      </c>
      <c r="C288" s="5" t="inlineStr">
        <is>
          <t>nearest labels in its region</t>
        </is>
      </c>
      <c r="D288" s="5" t="inlineStr">
        <is>
          <t>band</t>
        </is>
      </c>
      <c r="E288" s="5" t="n">
        <v>4</v>
      </c>
      <c r="F288" s="5" t="inlineStr">
        <is>
          <t>grade_beam</t>
        </is>
      </c>
      <c r="G288" s="5" t="inlineStr">
        <is>
          <t>label vote</t>
        </is>
      </c>
      <c r="H288" s="5" t="inlineStr">
        <is>
          <t>LG40x15</t>
        </is>
      </c>
      <c r="I288" s="5" t="inlineStr">
        <is>
          <t>printed label</t>
        </is>
      </c>
      <c r="J288" s="5" t="inlineStr">
        <is>
          <t>LG-40x15</t>
        </is>
      </c>
      <c r="K288" s="5" t="n">
        <v>1920</v>
      </c>
      <c r="L288" s="5" t="n">
        <v>41</v>
      </c>
      <c r="M288" s="10">
        <f>IF(AND(ISNUMBER(K288),L288&gt;0),K288/L288,"")</f>
        <v/>
      </c>
      <c r="N288" s="5" t="n">
        <v>7.873</v>
      </c>
      <c r="O288" s="5" t="n">
        <v>90.09999999999999</v>
      </c>
      <c r="P288" s="5" t="n">
        <v>4</v>
      </c>
      <c r="Q288" s="5" t="n">
        <v>0</v>
      </c>
      <c r="R288" s="5" t="n">
        <v>0</v>
      </c>
      <c r="S288" s="5" t="n">
        <v>0</v>
      </c>
      <c r="T288" s="5" t="n">
        <v>0</v>
      </c>
      <c r="U288" s="5" t="n">
        <v>145</v>
      </c>
      <c r="V288" s="5" t="n">
        <v>10</v>
      </c>
      <c r="W288" s="5" t="n">
        <v>11.82</v>
      </c>
      <c r="X288" s="5" t="inlineStr"/>
      <c r="Y288" s="5" t="n">
        <v>4315.5</v>
      </c>
      <c r="Z288" s="5" t="n">
        <v>2148.5</v>
      </c>
      <c r="AA288" s="5" t="n">
        <v>4328.2</v>
      </c>
      <c r="AB288" s="5" t="n">
        <v>2715.5</v>
      </c>
      <c r="AC288" s="5" t="inlineStr"/>
      <c r="AD288" s="5">
        <f>IF(AC288="","",IF(OR(AC288=F288,AND(AC288="crane_footing",F288="isolated_footing")),"yes","no"))</f>
        <v/>
      </c>
    </row>
    <row r="289">
      <c r="A289" s="5" t="n">
        <v>288</v>
      </c>
      <c r="B289" s="5" t="inlineStr">
        <is>
          <t>122</t>
        </is>
      </c>
      <c r="C289" s="5" t="inlineStr">
        <is>
          <t>region between joints</t>
        </is>
      </c>
      <c r="D289" s="5" t="inlineStr">
        <is>
          <t>band</t>
        </is>
      </c>
      <c r="E289" s="5" t="n">
        <v>4</v>
      </c>
      <c r="F289" s="5" t="inlineStr">
        <is>
          <t>grade_beam</t>
        </is>
      </c>
      <c r="G289" s="5" t="inlineStr">
        <is>
          <t>label vote</t>
        </is>
      </c>
      <c r="H289" s="5" t="inlineStr">
        <is>
          <t>LG40x15</t>
        </is>
      </c>
      <c r="I289" s="5" t="inlineStr">
        <is>
          <t>printed label</t>
        </is>
      </c>
      <c r="J289" s="5" t="inlineStr">
        <is>
          <t>LG-40x15</t>
        </is>
      </c>
      <c r="K289" s="5" t="n">
        <v>1860</v>
      </c>
      <c r="L289" s="5" t="n">
        <v>41</v>
      </c>
      <c r="M289" s="10">
        <f>IF(AND(ISNUMBER(K289),L289&gt;0),K289/L289,"")</f>
        <v/>
      </c>
      <c r="N289" s="5" t="n">
        <v>7.626</v>
      </c>
      <c r="O289" s="5" t="n">
        <v>79.3</v>
      </c>
      <c r="P289" s="5" t="n">
        <v>4</v>
      </c>
      <c r="Q289" s="5" t="n">
        <v>0</v>
      </c>
      <c r="R289" s="5" t="n">
        <v>0</v>
      </c>
      <c r="S289" s="5" t="n">
        <v>0</v>
      </c>
      <c r="T289" s="5" t="n">
        <v>4</v>
      </c>
      <c r="U289" s="5" t="n">
        <v>11</v>
      </c>
      <c r="V289" s="5" t="n">
        <v>12</v>
      </c>
      <c r="W289" s="5" t="n">
        <v>7.71</v>
      </c>
      <c r="X289" s="5" t="inlineStr"/>
      <c r="Y289" s="5" t="n">
        <v>4180.7</v>
      </c>
      <c r="Z289" s="5" t="n">
        <v>2725.8</v>
      </c>
      <c r="AA289" s="5" t="n">
        <v>4294.3</v>
      </c>
      <c r="AB289" s="5" t="n">
        <v>3267.7</v>
      </c>
      <c r="AC289" s="5" t="inlineStr"/>
      <c r="AD289" s="5">
        <f>IF(AC289="","",IF(OR(AC289=F289,AND(AC289="crane_footing",F289="isolated_footing")),"yes","no"))</f>
        <v/>
      </c>
    </row>
    <row r="290">
      <c r="A290" s="5" t="n">
        <v>289</v>
      </c>
      <c r="B290" s="5" t="inlineStr">
        <is>
          <t>122</t>
        </is>
      </c>
      <c r="C290" s="5" t="inlineStr">
        <is>
          <t>region between joints</t>
        </is>
      </c>
      <c r="D290" s="5" t="inlineStr">
        <is>
          <t>band</t>
        </is>
      </c>
      <c r="E290" s="5" t="n">
        <v>4</v>
      </c>
      <c r="F290" s="5" t="inlineStr">
        <is>
          <t>grade_beam</t>
        </is>
      </c>
      <c r="G290" s="5" t="inlineStr">
        <is>
          <t>label vote</t>
        </is>
      </c>
      <c r="H290" s="5" t="inlineStr">
        <is>
          <t>LG40x15</t>
        </is>
      </c>
      <c r="I290" s="5" t="inlineStr">
        <is>
          <t>printed label</t>
        </is>
      </c>
      <c r="J290" s="5" t="inlineStr">
        <is>
          <t>LG-40x15</t>
        </is>
      </c>
      <c r="K290" s="5" t="n">
        <v>1524</v>
      </c>
      <c r="L290" s="5" t="n">
        <v>41</v>
      </c>
      <c r="M290" s="10">
        <f>IF(AND(ISNUMBER(K290),L290&gt;0),K290/L290,"")</f>
        <v/>
      </c>
      <c r="N290" s="5" t="n">
        <v>6.248</v>
      </c>
      <c r="O290" s="5" t="n">
        <v>169.3</v>
      </c>
      <c r="P290" s="5" t="n">
        <v>3</v>
      </c>
      <c r="Q290" s="5" t="n">
        <v>0</v>
      </c>
      <c r="R290" s="5" t="n">
        <v>0</v>
      </c>
      <c r="S290" s="5" t="n">
        <v>0</v>
      </c>
      <c r="T290" s="5" t="n">
        <v>0</v>
      </c>
      <c r="U290" s="5" t="n">
        <v>40</v>
      </c>
      <c r="V290" s="5" t="n">
        <v>7</v>
      </c>
      <c r="W290" s="5" t="n">
        <v>10.74</v>
      </c>
      <c r="X290" s="5" t="inlineStr"/>
      <c r="Y290" s="5" t="n">
        <v>3757.8</v>
      </c>
      <c r="Z290" s="5" t="n">
        <v>2885.3</v>
      </c>
      <c r="AA290" s="5" t="n">
        <v>4202.2</v>
      </c>
      <c r="AB290" s="5" t="n">
        <v>2980.6</v>
      </c>
      <c r="AC290" s="5" t="inlineStr"/>
      <c r="AD290" s="5">
        <f>IF(AC290="","",IF(OR(AC290=F290,AND(AC290="crane_footing",F290="isolated_footing")),"yes","no"))</f>
        <v/>
      </c>
    </row>
    <row r="291">
      <c r="A291" s="5" t="n">
        <v>290</v>
      </c>
      <c r="B291" s="5" t="inlineStr">
        <is>
          <t>122</t>
        </is>
      </c>
      <c r="C291" s="5" t="inlineStr">
        <is>
          <t>nearest labels in its region</t>
        </is>
      </c>
      <c r="D291" s="5" t="inlineStr">
        <is>
          <t>band</t>
        </is>
      </c>
      <c r="E291" s="5" t="n">
        <v>4</v>
      </c>
      <c r="F291" s="5" t="inlineStr">
        <is>
          <t>grade_beam</t>
        </is>
      </c>
      <c r="G291" s="5" t="inlineStr">
        <is>
          <t>label vote</t>
        </is>
      </c>
      <c r="H291" s="5" t="inlineStr">
        <is>
          <t>LG40x15</t>
        </is>
      </c>
      <c r="I291" s="5" t="inlineStr">
        <is>
          <t>printed label</t>
        </is>
      </c>
      <c r="J291" s="5" t="inlineStr">
        <is>
          <t>LG-40x15</t>
        </is>
      </c>
      <c r="K291" s="5" t="n">
        <v>1496</v>
      </c>
      <c r="L291" s="5" t="n">
        <v>41</v>
      </c>
      <c r="M291" s="10">
        <f>IF(AND(ISNUMBER(K291),L291&gt;0),K291/L291,"")</f>
        <v/>
      </c>
      <c r="N291" s="5" t="n">
        <v>6.134</v>
      </c>
      <c r="O291" s="5" t="n">
        <v>0</v>
      </c>
      <c r="P291" s="5" t="n">
        <v>2</v>
      </c>
      <c r="Q291" s="5" t="n">
        <v>0</v>
      </c>
      <c r="R291" s="5" t="n">
        <v>0</v>
      </c>
      <c r="S291" s="5" t="n">
        <v>0</v>
      </c>
      <c r="T291" s="5" t="n">
        <v>1</v>
      </c>
      <c r="U291" s="5" t="n">
        <v>26</v>
      </c>
      <c r="V291" s="5" t="n">
        <v>3</v>
      </c>
      <c r="W291" s="5" t="n">
        <v>8.449999999999999</v>
      </c>
      <c r="X291" s="5" t="inlineStr"/>
      <c r="Y291" s="5" t="n">
        <v>4324.6</v>
      </c>
      <c r="Z291" s="5" t="n">
        <v>2323</v>
      </c>
      <c r="AA291" s="5" t="n">
        <v>4766.3</v>
      </c>
      <c r="AB291" s="5" t="n">
        <v>2335.4</v>
      </c>
      <c r="AC291" s="5" t="inlineStr"/>
      <c r="AD291" s="5">
        <f>IF(AC291="","",IF(OR(AC291=F291,AND(AC291="crane_footing",F291="isolated_footing")),"yes","no"))</f>
        <v/>
      </c>
    </row>
    <row r="292">
      <c r="A292" s="5" t="n">
        <v>291</v>
      </c>
      <c r="B292" s="5" t="inlineStr">
        <is>
          <t>122</t>
        </is>
      </c>
      <c r="C292" s="5" t="inlineStr">
        <is>
          <t>nearest labels</t>
        </is>
      </c>
      <c r="D292" s="5" t="inlineStr">
        <is>
          <t>band</t>
        </is>
      </c>
      <c r="E292" s="5" t="n">
        <v>4</v>
      </c>
      <c r="F292" s="5" t="inlineStr">
        <is>
          <t>grade_beam</t>
        </is>
      </c>
      <c r="G292" s="5" t="inlineStr">
        <is>
          <t>label vote</t>
        </is>
      </c>
      <c r="H292" s="5" t="inlineStr">
        <is>
          <t>LG40x15</t>
        </is>
      </c>
      <c r="I292" s="5" t="inlineStr">
        <is>
          <t>printed label</t>
        </is>
      </c>
      <c r="J292" s="5" t="inlineStr">
        <is>
          <t>LG-40x15</t>
        </is>
      </c>
      <c r="K292" s="5" t="n">
        <v>1481</v>
      </c>
      <c r="L292" s="5" t="n">
        <v>41</v>
      </c>
      <c r="M292" s="10">
        <f>IF(AND(ISNUMBER(K292),L292&gt;0),K292/L292,"")</f>
        <v/>
      </c>
      <c r="N292" s="5" t="n">
        <v>6.071</v>
      </c>
      <c r="O292" s="5" t="n">
        <v>0</v>
      </c>
      <c r="P292" s="5" t="n">
        <v>3</v>
      </c>
      <c r="Q292" s="5" t="n">
        <v>0</v>
      </c>
      <c r="R292" s="5" t="n">
        <v>0</v>
      </c>
      <c r="S292" s="5" t="n">
        <v>0</v>
      </c>
      <c r="T292" s="5" t="n">
        <v>1</v>
      </c>
      <c r="U292" s="5" t="n">
        <v>26</v>
      </c>
      <c r="V292" s="5" t="n">
        <v>2</v>
      </c>
      <c r="W292" s="5" t="n">
        <v>7.41</v>
      </c>
      <c r="X292" s="5" t="inlineStr"/>
      <c r="Y292" s="5" t="n">
        <v>4327.7</v>
      </c>
      <c r="Z292" s="5" t="n">
        <v>2492.7</v>
      </c>
      <c r="AA292" s="5" t="n">
        <v>4764.9</v>
      </c>
      <c r="AB292" s="5" t="n">
        <v>2505.1</v>
      </c>
      <c r="AC292" s="5" t="inlineStr"/>
      <c r="AD292" s="5">
        <f>IF(AC292="","",IF(OR(AC292=F292,AND(AC292="crane_footing",F292="isolated_footing")),"yes","no"))</f>
        <v/>
      </c>
    </row>
    <row r="293">
      <c r="A293" s="5" t="n">
        <v>292</v>
      </c>
      <c r="B293" s="5" t="inlineStr">
        <is>
          <t>122</t>
        </is>
      </c>
      <c r="C293" s="5" t="inlineStr">
        <is>
          <t>region between joints</t>
        </is>
      </c>
      <c r="D293" s="5" t="inlineStr">
        <is>
          <t>band</t>
        </is>
      </c>
      <c r="E293" s="5" t="n">
        <v>4</v>
      </c>
      <c r="F293" s="5" t="inlineStr">
        <is>
          <t>grade_beam</t>
        </is>
      </c>
      <c r="G293" s="5" t="inlineStr">
        <is>
          <t>label vote</t>
        </is>
      </c>
      <c r="H293" s="5" t="inlineStr">
        <is>
          <t>LG40x15</t>
        </is>
      </c>
      <c r="I293" s="5" t="inlineStr">
        <is>
          <t>printed label</t>
        </is>
      </c>
      <c r="J293" s="5" t="inlineStr">
        <is>
          <t>LG-40x15</t>
        </is>
      </c>
      <c r="K293" s="5" t="n">
        <v>1308</v>
      </c>
      <c r="L293" s="5" t="n">
        <v>41</v>
      </c>
      <c r="M293" s="10">
        <f>IF(AND(ISNUMBER(K293),L293&gt;0),K293/L293,"")</f>
        <v/>
      </c>
      <c r="N293" s="5" t="n">
        <v>5.364</v>
      </c>
      <c r="O293" s="5" t="n">
        <v>79.40000000000001</v>
      </c>
      <c r="P293" s="5" t="n">
        <v>1</v>
      </c>
      <c r="Q293" s="5" t="n">
        <v>0</v>
      </c>
      <c r="R293" s="5" t="n">
        <v>0</v>
      </c>
      <c r="S293" s="5" t="n">
        <v>0</v>
      </c>
      <c r="T293" s="5" t="n">
        <v>1</v>
      </c>
      <c r="U293" s="5" t="n">
        <v>24</v>
      </c>
      <c r="V293" s="5" t="n">
        <v>6</v>
      </c>
      <c r="W293" s="5" t="n">
        <v>6.99</v>
      </c>
      <c r="X293" s="5" t="inlineStr"/>
      <c r="Y293" s="5" t="n">
        <v>3890.5</v>
      </c>
      <c r="Z293" s="5" t="n">
        <v>2953.7</v>
      </c>
      <c r="AA293" s="5" t="n">
        <v>3973.3</v>
      </c>
      <c r="AB293" s="5" t="n">
        <v>3335.6</v>
      </c>
      <c r="AC293" s="5" t="inlineStr"/>
      <c r="AD293" s="5">
        <f>IF(AC293="","",IF(OR(AC293=F293,AND(AC293="crane_footing",F293="isolated_footing")),"yes","no"))</f>
        <v/>
      </c>
    </row>
    <row r="294">
      <c r="A294" s="5" t="n">
        <v>293</v>
      </c>
      <c r="B294" s="5" t="inlineStr">
        <is>
          <t>122</t>
        </is>
      </c>
      <c r="C294" s="5" t="inlineStr">
        <is>
          <t>region between joints</t>
        </is>
      </c>
      <c r="D294" s="5" t="inlineStr">
        <is>
          <t>band</t>
        </is>
      </c>
      <c r="E294" s="5" t="n">
        <v>4</v>
      </c>
      <c r="F294" s="5" t="inlineStr">
        <is>
          <t>grade_beam</t>
        </is>
      </c>
      <c r="G294" s="5" t="inlineStr">
        <is>
          <t>label vote</t>
        </is>
      </c>
      <c r="H294" s="5" t="inlineStr">
        <is>
          <t>LG40x15</t>
        </is>
      </c>
      <c r="I294" s="5" t="inlineStr">
        <is>
          <t>printed label</t>
        </is>
      </c>
      <c r="J294" s="5" t="inlineStr">
        <is>
          <t>LG-40x15</t>
        </is>
      </c>
      <c r="K294" s="5" t="n">
        <v>1280</v>
      </c>
      <c r="L294" s="5" t="n">
        <v>41</v>
      </c>
      <c r="M294" s="10">
        <f>IF(AND(ISNUMBER(K294),L294&gt;0),K294/L294,"")</f>
        <v/>
      </c>
      <c r="N294" s="5" t="n">
        <v>5.247</v>
      </c>
      <c r="O294" s="5" t="n">
        <v>0</v>
      </c>
      <c r="P294" s="5" t="n">
        <v>2</v>
      </c>
      <c r="Q294" s="5" t="n">
        <v>0</v>
      </c>
      <c r="R294" s="5" t="n">
        <v>0</v>
      </c>
      <c r="S294" s="5" t="n">
        <v>0</v>
      </c>
      <c r="T294" s="5" t="n">
        <v>1</v>
      </c>
      <c r="U294" s="5" t="n">
        <v>8</v>
      </c>
      <c r="V294" s="5" t="n">
        <v>4</v>
      </c>
      <c r="W294" s="5" t="n">
        <v>7.61</v>
      </c>
      <c r="X294" s="5" t="inlineStr"/>
      <c r="Y294" s="5" t="n">
        <v>4164</v>
      </c>
      <c r="Z294" s="5" t="n">
        <v>2713.8</v>
      </c>
      <c r="AA294" s="5" t="n">
        <v>4541.9</v>
      </c>
      <c r="AB294" s="5" t="n">
        <v>2726.2</v>
      </c>
      <c r="AC294" s="5" t="inlineStr"/>
      <c r="AD294" s="5">
        <f>IF(AC294="","",IF(OR(AC294=F294,AND(AC294="crane_footing",F294="isolated_footing")),"yes","no"))</f>
        <v/>
      </c>
    </row>
    <row r="295">
      <c r="A295" s="5" t="n">
        <v>294</v>
      </c>
      <c r="B295" s="5" t="inlineStr">
        <is>
          <t>122</t>
        </is>
      </c>
      <c r="C295" s="5" t="inlineStr">
        <is>
          <t>region between joints</t>
        </is>
      </c>
      <c r="D295" s="5" t="inlineStr">
        <is>
          <t>band</t>
        </is>
      </c>
      <c r="E295" s="5" t="n">
        <v>4</v>
      </c>
      <c r="F295" s="5" t="inlineStr">
        <is>
          <t>grade_beam</t>
        </is>
      </c>
      <c r="G295" s="5" t="inlineStr">
        <is>
          <t>label vote</t>
        </is>
      </c>
      <c r="H295" s="5" t="inlineStr">
        <is>
          <t>LG40x15</t>
        </is>
      </c>
      <c r="I295" s="5" t="inlineStr">
        <is>
          <t>printed label</t>
        </is>
      </c>
      <c r="J295" s="5" t="inlineStr">
        <is>
          <t>LG-40x15</t>
        </is>
      </c>
      <c r="K295" s="5" t="n">
        <v>790</v>
      </c>
      <c r="L295" s="5" t="n">
        <v>41</v>
      </c>
      <c r="M295" s="10">
        <f>IF(AND(ISNUMBER(K295),L295&gt;0),K295/L295,"")</f>
        <v/>
      </c>
      <c r="N295" s="5" t="n">
        <v>3.238</v>
      </c>
      <c r="O295" s="5" t="n">
        <v>90</v>
      </c>
      <c r="P295" s="5" t="n">
        <v>2</v>
      </c>
      <c r="Q295" s="5" t="n">
        <v>0</v>
      </c>
      <c r="R295" s="5" t="n">
        <v>0</v>
      </c>
      <c r="S295" s="5" t="n">
        <v>0</v>
      </c>
      <c r="T295" s="5" t="n">
        <v>0</v>
      </c>
      <c r="U295" s="5" t="n">
        <v>16</v>
      </c>
      <c r="V295" s="5" t="n">
        <v>4</v>
      </c>
      <c r="W295" s="5" t="n">
        <v>7.9</v>
      </c>
      <c r="X295" s="5" t="inlineStr"/>
      <c r="Y295" s="5" t="n">
        <v>4766.5</v>
      </c>
      <c r="Z295" s="5" t="n">
        <v>2747.9</v>
      </c>
      <c r="AA295" s="5" t="n">
        <v>4778.8</v>
      </c>
      <c r="AB295" s="5" t="n">
        <v>2981.1</v>
      </c>
      <c r="AC295" s="5" t="inlineStr"/>
      <c r="AD295" s="5">
        <f>IF(AC295="","",IF(OR(AC295=F295,AND(AC295="crane_footing",F295="isolated_footing")),"yes","no"))</f>
        <v/>
      </c>
    </row>
    <row r="296">
      <c r="A296" s="5" t="n">
        <v>295</v>
      </c>
      <c r="B296" s="5" t="inlineStr">
        <is>
          <t>122</t>
        </is>
      </c>
      <c r="C296" s="5" t="inlineStr">
        <is>
          <t>region between joints</t>
        </is>
      </c>
      <c r="D296" s="5" t="inlineStr">
        <is>
          <t>band</t>
        </is>
      </c>
      <c r="E296" s="5" t="n">
        <v>4</v>
      </c>
      <c r="F296" s="5" t="inlineStr">
        <is>
          <t>grade_beam</t>
        </is>
      </c>
      <c r="G296" s="5" t="inlineStr">
        <is>
          <t>label vote</t>
        </is>
      </c>
      <c r="H296" s="5" t="inlineStr">
        <is>
          <t>LG40x15</t>
        </is>
      </c>
      <c r="I296" s="5" t="inlineStr">
        <is>
          <t>printed label</t>
        </is>
      </c>
      <c r="J296" s="5" t="inlineStr">
        <is>
          <t>LG-40x15</t>
        </is>
      </c>
      <c r="K296" s="5" t="n">
        <v>766</v>
      </c>
      <c r="L296" s="5" t="n">
        <v>41</v>
      </c>
      <c r="M296" s="10">
        <f>IF(AND(ISNUMBER(K296),L296&gt;0),K296/L296,"")</f>
        <v/>
      </c>
      <c r="N296" s="5" t="n">
        <v>3.14</v>
      </c>
      <c r="O296" s="5" t="n">
        <v>0</v>
      </c>
      <c r="P296" s="5" t="n">
        <v>1</v>
      </c>
      <c r="Q296" s="5" t="n">
        <v>0</v>
      </c>
      <c r="R296" s="5" t="n">
        <v>0</v>
      </c>
      <c r="S296" s="5" t="n">
        <v>0</v>
      </c>
      <c r="T296" s="5" t="n">
        <v>1</v>
      </c>
      <c r="U296" s="5" t="n">
        <v>8</v>
      </c>
      <c r="V296" s="5" t="n">
        <v>2</v>
      </c>
      <c r="W296" s="5" t="n">
        <v>5.12</v>
      </c>
      <c r="X296" s="5" t="inlineStr"/>
      <c r="Y296" s="5" t="n">
        <v>4327.6</v>
      </c>
      <c r="Z296" s="5" t="n">
        <v>2609.3</v>
      </c>
      <c r="AA296" s="5" t="n">
        <v>4553.8</v>
      </c>
      <c r="AB296" s="5" t="n">
        <v>2621.5</v>
      </c>
      <c r="AC296" s="5" t="inlineStr"/>
      <c r="AD296" s="5">
        <f>IF(AC296="","",IF(OR(AC296=F296,AND(AC296="crane_footing",F296="isolated_footing")),"yes","no"))</f>
        <v/>
      </c>
    </row>
    <row r="297">
      <c r="A297" s="5" t="n">
        <v>296</v>
      </c>
      <c r="B297" s="5" t="inlineStr">
        <is>
          <t>122</t>
        </is>
      </c>
      <c r="C297" s="5" t="inlineStr">
        <is>
          <t>region between joints</t>
        </is>
      </c>
      <c r="D297" s="5" t="inlineStr">
        <is>
          <t>band</t>
        </is>
      </c>
      <c r="E297" s="5" t="n">
        <v>4</v>
      </c>
      <c r="F297" s="5" t="inlineStr">
        <is>
          <t>grade_beam</t>
        </is>
      </c>
      <c r="G297" s="5" t="inlineStr">
        <is>
          <t>label vote</t>
        </is>
      </c>
      <c r="H297" s="5" t="inlineStr">
        <is>
          <t>LG40x15</t>
        </is>
      </c>
      <c r="I297" s="5" t="inlineStr">
        <is>
          <t>printed label</t>
        </is>
      </c>
      <c r="J297" s="5" t="inlineStr">
        <is>
          <t>LG-40x15</t>
        </is>
      </c>
      <c r="K297" s="5" t="n">
        <v>745</v>
      </c>
      <c r="L297" s="5" t="n">
        <v>41</v>
      </c>
      <c r="M297" s="10">
        <f>IF(AND(ISNUMBER(K297),L297&gt;0),K297/L297,"")</f>
        <v/>
      </c>
      <c r="N297" s="5" t="n">
        <v>3.055</v>
      </c>
      <c r="O297" s="5" t="n">
        <v>169.3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0</v>
      </c>
      <c r="V297" s="5" t="n">
        <v>6</v>
      </c>
      <c r="W297" s="5" t="n">
        <v>5.98</v>
      </c>
      <c r="X297" s="5" t="inlineStr"/>
      <c r="Y297" s="5" t="n">
        <v>3539.4</v>
      </c>
      <c r="Z297" s="5" t="n">
        <v>2956.3</v>
      </c>
      <c r="AA297" s="5" t="n">
        <v>3757.8</v>
      </c>
      <c r="AB297" s="5" t="n">
        <v>3009</v>
      </c>
      <c r="AC297" s="5" t="inlineStr"/>
      <c r="AD297" s="5">
        <f>IF(AC297="","",IF(OR(AC297=F297,AND(AC297="crane_footing",F297="isolated_footing")),"yes","no"))</f>
        <v/>
      </c>
    </row>
    <row r="298">
      <c r="A298" s="5" t="n">
        <v>297</v>
      </c>
      <c r="B298" s="5" t="inlineStr">
        <is>
          <t>122</t>
        </is>
      </c>
      <c r="C298" s="5" t="inlineStr">
        <is>
          <t>region between joints</t>
        </is>
      </c>
      <c r="D298" s="5" t="inlineStr">
        <is>
          <t>band</t>
        </is>
      </c>
      <c r="E298" s="5" t="n">
        <v>4</v>
      </c>
      <c r="F298" s="5" t="inlineStr">
        <is>
          <t>grade_beam</t>
        </is>
      </c>
      <c r="G298" s="5" t="inlineStr">
        <is>
          <t>label vote</t>
        </is>
      </c>
      <c r="H298" s="5" t="inlineStr">
        <is>
          <t>LG40x15</t>
        </is>
      </c>
      <c r="I298" s="5" t="inlineStr">
        <is>
          <t>printed label</t>
        </is>
      </c>
      <c r="J298" s="5" t="inlineStr">
        <is>
          <t>LG-40x15</t>
        </is>
      </c>
      <c r="K298" s="5" t="n">
        <v>722</v>
      </c>
      <c r="L298" s="5" t="n">
        <v>41</v>
      </c>
      <c r="M298" s="10">
        <f>IF(AND(ISNUMBER(K298),L298&gt;0),K298/L298,"")</f>
        <v/>
      </c>
      <c r="N298" s="5" t="n">
        <v>2.96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0</v>
      </c>
      <c r="T298" s="5" t="n">
        <v>1</v>
      </c>
      <c r="U298" s="5" t="n">
        <v>4</v>
      </c>
      <c r="V298" s="5" t="n">
        <v>5</v>
      </c>
      <c r="W298" s="5" t="n">
        <v>4.65</v>
      </c>
      <c r="X298" s="5" t="inlineStr"/>
      <c r="Y298" s="5" t="n">
        <v>4553.6</v>
      </c>
      <c r="Z298" s="5" t="n">
        <v>2810.1</v>
      </c>
      <c r="AA298" s="5" t="n">
        <v>4766.8</v>
      </c>
      <c r="AB298" s="5" t="n">
        <v>2822.4</v>
      </c>
      <c r="AC298" s="5" t="inlineStr"/>
      <c r="AD298" s="5">
        <f>IF(AC298="","",IF(OR(AC298=F298,AND(AC298="crane_footing",F298="isolated_footing")),"yes","no"))</f>
        <v/>
      </c>
    </row>
    <row r="299">
      <c r="A299" s="5" t="n">
        <v>298</v>
      </c>
      <c r="B299" s="5" t="inlineStr">
        <is>
          <t>122</t>
        </is>
      </c>
      <c r="C299" s="5" t="inlineStr">
        <is>
          <t>region between joints</t>
        </is>
      </c>
      <c r="D299" s="5" t="inlineStr">
        <is>
          <t>band</t>
        </is>
      </c>
      <c r="E299" s="5" t="n">
        <v>4</v>
      </c>
      <c r="F299" s="5" t="inlineStr">
        <is>
          <t>grade_beam</t>
        </is>
      </c>
      <c r="G299" s="5" t="inlineStr">
        <is>
          <t>label vote</t>
        </is>
      </c>
      <c r="H299" s="5" t="inlineStr">
        <is>
          <t>LG40x15</t>
        </is>
      </c>
      <c r="I299" s="5" t="inlineStr">
        <is>
          <t>printed label</t>
        </is>
      </c>
      <c r="J299" s="5" t="inlineStr">
        <is>
          <t>LG-40x15</t>
        </is>
      </c>
      <c r="K299" s="5" t="n">
        <v>679</v>
      </c>
      <c r="L299" s="5" t="n">
        <v>41</v>
      </c>
      <c r="M299" s="10">
        <f>IF(AND(ISNUMBER(K299),L299&gt;0),K299/L299,"")</f>
        <v/>
      </c>
      <c r="N299" s="5" t="n">
        <v>2.782</v>
      </c>
      <c r="O299" s="5" t="n">
        <v>52.1</v>
      </c>
      <c r="P299" s="5" t="n">
        <v>2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1</v>
      </c>
      <c r="V299" s="5" t="n">
        <v>3</v>
      </c>
      <c r="W299" s="5" t="n">
        <v>4.08</v>
      </c>
      <c r="X299" s="5" t="inlineStr"/>
      <c r="Y299" s="5" t="n">
        <v>4297.9</v>
      </c>
      <c r="Z299" s="5" t="n">
        <v>2885.6</v>
      </c>
      <c r="AA299" s="5" t="n">
        <v>4430.5</v>
      </c>
      <c r="AB299" s="5" t="n">
        <v>3051.2</v>
      </c>
      <c r="AC299" s="5" t="inlineStr"/>
      <c r="AD299" s="5">
        <f>IF(AC299="","",IF(OR(AC299=F299,AND(AC299="crane_footing",F299="isolated_footing")),"yes","no"))</f>
        <v/>
      </c>
    </row>
    <row r="300">
      <c r="A300" s="5" t="n">
        <v>299</v>
      </c>
      <c r="B300" s="5" t="inlineStr">
        <is>
          <t>122</t>
        </is>
      </c>
      <c r="C300" s="5" t="inlineStr">
        <is>
          <t>region between joints</t>
        </is>
      </c>
      <c r="D300" s="5" t="inlineStr">
        <is>
          <t>band</t>
        </is>
      </c>
      <c r="E300" s="5" t="n">
        <v>4</v>
      </c>
      <c r="F300" s="5" t="inlineStr">
        <is>
          <t>grade_beam</t>
        </is>
      </c>
      <c r="G300" s="5" t="inlineStr">
        <is>
          <t>label vote</t>
        </is>
      </c>
      <c r="H300" s="5" t="inlineStr">
        <is>
          <t>LG40x15</t>
        </is>
      </c>
      <c r="I300" s="5" t="inlineStr">
        <is>
          <t>printed label</t>
        </is>
      </c>
      <c r="J300" s="5" t="inlineStr">
        <is>
          <t>LG-40x15</t>
        </is>
      </c>
      <c r="K300" s="5" t="n">
        <v>531</v>
      </c>
      <c r="L300" s="5" t="n">
        <v>41</v>
      </c>
      <c r="M300" s="10">
        <f>IF(AND(ISNUMBER(K300),L300&gt;0),K300/L300,"")</f>
        <v/>
      </c>
      <c r="N300" s="5" t="n">
        <v>2.178</v>
      </c>
      <c r="O300" s="5" t="n">
        <v>93.90000000000001</v>
      </c>
      <c r="P300" s="5" t="n">
        <v>2</v>
      </c>
      <c r="Q300" s="5" t="n">
        <v>0</v>
      </c>
      <c r="R300" s="5" t="n">
        <v>0</v>
      </c>
      <c r="S300" s="5" t="n">
        <v>0</v>
      </c>
      <c r="T300" s="5" t="n">
        <v>0</v>
      </c>
      <c r="U300" s="5" t="n">
        <v>1</v>
      </c>
      <c r="V300" s="5" t="n">
        <v>1</v>
      </c>
      <c r="W300" s="5" t="n">
        <v>3.43</v>
      </c>
      <c r="X300" s="5" t="inlineStr"/>
      <c r="Y300" s="5" t="n">
        <v>4301.1</v>
      </c>
      <c r="Z300" s="5" t="n">
        <v>2724.4</v>
      </c>
      <c r="AA300" s="5" t="n">
        <v>4323.8</v>
      </c>
      <c r="AB300" s="5" t="n">
        <v>2881.7</v>
      </c>
      <c r="AC300" s="5" t="inlineStr"/>
      <c r="AD300" s="5">
        <f>IF(AC300="","",IF(OR(AC300=F300,AND(AC300="crane_footing",F300="isolated_footing")),"yes","no"))</f>
        <v/>
      </c>
    </row>
    <row r="301">
      <c r="A301" s="5" t="n">
        <v>300</v>
      </c>
      <c r="B301" s="5" t="inlineStr">
        <is>
          <t>122</t>
        </is>
      </c>
      <c r="C301" s="5" t="inlineStr">
        <is>
          <t>region between joints</t>
        </is>
      </c>
      <c r="D301" s="5" t="inlineStr">
        <is>
          <t>band</t>
        </is>
      </c>
      <c r="E301" s="5" t="n">
        <v>4</v>
      </c>
      <c r="F301" s="5" t="inlineStr">
        <is>
          <t>grade_beam</t>
        </is>
      </c>
      <c r="G301" s="5" t="inlineStr">
        <is>
          <t>label vote</t>
        </is>
      </c>
      <c r="H301" s="5" t="inlineStr">
        <is>
          <t>LG40x15</t>
        </is>
      </c>
      <c r="I301" s="5" t="inlineStr">
        <is>
          <t>printed label</t>
        </is>
      </c>
      <c r="J301" s="5" t="inlineStr">
        <is>
          <t>LG-40x15</t>
        </is>
      </c>
      <c r="K301" s="5" t="n">
        <v>527</v>
      </c>
      <c r="L301" s="5" t="n">
        <v>41</v>
      </c>
      <c r="M301" s="10">
        <f>IF(AND(ISNUMBER(K301),L301&gt;0),K301/L301,"")</f>
        <v/>
      </c>
      <c r="N301" s="5" t="n">
        <v>2.16</v>
      </c>
      <c r="O301" s="5" t="n">
        <v>79.3</v>
      </c>
      <c r="P301" s="5" t="n">
        <v>2</v>
      </c>
      <c r="Q301" s="5" t="n">
        <v>0</v>
      </c>
      <c r="R301" s="5" t="n">
        <v>0</v>
      </c>
      <c r="S301" s="5" t="n">
        <v>0</v>
      </c>
      <c r="T301" s="5" t="n">
        <v>1</v>
      </c>
      <c r="U301" s="5" t="n">
        <v>20</v>
      </c>
      <c r="V301" s="5" t="n">
        <v>2</v>
      </c>
      <c r="W301" s="5" t="n">
        <v>3.37</v>
      </c>
      <c r="X301" s="5" t="inlineStr"/>
      <c r="Y301" s="5" t="n">
        <v>3727.3</v>
      </c>
      <c r="Z301" s="5" t="n">
        <v>2813.3</v>
      </c>
      <c r="AA301" s="5" t="n">
        <v>3768.2</v>
      </c>
      <c r="AB301" s="5" t="n">
        <v>2968.4</v>
      </c>
      <c r="AC301" s="5" t="inlineStr"/>
      <c r="AD301" s="5">
        <f>IF(AC301="","",IF(OR(AC301=F301,AND(AC301="crane_footing",F301="isolated_footing")),"yes","no"))</f>
        <v/>
      </c>
    </row>
    <row r="302">
      <c r="A302" s="5" t="n">
        <v>301</v>
      </c>
      <c r="B302" s="5" t="inlineStr">
        <is>
          <t>122</t>
        </is>
      </c>
      <c r="C302" s="5" t="inlineStr">
        <is>
          <t>nearest labels in its region</t>
        </is>
      </c>
      <c r="D302" s="5" t="inlineStr">
        <is>
          <t>band</t>
        </is>
      </c>
      <c r="E302" s="5" t="n">
        <v>4</v>
      </c>
      <c r="F302" s="5" t="inlineStr">
        <is>
          <t>grade_beam</t>
        </is>
      </c>
      <c r="G302" s="5" t="inlineStr">
        <is>
          <t>label vote</t>
        </is>
      </c>
      <c r="H302" s="5" t="inlineStr">
        <is>
          <t>LG40x15</t>
        </is>
      </c>
      <c r="I302" s="5" t="inlineStr">
        <is>
          <t>printed label</t>
        </is>
      </c>
      <c r="J302" s="5" t="inlineStr">
        <is>
          <t>LG-40x15</t>
        </is>
      </c>
      <c r="K302" s="5" t="n">
        <v>514</v>
      </c>
      <c r="L302" s="5" t="n">
        <v>41</v>
      </c>
      <c r="M302" s="10">
        <f>IF(AND(ISNUMBER(K302),L302&gt;0),K302/L302,"")</f>
        <v/>
      </c>
      <c r="N302" s="5" t="n">
        <v>2.108</v>
      </c>
      <c r="O302" s="5" t="n">
        <v>0</v>
      </c>
      <c r="P302" s="5" t="n">
        <v>2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16</v>
      </c>
      <c r="V302" s="5" t="n">
        <v>1</v>
      </c>
      <c r="W302" s="5" t="n">
        <v>3.59</v>
      </c>
      <c r="X302" s="5" t="inlineStr"/>
      <c r="Y302" s="5" t="n">
        <v>4164.3</v>
      </c>
      <c r="Z302" s="5" t="n">
        <v>2253.6</v>
      </c>
      <c r="AA302" s="5" t="n">
        <v>4316.1</v>
      </c>
      <c r="AB302" s="5" t="n">
        <v>2265.9</v>
      </c>
      <c r="AC302" s="5" t="inlineStr"/>
      <c r="AD302" s="5">
        <f>IF(AC302="","",IF(OR(AC302=F302,AND(AC302="crane_footing",F302="isolated_footing")),"yes","no"))</f>
        <v/>
      </c>
    </row>
    <row r="303">
      <c r="A303" s="5" t="n">
        <v>302</v>
      </c>
      <c r="B303" s="5" t="inlineStr">
        <is>
          <t>122</t>
        </is>
      </c>
      <c r="C303" s="5" t="inlineStr">
        <is>
          <t>nearest labels in its region</t>
        </is>
      </c>
      <c r="D303" s="5" t="inlineStr">
        <is>
          <t>band</t>
        </is>
      </c>
      <c r="E303" s="5" t="n">
        <v>4</v>
      </c>
      <c r="F303" s="5" t="inlineStr">
        <is>
          <t>grade_beam</t>
        </is>
      </c>
      <c r="G303" s="5" t="inlineStr">
        <is>
          <t>label vote</t>
        </is>
      </c>
      <c r="H303" s="5" t="inlineStr">
        <is>
          <t>LG40x15</t>
        </is>
      </c>
      <c r="I303" s="5" t="inlineStr">
        <is>
          <t>printed label</t>
        </is>
      </c>
      <c r="J303" s="5" t="inlineStr">
        <is>
          <t>LG-40x15</t>
        </is>
      </c>
      <c r="K303" s="5" t="n">
        <v>514</v>
      </c>
      <c r="L303" s="5" t="n">
        <v>41</v>
      </c>
      <c r="M303" s="10">
        <f>IF(AND(ISNUMBER(K303),L303&gt;0),K303/L303,"")</f>
        <v/>
      </c>
      <c r="N303" s="5" t="n">
        <v>2.107</v>
      </c>
      <c r="O303" s="5" t="n">
        <v>0</v>
      </c>
      <c r="P303" s="5" t="n">
        <v>2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17</v>
      </c>
      <c r="V303" s="5" t="n">
        <v>1</v>
      </c>
      <c r="W303" s="5" t="n">
        <v>3.59</v>
      </c>
      <c r="X303" s="5" t="inlineStr"/>
      <c r="Y303" s="5" t="n">
        <v>4164.1</v>
      </c>
      <c r="Z303" s="5" t="n">
        <v>2484</v>
      </c>
      <c r="AA303" s="5" t="n">
        <v>4315.9</v>
      </c>
      <c r="AB303" s="5" t="n">
        <v>2496.2</v>
      </c>
      <c r="AC303" s="5" t="inlineStr"/>
      <c r="AD303" s="5">
        <f>IF(AC303="","",IF(OR(AC303=F303,AND(AC303="crane_footing",F303="isolated_footing")),"yes","no"))</f>
        <v/>
      </c>
    </row>
    <row r="304">
      <c r="A304" s="5" t="n">
        <v>303</v>
      </c>
      <c r="B304" s="5" t="inlineStr">
        <is>
          <t>122</t>
        </is>
      </c>
      <c r="C304" s="5" t="inlineStr">
        <is>
          <t>region between joints</t>
        </is>
      </c>
      <c r="D304" s="5" t="inlineStr">
        <is>
          <t>band</t>
        </is>
      </c>
      <c r="E304" s="5" t="n">
        <v>4</v>
      </c>
      <c r="F304" s="5" t="inlineStr">
        <is>
          <t>grade_beam</t>
        </is>
      </c>
      <c r="G304" s="5" t="inlineStr">
        <is>
          <t>label vote</t>
        </is>
      </c>
      <c r="H304" s="5" t="inlineStr">
        <is>
          <t>LG40x15</t>
        </is>
      </c>
      <c r="I304" s="5" t="inlineStr">
        <is>
          <t>printed label</t>
        </is>
      </c>
      <c r="J304" s="5" t="inlineStr">
        <is>
          <t>LG-40x15</t>
        </is>
      </c>
      <c r="K304" s="5" t="n">
        <v>512</v>
      </c>
      <c r="L304" s="5" t="n">
        <v>41</v>
      </c>
      <c r="M304" s="10">
        <f>IF(AND(ISNUMBER(K304),L304&gt;0),K304/L304,"")</f>
        <v/>
      </c>
      <c r="N304" s="5" t="n">
        <v>2.098</v>
      </c>
      <c r="O304" s="5" t="n">
        <v>79.2</v>
      </c>
      <c r="P304" s="5" t="n">
        <v>2</v>
      </c>
      <c r="Q304" s="5" t="n">
        <v>0</v>
      </c>
      <c r="R304" s="5" t="n">
        <v>0</v>
      </c>
      <c r="S304" s="5" t="n">
        <v>0</v>
      </c>
      <c r="T304" s="5" t="n">
        <v>0</v>
      </c>
      <c r="U304" s="5" t="n">
        <v>19</v>
      </c>
      <c r="V304" s="5" t="n">
        <v>1</v>
      </c>
      <c r="W304" s="5" t="n">
        <v>3.61</v>
      </c>
      <c r="X304" s="5" t="inlineStr"/>
      <c r="Y304" s="5" t="n">
        <v>3952.1</v>
      </c>
      <c r="Z304" s="5" t="n">
        <v>2776.2</v>
      </c>
      <c r="AA304" s="5" t="n">
        <v>3992.3</v>
      </c>
      <c r="AB304" s="5" t="n">
        <v>2926.9</v>
      </c>
      <c r="AC304" s="5" t="inlineStr"/>
      <c r="AD304" s="5">
        <f>IF(AC304="","",IF(OR(AC304=F304,AND(AC304="crane_footing",F304="isolated_footing")),"yes","no"))</f>
        <v/>
      </c>
    </row>
    <row r="305">
      <c r="A305" s="5" t="n">
        <v>304</v>
      </c>
      <c r="B305" s="5" t="inlineStr">
        <is>
          <t>122</t>
        </is>
      </c>
      <c r="C305" s="5" t="inlineStr">
        <is>
          <t>region between joints</t>
        </is>
      </c>
      <c r="D305" s="5" t="inlineStr">
        <is>
          <t>band</t>
        </is>
      </c>
      <c r="E305" s="5" t="n">
        <v>4</v>
      </c>
      <c r="F305" s="5" t="inlineStr">
        <is>
          <t>grade_beam</t>
        </is>
      </c>
      <c r="G305" s="5" t="inlineStr">
        <is>
          <t>label vote</t>
        </is>
      </c>
      <c r="H305" s="5" t="inlineStr">
        <is>
          <t>LG40x15</t>
        </is>
      </c>
      <c r="I305" s="5" t="inlineStr">
        <is>
          <t>printed label</t>
        </is>
      </c>
      <c r="J305" s="5" t="inlineStr">
        <is>
          <t>LG-40x15</t>
        </is>
      </c>
      <c r="K305" s="5" t="n">
        <v>260</v>
      </c>
      <c r="L305" s="5" t="n">
        <v>41</v>
      </c>
      <c r="M305" s="10">
        <f>IF(AND(ISNUMBER(K305),L305&gt;0),K305/L305,"")</f>
        <v/>
      </c>
      <c r="N305" s="5" t="n">
        <v>1.065</v>
      </c>
      <c r="O305" s="5" t="n">
        <v>169.4</v>
      </c>
      <c r="P305" s="5" t="n">
        <v>2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2</v>
      </c>
      <c r="V305" s="5" t="n">
        <v>3</v>
      </c>
      <c r="W305" s="5" t="n">
        <v>0.99</v>
      </c>
      <c r="X305" s="5" t="inlineStr"/>
      <c r="Y305" s="5" t="n">
        <v>4221.7</v>
      </c>
      <c r="Z305" s="5" t="n">
        <v>2883</v>
      </c>
      <c r="AA305" s="5" t="n">
        <v>4299.3</v>
      </c>
      <c r="AB305" s="5" t="n">
        <v>2909</v>
      </c>
      <c r="AC305" s="5" t="inlineStr"/>
      <c r="AD305" s="5">
        <f>IF(AC305="","",IF(OR(AC305=F305,AND(AC305="crane_footing",F305="isolated_footing")),"yes","no"))</f>
        <v/>
      </c>
    </row>
    <row r="306">
      <c r="A306" s="5" t="n">
        <v>305</v>
      </c>
      <c r="B306" s="5" t="inlineStr">
        <is>
          <t>122</t>
        </is>
      </c>
      <c r="C306" s="5" t="inlineStr">
        <is>
          <t>region between joints</t>
        </is>
      </c>
      <c r="D306" s="5" t="inlineStr">
        <is>
          <t>band</t>
        </is>
      </c>
      <c r="E306" s="5" t="n">
        <v>4</v>
      </c>
      <c r="F306" s="5" t="inlineStr">
        <is>
          <t>grade_beam</t>
        </is>
      </c>
      <c r="G306" s="5" t="inlineStr">
        <is>
          <t>label vote</t>
        </is>
      </c>
      <c r="H306" s="5" t="inlineStr">
        <is>
          <t>LG40x15</t>
        </is>
      </c>
      <c r="I306" s="5" t="inlineStr">
        <is>
          <t>printed label</t>
        </is>
      </c>
      <c r="J306" s="5" t="inlineStr">
        <is>
          <t>LG-40x15</t>
        </is>
      </c>
      <c r="K306" s="5" t="n">
        <v>132</v>
      </c>
      <c r="L306" s="5" t="n">
        <v>41</v>
      </c>
      <c r="M306" s="10">
        <f>IF(AND(ISNUMBER(K306),L306&gt;0),K306/L306,"")</f>
        <v/>
      </c>
      <c r="N306" s="5" t="n">
        <v>0.54</v>
      </c>
      <c r="O306" s="5" t="n">
        <v>0</v>
      </c>
      <c r="P306" s="5" t="n">
        <v>1</v>
      </c>
      <c r="Q306" s="5" t="n">
        <v>1</v>
      </c>
      <c r="R306" s="5" t="n">
        <v>0</v>
      </c>
      <c r="S306" s="5" t="n">
        <v>0</v>
      </c>
      <c r="T306" s="5" t="n">
        <v>0</v>
      </c>
      <c r="U306" s="5" t="n">
        <v>1</v>
      </c>
      <c r="V306" s="5" t="n">
        <v>3</v>
      </c>
      <c r="W306" s="5" t="n">
        <v>0.22</v>
      </c>
      <c r="X306" s="5" t="inlineStr"/>
      <c r="Y306" s="5" t="n">
        <v>4553.7</v>
      </c>
      <c r="Z306" s="5" t="n">
        <v>2695</v>
      </c>
      <c r="AA306" s="5" t="n">
        <v>4592.6</v>
      </c>
      <c r="AB306" s="5" t="n">
        <v>2707.1</v>
      </c>
      <c r="AC306" s="5" t="inlineStr"/>
      <c r="AD306" s="5">
        <f>IF(AC306="","",IF(OR(AC306=F306,AND(AC306="crane_footing",F306="isolated_footing")),"yes","no"))</f>
        <v/>
      </c>
    </row>
    <row r="307">
      <c r="A307" s="5" t="n">
        <v>306</v>
      </c>
      <c r="B307" s="5" t="inlineStr">
        <is>
          <t>122</t>
        </is>
      </c>
      <c r="C307" s="5" t="inlineStr">
        <is>
          <t>region between joints</t>
        </is>
      </c>
      <c r="D307" s="5" t="inlineStr">
        <is>
          <t>band</t>
        </is>
      </c>
      <c r="E307" s="5" t="n">
        <v>4</v>
      </c>
      <c r="F307" s="5" t="inlineStr">
        <is>
          <t>grade_beam</t>
        </is>
      </c>
      <c r="G307" s="5" t="inlineStr">
        <is>
          <t>label vote</t>
        </is>
      </c>
      <c r="H307" s="5" t="inlineStr">
        <is>
          <t>(none)</t>
        </is>
      </c>
      <c r="I307" s="5" t="inlineStr"/>
      <c r="J307" s="5" t="inlineStr"/>
      <c r="K307" s="5" t="n">
        <v>350</v>
      </c>
      <c r="L307" s="5" t="n">
        <v>41</v>
      </c>
      <c r="M307" s="10">
        <f>IF(AND(ISNUMBER(K307),L307&gt;0),K307/L307,"")</f>
        <v/>
      </c>
      <c r="N307" s="5" t="n">
        <v>1.434</v>
      </c>
      <c r="O307" s="5" t="n">
        <v>90</v>
      </c>
      <c r="P307" s="5" t="n">
        <v>1</v>
      </c>
      <c r="Q307" s="5" t="n">
        <v>1</v>
      </c>
      <c r="R307" s="5" t="n">
        <v>0</v>
      </c>
      <c r="S307" s="5" t="n">
        <v>0</v>
      </c>
      <c r="T307" s="5" t="n">
        <v>0</v>
      </c>
      <c r="U307" s="5" t="n">
        <v>2</v>
      </c>
      <c r="V307" s="5" t="n">
        <v>3</v>
      </c>
      <c r="W307" s="5" t="n">
        <v>0.63</v>
      </c>
      <c r="X307" s="5" t="inlineStr"/>
      <c r="Y307" s="5" t="n">
        <v>4582.3</v>
      </c>
      <c r="Z307" s="5" t="n">
        <v>2707</v>
      </c>
      <c r="AA307" s="5" t="n">
        <v>4594.5</v>
      </c>
      <c r="AB307" s="5" t="n">
        <v>2810.3</v>
      </c>
      <c r="AC307" s="5" t="inlineStr"/>
      <c r="AD307" s="5">
        <f>IF(AC307="","",IF(OR(AC307=F307,AND(AC307="crane_footing",F307="isolated_footing")),"yes","no"))</f>
        <v/>
      </c>
    </row>
    <row r="308">
      <c r="A308" s="5" t="n">
        <v>307</v>
      </c>
      <c r="B308" s="5" t="inlineStr">
        <is>
          <t>122</t>
        </is>
      </c>
      <c r="C308" s="5" t="inlineStr">
        <is>
          <t>region between joints</t>
        </is>
      </c>
      <c r="D308" s="5" t="inlineStr">
        <is>
          <t>stamped_region</t>
        </is>
      </c>
      <c r="E308" s="5" t="n">
        <v>39</v>
      </c>
      <c r="F308" s="5" t="inlineStr">
        <is>
          <t>raft</t>
        </is>
      </c>
      <c r="G308" s="5" t="inlineStr">
        <is>
          <t>label vote</t>
        </is>
      </c>
      <c r="H308" s="5" t="inlineStr">
        <is>
          <t>Radier 100</t>
        </is>
      </c>
      <c r="I308" s="5" t="inlineStr">
        <is>
          <t>printed label</t>
        </is>
      </c>
      <c r="J308" s="5" t="inlineStr">
        <is>
          <t>Radier</t>
        </is>
      </c>
      <c r="K308" s="5" t="n">
        <v>1200</v>
      </c>
      <c r="L308" s="5" t="n">
        <v>699</v>
      </c>
      <c r="M308" s="10">
        <f>IF(AND(ISNUMBER(K308),L308&gt;0),K308/L308,"")</f>
        <v/>
      </c>
      <c r="N308" s="5" t="n">
        <v>77.81699999999999</v>
      </c>
      <c r="O308" s="5" t="n">
        <v>0</v>
      </c>
      <c r="P308" s="5" t="n">
        <v>10</v>
      </c>
      <c r="Q308" s="5" t="n">
        <v>0</v>
      </c>
      <c r="R308" s="5" t="n">
        <v>0</v>
      </c>
      <c r="S308" s="5" t="n">
        <v>0</v>
      </c>
      <c r="T308" s="5" t="n">
        <v>9</v>
      </c>
      <c r="U308" s="5" t="n">
        <v>136</v>
      </c>
      <c r="V308" s="5" t="n">
        <v>4</v>
      </c>
      <c r="W308" s="5" t="n"/>
      <c r="X308" s="5" t="inlineStr">
        <is>
          <t>rays' extent (approximate)</t>
        </is>
      </c>
      <c r="Y308" s="5" t="n">
        <v>4689.4</v>
      </c>
      <c r="Z308" s="5" t="n">
        <v>2581.1</v>
      </c>
      <c r="AA308" s="5" t="n">
        <v>5043.7</v>
      </c>
      <c r="AB308" s="5" t="n">
        <v>2787.7</v>
      </c>
      <c r="AC308" s="5" t="inlineStr"/>
      <c r="AD308" s="5">
        <f>IF(AC308="","",IF(OR(AC308=F308,AND(AC308="crane_footing",F308="isolated_footing")),"yes","no"))</f>
        <v/>
      </c>
    </row>
    <row r="309">
      <c r="A309" s="5" t="n">
        <v>308</v>
      </c>
      <c r="B309" s="5" t="inlineStr">
        <is>
          <t>122</t>
        </is>
      </c>
      <c r="C309" s="5" t="inlineStr">
        <is>
          <t>region between joints</t>
        </is>
      </c>
      <c r="D309" s="5" t="inlineStr">
        <is>
          <t>cross_hatch</t>
        </is>
      </c>
      <c r="E309" s="5" t="n">
        <v>14</v>
      </c>
      <c r="F309" s="5" t="inlineStr">
        <is>
          <t>unnamed</t>
        </is>
      </c>
      <c r="G309" s="5" t="inlineStr">
        <is>
          <t>no label votes</t>
        </is>
      </c>
      <c r="H309" s="5" t="inlineStr">
        <is>
          <t>(none)</t>
        </is>
      </c>
      <c r="I309" s="5" t="inlineStr"/>
      <c r="J309" s="5" t="inlineStr"/>
      <c r="K309" s="5" t="n">
        <v>153</v>
      </c>
      <c r="L309" s="5" t="n">
        <v>20</v>
      </c>
      <c r="M309" s="10">
        <f>IF(AND(ISNUMBER(K309),L309&gt;0),K309/L309,"")</f>
        <v/>
      </c>
      <c r="N309" s="5" t="n">
        <v>0.307</v>
      </c>
      <c r="O309" s="5" t="n">
        <v>90</v>
      </c>
      <c r="P309" s="5" t="n">
        <v>1</v>
      </c>
      <c r="Q309" s="5" t="n">
        <v>0</v>
      </c>
      <c r="R309" s="5" t="n">
        <v>0</v>
      </c>
      <c r="S309" s="5" t="n">
        <v>1</v>
      </c>
      <c r="T309" s="5" t="n">
        <v>0</v>
      </c>
      <c r="U309" s="5" t="n">
        <v>0</v>
      </c>
      <c r="V309" s="5" t="n">
        <v>2</v>
      </c>
      <c r="W309" s="5" t="n"/>
      <c r="X309" s="5" t="inlineStr"/>
      <c r="Y309" s="5" t="n">
        <v>4728.8</v>
      </c>
      <c r="Z309" s="5" t="n">
        <v>2618.6</v>
      </c>
      <c r="AA309" s="5" t="n">
        <v>4734.7</v>
      </c>
      <c r="AB309" s="5" t="n">
        <v>2686.2</v>
      </c>
      <c r="AC309" s="5" t="inlineStr"/>
      <c r="AD309" s="5">
        <f>IF(AC309="","",IF(OR(AC309=F309,AND(AC309="crane_footing",F309="isolated_footing")),"yes","no"))</f>
        <v/>
      </c>
    </row>
    <row r="310">
      <c r="A310" s="5" t="n">
        <v>309</v>
      </c>
      <c r="B310" s="5" t="inlineStr">
        <is>
          <t>122</t>
        </is>
      </c>
      <c r="C310" s="5" t="inlineStr">
        <is>
          <t>region between joints</t>
        </is>
      </c>
      <c r="D310" s="5" t="inlineStr">
        <is>
          <t>cross_hatch</t>
        </is>
      </c>
      <c r="E310" s="5" t="n">
        <v>14</v>
      </c>
      <c r="F310" s="5" t="inlineStr">
        <is>
          <t>unnamed</t>
        </is>
      </c>
      <c r="G310" s="5" t="inlineStr">
        <is>
          <t>no label votes</t>
        </is>
      </c>
      <c r="H310" s="5" t="inlineStr">
        <is>
          <t>(none)</t>
        </is>
      </c>
      <c r="I310" s="5" t="inlineStr"/>
      <c r="J310" s="5" t="inlineStr"/>
      <c r="K310" s="5" t="n">
        <v>231</v>
      </c>
      <c r="L310" s="5" t="n">
        <v>20</v>
      </c>
      <c r="M310" s="10">
        <f>IF(AND(ISNUMBER(K310),L310&gt;0),K310/L310,"")</f>
        <v/>
      </c>
      <c r="N310" s="5" t="n">
        <v>0.464</v>
      </c>
      <c r="O310" s="5" t="n">
        <v>180</v>
      </c>
      <c r="P310" s="5" t="n">
        <v>1</v>
      </c>
      <c r="Q310" s="5" t="n">
        <v>0</v>
      </c>
      <c r="R310" s="5" t="n">
        <v>0</v>
      </c>
      <c r="S310" s="5" t="n">
        <v>1</v>
      </c>
      <c r="T310" s="5" t="n">
        <v>0</v>
      </c>
      <c r="U310" s="5" t="n">
        <v>0</v>
      </c>
      <c r="V310" s="5" t="n">
        <v>1</v>
      </c>
      <c r="W310" s="5" t="n"/>
      <c r="X310" s="5" t="inlineStr"/>
      <c r="Y310" s="5" t="n">
        <v>4775.3</v>
      </c>
      <c r="Z310" s="5" t="n">
        <v>2688.8</v>
      </c>
      <c r="AA310" s="5" t="n">
        <v>4873.4</v>
      </c>
      <c r="AB310" s="5" t="n">
        <v>2694.8</v>
      </c>
      <c r="AC310" s="5" t="inlineStr"/>
      <c r="AD310" s="5">
        <f>IF(AC310="","",IF(OR(AC310=F310,AND(AC310="crane_footing",F310="isolated_footing")),"yes","no"))</f>
        <v/>
      </c>
    </row>
    <row r="311">
      <c r="A311" s="5" t="n">
        <v>310</v>
      </c>
      <c r="B311" s="5" t="inlineStr">
        <is>
          <t>122</t>
        </is>
      </c>
      <c r="C311" s="5" t="inlineStr">
        <is>
          <t>region between joints</t>
        </is>
      </c>
      <c r="D311" s="5" t="inlineStr">
        <is>
          <t>single_hatch</t>
        </is>
      </c>
      <c r="E311" s="5" t="n">
        <v>27</v>
      </c>
      <c r="F311" s="5" t="inlineStr">
        <is>
          <t>unnamed</t>
        </is>
      </c>
      <c r="G311" s="5" t="inlineStr">
        <is>
          <t>no label votes</t>
        </is>
      </c>
      <c r="H311" s="5" t="inlineStr">
        <is>
          <t>(none)</t>
        </is>
      </c>
      <c r="I311" s="5" t="inlineStr"/>
      <c r="J311" s="5" t="inlineStr"/>
      <c r="K311" s="5" t="n">
        <v>70</v>
      </c>
      <c r="L311" s="5" t="n">
        <v>9</v>
      </c>
      <c r="M311" s="10">
        <f>IF(AND(ISNUMBER(K311),L311&gt;0),K311/L311,"")</f>
        <v/>
      </c>
      <c r="N311" s="5" t="n">
        <v>0.039</v>
      </c>
      <c r="O311" s="5" t="n">
        <v>26.8</v>
      </c>
      <c r="P311" s="5" t="n">
        <v>1</v>
      </c>
      <c r="Q311" s="5" t="n">
        <v>0</v>
      </c>
      <c r="R311" s="5" t="n">
        <v>0</v>
      </c>
      <c r="S311" s="5" t="n">
        <v>1</v>
      </c>
      <c r="T311" s="5" t="n">
        <v>0</v>
      </c>
      <c r="U311" s="5" t="n">
        <v>1</v>
      </c>
      <c r="V311" s="5" t="n">
        <v>0</v>
      </c>
      <c r="W311" s="5" t="n"/>
      <c r="X311" s="5" t="inlineStr"/>
      <c r="Y311" s="5" t="n">
        <v>4821.8</v>
      </c>
      <c r="Z311" s="5" t="n">
        <v>2740.4</v>
      </c>
      <c r="AA311" s="5" t="n">
        <v>4841.3</v>
      </c>
      <c r="AB311" s="5" t="n">
        <v>2747.8</v>
      </c>
      <c r="AC311" s="5" t="inlineStr"/>
      <c r="AD311" s="5">
        <f>IF(AC311="","",IF(OR(AC311=F311,AND(AC311="crane_footing",F311="isolated_footing")),"yes","no"))</f>
        <v/>
      </c>
    </row>
    <row r="312">
      <c r="A312" s="5" t="n">
        <v>311</v>
      </c>
      <c r="B312" s="5" t="inlineStr">
        <is>
          <t>122</t>
        </is>
      </c>
      <c r="C312" s="5" t="inlineStr">
        <is>
          <t>region between joints</t>
        </is>
      </c>
      <c r="D312" s="5" t="inlineStr">
        <is>
          <t>single_hatch</t>
        </is>
      </c>
      <c r="E312" s="5" t="n">
        <v>27</v>
      </c>
      <c r="F312" s="5" t="inlineStr">
        <is>
          <t>unnamed</t>
        </is>
      </c>
      <c r="G312" s="5" t="inlineStr">
        <is>
          <t>no label votes</t>
        </is>
      </c>
      <c r="H312" s="5" t="inlineStr">
        <is>
          <t>(none)</t>
        </is>
      </c>
      <c r="I312" s="5" t="inlineStr"/>
      <c r="J312" s="5" t="inlineStr"/>
      <c r="K312" s="5" t="n">
        <v>107</v>
      </c>
      <c r="L312" s="5" t="n">
        <v>20</v>
      </c>
      <c r="M312" s="10">
        <f>IF(AND(ISNUMBER(K312),L312&gt;0),K312/L312,"")</f>
        <v/>
      </c>
      <c r="N312" s="5" t="n">
        <v>0.128</v>
      </c>
      <c r="O312" s="5" t="n">
        <v>0</v>
      </c>
      <c r="P312" s="5" t="n">
        <v>1</v>
      </c>
      <c r="Q312" s="5" t="n">
        <v>1</v>
      </c>
      <c r="R312" s="5" t="n">
        <v>0</v>
      </c>
      <c r="S312" s="5" t="n">
        <v>1</v>
      </c>
      <c r="T312" s="5" t="n">
        <v>0</v>
      </c>
      <c r="U312" s="5" t="n">
        <v>1</v>
      </c>
      <c r="V312" s="5" t="n">
        <v>0</v>
      </c>
      <c r="W312" s="5" t="n"/>
      <c r="X312" s="5" t="inlineStr"/>
      <c r="Y312" s="5" t="n">
        <v>4881.4</v>
      </c>
      <c r="Z312" s="5" t="n">
        <v>2653.2</v>
      </c>
      <c r="AA312" s="5" t="n">
        <v>4913.1</v>
      </c>
      <c r="AB312" s="5" t="n">
        <v>2659.1</v>
      </c>
      <c r="AC312" s="5" t="inlineStr"/>
      <c r="AD312" s="5">
        <f>IF(AC312="","",IF(OR(AC312=F312,AND(AC312="crane_footing",F312="isolated_footing")),"yes","no"))</f>
        <v/>
      </c>
    </row>
    <row r="313">
      <c r="A313" s="5" t="n">
        <v>312</v>
      </c>
      <c r="B313" s="5" t="inlineStr">
        <is>
          <t>122</t>
        </is>
      </c>
      <c r="C313" s="5" t="inlineStr">
        <is>
          <t>nearest labels in its region</t>
        </is>
      </c>
      <c r="D313" s="5" t="inlineStr">
        <is>
          <t>outline</t>
        </is>
      </c>
      <c r="E313" s="5" t="n">
        <v>24</v>
      </c>
      <c r="F313" s="5" t="inlineStr">
        <is>
          <t>unnamed</t>
        </is>
      </c>
      <c r="G313" s="5" t="inlineStr">
        <is>
          <t>no label votes</t>
        </is>
      </c>
      <c r="H313" s="5" t="inlineStr">
        <is>
          <t>(none)</t>
        </is>
      </c>
      <c r="I313" s="5" t="inlineStr"/>
      <c r="J313" s="5" t="inlineStr"/>
      <c r="K313" s="5" t="n">
        <v>60</v>
      </c>
      <c r="L313" s="5" t="n">
        <v>60</v>
      </c>
      <c r="M313" s="10">
        <f>IF(AND(ISNUMBER(K313),L313&gt;0),K313/L313,"")</f>
        <v/>
      </c>
      <c r="N313" s="5" t="n">
        <v>0.361</v>
      </c>
      <c r="O313" s="5" t="n">
        <v>90</v>
      </c>
      <c r="P313" s="5" t="n">
        <v>0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53</v>
      </c>
      <c r="V313" s="5" t="n">
        <v>3</v>
      </c>
      <c r="W313" s="5" t="n"/>
      <c r="X313" s="5" t="inlineStr"/>
      <c r="Y313" s="5" t="n">
        <v>4309.7</v>
      </c>
      <c r="Z313" s="5" t="n">
        <v>2320.8</v>
      </c>
      <c r="AA313" s="5" t="n">
        <v>4327.5</v>
      </c>
      <c r="AB313" s="5" t="n">
        <v>2338.5</v>
      </c>
      <c r="AC313" s="5" t="inlineStr">
        <is>
          <t>mass_concrete_pad</t>
        </is>
      </c>
      <c r="AD313" s="5">
        <f>IF(AC313="","",IF(OR(AC313=F313,AND(AC313="crane_footing",F313="isolated_footing")),"yes","no"))</f>
        <v/>
      </c>
    </row>
    <row r="314">
      <c r="A314" s="5" t="n">
        <v>313</v>
      </c>
      <c r="B314" s="5" t="inlineStr">
        <is>
          <t>122</t>
        </is>
      </c>
      <c r="C314" s="5" t="inlineStr">
        <is>
          <t>region between joints</t>
        </is>
      </c>
      <c r="D314" s="5" t="inlineStr">
        <is>
          <t>outline</t>
        </is>
      </c>
      <c r="E314" s="5" t="n">
        <v>24</v>
      </c>
      <c r="F314" s="5" t="inlineStr">
        <is>
          <t>unnamed</t>
        </is>
      </c>
      <c r="G314" s="5" t="inlineStr">
        <is>
          <t>no label votes</t>
        </is>
      </c>
      <c r="H314" s="5" t="inlineStr">
        <is>
          <t>(none)</t>
        </is>
      </c>
      <c r="I314" s="5" t="inlineStr"/>
      <c r="J314" s="5" t="inlineStr"/>
      <c r="K314" s="5" t="n">
        <v>60</v>
      </c>
      <c r="L314" s="5" t="n">
        <v>60</v>
      </c>
      <c r="M314" s="10">
        <f>IF(AND(ISNUMBER(K314),L314&gt;0),K314/L314,"")</f>
        <v/>
      </c>
      <c r="N314" s="5" t="n">
        <v>0.36</v>
      </c>
      <c r="O314" s="5" t="n">
        <v>79.40000000000001</v>
      </c>
      <c r="P314" s="5" t="n">
        <v>0</v>
      </c>
      <c r="Q314" s="5" t="n">
        <v>0</v>
      </c>
      <c r="R314" s="5" t="n">
        <v>0</v>
      </c>
      <c r="S314" s="5" t="n">
        <v>0</v>
      </c>
      <c r="T314" s="5" t="n">
        <v>0</v>
      </c>
      <c r="U314" s="5" t="n">
        <v>47</v>
      </c>
      <c r="V314" s="5" t="n">
        <v>2</v>
      </c>
      <c r="W314" s="5" t="n"/>
      <c r="X314" s="5" t="inlineStr"/>
      <c r="Y314" s="5" t="n">
        <v>3884.5</v>
      </c>
      <c r="Z314" s="5" t="n">
        <v>2938.5</v>
      </c>
      <c r="AA314" s="5" t="n">
        <v>3905.2</v>
      </c>
      <c r="AB314" s="5" t="n">
        <v>2959.2</v>
      </c>
      <c r="AC314" s="5" t="inlineStr">
        <is>
          <t>mass_concrete_pad</t>
        </is>
      </c>
      <c r="AD314" s="5">
        <f>IF(AC314="","",IF(OR(AC314=F314,AND(AC314="crane_footing",F314="isolated_footing")),"yes","no"))</f>
        <v/>
      </c>
    </row>
    <row r="315">
      <c r="A315" s="5" t="n">
        <v>314</v>
      </c>
      <c r="B315" s="5" t="inlineStr">
        <is>
          <t>122</t>
        </is>
      </c>
      <c r="C315" s="5" t="inlineStr">
        <is>
          <t>region between joints</t>
        </is>
      </c>
      <c r="D315" s="5" t="inlineStr">
        <is>
          <t>outline</t>
        </is>
      </c>
      <c r="E315" s="5" t="n">
        <v>24</v>
      </c>
      <c r="F315" s="5" t="inlineStr">
        <is>
          <t>unnamed</t>
        </is>
      </c>
      <c r="G315" s="5" t="inlineStr">
        <is>
          <t>no label votes</t>
        </is>
      </c>
      <c r="H315" s="5" t="inlineStr">
        <is>
          <t>(none)</t>
        </is>
      </c>
      <c r="I315" s="5" t="inlineStr"/>
      <c r="J315" s="5" t="inlineStr"/>
      <c r="K315" s="5" t="n">
        <v>60</v>
      </c>
      <c r="L315" s="5" t="n">
        <v>60</v>
      </c>
      <c r="M315" s="10">
        <f>IF(AND(ISNUMBER(K315),L315&gt;0),K315/L315,"")</f>
        <v/>
      </c>
      <c r="N315" s="5" t="n">
        <v>0.36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54</v>
      </c>
      <c r="V315" s="5" t="n">
        <v>3</v>
      </c>
      <c r="W315" s="5" t="n"/>
      <c r="X315" s="5" t="inlineStr"/>
      <c r="Y315" s="5" t="n">
        <v>4312.5</v>
      </c>
      <c r="Z315" s="5" t="n">
        <v>2606.3</v>
      </c>
      <c r="AA315" s="5" t="n">
        <v>4330.3</v>
      </c>
      <c r="AB315" s="5" t="n">
        <v>2624</v>
      </c>
      <c r="AC315" s="5" t="inlineStr">
        <is>
          <t>mass_concrete_pad</t>
        </is>
      </c>
      <c r="AD315" s="5">
        <f>IF(AC315="","",IF(OR(AC315=F315,AND(AC315="crane_footing",F315="isolated_footing")),"yes","no"))</f>
        <v/>
      </c>
    </row>
    <row r="316">
      <c r="A316" s="5" t="n">
        <v>315</v>
      </c>
      <c r="B316" s="5" t="inlineStr">
        <is>
          <t>122</t>
        </is>
      </c>
      <c r="C316" s="5" t="inlineStr">
        <is>
          <t>region between joints</t>
        </is>
      </c>
      <c r="D316" s="5" t="inlineStr">
        <is>
          <t>outline</t>
        </is>
      </c>
      <c r="E316" s="5" t="n">
        <v>22</v>
      </c>
      <c r="F316" s="5" t="inlineStr">
        <is>
          <t>unnamed</t>
        </is>
      </c>
      <c r="G316" s="5" t="inlineStr">
        <is>
          <t>no label votes</t>
        </is>
      </c>
      <c r="H316" s="5" t="inlineStr">
        <is>
          <t>(none)</t>
        </is>
      </c>
      <c r="I316" s="5" t="inlineStr"/>
      <c r="J316" s="5" t="inlineStr"/>
      <c r="K316" s="5" t="n">
        <v>108</v>
      </c>
      <c r="L316" s="5" t="n">
        <v>20</v>
      </c>
      <c r="M316" s="10">
        <f>IF(AND(ISNUMBER(K316),L316&gt;0),K316/L316,"")</f>
        <v/>
      </c>
      <c r="N316" s="5" t="n">
        <v>0.216</v>
      </c>
      <c r="O316" s="5" t="n">
        <v>0</v>
      </c>
      <c r="P316" s="5" t="n">
        <v>2</v>
      </c>
      <c r="Q316" s="5" t="n">
        <v>0</v>
      </c>
      <c r="R316" s="5" t="n">
        <v>0</v>
      </c>
      <c r="S316" s="5" t="n">
        <v>1</v>
      </c>
      <c r="T316" s="5" t="n">
        <v>0</v>
      </c>
      <c r="U316" s="5" t="n">
        <v>4</v>
      </c>
      <c r="V316" s="5" t="n">
        <v>0</v>
      </c>
      <c r="W316" s="5" t="n"/>
      <c r="X316" s="5" t="inlineStr"/>
      <c r="Y316" s="5" t="n">
        <v>4881.1</v>
      </c>
      <c r="Z316" s="5" t="n">
        <v>2653.2</v>
      </c>
      <c r="AA316" s="5" t="n">
        <v>4913.1</v>
      </c>
      <c r="AB316" s="5" t="n">
        <v>2659.1</v>
      </c>
      <c r="AC316" s="5" t="inlineStr"/>
      <c r="AD316" s="5">
        <f>IF(AC316="","",IF(OR(AC316=F316,AND(AC316="crane_footing",F316="isolated_footing")),"yes","no"))</f>
        <v/>
      </c>
    </row>
    <row r="317">
      <c r="A317" s="5" t="n">
        <v>316</v>
      </c>
      <c r="B317" s="5" t="inlineStr">
        <is>
          <t>122</t>
        </is>
      </c>
      <c r="C317" s="5" t="inlineStr">
        <is>
          <t>region between joints</t>
        </is>
      </c>
      <c r="D317" s="5" t="inlineStr">
        <is>
          <t>band</t>
        </is>
      </c>
      <c r="E317" s="5" t="n">
        <v>0</v>
      </c>
      <c r="F317" s="5" t="inlineStr">
        <is>
          <t>unnamed</t>
        </is>
      </c>
      <c r="G317" s="5" t="inlineStr">
        <is>
          <t>no label votes</t>
        </is>
      </c>
      <c r="H317" s="5" t="inlineStr">
        <is>
          <t>(none)</t>
        </is>
      </c>
      <c r="I317" s="5" t="inlineStr"/>
      <c r="J317" s="5" t="inlineStr"/>
      <c r="K317" s="5" t="n">
        <v>60</v>
      </c>
      <c r="L317" s="5" t="n">
        <v>11</v>
      </c>
      <c r="M317" s="10">
        <f>IF(AND(ISNUMBER(K317),L317&gt;0),K317/L317,"")</f>
        <v/>
      </c>
      <c r="N317" s="5" t="n">
        <v>0.066</v>
      </c>
      <c r="O317" s="5" t="n">
        <v>90</v>
      </c>
      <c r="P317" s="5" t="n">
        <v>0</v>
      </c>
      <c r="Q317" s="5" t="n">
        <v>1</v>
      </c>
      <c r="R317" s="5" t="n">
        <v>0</v>
      </c>
      <c r="S317" s="5" t="n">
        <v>0</v>
      </c>
      <c r="T317" s="5" t="n">
        <v>0</v>
      </c>
      <c r="U317" s="5" t="n">
        <v>12</v>
      </c>
      <c r="V317" s="5" t="n">
        <v>1</v>
      </c>
      <c r="W317" s="5" t="n">
        <v>0</v>
      </c>
      <c r="X317" s="5" t="inlineStr"/>
      <c r="Y317" s="5" t="n">
        <v>4312.6</v>
      </c>
      <c r="Z317" s="5" t="n">
        <v>2606.3</v>
      </c>
      <c r="AA317" s="5" t="n">
        <v>4315.9</v>
      </c>
      <c r="AB317" s="5" t="n">
        <v>2624</v>
      </c>
      <c r="AC317" s="5" t="inlineStr"/>
      <c r="AD317" s="5">
        <f>IF(AC317="","",IF(OR(AC317=F317,AND(AC317="crane_footing",F317="isolated_footing")),"yes","no"))</f>
        <v/>
      </c>
    </row>
    <row r="318">
      <c r="A318" s="5" t="n">
        <v>317</v>
      </c>
      <c r="B318" s="5" t="inlineStr">
        <is>
          <t>122</t>
        </is>
      </c>
      <c r="C318" s="5" t="inlineStr">
        <is>
          <t>region between joints</t>
        </is>
      </c>
      <c r="D318" s="5" t="inlineStr">
        <is>
          <t>band</t>
        </is>
      </c>
      <c r="E318" s="5" t="n">
        <v>1</v>
      </c>
      <c r="F318" s="5" t="inlineStr">
        <is>
          <t>unnamed</t>
        </is>
      </c>
      <c r="G318" s="5" t="inlineStr">
        <is>
          <t>no label votes</t>
        </is>
      </c>
      <c r="H318" s="5" t="inlineStr">
        <is>
          <t>(none)</t>
        </is>
      </c>
      <c r="I318" s="5" t="inlineStr"/>
      <c r="J318" s="5" t="inlineStr"/>
      <c r="K318" s="5" t="n">
        <v>338</v>
      </c>
      <c r="L318" s="5" t="n">
        <v>20</v>
      </c>
      <c r="M318" s="10">
        <f>IF(AND(ISNUMBER(K318),L318&gt;0),K318/L318,"")</f>
        <v/>
      </c>
      <c r="N318" s="5" t="n">
        <v>0.676</v>
      </c>
      <c r="O318" s="5" t="n">
        <v>180</v>
      </c>
      <c r="P318" s="5" t="n">
        <v>1</v>
      </c>
      <c r="Q318" s="5" t="n">
        <v>0</v>
      </c>
      <c r="R318" s="5" t="n">
        <v>0</v>
      </c>
      <c r="S318" s="5" t="n">
        <v>1</v>
      </c>
      <c r="T318" s="5" t="n">
        <v>0</v>
      </c>
      <c r="U318" s="5" t="n">
        <v>2</v>
      </c>
      <c r="V318" s="5" t="n">
        <v>0</v>
      </c>
      <c r="W318" s="5" t="n">
        <v>3.38</v>
      </c>
      <c r="X318" s="5" t="inlineStr"/>
      <c r="Y318" s="5" t="n">
        <v>4774.2</v>
      </c>
      <c r="Z318" s="5" t="n">
        <v>2688.8</v>
      </c>
      <c r="AA318" s="5" t="n">
        <v>4874.1</v>
      </c>
      <c r="AB318" s="5" t="n">
        <v>2694.8</v>
      </c>
      <c r="AC318" s="5" t="inlineStr"/>
      <c r="AD318" s="5">
        <f>IF(AC318="","",IF(OR(AC318=F318,AND(AC318="crane_footing",F318="isolated_footing")),"yes","no"))</f>
        <v/>
      </c>
    </row>
    <row r="319">
      <c r="A319" s="5" t="n">
        <v>318</v>
      </c>
      <c r="B319" s="5" t="inlineStr">
        <is>
          <t>122</t>
        </is>
      </c>
      <c r="C319" s="5" t="inlineStr">
        <is>
          <t>region between joints</t>
        </is>
      </c>
      <c r="D319" s="5" t="inlineStr">
        <is>
          <t>band</t>
        </is>
      </c>
      <c r="E319" s="5" t="n">
        <v>1</v>
      </c>
      <c r="F319" s="5" t="inlineStr">
        <is>
          <t>unnamed</t>
        </is>
      </c>
      <c r="G319" s="5" t="inlineStr">
        <is>
          <t>no label votes</t>
        </is>
      </c>
      <c r="H319" s="5" t="inlineStr">
        <is>
          <t>(none)</t>
        </is>
      </c>
      <c r="I319" s="5" t="inlineStr"/>
      <c r="J319" s="5" t="inlineStr"/>
      <c r="K319" s="5" t="n">
        <v>270</v>
      </c>
      <c r="L319" s="5" t="n">
        <v>20</v>
      </c>
      <c r="M319" s="10">
        <f>IF(AND(ISNUMBER(K319),L319&gt;0),K319/L319,"")</f>
        <v/>
      </c>
      <c r="N319" s="5" t="n">
        <v>0.54</v>
      </c>
      <c r="O319" s="5" t="n">
        <v>90</v>
      </c>
      <c r="P319" s="5" t="n">
        <v>2</v>
      </c>
      <c r="Q319" s="5" t="n">
        <v>0</v>
      </c>
      <c r="R319" s="5" t="n">
        <v>0</v>
      </c>
      <c r="S319" s="5" t="n">
        <v>1</v>
      </c>
      <c r="T319" s="5" t="n">
        <v>0</v>
      </c>
      <c r="U319" s="5" t="n">
        <v>3</v>
      </c>
      <c r="V319" s="5" t="n">
        <v>1</v>
      </c>
      <c r="W319" s="5" t="n">
        <v>2.7</v>
      </c>
      <c r="X319" s="5" t="inlineStr"/>
      <c r="Y319" s="5" t="n">
        <v>4728.7</v>
      </c>
      <c r="Z319" s="5" t="n">
        <v>2618.1</v>
      </c>
      <c r="AA319" s="5" t="n">
        <v>4734.7</v>
      </c>
      <c r="AB319" s="5" t="n">
        <v>2697.8</v>
      </c>
      <c r="AC319" s="5" t="inlineStr"/>
      <c r="AD319" s="5">
        <f>IF(AC319="","",IF(OR(AC319=F319,AND(AC319="crane_footing",F319="isolated_footing")),"yes","no"))</f>
        <v/>
      </c>
    </row>
    <row r="320">
      <c r="A320" s="5" t="n">
        <v>319</v>
      </c>
      <c r="B320" s="5" t="inlineStr">
        <is>
          <t>122</t>
        </is>
      </c>
      <c r="C320" s="5" t="inlineStr">
        <is>
          <t>nearest labels in its region</t>
        </is>
      </c>
      <c r="D320" s="5" t="inlineStr">
        <is>
          <t>band</t>
        </is>
      </c>
      <c r="E320" s="5" t="n">
        <v>1</v>
      </c>
      <c r="F320" s="5" t="inlineStr">
        <is>
          <t>unnamed</t>
        </is>
      </c>
      <c r="G320" s="5" t="inlineStr">
        <is>
          <t>no label votes</t>
        </is>
      </c>
      <c r="H320" s="5" t="inlineStr">
        <is>
          <t>(none)</t>
        </is>
      </c>
      <c r="I320" s="5" t="inlineStr"/>
      <c r="J320" s="5" t="inlineStr"/>
      <c r="K320" s="5" t="n">
        <v>115</v>
      </c>
      <c r="L320" s="5" t="n">
        <v>20</v>
      </c>
      <c r="M320" s="10">
        <f>IF(AND(ISNUMBER(K320),L320&gt;0),K320/L320,"")</f>
        <v/>
      </c>
      <c r="N320" s="5" t="n">
        <v>0.23</v>
      </c>
      <c r="O320" s="5" t="n">
        <v>179.9</v>
      </c>
      <c r="P320" s="5" t="n">
        <v>0</v>
      </c>
      <c r="Q320" s="5" t="n">
        <v>0</v>
      </c>
      <c r="R320" s="5" t="n">
        <v>0</v>
      </c>
      <c r="S320" s="5" t="n">
        <v>0</v>
      </c>
      <c r="T320" s="5" t="n">
        <v>0</v>
      </c>
      <c r="U320" s="5" t="n">
        <v>0</v>
      </c>
      <c r="V320" s="5" t="n">
        <v>5</v>
      </c>
      <c r="W320" s="5" t="n">
        <v>1.15</v>
      </c>
      <c r="X320" s="5" t="inlineStr"/>
      <c r="Y320" s="5" t="n">
        <v>4724.5</v>
      </c>
      <c r="Z320" s="5" t="n">
        <v>2225.3</v>
      </c>
      <c r="AA320" s="5" t="n">
        <v>4758.5</v>
      </c>
      <c r="AB320" s="5" t="n">
        <v>2231.3</v>
      </c>
      <c r="AC320" s="5" t="inlineStr"/>
      <c r="AD320" s="5">
        <f>IF(AC320="","",IF(OR(AC320=F320,AND(AC320="crane_footing",F320="isolated_footing")),"yes","no"))</f>
        <v/>
      </c>
    </row>
    <row r="321">
      <c r="A321" s="5" t="n">
        <v>320</v>
      </c>
      <c r="B321" s="5" t="inlineStr">
        <is>
          <t>122</t>
        </is>
      </c>
      <c r="C321" s="5" t="inlineStr">
        <is>
          <t>nearest labels in its region</t>
        </is>
      </c>
      <c r="D321" s="5" t="inlineStr">
        <is>
          <t>band</t>
        </is>
      </c>
      <c r="E321" s="5" t="n">
        <v>1</v>
      </c>
      <c r="F321" s="5" t="inlineStr">
        <is>
          <t>unnamed</t>
        </is>
      </c>
      <c r="G321" s="5" t="inlineStr">
        <is>
          <t>no label votes</t>
        </is>
      </c>
      <c r="H321" s="5" t="inlineStr">
        <is>
          <t>(none)</t>
        </is>
      </c>
      <c r="I321" s="5" t="inlineStr"/>
      <c r="J321" s="5" t="inlineStr"/>
      <c r="K321" s="5" t="n">
        <v>60</v>
      </c>
      <c r="L321" s="5" t="n">
        <v>20</v>
      </c>
      <c r="M321" s="10">
        <f>IF(AND(ISNUMBER(K321),L321&gt;0),K321/L321,"")</f>
        <v/>
      </c>
      <c r="N321" s="5" t="n">
        <v>0.12</v>
      </c>
      <c r="O321" s="5" t="n">
        <v>90</v>
      </c>
      <c r="P321" s="5" t="n">
        <v>0</v>
      </c>
      <c r="Q321" s="5" t="n">
        <v>1</v>
      </c>
      <c r="R321" s="5" t="n">
        <v>0</v>
      </c>
      <c r="S321" s="5" t="n">
        <v>0</v>
      </c>
      <c r="T321" s="5" t="n">
        <v>0</v>
      </c>
      <c r="U321" s="5" t="n">
        <v>18</v>
      </c>
      <c r="V321" s="5" t="n">
        <v>1</v>
      </c>
      <c r="W321" s="5" t="n">
        <v>0</v>
      </c>
      <c r="X321" s="5" t="inlineStr"/>
      <c r="Y321" s="5" t="n">
        <v>4309.9</v>
      </c>
      <c r="Z321" s="5" t="n">
        <v>2320.8</v>
      </c>
      <c r="AA321" s="5" t="n">
        <v>4315.8</v>
      </c>
      <c r="AB321" s="5" t="n">
        <v>2338.5</v>
      </c>
      <c r="AC321" s="5" t="inlineStr"/>
      <c r="AD321" s="5">
        <f>IF(AC321="","",IF(OR(AC321=F321,AND(AC321="crane_footing",F321="isolated_footing")),"yes","no"))</f>
        <v/>
      </c>
    </row>
    <row r="322">
      <c r="A322" s="5" t="n">
        <v>321</v>
      </c>
      <c r="B322" s="5" t="inlineStr">
        <is>
          <t>122</t>
        </is>
      </c>
      <c r="C322" s="5" t="inlineStr">
        <is>
          <t>nearest labels in its region</t>
        </is>
      </c>
      <c r="D322" s="5" t="inlineStr">
        <is>
          <t>band</t>
        </is>
      </c>
      <c r="E322" s="5" t="n">
        <v>3</v>
      </c>
      <c r="F322" s="5" t="inlineStr">
        <is>
          <t>unnamed</t>
        </is>
      </c>
      <c r="G322" s="5" t="inlineStr">
        <is>
          <t>no label votes</t>
        </is>
      </c>
      <c r="H322" s="5" t="inlineStr">
        <is>
          <t>(none)</t>
        </is>
      </c>
      <c r="I322" s="5" t="inlineStr"/>
      <c r="J322" s="5" t="inlineStr"/>
      <c r="K322" s="5" t="n">
        <v>217</v>
      </c>
      <c r="L322" s="5" t="n">
        <v>31</v>
      </c>
      <c r="M322" s="10">
        <f>IF(AND(ISNUMBER(K322),L322&gt;0),K322/L322,"")</f>
        <v/>
      </c>
      <c r="N322" s="5" t="n">
        <v>0.674</v>
      </c>
      <c r="O322" s="5" t="n">
        <v>36.6</v>
      </c>
      <c r="P322" s="5" t="n">
        <v>1</v>
      </c>
      <c r="Q322" s="5" t="n">
        <v>1</v>
      </c>
      <c r="R322" s="5" t="n">
        <v>0</v>
      </c>
      <c r="S322" s="5" t="n">
        <v>0</v>
      </c>
      <c r="T322" s="5" t="n">
        <v>0</v>
      </c>
      <c r="U322" s="5" t="n">
        <v>0</v>
      </c>
      <c r="V322" s="5" t="n">
        <v>8</v>
      </c>
      <c r="W322" s="5" t="n">
        <v>0</v>
      </c>
      <c r="X322" s="5" t="inlineStr"/>
      <c r="Y322" s="5" t="n">
        <v>4707.8</v>
      </c>
      <c r="Z322" s="5" t="n">
        <v>2144.3</v>
      </c>
      <c r="AA322" s="5" t="n">
        <v>4764.8</v>
      </c>
      <c r="AB322" s="5" t="n">
        <v>2190</v>
      </c>
      <c r="AC322" s="5" t="inlineStr"/>
      <c r="AD322" s="5">
        <f>IF(AC322="","",IF(OR(AC322=F322,AND(AC322="crane_footing",F322="isolated_footing")),"yes","no"))</f>
        <v/>
      </c>
    </row>
    <row r="323">
      <c r="A323" s="5" t="n">
        <v>322</v>
      </c>
      <c r="B323" s="5" t="inlineStr">
        <is>
          <t>122</t>
        </is>
      </c>
      <c r="C323" s="5" t="inlineStr">
        <is>
          <t>nearest labels in its region</t>
        </is>
      </c>
      <c r="D323" s="5" t="inlineStr">
        <is>
          <t>band</t>
        </is>
      </c>
      <c r="E323" s="5" t="n">
        <v>3</v>
      </c>
      <c r="F323" s="5" t="inlineStr">
        <is>
          <t>unnamed</t>
        </is>
      </c>
      <c r="G323" s="5" t="inlineStr">
        <is>
          <t>no label votes</t>
        </is>
      </c>
      <c r="H323" s="5" t="inlineStr">
        <is>
          <t>(none)</t>
        </is>
      </c>
      <c r="I323" s="5" t="inlineStr"/>
      <c r="J323" s="5" t="inlineStr"/>
      <c r="K323" s="5" t="n">
        <v>217</v>
      </c>
      <c r="L323" s="5" t="n">
        <v>31</v>
      </c>
      <c r="M323" s="10">
        <f>IF(AND(ISNUMBER(K323),L323&gt;0),K323/L323,"")</f>
        <v/>
      </c>
      <c r="N323" s="5" t="n">
        <v>0.673</v>
      </c>
      <c r="O323" s="5" t="n">
        <v>36.6</v>
      </c>
      <c r="P323" s="5" t="n">
        <v>1</v>
      </c>
      <c r="Q323" s="5" t="n">
        <v>1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12</v>
      </c>
      <c r="W323" s="5" t="n">
        <v>0.03</v>
      </c>
      <c r="X323" s="5" t="inlineStr"/>
      <c r="Y323" s="5" t="n">
        <v>4692.2</v>
      </c>
      <c r="Z323" s="5" t="n">
        <v>2144.4</v>
      </c>
      <c r="AA323" s="5" t="n">
        <v>4749.1</v>
      </c>
      <c r="AB323" s="5" t="n">
        <v>2190</v>
      </c>
      <c r="AC323" s="5" t="inlineStr"/>
      <c r="AD323" s="5">
        <f>IF(AC323="","",IF(OR(AC323=F323,AND(AC323="crane_footing",F323="isolated_footing")),"yes","no"))</f>
        <v/>
      </c>
    </row>
    <row r="324">
      <c r="A324" s="5" t="n">
        <v>323</v>
      </c>
      <c r="B324" s="5" t="inlineStr">
        <is>
          <t>122</t>
        </is>
      </c>
      <c r="C324" s="5" t="inlineStr">
        <is>
          <t>nearest labels in its region</t>
        </is>
      </c>
      <c r="D324" s="5" t="inlineStr">
        <is>
          <t>band</t>
        </is>
      </c>
      <c r="E324" s="5" t="n">
        <v>3</v>
      </c>
      <c r="F324" s="5" t="inlineStr">
        <is>
          <t>unnamed</t>
        </is>
      </c>
      <c r="G324" s="5" t="inlineStr">
        <is>
          <t>no label votes</t>
        </is>
      </c>
      <c r="H324" s="5" t="inlineStr">
        <is>
          <t>(none)</t>
        </is>
      </c>
      <c r="I324" s="5" t="inlineStr"/>
      <c r="J324" s="5" t="inlineStr"/>
      <c r="K324" s="5" t="n">
        <v>217</v>
      </c>
      <c r="L324" s="5" t="n">
        <v>31</v>
      </c>
      <c r="M324" s="10">
        <f>IF(AND(ISNUMBER(K324),L324&gt;0),K324/L324,"")</f>
        <v/>
      </c>
      <c r="N324" s="5" t="n">
        <v>0.673</v>
      </c>
      <c r="O324" s="5" t="n">
        <v>36.6</v>
      </c>
      <c r="P324" s="5" t="n">
        <v>1</v>
      </c>
      <c r="Q324" s="5" t="n">
        <v>1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14</v>
      </c>
      <c r="W324" s="5" t="n">
        <v>0.6899999999999999</v>
      </c>
      <c r="X324" s="5" t="inlineStr"/>
      <c r="Y324" s="5" t="n">
        <v>4676.5</v>
      </c>
      <c r="Z324" s="5" t="n">
        <v>2144.4</v>
      </c>
      <c r="AA324" s="5" t="n">
        <v>4733.4</v>
      </c>
      <c r="AB324" s="5" t="n">
        <v>2190</v>
      </c>
      <c r="AC324" s="5" t="inlineStr"/>
      <c r="AD324" s="5">
        <f>IF(AC324="","",IF(OR(AC324=F324,AND(AC324="crane_footing",F324="isolated_footing")),"yes","no"))</f>
        <v/>
      </c>
    </row>
    <row r="325">
      <c r="A325" s="5" t="n">
        <v>324</v>
      </c>
      <c r="B325" s="5" t="inlineStr">
        <is>
          <t>122</t>
        </is>
      </c>
      <c r="C325" s="5" t="inlineStr">
        <is>
          <t>nearest labels in its region</t>
        </is>
      </c>
      <c r="D325" s="5" t="inlineStr">
        <is>
          <t>band</t>
        </is>
      </c>
      <c r="E325" s="5" t="n">
        <v>3</v>
      </c>
      <c r="F325" s="5" t="inlineStr">
        <is>
          <t>unnamed</t>
        </is>
      </c>
      <c r="G325" s="5" t="inlineStr">
        <is>
          <t>no label votes</t>
        </is>
      </c>
      <c r="H325" s="5" t="inlineStr">
        <is>
          <t>(none)</t>
        </is>
      </c>
      <c r="I325" s="5" t="inlineStr"/>
      <c r="J325" s="5" t="inlineStr"/>
      <c r="K325" s="5" t="n">
        <v>217</v>
      </c>
      <c r="L325" s="5" t="n">
        <v>31</v>
      </c>
      <c r="M325" s="10">
        <f>IF(AND(ISNUMBER(K325),L325&gt;0),K325/L325,"")</f>
        <v/>
      </c>
      <c r="N325" s="5" t="n">
        <v>0.673</v>
      </c>
      <c r="O325" s="5" t="n">
        <v>36.6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1</v>
      </c>
      <c r="V325" s="5" t="n">
        <v>15</v>
      </c>
      <c r="W325" s="5" t="n">
        <v>1.35</v>
      </c>
      <c r="X325" s="5" t="inlineStr"/>
      <c r="Y325" s="5" t="n">
        <v>4660.8</v>
      </c>
      <c r="Z325" s="5" t="n">
        <v>2144.4</v>
      </c>
      <c r="AA325" s="5" t="n">
        <v>4717.7</v>
      </c>
      <c r="AB325" s="5" t="n">
        <v>2190</v>
      </c>
      <c r="AC325" s="5" t="inlineStr"/>
      <c r="AD325" s="5">
        <f>IF(AC325="","",IF(OR(AC325=F325,AND(AC325="crane_footing",F325="isolated_footing")),"yes","no"))</f>
        <v/>
      </c>
    </row>
    <row r="326">
      <c r="A326" s="5" t="n">
        <v>325</v>
      </c>
      <c r="B326" s="5" t="inlineStr">
        <is>
          <t>122</t>
        </is>
      </c>
      <c r="C326" s="5" t="inlineStr">
        <is>
          <t>nearest labels in its region</t>
        </is>
      </c>
      <c r="D326" s="5" t="inlineStr">
        <is>
          <t>band</t>
        </is>
      </c>
      <c r="E326" s="5" t="n">
        <v>3</v>
      </c>
      <c r="F326" s="5" t="inlineStr">
        <is>
          <t>unnamed</t>
        </is>
      </c>
      <c r="G326" s="5" t="inlineStr">
        <is>
          <t>no label votes</t>
        </is>
      </c>
      <c r="H326" s="5" t="inlineStr">
        <is>
          <t>(none)</t>
        </is>
      </c>
      <c r="I326" s="5" t="inlineStr"/>
      <c r="J326" s="5" t="inlineStr"/>
      <c r="K326" s="5" t="n">
        <v>217</v>
      </c>
      <c r="L326" s="5" t="n">
        <v>31</v>
      </c>
      <c r="M326" s="10">
        <f>IF(AND(ISNUMBER(K326),L326&gt;0),K326/L326,"")</f>
        <v/>
      </c>
      <c r="N326" s="5" t="n">
        <v>0.673</v>
      </c>
      <c r="O326" s="5" t="n">
        <v>36.6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  <c r="U326" s="5" t="n">
        <v>0</v>
      </c>
      <c r="V326" s="5" t="n">
        <v>15</v>
      </c>
      <c r="W326" s="5" t="n">
        <v>2.01</v>
      </c>
      <c r="X326" s="5" t="inlineStr"/>
      <c r="Y326" s="5" t="n">
        <v>4645.2</v>
      </c>
      <c r="Z326" s="5" t="n">
        <v>2144.5</v>
      </c>
      <c r="AA326" s="5" t="n">
        <v>4702</v>
      </c>
      <c r="AB326" s="5" t="n">
        <v>2190.1</v>
      </c>
      <c r="AC326" s="5" t="inlineStr"/>
      <c r="AD326" s="5">
        <f>IF(AC326="","",IF(OR(AC326=F326,AND(AC326="crane_footing",F326="isolated_footing")),"yes","no"))</f>
        <v/>
      </c>
    </row>
    <row r="327">
      <c r="A327" s="5" t="n">
        <v>326</v>
      </c>
      <c r="B327" s="5" t="inlineStr">
        <is>
          <t>122</t>
        </is>
      </c>
      <c r="C327" s="5" t="inlineStr">
        <is>
          <t>nearest labels in its region</t>
        </is>
      </c>
      <c r="D327" s="5" t="inlineStr">
        <is>
          <t>band</t>
        </is>
      </c>
      <c r="E327" s="5" t="n">
        <v>3</v>
      </c>
      <c r="F327" s="5" t="inlineStr">
        <is>
          <t>unnamed</t>
        </is>
      </c>
      <c r="G327" s="5" t="inlineStr">
        <is>
          <t>no label votes</t>
        </is>
      </c>
      <c r="H327" s="5" t="inlineStr">
        <is>
          <t>(none)</t>
        </is>
      </c>
      <c r="I327" s="5" t="inlineStr"/>
      <c r="J327" s="5" t="inlineStr"/>
      <c r="K327" s="5" t="n">
        <v>217</v>
      </c>
      <c r="L327" s="5" t="n">
        <v>31</v>
      </c>
      <c r="M327" s="10">
        <f>IF(AND(ISNUMBER(K327),L327&gt;0),K327/L327,"")</f>
        <v/>
      </c>
      <c r="N327" s="5" t="n">
        <v>0.673</v>
      </c>
      <c r="O327" s="5" t="n">
        <v>36.6</v>
      </c>
      <c r="P327" s="5" t="n">
        <v>1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15</v>
      </c>
      <c r="W327" s="5" t="n">
        <v>2.17</v>
      </c>
      <c r="X327" s="5" t="inlineStr"/>
      <c r="Y327" s="5" t="n">
        <v>4629.5</v>
      </c>
      <c r="Z327" s="5" t="n">
        <v>2144.5</v>
      </c>
      <c r="AA327" s="5" t="n">
        <v>4686.3</v>
      </c>
      <c r="AB327" s="5" t="n">
        <v>2190.1</v>
      </c>
      <c r="AC327" s="5" t="inlineStr"/>
      <c r="AD327" s="5">
        <f>IF(AC327="","",IF(OR(AC327=F327,AND(AC327="crane_footing",F327="isolated_footing")),"yes","no"))</f>
        <v/>
      </c>
    </row>
    <row r="328">
      <c r="A328" s="5" t="n">
        <v>327</v>
      </c>
      <c r="B328" s="5" t="inlineStr">
        <is>
          <t>122</t>
        </is>
      </c>
      <c r="C328" s="5" t="inlineStr">
        <is>
          <t>nearest labels in its region</t>
        </is>
      </c>
      <c r="D328" s="5" t="inlineStr">
        <is>
          <t>band</t>
        </is>
      </c>
      <c r="E328" s="5" t="n">
        <v>3</v>
      </c>
      <c r="F328" s="5" t="inlineStr">
        <is>
          <t>unnamed</t>
        </is>
      </c>
      <c r="G328" s="5" t="inlineStr">
        <is>
          <t>no label votes</t>
        </is>
      </c>
      <c r="H328" s="5" t="inlineStr">
        <is>
          <t>(none)</t>
        </is>
      </c>
      <c r="I328" s="5" t="inlineStr"/>
      <c r="J328" s="5" t="inlineStr"/>
      <c r="K328" s="5" t="n">
        <v>217</v>
      </c>
      <c r="L328" s="5" t="n">
        <v>31</v>
      </c>
      <c r="M328" s="10">
        <f>IF(AND(ISNUMBER(K328),L328&gt;0),K328/L328,"")</f>
        <v/>
      </c>
      <c r="N328" s="5" t="n">
        <v>0.672</v>
      </c>
      <c r="O328" s="5" t="n">
        <v>36.6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15</v>
      </c>
      <c r="W328" s="5" t="n">
        <v>2.17</v>
      </c>
      <c r="X328" s="5" t="inlineStr"/>
      <c r="Y328" s="5" t="n">
        <v>4613.8</v>
      </c>
      <c r="Z328" s="5" t="n">
        <v>2144.5</v>
      </c>
      <c r="AA328" s="5" t="n">
        <v>4670.6</v>
      </c>
      <c r="AB328" s="5" t="n">
        <v>2190.1</v>
      </c>
      <c r="AC328" s="5" t="inlineStr"/>
      <c r="AD328" s="5">
        <f>IF(AC328="","",IF(OR(AC328=F328,AND(AC328="crane_footing",F328="isolated_footing")),"yes","no"))</f>
        <v/>
      </c>
    </row>
    <row r="329">
      <c r="A329" s="5" t="n">
        <v>328</v>
      </c>
      <c r="B329" s="5" t="inlineStr">
        <is>
          <t>122</t>
        </is>
      </c>
      <c r="C329" s="5" t="inlineStr">
        <is>
          <t>nearest labels in its region</t>
        </is>
      </c>
      <c r="D329" s="5" t="inlineStr">
        <is>
          <t>band</t>
        </is>
      </c>
      <c r="E329" s="5" t="n">
        <v>3</v>
      </c>
      <c r="F329" s="5" t="inlineStr">
        <is>
          <t>unnamed</t>
        </is>
      </c>
      <c r="G329" s="5" t="inlineStr">
        <is>
          <t>no label votes</t>
        </is>
      </c>
      <c r="H329" s="5" t="inlineStr">
        <is>
          <t>(none)</t>
        </is>
      </c>
      <c r="I329" s="5" t="inlineStr"/>
      <c r="J329" s="5" t="inlineStr"/>
      <c r="K329" s="5" t="n">
        <v>217</v>
      </c>
      <c r="L329" s="5" t="n">
        <v>31</v>
      </c>
      <c r="M329" s="10">
        <f>IF(AND(ISNUMBER(K329),L329&gt;0),K329/L329,"")</f>
        <v/>
      </c>
      <c r="N329" s="5" t="n">
        <v>0.672</v>
      </c>
      <c r="O329" s="5" t="n">
        <v>36.6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1</v>
      </c>
      <c r="V329" s="5" t="n">
        <v>15</v>
      </c>
      <c r="W329" s="5" t="n">
        <v>1.77</v>
      </c>
      <c r="X329" s="5" t="inlineStr"/>
      <c r="Y329" s="5" t="n">
        <v>4598.1</v>
      </c>
      <c r="Z329" s="5" t="n">
        <v>2144.6</v>
      </c>
      <c r="AA329" s="5" t="n">
        <v>4655</v>
      </c>
      <c r="AB329" s="5" t="n">
        <v>2190.1</v>
      </c>
      <c r="AC329" s="5" t="inlineStr"/>
      <c r="AD329" s="5">
        <f>IF(AC329="","",IF(OR(AC329=F329,AND(AC329="crane_footing",F329="isolated_footing")),"yes","no"))</f>
        <v/>
      </c>
    </row>
    <row r="330">
      <c r="A330" s="5" t="n">
        <v>329</v>
      </c>
      <c r="B330" s="5" t="inlineStr">
        <is>
          <t>122</t>
        </is>
      </c>
      <c r="C330" s="5" t="inlineStr">
        <is>
          <t>nearest labels in its region</t>
        </is>
      </c>
      <c r="D330" s="5" t="inlineStr">
        <is>
          <t>band</t>
        </is>
      </c>
      <c r="E330" s="5" t="n">
        <v>3</v>
      </c>
      <c r="F330" s="5" t="inlineStr">
        <is>
          <t>unnamed</t>
        </is>
      </c>
      <c r="G330" s="5" t="inlineStr">
        <is>
          <t>no label votes</t>
        </is>
      </c>
      <c r="H330" s="5" t="inlineStr">
        <is>
          <t>(none)</t>
        </is>
      </c>
      <c r="I330" s="5" t="inlineStr"/>
      <c r="J330" s="5" t="inlineStr"/>
      <c r="K330" s="5" t="n">
        <v>217</v>
      </c>
      <c r="L330" s="5" t="n">
        <v>31</v>
      </c>
      <c r="M330" s="10">
        <f>IF(AND(ISNUMBER(K330),L330&gt;0),K330/L330,"")</f>
        <v/>
      </c>
      <c r="N330" s="5" t="n">
        <v>0.672</v>
      </c>
      <c r="O330" s="5" t="n">
        <v>36.7</v>
      </c>
      <c r="P330" s="5" t="n">
        <v>1</v>
      </c>
      <c r="Q330" s="5" t="n">
        <v>1</v>
      </c>
      <c r="R330" s="5" t="n">
        <v>0</v>
      </c>
      <c r="S330" s="5" t="n">
        <v>0</v>
      </c>
      <c r="T330" s="5" t="n">
        <v>0</v>
      </c>
      <c r="U330" s="5" t="n">
        <v>0</v>
      </c>
      <c r="V330" s="5" t="n">
        <v>15</v>
      </c>
      <c r="W330" s="5" t="n">
        <v>1.1</v>
      </c>
      <c r="X330" s="5" t="inlineStr"/>
      <c r="Y330" s="5" t="n">
        <v>4582.5</v>
      </c>
      <c r="Z330" s="5" t="n">
        <v>2144.6</v>
      </c>
      <c r="AA330" s="5" t="n">
        <v>4639.3</v>
      </c>
      <c r="AB330" s="5" t="n">
        <v>2190.1</v>
      </c>
      <c r="AC330" s="5" t="inlineStr"/>
      <c r="AD330" s="5">
        <f>IF(AC330="","",IF(OR(AC330=F330,AND(AC330="crane_footing",F330="isolated_footing")),"yes","no"))</f>
        <v/>
      </c>
    </row>
    <row r="331">
      <c r="A331" s="5" t="n">
        <v>330</v>
      </c>
      <c r="B331" s="5" t="inlineStr">
        <is>
          <t>122</t>
        </is>
      </c>
      <c r="C331" s="5" t="inlineStr">
        <is>
          <t>nearest labels in its region</t>
        </is>
      </c>
      <c r="D331" s="5" t="inlineStr">
        <is>
          <t>band</t>
        </is>
      </c>
      <c r="E331" s="5" t="n">
        <v>3</v>
      </c>
      <c r="F331" s="5" t="inlineStr">
        <is>
          <t>unnamed</t>
        </is>
      </c>
      <c r="G331" s="5" t="inlineStr">
        <is>
          <t>no label votes</t>
        </is>
      </c>
      <c r="H331" s="5" t="inlineStr">
        <is>
          <t>(none)</t>
        </is>
      </c>
      <c r="I331" s="5" t="inlineStr"/>
      <c r="J331" s="5" t="inlineStr"/>
      <c r="K331" s="5" t="n">
        <v>208</v>
      </c>
      <c r="L331" s="5" t="n">
        <v>31</v>
      </c>
      <c r="M331" s="10">
        <f>IF(AND(ISNUMBER(K331),L331&gt;0),K331/L331,"")</f>
        <v/>
      </c>
      <c r="N331" s="5" t="n">
        <v>0.646</v>
      </c>
      <c r="O331" s="5" t="n">
        <v>36.6</v>
      </c>
      <c r="P331" s="5" t="n">
        <v>1</v>
      </c>
      <c r="Q331" s="5" t="n">
        <v>1</v>
      </c>
      <c r="R331" s="5" t="n">
        <v>0</v>
      </c>
      <c r="S331" s="5" t="n">
        <v>0</v>
      </c>
      <c r="T331" s="5" t="n">
        <v>0</v>
      </c>
      <c r="U331" s="5" t="n">
        <v>3</v>
      </c>
      <c r="V331" s="5" t="n">
        <v>11</v>
      </c>
      <c r="W331" s="5" t="n">
        <v>0</v>
      </c>
      <c r="X331" s="5" t="inlineStr"/>
      <c r="Y331" s="5" t="n">
        <v>4521.7</v>
      </c>
      <c r="Z331" s="5" t="n">
        <v>2146.2</v>
      </c>
      <c r="AA331" s="5" t="n">
        <v>4576.6</v>
      </c>
      <c r="AB331" s="5" t="n">
        <v>2190.2</v>
      </c>
      <c r="AC331" s="5" t="inlineStr"/>
      <c r="AD331" s="5">
        <f>IF(AC331="","",IF(OR(AC331=F331,AND(AC331="crane_footing",F331="isolated_footing")),"yes","no"))</f>
        <v/>
      </c>
    </row>
    <row r="332">
      <c r="A332" s="5" t="n">
        <v>331</v>
      </c>
      <c r="B332" s="5" t="inlineStr">
        <is>
          <t>122</t>
        </is>
      </c>
      <c r="C332" s="5" t="inlineStr">
        <is>
          <t>nearest labels in its region</t>
        </is>
      </c>
      <c r="D332" s="5" t="inlineStr">
        <is>
          <t>band</t>
        </is>
      </c>
      <c r="E332" s="5" t="n">
        <v>3</v>
      </c>
      <c r="F332" s="5" t="inlineStr">
        <is>
          <t>unnamed</t>
        </is>
      </c>
      <c r="G332" s="5" t="inlineStr">
        <is>
          <t>no label votes</t>
        </is>
      </c>
      <c r="H332" s="5" t="inlineStr">
        <is>
          <t>(none)</t>
        </is>
      </c>
      <c r="I332" s="5" t="inlineStr"/>
      <c r="J332" s="5" t="inlineStr"/>
      <c r="K332" s="5" t="n">
        <v>164</v>
      </c>
      <c r="L332" s="5" t="n">
        <v>31</v>
      </c>
      <c r="M332" s="10">
        <f>IF(AND(ISNUMBER(K332),L332&gt;0),K332/L332,"")</f>
        <v/>
      </c>
      <c r="N332" s="5" t="n">
        <v>0.507</v>
      </c>
      <c r="O332" s="5" t="n">
        <v>36.6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  <c r="U332" s="5" t="n">
        <v>0</v>
      </c>
      <c r="V332" s="5" t="n">
        <v>13</v>
      </c>
      <c r="W332" s="5" t="n">
        <v>0.44</v>
      </c>
      <c r="X332" s="5" t="inlineStr"/>
      <c r="Y332" s="5" t="n">
        <v>4579.4</v>
      </c>
      <c r="Z332" s="5" t="n">
        <v>2154</v>
      </c>
      <c r="AA332" s="5" t="n">
        <v>4623.6</v>
      </c>
      <c r="AB332" s="5" t="n">
        <v>2190.1</v>
      </c>
      <c r="AC332" s="5" t="inlineStr"/>
      <c r="AD332" s="5">
        <f>IF(AC332="","",IF(OR(AC332=F332,AND(AC332="crane_footing",F332="isolated_footing")),"yes","no"))</f>
        <v/>
      </c>
    </row>
    <row r="333">
      <c r="A333" s="5" t="n">
        <v>332</v>
      </c>
      <c r="B333" s="5" t="inlineStr">
        <is>
          <t>122</t>
        </is>
      </c>
      <c r="C333" s="5" t="inlineStr">
        <is>
          <t>nearest labels in its region</t>
        </is>
      </c>
      <c r="D333" s="5" t="inlineStr">
        <is>
          <t>band</t>
        </is>
      </c>
      <c r="E333" s="5" t="n">
        <v>3</v>
      </c>
      <c r="F333" s="5" t="inlineStr">
        <is>
          <t>unnamed</t>
        </is>
      </c>
      <c r="G333" s="5" t="inlineStr">
        <is>
          <t>no label votes</t>
        </is>
      </c>
      <c r="H333" s="5" t="inlineStr">
        <is>
          <t>(none)</t>
        </is>
      </c>
      <c r="I333" s="5" t="inlineStr"/>
      <c r="J333" s="5" t="inlineStr"/>
      <c r="K333" s="5" t="n">
        <v>163</v>
      </c>
      <c r="L333" s="5" t="n">
        <v>31</v>
      </c>
      <c r="M333" s="10">
        <f>IF(AND(ISNUMBER(K333),L333&gt;0),K333/L333,"")</f>
        <v/>
      </c>
      <c r="N333" s="5" t="n">
        <v>0.506</v>
      </c>
      <c r="O333" s="5" t="n">
        <v>126.6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12</v>
      </c>
      <c r="W333" s="5" t="n">
        <v>1.22</v>
      </c>
      <c r="X333" s="5" t="inlineStr"/>
      <c r="Y333" s="5" t="n">
        <v>4552.2</v>
      </c>
      <c r="Z333" s="5" t="n">
        <v>2190.4</v>
      </c>
      <c r="AA333" s="5" t="n">
        <v>4588.3</v>
      </c>
      <c r="AB333" s="5" t="n">
        <v>2234.5</v>
      </c>
      <c r="AC333" s="5" t="inlineStr"/>
      <c r="AD333" s="5">
        <f>IF(AC333="","",IF(OR(AC333=F333,AND(AC333="crane_footing",F333="isolated_footing")),"yes","no"))</f>
        <v/>
      </c>
    </row>
    <row r="334">
      <c r="A334" s="5" t="n">
        <v>333</v>
      </c>
      <c r="B334" s="5" t="inlineStr">
        <is>
          <t>122</t>
        </is>
      </c>
      <c r="C334" s="5" t="inlineStr">
        <is>
          <t>nearest labels in its region</t>
        </is>
      </c>
      <c r="D334" s="5" t="inlineStr">
        <is>
          <t>band</t>
        </is>
      </c>
      <c r="E334" s="5" t="n">
        <v>3</v>
      </c>
      <c r="F334" s="5" t="inlineStr">
        <is>
          <t>unnamed</t>
        </is>
      </c>
      <c r="G334" s="5" t="inlineStr">
        <is>
          <t>no label votes</t>
        </is>
      </c>
      <c r="H334" s="5" t="inlineStr">
        <is>
          <t>(none)</t>
        </is>
      </c>
      <c r="I334" s="5" t="inlineStr"/>
      <c r="J334" s="5" t="inlineStr"/>
      <c r="K334" s="5" t="n">
        <v>163</v>
      </c>
      <c r="L334" s="5" t="n">
        <v>31</v>
      </c>
      <c r="M334" s="10">
        <f>IF(AND(ISNUMBER(K334),L334&gt;0),K334/L334,"")</f>
        <v/>
      </c>
      <c r="N334" s="5" t="n">
        <v>0.506</v>
      </c>
      <c r="O334" s="5" t="n">
        <v>126.6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  <c r="U334" s="5" t="n">
        <v>0</v>
      </c>
      <c r="V334" s="5" t="n">
        <v>11</v>
      </c>
      <c r="W334" s="5" t="n">
        <v>1.22</v>
      </c>
      <c r="X334" s="5" t="inlineStr"/>
      <c r="Y334" s="5" t="n">
        <v>4540.5</v>
      </c>
      <c r="Z334" s="5" t="n">
        <v>2190.4</v>
      </c>
      <c r="AA334" s="5" t="n">
        <v>4576.6</v>
      </c>
      <c r="AB334" s="5" t="n">
        <v>2234.5</v>
      </c>
      <c r="AC334" s="5" t="inlineStr"/>
      <c r="AD334" s="5">
        <f>IF(AC334="","",IF(OR(AC334=F334,AND(AC334="crane_footing",F334="isolated_footing")),"yes","no"))</f>
        <v/>
      </c>
    </row>
    <row r="335">
      <c r="A335" s="5" t="n">
        <v>334</v>
      </c>
      <c r="B335" s="5" t="inlineStr">
        <is>
          <t>122</t>
        </is>
      </c>
      <c r="C335" s="5" t="inlineStr">
        <is>
          <t>nearest labels in its region</t>
        </is>
      </c>
      <c r="D335" s="5" t="inlineStr">
        <is>
          <t>band</t>
        </is>
      </c>
      <c r="E335" s="5" t="n">
        <v>3</v>
      </c>
      <c r="F335" s="5" t="inlineStr">
        <is>
          <t>unnamed</t>
        </is>
      </c>
      <c r="G335" s="5" t="inlineStr">
        <is>
          <t>no label votes</t>
        </is>
      </c>
      <c r="H335" s="5" t="inlineStr">
        <is>
          <t>(none)</t>
        </is>
      </c>
      <c r="I335" s="5" t="inlineStr"/>
      <c r="J335" s="5" t="inlineStr"/>
      <c r="K335" s="5" t="n">
        <v>163</v>
      </c>
      <c r="L335" s="5" t="n">
        <v>31</v>
      </c>
      <c r="M335" s="10">
        <f>IF(AND(ISNUMBER(K335),L335&gt;0),K335/L335,"")</f>
        <v/>
      </c>
      <c r="N335" s="5" t="n">
        <v>0.506</v>
      </c>
      <c r="O335" s="5" t="n">
        <v>126.7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0</v>
      </c>
      <c r="V335" s="5" t="n">
        <v>12</v>
      </c>
      <c r="W335" s="5" t="n">
        <v>1.63</v>
      </c>
      <c r="X335" s="5" t="inlineStr"/>
      <c r="Y335" s="5" t="n">
        <v>4599</v>
      </c>
      <c r="Z335" s="5" t="n">
        <v>2190.3</v>
      </c>
      <c r="AA335" s="5" t="n">
        <v>4635.1</v>
      </c>
      <c r="AB335" s="5" t="n">
        <v>2234.4</v>
      </c>
      <c r="AC335" s="5" t="inlineStr"/>
      <c r="AD335" s="5">
        <f>IF(AC335="","",IF(OR(AC335=F335,AND(AC335="crane_footing",F335="isolated_footing")),"yes","no"))</f>
        <v/>
      </c>
    </row>
    <row r="336">
      <c r="A336" s="5" t="n">
        <v>335</v>
      </c>
      <c r="B336" s="5" t="inlineStr">
        <is>
          <t>122</t>
        </is>
      </c>
      <c r="C336" s="5" t="inlineStr">
        <is>
          <t>nearest labels in its region</t>
        </is>
      </c>
      <c r="D336" s="5" t="inlineStr">
        <is>
          <t>band</t>
        </is>
      </c>
      <c r="E336" s="5" t="n">
        <v>3</v>
      </c>
      <c r="F336" s="5" t="inlineStr">
        <is>
          <t>unnamed</t>
        </is>
      </c>
      <c r="G336" s="5" t="inlineStr">
        <is>
          <t>no label votes</t>
        </is>
      </c>
      <c r="H336" s="5" t="inlineStr">
        <is>
          <t>(none)</t>
        </is>
      </c>
      <c r="I336" s="5" t="inlineStr"/>
      <c r="J336" s="5" t="inlineStr"/>
      <c r="K336" s="5" t="n">
        <v>163</v>
      </c>
      <c r="L336" s="5" t="n">
        <v>31</v>
      </c>
      <c r="M336" s="10">
        <f>IF(AND(ISNUMBER(K336),L336&gt;0),K336/L336,"")</f>
        <v/>
      </c>
      <c r="N336" s="5" t="n">
        <v>0.506</v>
      </c>
      <c r="O336" s="5" t="n">
        <v>126.7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  <c r="U336" s="5" t="n">
        <v>0</v>
      </c>
      <c r="V336" s="5" t="n">
        <v>9</v>
      </c>
      <c r="W336" s="5" t="n">
        <v>1.22</v>
      </c>
      <c r="X336" s="5" t="inlineStr"/>
      <c r="Y336" s="5" t="n">
        <v>4528.8</v>
      </c>
      <c r="Z336" s="5" t="n">
        <v>2190.4</v>
      </c>
      <c r="AA336" s="5" t="n">
        <v>4564.9</v>
      </c>
      <c r="AB336" s="5" t="n">
        <v>2234.5</v>
      </c>
      <c r="AC336" s="5" t="inlineStr"/>
      <c r="AD336" s="5">
        <f>IF(AC336="","",IF(OR(AC336=F336,AND(AC336="crane_footing",F336="isolated_footing")),"yes","no"))</f>
        <v/>
      </c>
    </row>
    <row r="337">
      <c r="A337" s="5" t="n">
        <v>336</v>
      </c>
      <c r="B337" s="5" t="inlineStr">
        <is>
          <t>122</t>
        </is>
      </c>
      <c r="C337" s="5" t="inlineStr">
        <is>
          <t>nearest labels in its region</t>
        </is>
      </c>
      <c r="D337" s="5" t="inlineStr">
        <is>
          <t>band</t>
        </is>
      </c>
      <c r="E337" s="5" t="n">
        <v>3</v>
      </c>
      <c r="F337" s="5" t="inlineStr">
        <is>
          <t>unnamed</t>
        </is>
      </c>
      <c r="G337" s="5" t="inlineStr">
        <is>
          <t>no label votes</t>
        </is>
      </c>
      <c r="H337" s="5" t="inlineStr">
        <is>
          <t>(none)</t>
        </is>
      </c>
      <c r="I337" s="5" t="inlineStr"/>
      <c r="J337" s="5" t="inlineStr"/>
      <c r="K337" s="5" t="n">
        <v>163</v>
      </c>
      <c r="L337" s="5" t="n">
        <v>31</v>
      </c>
      <c r="M337" s="10">
        <f>IF(AND(ISNUMBER(K337),L337&gt;0),K337/L337,"")</f>
        <v/>
      </c>
      <c r="N337" s="5" t="n">
        <v>0.506</v>
      </c>
      <c r="O337" s="5" t="n">
        <v>126.7</v>
      </c>
      <c r="P337" s="5" t="n">
        <v>1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0</v>
      </c>
      <c r="V337" s="5" t="n">
        <v>12</v>
      </c>
      <c r="W337" s="5" t="n">
        <v>1.63</v>
      </c>
      <c r="X337" s="5" t="inlineStr"/>
      <c r="Y337" s="5" t="n">
        <v>4610.7</v>
      </c>
      <c r="Z337" s="5" t="n">
        <v>2190.3</v>
      </c>
      <c r="AA337" s="5" t="n">
        <v>4646.8</v>
      </c>
      <c r="AB337" s="5" t="n">
        <v>2234.4</v>
      </c>
      <c r="AC337" s="5" t="inlineStr"/>
      <c r="AD337" s="5">
        <f>IF(AC337="","",IF(OR(AC337=F337,AND(AC337="crane_footing",F337="isolated_footing")),"yes","no"))</f>
        <v/>
      </c>
    </row>
    <row r="338">
      <c r="A338" s="5" t="n">
        <v>337</v>
      </c>
      <c r="B338" s="5" t="inlineStr">
        <is>
          <t>122</t>
        </is>
      </c>
      <c r="C338" s="5" t="inlineStr">
        <is>
          <t>nearest labels in its region</t>
        </is>
      </c>
      <c r="D338" s="5" t="inlineStr">
        <is>
          <t>band</t>
        </is>
      </c>
      <c r="E338" s="5" t="n">
        <v>3</v>
      </c>
      <c r="F338" s="5" t="inlineStr">
        <is>
          <t>unnamed</t>
        </is>
      </c>
      <c r="G338" s="5" t="inlineStr">
        <is>
          <t>no label votes</t>
        </is>
      </c>
      <c r="H338" s="5" t="inlineStr">
        <is>
          <t>(none)</t>
        </is>
      </c>
      <c r="I338" s="5" t="inlineStr"/>
      <c r="J338" s="5" t="inlineStr"/>
      <c r="K338" s="5" t="n">
        <v>163</v>
      </c>
      <c r="L338" s="5" t="n">
        <v>31</v>
      </c>
      <c r="M338" s="10">
        <f>IF(AND(ISNUMBER(K338),L338&gt;0),K338/L338,"")</f>
        <v/>
      </c>
      <c r="N338" s="5" t="n">
        <v>0.506</v>
      </c>
      <c r="O338" s="5" t="n">
        <v>126.6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  <c r="U338" s="5" t="n">
        <v>0</v>
      </c>
      <c r="V338" s="5" t="n">
        <v>12</v>
      </c>
      <c r="W338" s="5" t="n">
        <v>1.22</v>
      </c>
      <c r="X338" s="5" t="inlineStr"/>
      <c r="Y338" s="5" t="n">
        <v>4575.6</v>
      </c>
      <c r="Z338" s="5" t="n">
        <v>2190.3</v>
      </c>
      <c r="AA338" s="5" t="n">
        <v>4611.7</v>
      </c>
      <c r="AB338" s="5" t="n">
        <v>2234.5</v>
      </c>
      <c r="AC338" s="5" t="inlineStr"/>
      <c r="AD338" s="5">
        <f>IF(AC338="","",IF(OR(AC338=F338,AND(AC338="crane_footing",F338="isolated_footing")),"yes","no"))</f>
        <v/>
      </c>
    </row>
    <row r="339">
      <c r="A339" s="5" t="n">
        <v>338</v>
      </c>
      <c r="B339" s="5" t="inlineStr">
        <is>
          <t>122</t>
        </is>
      </c>
      <c r="C339" s="5" t="inlineStr">
        <is>
          <t>nearest labels in its region</t>
        </is>
      </c>
      <c r="D339" s="5" t="inlineStr">
        <is>
          <t>band</t>
        </is>
      </c>
      <c r="E339" s="5" t="n">
        <v>3</v>
      </c>
      <c r="F339" s="5" t="inlineStr">
        <is>
          <t>unnamed</t>
        </is>
      </c>
      <c r="G339" s="5" t="inlineStr">
        <is>
          <t>no label votes</t>
        </is>
      </c>
      <c r="H339" s="5" t="inlineStr">
        <is>
          <t>(none)</t>
        </is>
      </c>
      <c r="I339" s="5" t="inlineStr"/>
      <c r="J339" s="5" t="inlineStr"/>
      <c r="K339" s="5" t="n">
        <v>163</v>
      </c>
      <c r="L339" s="5" t="n">
        <v>31</v>
      </c>
      <c r="M339" s="10">
        <f>IF(AND(ISNUMBER(K339),L339&gt;0),K339/L339,"")</f>
        <v/>
      </c>
      <c r="N339" s="5" t="n">
        <v>0.506</v>
      </c>
      <c r="O339" s="5" t="n">
        <v>126.6</v>
      </c>
      <c r="P339" s="5" t="n">
        <v>1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0</v>
      </c>
      <c r="V339" s="5" t="n">
        <v>12</v>
      </c>
      <c r="W339" s="5" t="n">
        <v>1.22</v>
      </c>
      <c r="X339" s="5" t="inlineStr"/>
      <c r="Y339" s="5" t="n">
        <v>4563.9</v>
      </c>
      <c r="Z339" s="5" t="n">
        <v>2190.4</v>
      </c>
      <c r="AA339" s="5" t="n">
        <v>4600</v>
      </c>
      <c r="AB339" s="5" t="n">
        <v>2234.5</v>
      </c>
      <c r="AC339" s="5" t="inlineStr"/>
      <c r="AD339" s="5">
        <f>IF(AC339="","",IF(OR(AC339=F339,AND(AC339="crane_footing",F339="isolated_footing")),"yes","no"))</f>
        <v/>
      </c>
    </row>
    <row r="340">
      <c r="A340" s="5" t="n">
        <v>339</v>
      </c>
      <c r="B340" s="5" t="inlineStr">
        <is>
          <t>122</t>
        </is>
      </c>
      <c r="C340" s="5" t="inlineStr">
        <is>
          <t>nearest labels in its region</t>
        </is>
      </c>
      <c r="D340" s="5" t="inlineStr">
        <is>
          <t>band</t>
        </is>
      </c>
      <c r="E340" s="5" t="n">
        <v>3</v>
      </c>
      <c r="F340" s="5" t="inlineStr">
        <is>
          <t>unnamed</t>
        </is>
      </c>
      <c r="G340" s="5" t="inlineStr">
        <is>
          <t>no label votes</t>
        </is>
      </c>
      <c r="H340" s="5" t="inlineStr">
        <is>
          <t>(none)</t>
        </is>
      </c>
      <c r="I340" s="5" t="inlineStr"/>
      <c r="J340" s="5" t="inlineStr"/>
      <c r="K340" s="5" t="n">
        <v>163</v>
      </c>
      <c r="L340" s="5" t="n">
        <v>31</v>
      </c>
      <c r="M340" s="10">
        <f>IF(AND(ISNUMBER(K340),L340&gt;0),K340/L340,"")</f>
        <v/>
      </c>
      <c r="N340" s="5" t="n">
        <v>0.506</v>
      </c>
      <c r="O340" s="5" t="n">
        <v>126.6</v>
      </c>
      <c r="P340" s="5" t="n">
        <v>1</v>
      </c>
      <c r="Q340" s="5" t="n">
        <v>0</v>
      </c>
      <c r="R340" s="5" t="n">
        <v>0</v>
      </c>
      <c r="S340" s="5" t="n">
        <v>0</v>
      </c>
      <c r="T340" s="5" t="n">
        <v>0</v>
      </c>
      <c r="U340" s="5" t="n">
        <v>0</v>
      </c>
      <c r="V340" s="5" t="n">
        <v>12</v>
      </c>
      <c r="W340" s="5" t="n">
        <v>1.63</v>
      </c>
      <c r="X340" s="5" t="inlineStr"/>
      <c r="Y340" s="5" t="n">
        <v>4634.1</v>
      </c>
      <c r="Z340" s="5" t="n">
        <v>2190.2</v>
      </c>
      <c r="AA340" s="5" t="n">
        <v>4670.2</v>
      </c>
      <c r="AB340" s="5" t="n">
        <v>2234.3</v>
      </c>
      <c r="AC340" s="5" t="inlineStr"/>
      <c r="AD340" s="5">
        <f>IF(AC340="","",IF(OR(AC340=F340,AND(AC340="crane_footing",F340="isolated_footing")),"yes","no"))</f>
        <v/>
      </c>
    </row>
    <row r="341">
      <c r="A341" s="5" t="n">
        <v>340</v>
      </c>
      <c r="B341" s="5" t="inlineStr">
        <is>
          <t>122</t>
        </is>
      </c>
      <c r="C341" s="5" t="inlineStr">
        <is>
          <t>nearest labels in its region</t>
        </is>
      </c>
      <c r="D341" s="5" t="inlineStr">
        <is>
          <t>band</t>
        </is>
      </c>
      <c r="E341" s="5" t="n">
        <v>3</v>
      </c>
      <c r="F341" s="5" t="inlineStr">
        <is>
          <t>unnamed</t>
        </is>
      </c>
      <c r="G341" s="5" t="inlineStr">
        <is>
          <t>no label votes</t>
        </is>
      </c>
      <c r="H341" s="5" t="inlineStr">
        <is>
          <t>(none)</t>
        </is>
      </c>
      <c r="I341" s="5" t="inlineStr"/>
      <c r="J341" s="5" t="inlineStr"/>
      <c r="K341" s="5" t="n">
        <v>163</v>
      </c>
      <c r="L341" s="5" t="n">
        <v>31</v>
      </c>
      <c r="M341" s="10">
        <f>IF(AND(ISNUMBER(K341),L341&gt;0),K341/L341,"")</f>
        <v/>
      </c>
      <c r="N341" s="5" t="n">
        <v>0.506</v>
      </c>
      <c r="O341" s="5" t="n">
        <v>126.7</v>
      </c>
      <c r="P341" s="5" t="n">
        <v>1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0</v>
      </c>
      <c r="V341" s="5" t="n">
        <v>12</v>
      </c>
      <c r="W341" s="5" t="n">
        <v>1.63</v>
      </c>
      <c r="X341" s="5" t="inlineStr"/>
      <c r="Y341" s="5" t="n">
        <v>4587.3</v>
      </c>
      <c r="Z341" s="5" t="n">
        <v>2190.3</v>
      </c>
      <c r="AA341" s="5" t="n">
        <v>4623.4</v>
      </c>
      <c r="AB341" s="5" t="n">
        <v>2234.4</v>
      </c>
      <c r="AC341" s="5" t="inlineStr"/>
      <c r="AD341" s="5">
        <f>IF(AC341="","",IF(OR(AC341=F341,AND(AC341="crane_footing",F341="isolated_footing")),"yes","no"))</f>
        <v/>
      </c>
    </row>
    <row r="342">
      <c r="A342" s="5" t="n">
        <v>341</v>
      </c>
      <c r="B342" s="5" t="inlineStr">
        <is>
          <t>122</t>
        </is>
      </c>
      <c r="C342" s="5" t="inlineStr">
        <is>
          <t>nearest labels in its region</t>
        </is>
      </c>
      <c r="D342" s="5" t="inlineStr">
        <is>
          <t>band</t>
        </is>
      </c>
      <c r="E342" s="5" t="n">
        <v>3</v>
      </c>
      <c r="F342" s="5" t="inlineStr">
        <is>
          <t>unnamed</t>
        </is>
      </c>
      <c r="G342" s="5" t="inlineStr">
        <is>
          <t>no label votes</t>
        </is>
      </c>
      <c r="H342" s="5" t="inlineStr">
        <is>
          <t>(none)</t>
        </is>
      </c>
      <c r="I342" s="5" t="inlineStr"/>
      <c r="J342" s="5" t="inlineStr"/>
      <c r="K342" s="5" t="n">
        <v>163</v>
      </c>
      <c r="L342" s="5" t="n">
        <v>31</v>
      </c>
      <c r="M342" s="10">
        <f>IF(AND(ISNUMBER(K342),L342&gt;0),K342/L342,"")</f>
        <v/>
      </c>
      <c r="N342" s="5" t="n">
        <v>0.505</v>
      </c>
      <c r="O342" s="5" t="n">
        <v>126.6</v>
      </c>
      <c r="P342" s="5" t="n">
        <v>1</v>
      </c>
      <c r="Q342" s="5" t="n">
        <v>0</v>
      </c>
      <c r="R342" s="5" t="n">
        <v>0</v>
      </c>
      <c r="S342" s="5" t="n">
        <v>0</v>
      </c>
      <c r="T342" s="5" t="n">
        <v>0</v>
      </c>
      <c r="U342" s="5" t="n">
        <v>0</v>
      </c>
      <c r="V342" s="5" t="n">
        <v>12</v>
      </c>
      <c r="W342" s="5" t="n">
        <v>1.63</v>
      </c>
      <c r="X342" s="5" t="inlineStr"/>
      <c r="Y342" s="5" t="n">
        <v>4622.4</v>
      </c>
      <c r="Z342" s="5" t="n">
        <v>2190.3</v>
      </c>
      <c r="AA342" s="5" t="n">
        <v>4658.5</v>
      </c>
      <c r="AB342" s="5" t="n">
        <v>2234.4</v>
      </c>
      <c r="AC342" s="5" t="inlineStr"/>
      <c r="AD342" s="5">
        <f>IF(AC342="","",IF(OR(AC342=F342,AND(AC342="crane_footing",F342="isolated_footing")),"yes","no"))</f>
        <v/>
      </c>
    </row>
    <row r="343">
      <c r="A343" s="5" t="n">
        <v>342</v>
      </c>
      <c r="B343" s="5" t="inlineStr">
        <is>
          <t>122</t>
        </is>
      </c>
      <c r="C343" s="5" t="inlineStr">
        <is>
          <t>nearest labels in its region</t>
        </is>
      </c>
      <c r="D343" s="5" t="inlineStr">
        <is>
          <t>band</t>
        </is>
      </c>
      <c r="E343" s="5" t="n">
        <v>3</v>
      </c>
      <c r="F343" s="5" t="inlineStr">
        <is>
          <t>unnamed</t>
        </is>
      </c>
      <c r="G343" s="5" t="inlineStr">
        <is>
          <t>no label votes</t>
        </is>
      </c>
      <c r="H343" s="5" t="inlineStr">
        <is>
          <t>(none)</t>
        </is>
      </c>
      <c r="I343" s="5" t="inlineStr"/>
      <c r="J343" s="5" t="inlineStr"/>
      <c r="K343" s="5" t="n">
        <v>163</v>
      </c>
      <c r="L343" s="5" t="n">
        <v>31</v>
      </c>
      <c r="M343" s="10">
        <f>IF(AND(ISNUMBER(K343),L343&gt;0),K343/L343,"")</f>
        <v/>
      </c>
      <c r="N343" s="5" t="n">
        <v>0.505</v>
      </c>
      <c r="O343" s="5" t="n">
        <v>126.6</v>
      </c>
      <c r="P343" s="5" t="n">
        <v>1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0</v>
      </c>
      <c r="V343" s="5" t="n">
        <v>12</v>
      </c>
      <c r="W343" s="5" t="n">
        <v>1.63</v>
      </c>
      <c r="X343" s="5" t="inlineStr"/>
      <c r="Y343" s="5" t="n">
        <v>4692.6</v>
      </c>
      <c r="Z343" s="5" t="n">
        <v>2190.2</v>
      </c>
      <c r="AA343" s="5" t="n">
        <v>4728.7</v>
      </c>
      <c r="AB343" s="5" t="n">
        <v>2234.2</v>
      </c>
      <c r="AC343" s="5" t="inlineStr"/>
      <c r="AD343" s="5">
        <f>IF(AC343="","",IF(OR(AC343=F343,AND(AC343="crane_footing",F343="isolated_footing")),"yes","no"))</f>
        <v/>
      </c>
    </row>
    <row r="344">
      <c r="A344" s="5" t="n">
        <v>343</v>
      </c>
      <c r="B344" s="5" t="inlineStr">
        <is>
          <t>122</t>
        </is>
      </c>
      <c r="C344" s="5" t="inlineStr">
        <is>
          <t>nearest labels in its region</t>
        </is>
      </c>
      <c r="D344" s="5" t="inlineStr">
        <is>
          <t>band</t>
        </is>
      </c>
      <c r="E344" s="5" t="n">
        <v>3</v>
      </c>
      <c r="F344" s="5" t="inlineStr">
        <is>
          <t>unnamed</t>
        </is>
      </c>
      <c r="G344" s="5" t="inlineStr">
        <is>
          <t>no label votes</t>
        </is>
      </c>
      <c r="H344" s="5" t="inlineStr">
        <is>
          <t>(none)</t>
        </is>
      </c>
      <c r="I344" s="5" t="inlineStr"/>
      <c r="J344" s="5" t="inlineStr"/>
      <c r="K344" s="5" t="n">
        <v>163</v>
      </c>
      <c r="L344" s="5" t="n">
        <v>31</v>
      </c>
      <c r="M344" s="10">
        <f>IF(AND(ISNUMBER(K344),L344&gt;0),K344/L344,"")</f>
        <v/>
      </c>
      <c r="N344" s="5" t="n">
        <v>0.505</v>
      </c>
      <c r="O344" s="5" t="n">
        <v>126.6</v>
      </c>
      <c r="P344" s="5" t="n">
        <v>1</v>
      </c>
      <c r="Q344" s="5" t="n">
        <v>0</v>
      </c>
      <c r="R344" s="5" t="n">
        <v>0</v>
      </c>
      <c r="S344" s="5" t="n">
        <v>0</v>
      </c>
      <c r="T344" s="5" t="n">
        <v>0</v>
      </c>
      <c r="U344" s="5" t="n">
        <v>0</v>
      </c>
      <c r="V344" s="5" t="n">
        <v>12</v>
      </c>
      <c r="W344" s="5" t="n">
        <v>1.63</v>
      </c>
      <c r="X344" s="5" t="inlineStr"/>
      <c r="Y344" s="5" t="n">
        <v>4645.8</v>
      </c>
      <c r="Z344" s="5" t="n">
        <v>2190.2</v>
      </c>
      <c r="AA344" s="5" t="n">
        <v>4681.9</v>
      </c>
      <c r="AB344" s="5" t="n">
        <v>2234.3</v>
      </c>
      <c r="AC344" s="5" t="inlineStr"/>
      <c r="AD344" s="5">
        <f>IF(AC344="","",IF(OR(AC344=F344,AND(AC344="crane_footing",F344="isolated_footing")),"yes","no"))</f>
        <v/>
      </c>
    </row>
    <row r="345">
      <c r="A345" s="5" t="n">
        <v>344</v>
      </c>
      <c r="B345" s="5" t="inlineStr">
        <is>
          <t>122</t>
        </is>
      </c>
      <c r="C345" s="5" t="inlineStr">
        <is>
          <t>nearest labels in its region</t>
        </is>
      </c>
      <c r="D345" s="5" t="inlineStr">
        <is>
          <t>band</t>
        </is>
      </c>
      <c r="E345" s="5" t="n">
        <v>3</v>
      </c>
      <c r="F345" s="5" t="inlineStr">
        <is>
          <t>unnamed</t>
        </is>
      </c>
      <c r="G345" s="5" t="inlineStr">
        <is>
          <t>no label votes</t>
        </is>
      </c>
      <c r="H345" s="5" t="inlineStr">
        <is>
          <t>(none)</t>
        </is>
      </c>
      <c r="I345" s="5" t="inlineStr"/>
      <c r="J345" s="5" t="inlineStr"/>
      <c r="K345" s="5" t="n">
        <v>163</v>
      </c>
      <c r="L345" s="5" t="n">
        <v>31</v>
      </c>
      <c r="M345" s="10">
        <f>IF(AND(ISNUMBER(K345),L345&gt;0),K345/L345,"")</f>
        <v/>
      </c>
      <c r="N345" s="5" t="n">
        <v>0.505</v>
      </c>
      <c r="O345" s="5" t="n">
        <v>126.6</v>
      </c>
      <c r="P345" s="5" t="n">
        <v>1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0</v>
      </c>
      <c r="V345" s="5" t="n">
        <v>12</v>
      </c>
      <c r="W345" s="5" t="n">
        <v>1.63</v>
      </c>
      <c r="X345" s="5" t="inlineStr"/>
      <c r="Y345" s="5" t="n">
        <v>4657.5</v>
      </c>
      <c r="Z345" s="5" t="n">
        <v>2190.2</v>
      </c>
      <c r="AA345" s="5" t="n">
        <v>4693.6</v>
      </c>
      <c r="AB345" s="5" t="n">
        <v>2234.3</v>
      </c>
      <c r="AC345" s="5" t="inlineStr"/>
      <c r="AD345" s="5">
        <f>IF(AC345="","",IF(OR(AC345=F345,AND(AC345="crane_footing",F345="isolated_footing")),"yes","no"))</f>
        <v/>
      </c>
    </row>
    <row r="346">
      <c r="A346" s="5" t="n">
        <v>345</v>
      </c>
      <c r="B346" s="5" t="inlineStr">
        <is>
          <t>122</t>
        </is>
      </c>
      <c r="C346" s="5" t="inlineStr">
        <is>
          <t>nearest labels in its region</t>
        </is>
      </c>
      <c r="D346" s="5" t="inlineStr">
        <is>
          <t>band</t>
        </is>
      </c>
      <c r="E346" s="5" t="n">
        <v>3</v>
      </c>
      <c r="F346" s="5" t="inlineStr">
        <is>
          <t>unnamed</t>
        </is>
      </c>
      <c r="G346" s="5" t="inlineStr">
        <is>
          <t>no label votes</t>
        </is>
      </c>
      <c r="H346" s="5" t="inlineStr">
        <is>
          <t>(none)</t>
        </is>
      </c>
      <c r="I346" s="5" t="inlineStr"/>
      <c r="J346" s="5" t="inlineStr"/>
      <c r="K346" s="5" t="n">
        <v>163</v>
      </c>
      <c r="L346" s="5" t="n">
        <v>31</v>
      </c>
      <c r="M346" s="10">
        <f>IF(AND(ISNUMBER(K346),L346&gt;0),K346/L346,"")</f>
        <v/>
      </c>
      <c r="N346" s="5" t="n">
        <v>0.505</v>
      </c>
      <c r="O346" s="5" t="n">
        <v>126.6</v>
      </c>
      <c r="P346" s="5" t="n">
        <v>1</v>
      </c>
      <c r="Q346" s="5" t="n">
        <v>0</v>
      </c>
      <c r="R346" s="5" t="n">
        <v>0</v>
      </c>
      <c r="S346" s="5" t="n">
        <v>0</v>
      </c>
      <c r="T346" s="5" t="n">
        <v>0</v>
      </c>
      <c r="U346" s="5" t="n">
        <v>0</v>
      </c>
      <c r="V346" s="5" t="n">
        <v>12</v>
      </c>
      <c r="W346" s="5" t="n">
        <v>1.63</v>
      </c>
      <c r="X346" s="5" t="inlineStr"/>
      <c r="Y346" s="5" t="n">
        <v>4669.2</v>
      </c>
      <c r="Z346" s="5" t="n">
        <v>2190.2</v>
      </c>
      <c r="AA346" s="5" t="n">
        <v>4705.2</v>
      </c>
      <c r="AB346" s="5" t="n">
        <v>2234.3</v>
      </c>
      <c r="AC346" s="5" t="inlineStr"/>
      <c r="AD346" s="5">
        <f>IF(AC346="","",IF(OR(AC346=F346,AND(AC346="crane_footing",F346="isolated_footing")),"yes","no"))</f>
        <v/>
      </c>
    </row>
    <row r="347">
      <c r="A347" s="5" t="n">
        <v>346</v>
      </c>
      <c r="B347" s="5" t="inlineStr">
        <is>
          <t>122</t>
        </is>
      </c>
      <c r="C347" s="5" t="inlineStr">
        <is>
          <t>nearest labels in its region</t>
        </is>
      </c>
      <c r="D347" s="5" t="inlineStr">
        <is>
          <t>band</t>
        </is>
      </c>
      <c r="E347" s="5" t="n">
        <v>3</v>
      </c>
      <c r="F347" s="5" t="inlineStr">
        <is>
          <t>unnamed</t>
        </is>
      </c>
      <c r="G347" s="5" t="inlineStr">
        <is>
          <t>no label votes</t>
        </is>
      </c>
      <c r="H347" s="5" t="inlineStr">
        <is>
          <t>(none)</t>
        </is>
      </c>
      <c r="I347" s="5" t="inlineStr"/>
      <c r="J347" s="5" t="inlineStr"/>
      <c r="K347" s="5" t="n">
        <v>163</v>
      </c>
      <c r="L347" s="5" t="n">
        <v>31</v>
      </c>
      <c r="M347" s="10">
        <f>IF(AND(ISNUMBER(K347),L347&gt;0),K347/L347,"")</f>
        <v/>
      </c>
      <c r="N347" s="5" t="n">
        <v>0.505</v>
      </c>
      <c r="O347" s="5" t="n">
        <v>126.6</v>
      </c>
      <c r="P347" s="5" t="n">
        <v>1</v>
      </c>
      <c r="Q347" s="5" t="n">
        <v>0</v>
      </c>
      <c r="R347" s="5" t="n">
        <v>0</v>
      </c>
      <c r="S347" s="5" t="n">
        <v>0</v>
      </c>
      <c r="T347" s="5" t="n">
        <v>0</v>
      </c>
      <c r="U347" s="5" t="n">
        <v>0</v>
      </c>
      <c r="V347" s="5" t="n">
        <v>8</v>
      </c>
      <c r="W347" s="5" t="n">
        <v>1.62</v>
      </c>
      <c r="X347" s="5" t="inlineStr"/>
      <c r="Y347" s="5" t="n">
        <v>4727.7</v>
      </c>
      <c r="Z347" s="5" t="n">
        <v>2190.1</v>
      </c>
      <c r="AA347" s="5" t="n">
        <v>4763.7</v>
      </c>
      <c r="AB347" s="5" t="n">
        <v>2234.2</v>
      </c>
      <c r="AC347" s="5" t="inlineStr"/>
      <c r="AD347" s="5">
        <f>IF(AC347="","",IF(OR(AC347=F347,AND(AC347="crane_footing",F347="isolated_footing")),"yes","no"))</f>
        <v/>
      </c>
    </row>
    <row r="348">
      <c r="A348" s="5" t="n">
        <v>347</v>
      </c>
      <c r="B348" s="5" t="inlineStr">
        <is>
          <t>122</t>
        </is>
      </c>
      <c r="C348" s="5" t="inlineStr">
        <is>
          <t>nearest labels in its region</t>
        </is>
      </c>
      <c r="D348" s="5" t="inlineStr">
        <is>
          <t>band</t>
        </is>
      </c>
      <c r="E348" s="5" t="n">
        <v>3</v>
      </c>
      <c r="F348" s="5" t="inlineStr">
        <is>
          <t>unnamed</t>
        </is>
      </c>
      <c r="G348" s="5" t="inlineStr">
        <is>
          <t>no label votes</t>
        </is>
      </c>
      <c r="H348" s="5" t="inlineStr">
        <is>
          <t>(none)</t>
        </is>
      </c>
      <c r="I348" s="5" t="inlineStr"/>
      <c r="J348" s="5" t="inlineStr"/>
      <c r="K348" s="5" t="n">
        <v>163</v>
      </c>
      <c r="L348" s="5" t="n">
        <v>31</v>
      </c>
      <c r="M348" s="10">
        <f>IF(AND(ISNUMBER(K348),L348&gt;0),K348/L348,"")</f>
        <v/>
      </c>
      <c r="N348" s="5" t="n">
        <v>0.505</v>
      </c>
      <c r="O348" s="5" t="n">
        <v>126.6</v>
      </c>
      <c r="P348" s="5" t="n">
        <v>1</v>
      </c>
      <c r="Q348" s="5" t="n">
        <v>0</v>
      </c>
      <c r="R348" s="5" t="n">
        <v>0</v>
      </c>
      <c r="S348" s="5" t="n">
        <v>0</v>
      </c>
      <c r="T348" s="5" t="n">
        <v>0</v>
      </c>
      <c r="U348" s="5" t="n">
        <v>0</v>
      </c>
      <c r="V348" s="5" t="n">
        <v>12</v>
      </c>
      <c r="W348" s="5" t="n">
        <v>1.63</v>
      </c>
      <c r="X348" s="5" t="inlineStr"/>
      <c r="Y348" s="5" t="n">
        <v>4680.9</v>
      </c>
      <c r="Z348" s="5" t="n">
        <v>2190.2</v>
      </c>
      <c r="AA348" s="5" t="n">
        <v>4717</v>
      </c>
      <c r="AB348" s="5" t="n">
        <v>2234.2</v>
      </c>
      <c r="AC348" s="5" t="inlineStr"/>
      <c r="AD348" s="5">
        <f>IF(AC348="","",IF(OR(AC348=F348,AND(AC348="crane_footing",F348="isolated_footing")),"yes","no"))</f>
        <v/>
      </c>
    </row>
    <row r="349">
      <c r="A349" s="5" t="n">
        <v>348</v>
      </c>
      <c r="B349" s="5" t="inlineStr">
        <is>
          <t>122</t>
        </is>
      </c>
      <c r="C349" s="5" t="inlineStr">
        <is>
          <t>nearest labels in its region</t>
        </is>
      </c>
      <c r="D349" s="5" t="inlineStr">
        <is>
          <t>band</t>
        </is>
      </c>
      <c r="E349" s="5" t="n">
        <v>3</v>
      </c>
      <c r="F349" s="5" t="inlineStr">
        <is>
          <t>unnamed</t>
        </is>
      </c>
      <c r="G349" s="5" t="inlineStr">
        <is>
          <t>no label votes</t>
        </is>
      </c>
      <c r="H349" s="5" t="inlineStr">
        <is>
          <t>(none)</t>
        </is>
      </c>
      <c r="I349" s="5" t="inlineStr"/>
      <c r="J349" s="5" t="inlineStr"/>
      <c r="K349" s="5" t="n">
        <v>163</v>
      </c>
      <c r="L349" s="5" t="n">
        <v>31</v>
      </c>
      <c r="M349" s="10">
        <f>IF(AND(ISNUMBER(K349),L349&gt;0),K349/L349,"")</f>
        <v/>
      </c>
      <c r="N349" s="5" t="n">
        <v>0.504</v>
      </c>
      <c r="O349" s="5" t="n">
        <v>126.6</v>
      </c>
      <c r="P349" s="5" t="n">
        <v>1</v>
      </c>
      <c r="Q349" s="5" t="n">
        <v>0</v>
      </c>
      <c r="R349" s="5" t="n">
        <v>0</v>
      </c>
      <c r="S349" s="5" t="n">
        <v>0</v>
      </c>
      <c r="T349" s="5" t="n">
        <v>0</v>
      </c>
      <c r="U349" s="5" t="n">
        <v>0</v>
      </c>
      <c r="V349" s="5" t="n">
        <v>10</v>
      </c>
      <c r="W349" s="5" t="n">
        <v>1.63</v>
      </c>
      <c r="X349" s="5" t="inlineStr"/>
      <c r="Y349" s="5" t="n">
        <v>4716</v>
      </c>
      <c r="Z349" s="5" t="n">
        <v>2190.2</v>
      </c>
      <c r="AA349" s="5" t="n">
        <v>4752</v>
      </c>
      <c r="AB349" s="5" t="n">
        <v>2234.2</v>
      </c>
      <c r="AC349" s="5" t="inlineStr"/>
      <c r="AD349" s="5">
        <f>IF(AC349="","",IF(OR(AC349=F349,AND(AC349="crane_footing",F349="isolated_footing")),"yes","no"))</f>
        <v/>
      </c>
    </row>
    <row r="350">
      <c r="A350" s="5" t="n">
        <v>349</v>
      </c>
      <c r="B350" s="5" t="inlineStr">
        <is>
          <t>122</t>
        </is>
      </c>
      <c r="C350" s="5" t="inlineStr">
        <is>
          <t>nearest labels in its region</t>
        </is>
      </c>
      <c r="D350" s="5" t="inlineStr">
        <is>
          <t>band</t>
        </is>
      </c>
      <c r="E350" s="5" t="n">
        <v>3</v>
      </c>
      <c r="F350" s="5" t="inlineStr">
        <is>
          <t>unnamed</t>
        </is>
      </c>
      <c r="G350" s="5" t="inlineStr">
        <is>
          <t>no label votes</t>
        </is>
      </c>
      <c r="H350" s="5" t="inlineStr">
        <is>
          <t>(none)</t>
        </is>
      </c>
      <c r="I350" s="5" t="inlineStr"/>
      <c r="J350" s="5" t="inlineStr"/>
      <c r="K350" s="5" t="n">
        <v>163</v>
      </c>
      <c r="L350" s="5" t="n">
        <v>31</v>
      </c>
      <c r="M350" s="10">
        <f>IF(AND(ISNUMBER(K350),L350&gt;0),K350/L350,"")</f>
        <v/>
      </c>
      <c r="N350" s="5" t="n">
        <v>0.504</v>
      </c>
      <c r="O350" s="5" t="n">
        <v>126.7</v>
      </c>
      <c r="P350" s="5" t="n">
        <v>1</v>
      </c>
      <c r="Q350" s="5" t="n">
        <v>0</v>
      </c>
      <c r="R350" s="5" t="n">
        <v>0</v>
      </c>
      <c r="S350" s="5" t="n">
        <v>0</v>
      </c>
      <c r="T350" s="5" t="n">
        <v>0</v>
      </c>
      <c r="U350" s="5" t="n">
        <v>0</v>
      </c>
      <c r="V350" s="5" t="n">
        <v>11</v>
      </c>
      <c r="W350" s="5" t="n">
        <v>1.63</v>
      </c>
      <c r="X350" s="5" t="inlineStr"/>
      <c r="Y350" s="5" t="n">
        <v>4704.3</v>
      </c>
      <c r="Z350" s="5" t="n">
        <v>2190.2</v>
      </c>
      <c r="AA350" s="5" t="n">
        <v>4740.4</v>
      </c>
      <c r="AB350" s="5" t="n">
        <v>2234.2</v>
      </c>
      <c r="AC350" s="5" t="inlineStr"/>
      <c r="AD350" s="5">
        <f>IF(AC350="","",IF(OR(AC350=F350,AND(AC350="crane_footing",F350="isolated_footing")),"yes","no"))</f>
        <v/>
      </c>
    </row>
    <row r="351">
      <c r="A351" s="5" t="n">
        <v>350</v>
      </c>
      <c r="B351" s="5" t="inlineStr">
        <is>
          <t>122</t>
        </is>
      </c>
      <c r="C351" s="5" t="inlineStr">
        <is>
          <t>nearest labels in its region</t>
        </is>
      </c>
      <c r="D351" s="5" t="inlineStr">
        <is>
          <t>band</t>
        </is>
      </c>
      <c r="E351" s="5" t="n">
        <v>3</v>
      </c>
      <c r="F351" s="5" t="inlineStr">
        <is>
          <t>unnamed</t>
        </is>
      </c>
      <c r="G351" s="5" t="inlineStr">
        <is>
          <t>no label votes</t>
        </is>
      </c>
      <c r="H351" s="5" t="inlineStr">
        <is>
          <t>(none)</t>
        </is>
      </c>
      <c r="I351" s="5" t="inlineStr"/>
      <c r="J351" s="5" t="inlineStr"/>
      <c r="K351" s="5" t="n">
        <v>156</v>
      </c>
      <c r="L351" s="5" t="n">
        <v>31</v>
      </c>
      <c r="M351" s="10">
        <f>IF(AND(ISNUMBER(K351),L351&gt;0),K351/L351,"")</f>
        <v/>
      </c>
      <c r="N351" s="5" t="n">
        <v>0.484</v>
      </c>
      <c r="O351" s="5" t="n">
        <v>36.6</v>
      </c>
      <c r="P351" s="5" t="n">
        <v>0</v>
      </c>
      <c r="Q351" s="5" t="n">
        <v>1</v>
      </c>
      <c r="R351" s="5" t="n">
        <v>0</v>
      </c>
      <c r="S351" s="5" t="n">
        <v>0</v>
      </c>
      <c r="T351" s="5" t="n">
        <v>0</v>
      </c>
      <c r="U351" s="5" t="n">
        <v>14</v>
      </c>
      <c r="V351" s="5" t="n">
        <v>8</v>
      </c>
      <c r="W351" s="5" t="n">
        <v>0</v>
      </c>
      <c r="X351" s="5" t="inlineStr"/>
      <c r="Y351" s="5" t="n">
        <v>4518.4</v>
      </c>
      <c r="Z351" s="5" t="n">
        <v>2155.4</v>
      </c>
      <c r="AA351" s="5" t="n">
        <v>4560.9</v>
      </c>
      <c r="AB351" s="5" t="n">
        <v>2190.3</v>
      </c>
      <c r="AC351" s="5" t="inlineStr"/>
      <c r="AD351" s="5">
        <f>IF(AC351="","",IF(OR(AC351=F351,AND(AC351="crane_footing",F351="isolated_footing")),"yes","no"))</f>
        <v/>
      </c>
    </row>
    <row r="352">
      <c r="A352" s="5" t="n">
        <v>351</v>
      </c>
      <c r="B352" s="5" t="inlineStr">
        <is>
          <t>122</t>
        </is>
      </c>
      <c r="C352" s="5" t="inlineStr">
        <is>
          <t>nearest labels in its region</t>
        </is>
      </c>
      <c r="D352" s="5" t="inlineStr">
        <is>
          <t>band</t>
        </is>
      </c>
      <c r="E352" s="5" t="n">
        <v>3</v>
      </c>
      <c r="F352" s="5" t="inlineStr">
        <is>
          <t>unnamed</t>
        </is>
      </c>
      <c r="G352" s="5" t="inlineStr">
        <is>
          <t>no label votes</t>
        </is>
      </c>
      <c r="H352" s="5" t="inlineStr">
        <is>
          <t>(none)</t>
        </is>
      </c>
      <c r="I352" s="5" t="inlineStr"/>
      <c r="J352" s="5" t="inlineStr"/>
      <c r="K352" s="5" t="n">
        <v>155</v>
      </c>
      <c r="L352" s="5" t="n">
        <v>31</v>
      </c>
      <c r="M352" s="10">
        <f>IF(AND(ISNUMBER(K352),L352&gt;0),K352/L352,"")</f>
        <v/>
      </c>
      <c r="N352" s="5" t="n">
        <v>0.481</v>
      </c>
      <c r="O352" s="5" t="n">
        <v>126.6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0</v>
      </c>
      <c r="U352" s="5" t="n">
        <v>0</v>
      </c>
      <c r="V352" s="5" t="n">
        <v>7</v>
      </c>
      <c r="W352" s="5" t="n">
        <v>1.14</v>
      </c>
      <c r="X352" s="5" t="inlineStr"/>
      <c r="Y352" s="5" t="n">
        <v>4518.6</v>
      </c>
      <c r="Z352" s="5" t="n">
        <v>2190.4</v>
      </c>
      <c r="AA352" s="5" t="n">
        <v>4553.3</v>
      </c>
      <c r="AB352" s="5" t="n">
        <v>2232.6</v>
      </c>
      <c r="AC352" s="5" t="inlineStr"/>
      <c r="AD352" s="5">
        <f>IF(AC352="","",IF(OR(AC352=F352,AND(AC352="crane_footing",F352="isolated_footing")),"yes","no"))</f>
        <v/>
      </c>
    </row>
    <row r="353">
      <c r="A353" s="5" t="n">
        <v>352</v>
      </c>
      <c r="B353" s="5" t="inlineStr">
        <is>
          <t>122</t>
        </is>
      </c>
      <c r="C353" s="5" t="inlineStr">
        <is>
          <t>nearest labels in its region</t>
        </is>
      </c>
      <c r="D353" s="5" t="inlineStr">
        <is>
          <t>band</t>
        </is>
      </c>
      <c r="E353" s="5" t="n">
        <v>3</v>
      </c>
      <c r="F353" s="5" t="inlineStr">
        <is>
          <t>unnamed</t>
        </is>
      </c>
      <c r="G353" s="5" t="inlineStr">
        <is>
          <t>no label votes</t>
        </is>
      </c>
      <c r="H353" s="5" t="inlineStr">
        <is>
          <t>(none)</t>
        </is>
      </c>
      <c r="I353" s="5" t="inlineStr"/>
      <c r="J353" s="5" t="inlineStr"/>
      <c r="K353" s="5" t="n">
        <v>121</v>
      </c>
      <c r="L353" s="5" t="n">
        <v>31</v>
      </c>
      <c r="M353" s="10">
        <f>IF(AND(ISNUMBER(K353),L353&gt;0),K353/L353,"")</f>
        <v/>
      </c>
      <c r="N353" s="5" t="n">
        <v>0.375</v>
      </c>
      <c r="O353" s="5" t="n">
        <v>36.6</v>
      </c>
      <c r="P353" s="5" t="n">
        <v>0</v>
      </c>
      <c r="Q353" s="5" t="n">
        <v>1</v>
      </c>
      <c r="R353" s="5" t="n">
        <v>0</v>
      </c>
      <c r="S353" s="5" t="n">
        <v>0</v>
      </c>
      <c r="T353" s="5" t="n">
        <v>0</v>
      </c>
      <c r="U353" s="5" t="n">
        <v>0</v>
      </c>
      <c r="V353" s="5" t="n">
        <v>11</v>
      </c>
      <c r="W353" s="5" t="n">
        <v>0</v>
      </c>
      <c r="X353" s="5" t="inlineStr"/>
      <c r="Y353" s="5" t="n">
        <v>4573.8</v>
      </c>
      <c r="Z353" s="5" t="n">
        <v>2161.5</v>
      </c>
      <c r="AA353" s="5" t="n">
        <v>4607.9</v>
      </c>
      <c r="AB353" s="5" t="n">
        <v>2190.2</v>
      </c>
      <c r="AC353" s="5" t="inlineStr"/>
      <c r="AD353" s="5">
        <f>IF(AC353="","",IF(OR(AC353=F353,AND(AC353="crane_footing",F353="isolated_footing")),"yes","no"))</f>
        <v/>
      </c>
    </row>
    <row r="354">
      <c r="A354" s="5" t="n">
        <v>353</v>
      </c>
      <c r="B354" s="5" t="inlineStr">
        <is>
          <t>122</t>
        </is>
      </c>
      <c r="C354" s="5" t="inlineStr">
        <is>
          <t>nearest labels in its region</t>
        </is>
      </c>
      <c r="D354" s="5" t="inlineStr">
        <is>
          <t>band</t>
        </is>
      </c>
      <c r="E354" s="5" t="n">
        <v>3</v>
      </c>
      <c r="F354" s="5" t="inlineStr">
        <is>
          <t>unnamed</t>
        </is>
      </c>
      <c r="G354" s="5" t="inlineStr">
        <is>
          <t>no label votes</t>
        </is>
      </c>
      <c r="H354" s="5" t="inlineStr">
        <is>
          <t>(none)</t>
        </is>
      </c>
      <c r="I354" s="5" t="inlineStr"/>
      <c r="J354" s="5" t="inlineStr"/>
      <c r="K354" s="5" t="n">
        <v>120</v>
      </c>
      <c r="L354" s="5" t="n">
        <v>31</v>
      </c>
      <c r="M354" s="10">
        <f>IF(AND(ISNUMBER(K354),L354&gt;0),K354/L354,"")</f>
        <v/>
      </c>
      <c r="N354" s="5" t="n">
        <v>0.372</v>
      </c>
      <c r="O354" s="5" t="n">
        <v>36.6</v>
      </c>
      <c r="P354" s="5" t="n">
        <v>0</v>
      </c>
      <c r="Q354" s="5" t="n">
        <v>1</v>
      </c>
      <c r="R354" s="5" t="n">
        <v>0</v>
      </c>
      <c r="S354" s="5" t="n">
        <v>0</v>
      </c>
      <c r="T354" s="5" t="n">
        <v>0</v>
      </c>
      <c r="U354" s="5" t="n">
        <v>0</v>
      </c>
      <c r="V354" s="5" t="n">
        <v>11</v>
      </c>
      <c r="W354" s="5" t="n">
        <v>0</v>
      </c>
      <c r="X354" s="5" t="inlineStr"/>
      <c r="Y354" s="5" t="n">
        <v>4558.4</v>
      </c>
      <c r="Z354" s="5" t="n">
        <v>2161.8</v>
      </c>
      <c r="AA354" s="5" t="n">
        <v>4592.2</v>
      </c>
      <c r="AB354" s="5" t="n">
        <v>2190.2</v>
      </c>
      <c r="AC354" s="5" t="inlineStr"/>
      <c r="AD354" s="5">
        <f>IF(AC354="","",IF(OR(AC354=F354,AND(AC354="crane_footing",F354="isolated_footing")),"yes","no"))</f>
        <v/>
      </c>
    </row>
    <row r="355">
      <c r="A355" s="5" t="n">
        <v>354</v>
      </c>
      <c r="B355" s="5" t="inlineStr">
        <is>
          <t>122</t>
        </is>
      </c>
      <c r="C355" s="5" t="inlineStr">
        <is>
          <t>nearest labels in its region</t>
        </is>
      </c>
      <c r="D355" s="5" t="inlineStr">
        <is>
          <t>band</t>
        </is>
      </c>
      <c r="E355" s="5" t="n">
        <v>3</v>
      </c>
      <c r="F355" s="5" t="inlineStr">
        <is>
          <t>unnamed</t>
        </is>
      </c>
      <c r="G355" s="5" t="inlineStr">
        <is>
          <t>no label votes</t>
        </is>
      </c>
      <c r="H355" s="5" t="inlineStr">
        <is>
          <t>(none)</t>
        </is>
      </c>
      <c r="I355" s="5" t="inlineStr"/>
      <c r="J355" s="5" t="inlineStr"/>
      <c r="K355" s="5" t="n">
        <v>115</v>
      </c>
      <c r="L355" s="5" t="n">
        <v>31</v>
      </c>
      <c r="M355" s="10">
        <f>IF(AND(ISNUMBER(K355),L355&gt;0),K355/L355,"")</f>
        <v/>
      </c>
      <c r="N355" s="5" t="n">
        <v>0.356</v>
      </c>
      <c r="O355" s="5" t="n">
        <v>126.6</v>
      </c>
      <c r="P355" s="5" t="n">
        <v>2</v>
      </c>
      <c r="Q355" s="5" t="n">
        <v>0</v>
      </c>
      <c r="R355" s="5" t="n">
        <v>0</v>
      </c>
      <c r="S355" s="5" t="n">
        <v>0</v>
      </c>
      <c r="T355" s="5" t="n">
        <v>0</v>
      </c>
      <c r="U355" s="5" t="n">
        <v>0</v>
      </c>
      <c r="V355" s="5" t="n">
        <v>4</v>
      </c>
      <c r="W355" s="5" t="n">
        <v>1.15</v>
      </c>
      <c r="X355" s="5" t="inlineStr"/>
      <c r="Y355" s="5" t="n">
        <v>4739.4</v>
      </c>
      <c r="Z355" s="5" t="n">
        <v>2201.4</v>
      </c>
      <c r="AA355" s="5" t="n">
        <v>4767</v>
      </c>
      <c r="AB355" s="5" t="n">
        <v>2234.1</v>
      </c>
      <c r="AC355" s="5" t="inlineStr"/>
      <c r="AD355" s="5">
        <f>IF(AC355="","",IF(OR(AC355=F355,AND(AC355="crane_footing",F355="isolated_footing")),"yes","no"))</f>
        <v/>
      </c>
    </row>
    <row r="356">
      <c r="A356" s="5" t="n">
        <v>355</v>
      </c>
      <c r="B356" s="5" t="inlineStr">
        <is>
          <t>122</t>
        </is>
      </c>
      <c r="C356" s="5" t="inlineStr">
        <is>
          <t>nearest labels in its region</t>
        </is>
      </c>
      <c r="D356" s="5" t="inlineStr">
        <is>
          <t>band</t>
        </is>
      </c>
      <c r="E356" s="5" t="n">
        <v>3</v>
      </c>
      <c r="F356" s="5" t="inlineStr">
        <is>
          <t>unnamed</t>
        </is>
      </c>
      <c r="G356" s="5" t="inlineStr">
        <is>
          <t>no label votes</t>
        </is>
      </c>
      <c r="H356" s="5" t="inlineStr">
        <is>
          <t>(none)</t>
        </is>
      </c>
      <c r="I356" s="5" t="inlineStr"/>
      <c r="J356" s="5" t="inlineStr"/>
      <c r="K356" s="5" t="n">
        <v>90</v>
      </c>
      <c r="L356" s="5" t="n">
        <v>31</v>
      </c>
      <c r="M356" s="10">
        <f>IF(AND(ISNUMBER(K356),L356&gt;0),K356/L356,"")</f>
        <v/>
      </c>
      <c r="N356" s="5" t="n">
        <v>0.279</v>
      </c>
      <c r="O356" s="5" t="n">
        <v>36.6</v>
      </c>
      <c r="P356" s="5" t="n">
        <v>0</v>
      </c>
      <c r="Q356" s="5" t="n">
        <v>1</v>
      </c>
      <c r="R356" s="5" t="n">
        <v>0</v>
      </c>
      <c r="S356" s="5" t="n">
        <v>0</v>
      </c>
      <c r="T356" s="5" t="n">
        <v>0</v>
      </c>
      <c r="U356" s="5" t="n">
        <v>1</v>
      </c>
      <c r="V356" s="5" t="n">
        <v>6</v>
      </c>
      <c r="W356" s="5" t="n">
        <v>0</v>
      </c>
      <c r="X356" s="5" t="inlineStr"/>
      <c r="Y356" s="5" t="n">
        <v>4518.4</v>
      </c>
      <c r="Z356" s="5" t="n">
        <v>2167.1</v>
      </c>
      <c r="AA356" s="5" t="n">
        <v>4545.2</v>
      </c>
      <c r="AB356" s="5" t="n">
        <v>2190.3</v>
      </c>
      <c r="AC356" s="5" t="inlineStr"/>
      <c r="AD356" s="5">
        <f>IF(AC356="","",IF(OR(AC356=F356,AND(AC356="crane_footing",F356="isolated_footing")),"yes","no"))</f>
        <v/>
      </c>
    </row>
    <row r="357">
      <c r="A357" s="5" t="n">
        <v>356</v>
      </c>
      <c r="B357" s="5" t="inlineStr">
        <is>
          <t>122</t>
        </is>
      </c>
      <c r="C357" s="5" t="inlineStr">
        <is>
          <t>nearest labels in its region</t>
        </is>
      </c>
      <c r="D357" s="5" t="inlineStr">
        <is>
          <t>band</t>
        </is>
      </c>
      <c r="E357" s="5" t="n">
        <v>3</v>
      </c>
      <c r="F357" s="5" t="inlineStr">
        <is>
          <t>unnamed</t>
        </is>
      </c>
      <c r="G357" s="5" t="inlineStr">
        <is>
          <t>no label votes</t>
        </is>
      </c>
      <c r="H357" s="5" t="inlineStr">
        <is>
          <t>(none)</t>
        </is>
      </c>
      <c r="I357" s="5" t="inlineStr"/>
      <c r="J357" s="5" t="inlineStr"/>
      <c r="K357" s="5" t="n">
        <v>89</v>
      </c>
      <c r="L357" s="5" t="n">
        <v>31</v>
      </c>
      <c r="M357" s="10">
        <f>IF(AND(ISNUMBER(K357),L357&gt;0),K357/L357,"")</f>
        <v/>
      </c>
      <c r="N357" s="5" t="n">
        <v>0.276</v>
      </c>
      <c r="O357" s="5" t="n">
        <v>126.6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0</v>
      </c>
      <c r="U357" s="5" t="n">
        <v>0</v>
      </c>
      <c r="V357" s="5" t="n">
        <v>6</v>
      </c>
      <c r="W357" s="5" t="n">
        <v>0.48</v>
      </c>
      <c r="X357" s="5" t="inlineStr"/>
      <c r="Y357" s="5" t="n">
        <v>4518.5</v>
      </c>
      <c r="Z357" s="5" t="n">
        <v>2190.4</v>
      </c>
      <c r="AA357" s="5" t="n">
        <v>4541.6</v>
      </c>
      <c r="AB357" s="5" t="n">
        <v>2217</v>
      </c>
      <c r="AC357" s="5" t="inlineStr"/>
      <c r="AD357" s="5">
        <f>IF(AC357="","",IF(OR(AC357=F357,AND(AC357="crane_footing",F357="isolated_footing")),"yes","no"))</f>
        <v/>
      </c>
    </row>
    <row r="358">
      <c r="A358" s="5" t="n">
        <v>357</v>
      </c>
      <c r="B358" s="5" t="inlineStr">
        <is>
          <t>122</t>
        </is>
      </c>
      <c r="C358" s="5" t="inlineStr">
        <is>
          <t>region between joints</t>
        </is>
      </c>
      <c r="D358" s="5" t="inlineStr">
        <is>
          <t>band</t>
        </is>
      </c>
      <c r="E358" s="5" t="n">
        <v>5</v>
      </c>
      <c r="F358" s="5" t="inlineStr">
        <is>
          <t>unnamed</t>
        </is>
      </c>
      <c r="G358" s="5" t="inlineStr">
        <is>
          <t>no label votes</t>
        </is>
      </c>
      <c r="H358" s="5" t="inlineStr">
        <is>
          <t>(none)</t>
        </is>
      </c>
      <c r="I358" s="5" t="inlineStr"/>
      <c r="J358" s="5" t="inlineStr"/>
      <c r="K358" s="5" t="n">
        <v>1830</v>
      </c>
      <c r="L358" s="5" t="n">
        <v>49</v>
      </c>
      <c r="M358" s="10">
        <f>IF(AND(ISNUMBER(K358),L358&gt;0),K358/L358,"")</f>
        <v/>
      </c>
      <c r="N358" s="5" t="n">
        <v>8.968999999999999</v>
      </c>
      <c r="O358" s="5" t="n">
        <v>79.3</v>
      </c>
      <c r="P358" s="5" t="n">
        <v>7</v>
      </c>
      <c r="Q358" s="5" t="n">
        <v>0</v>
      </c>
      <c r="R358" s="5" t="n">
        <v>0</v>
      </c>
      <c r="S358" s="5" t="n">
        <v>0</v>
      </c>
      <c r="T358" s="5" t="n">
        <v>2</v>
      </c>
      <c r="U358" s="5" t="n">
        <v>11</v>
      </c>
      <c r="V358" s="5" t="n">
        <v>11</v>
      </c>
      <c r="W358" s="5" t="n">
        <v>7.72</v>
      </c>
      <c r="X358" s="5" t="inlineStr"/>
      <c r="Y358" s="5" t="n">
        <v>4168.2</v>
      </c>
      <c r="Z358" s="5" t="n">
        <v>2736.9</v>
      </c>
      <c r="AA358" s="5" t="n">
        <v>4282.5</v>
      </c>
      <c r="AB358" s="5" t="n">
        <v>3270.6</v>
      </c>
      <c r="AC358" s="5" t="inlineStr"/>
      <c r="AD358" s="5">
        <f>IF(AC358="","",IF(OR(AC358=F358,AND(AC358="crane_footing",F358="isolated_footing")),"yes","no"))</f>
        <v/>
      </c>
    </row>
    <row r="359">
      <c r="A359" s="5" t="n">
        <v>358</v>
      </c>
      <c r="B359" s="5" t="inlineStr">
        <is>
          <t>122</t>
        </is>
      </c>
      <c r="C359" s="5" t="inlineStr">
        <is>
          <t>region between joints</t>
        </is>
      </c>
      <c r="D359" s="5" t="inlineStr">
        <is>
          <t>band</t>
        </is>
      </c>
      <c r="E359" s="5" t="n">
        <v>5</v>
      </c>
      <c r="F359" s="5" t="inlineStr">
        <is>
          <t>unnamed</t>
        </is>
      </c>
      <c r="G359" s="5" t="inlineStr">
        <is>
          <t>no label votes</t>
        </is>
      </c>
      <c r="H359" s="5" t="inlineStr">
        <is>
          <t>(none)</t>
        </is>
      </c>
      <c r="I359" s="5" t="inlineStr"/>
      <c r="J359" s="5" t="inlineStr"/>
      <c r="K359" s="5" t="n">
        <v>124</v>
      </c>
      <c r="L359" s="5" t="n">
        <v>49</v>
      </c>
      <c r="M359" s="10">
        <f>IF(AND(ISNUMBER(K359),L359&gt;0),K359/L359,"")</f>
        <v/>
      </c>
      <c r="N359" s="5" t="n">
        <v>0.606</v>
      </c>
      <c r="O359" s="5" t="n">
        <v>0</v>
      </c>
      <c r="P359" s="5" t="n">
        <v>0</v>
      </c>
      <c r="Q359" s="5" t="n">
        <v>1</v>
      </c>
      <c r="R359" s="5" t="n">
        <v>0</v>
      </c>
      <c r="S359" s="5" t="n">
        <v>0</v>
      </c>
      <c r="T359" s="5" t="n">
        <v>0</v>
      </c>
      <c r="U359" s="5" t="n">
        <v>1</v>
      </c>
      <c r="V359" s="5" t="n">
        <v>2</v>
      </c>
      <c r="W359" s="5" t="n">
        <v>0</v>
      </c>
      <c r="X359" s="5" t="inlineStr"/>
      <c r="Y359" s="5" t="n">
        <v>4553.6</v>
      </c>
      <c r="Z359" s="5" t="n">
        <v>2821.9</v>
      </c>
      <c r="AA359" s="5" t="n">
        <v>4590.1</v>
      </c>
      <c r="AB359" s="5" t="n">
        <v>2836.4</v>
      </c>
      <c r="AC359" s="5" t="inlineStr"/>
      <c r="AD359" s="5">
        <f>IF(AC359="","",IF(OR(AC359=F359,AND(AC359="crane_footing",F359="isolated_footing")),"yes","no"))</f>
        <v/>
      </c>
    </row>
    <row r="360">
      <c r="A360" s="5" t="n">
        <v>359</v>
      </c>
      <c r="B360" s="5" t="inlineStr">
        <is>
          <t>122</t>
        </is>
      </c>
      <c r="C360" s="5" t="inlineStr">
        <is>
          <t>region between joints</t>
        </is>
      </c>
      <c r="D360" s="5" t="inlineStr">
        <is>
          <t>band</t>
        </is>
      </c>
      <c r="E360" s="5" t="n">
        <v>8</v>
      </c>
      <c r="F360" s="5" t="inlineStr">
        <is>
          <t>unnamed</t>
        </is>
      </c>
      <c r="G360" s="5" t="inlineStr">
        <is>
          <t>no label votes</t>
        </is>
      </c>
      <c r="H360" s="5" t="inlineStr">
        <is>
          <t>(none)</t>
        </is>
      </c>
      <c r="I360" s="5" t="inlineStr"/>
      <c r="J360" s="5" t="inlineStr"/>
      <c r="K360" s="5" t="n">
        <v>446</v>
      </c>
      <c r="L360" s="5" t="n">
        <v>94</v>
      </c>
      <c r="M360" s="10">
        <f>IF(AND(ISNUMBER(K360),L360&gt;0),K360/L360,"")</f>
        <v/>
      </c>
      <c r="N360" s="5" t="n">
        <v>4.195</v>
      </c>
      <c r="O360" s="5" t="n">
        <v>0.1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0</v>
      </c>
      <c r="U360" s="5" t="n">
        <v>1</v>
      </c>
      <c r="V360" s="5" t="n">
        <v>1</v>
      </c>
      <c r="W360" s="5" t="n">
        <v>4.46</v>
      </c>
      <c r="X360" s="5" t="inlineStr"/>
      <c r="Y360" s="5" t="n">
        <v>4482.5</v>
      </c>
      <c r="Z360" s="5" t="n">
        <v>2543.3</v>
      </c>
      <c r="AA360" s="5" t="n">
        <v>4614.3</v>
      </c>
      <c r="AB360" s="5" t="n">
        <v>2571.1</v>
      </c>
      <c r="AC360" s="5" t="inlineStr"/>
      <c r="AD360" s="5">
        <f>IF(AC360="","",IF(OR(AC360=F360,AND(AC360="crane_footing",F360="isolated_footing")),"yes","no"))</f>
        <v/>
      </c>
    </row>
    <row r="361">
      <c r="A361" s="5" t="n">
        <v>360</v>
      </c>
      <c r="B361" s="5" t="inlineStr">
        <is>
          <t>122</t>
        </is>
      </c>
      <c r="C361" s="5" t="inlineStr">
        <is>
          <t>nearest labels in its region</t>
        </is>
      </c>
      <c r="D361" s="5" t="inlineStr">
        <is>
          <t>band</t>
        </is>
      </c>
      <c r="E361" s="5" t="n">
        <v>8</v>
      </c>
      <c r="F361" s="5" t="inlineStr">
        <is>
          <t>unnamed</t>
        </is>
      </c>
      <c r="G361" s="5" t="inlineStr">
        <is>
          <t>no label votes</t>
        </is>
      </c>
      <c r="H361" s="5" t="inlineStr">
        <is>
          <t>(none)</t>
        </is>
      </c>
      <c r="I361" s="5" t="inlineStr"/>
      <c r="J361" s="5" t="inlineStr"/>
      <c r="K361" s="5" t="n">
        <v>175</v>
      </c>
      <c r="L361" s="5" t="n">
        <v>94</v>
      </c>
      <c r="M361" s="10">
        <f>IF(AND(ISNUMBER(K361),L361&gt;0),K361/L361,"")</f>
        <v/>
      </c>
      <c r="N361" s="5" t="n">
        <v>1.644</v>
      </c>
      <c r="O361" s="5" t="n">
        <v>0</v>
      </c>
      <c r="P361" s="5" t="n">
        <v>1</v>
      </c>
      <c r="Q361" s="5" t="n">
        <v>1</v>
      </c>
      <c r="R361" s="5" t="n">
        <v>0</v>
      </c>
      <c r="S361" s="5" t="n">
        <v>0</v>
      </c>
      <c r="T361" s="5" t="n">
        <v>1</v>
      </c>
      <c r="U361" s="5" t="n">
        <v>2</v>
      </c>
      <c r="V361" s="5" t="n">
        <v>2</v>
      </c>
      <c r="W361" s="5" t="n">
        <v>0</v>
      </c>
      <c r="X361" s="5" t="inlineStr"/>
      <c r="Y361" s="5" t="n">
        <v>4539</v>
      </c>
      <c r="Z361" s="5" t="n">
        <v>2323.2</v>
      </c>
      <c r="AA361" s="5" t="n">
        <v>4590.6</v>
      </c>
      <c r="AB361" s="5" t="n">
        <v>2350.9</v>
      </c>
      <c r="AC361" s="5" t="inlineStr"/>
      <c r="AD361" s="5">
        <f>IF(AC361="","",IF(OR(AC361=F361,AND(AC361="crane_footing",F361="isolated_footing")),"yes","no"))</f>
        <v/>
      </c>
    </row>
    <row r="362">
      <c r="A362" s="5" t="n">
        <v>361</v>
      </c>
      <c r="B362" s="5" t="inlineStr">
        <is>
          <t>122</t>
        </is>
      </c>
      <c r="C362" s="5" t="inlineStr">
        <is>
          <t>nearest labels in its region</t>
        </is>
      </c>
      <c r="D362" s="5" t="inlineStr">
        <is>
          <t>band</t>
        </is>
      </c>
      <c r="E362" s="5" t="n">
        <v>9</v>
      </c>
      <c r="F362" s="5" t="inlineStr">
        <is>
          <t>unnamed</t>
        </is>
      </c>
      <c r="G362" s="5" t="inlineStr">
        <is>
          <t>no label votes</t>
        </is>
      </c>
      <c r="H362" s="5" t="inlineStr">
        <is>
          <t>(none)</t>
        </is>
      </c>
      <c r="I362" s="5" t="inlineStr"/>
      <c r="J362" s="5" t="inlineStr"/>
      <c r="K362" s="5" t="n">
        <v>1470</v>
      </c>
      <c r="L362" s="5" t="n">
        <v>99</v>
      </c>
      <c r="M362" s="10">
        <f>IF(AND(ISNUMBER(K362),L362&gt;0),K362/L362,"")</f>
        <v/>
      </c>
      <c r="N362" s="5" t="n">
        <v>14.554</v>
      </c>
      <c r="O362" s="5" t="n">
        <v>90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1</v>
      </c>
      <c r="W362" s="5" t="n">
        <v>14.7</v>
      </c>
      <c r="X362" s="5" t="inlineStr"/>
      <c r="Y362" s="5" t="n">
        <v>5202.1</v>
      </c>
      <c r="Z362" s="5" t="n">
        <v>2113</v>
      </c>
      <c r="AA362" s="5" t="n">
        <v>5231.3</v>
      </c>
      <c r="AB362" s="5" t="n">
        <v>2547</v>
      </c>
      <c r="AC362" s="5" t="inlineStr"/>
      <c r="AD362" s="5">
        <f>IF(AC362="","",IF(OR(AC362=F362,AND(AC362="crane_footing",F362="isolated_footing")),"yes","no"))</f>
        <v/>
      </c>
    </row>
    <row r="363">
      <c r="A363" s="5" t="n">
        <v>362</v>
      </c>
      <c r="B363" s="5" t="inlineStr">
        <is>
          <t>122</t>
        </is>
      </c>
      <c r="C363" s="5" t="inlineStr">
        <is>
          <t>region between joints</t>
        </is>
      </c>
      <c r="D363" s="5" t="inlineStr">
        <is>
          <t>band</t>
        </is>
      </c>
      <c r="E363" s="5" t="n">
        <v>9</v>
      </c>
      <c r="F363" s="5" t="inlineStr">
        <is>
          <t>unnamed</t>
        </is>
      </c>
      <c r="G363" s="5" t="inlineStr">
        <is>
          <t>no label votes</t>
        </is>
      </c>
      <c r="H363" s="5" t="inlineStr">
        <is>
          <t>(none)</t>
        </is>
      </c>
      <c r="I363" s="5" t="inlineStr"/>
      <c r="J363" s="5" t="inlineStr"/>
      <c r="K363" s="5" t="n">
        <v>350</v>
      </c>
      <c r="L363" s="5" t="n">
        <v>99</v>
      </c>
      <c r="M363" s="10">
        <f>IF(AND(ISNUMBER(K363),L363&gt;0),K363/L363,"")</f>
        <v/>
      </c>
      <c r="N363" s="5" t="n">
        <v>3.464</v>
      </c>
      <c r="O363" s="5" t="n">
        <v>90</v>
      </c>
      <c r="P363" s="5" t="n">
        <v>1</v>
      </c>
      <c r="Q363" s="5" t="n">
        <v>1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4</v>
      </c>
      <c r="W363" s="5" t="n">
        <v>0.63</v>
      </c>
      <c r="X363" s="5" t="inlineStr"/>
      <c r="Y363" s="5" t="n">
        <v>4553.4</v>
      </c>
      <c r="Z363" s="5" t="n">
        <v>2707</v>
      </c>
      <c r="AA363" s="5" t="n">
        <v>4582.7</v>
      </c>
      <c r="AB363" s="5" t="n">
        <v>2810.3</v>
      </c>
      <c r="AC363" s="5" t="inlineStr"/>
      <c r="AD363" s="5">
        <f>IF(AC363="","",IF(OR(AC363=F363,AND(AC363="crane_footing",F363="isolated_footing")),"yes","no"))</f>
        <v/>
      </c>
    </row>
    <row r="364">
      <c r="A364" s="5" t="n">
        <v>363</v>
      </c>
      <c r="B364" s="5" t="inlineStr">
        <is>
          <t>122</t>
        </is>
      </c>
      <c r="C364" s="5" t="inlineStr">
        <is>
          <t>region between joints</t>
        </is>
      </c>
      <c r="D364" s="5" t="inlineStr">
        <is>
          <t>band</t>
        </is>
      </c>
      <c r="E364" s="5" t="n">
        <v>11</v>
      </c>
      <c r="F364" s="5" t="inlineStr">
        <is>
          <t>unnamed</t>
        </is>
      </c>
      <c r="G364" s="5" t="inlineStr">
        <is>
          <t>no label votes</t>
        </is>
      </c>
      <c r="H364" s="5" t="inlineStr">
        <is>
          <t>(none)</t>
        </is>
      </c>
      <c r="I364" s="5" t="inlineStr"/>
      <c r="J364" s="5" t="inlineStr"/>
      <c r="K364" s="5" t="n">
        <v>935</v>
      </c>
      <c r="L364" s="5" t="n">
        <v>134</v>
      </c>
      <c r="M364" s="10">
        <f>IF(AND(ISNUMBER(K364),L364&gt;0),K364/L364,"")</f>
        <v/>
      </c>
      <c r="N364" s="5" t="n">
        <v>12.535</v>
      </c>
      <c r="O364" s="5" t="n">
        <v>169.4</v>
      </c>
      <c r="P364" s="5" t="n">
        <v>0</v>
      </c>
      <c r="Q364" s="5" t="n">
        <v>0</v>
      </c>
      <c r="R364" s="5" t="n">
        <v>0</v>
      </c>
      <c r="S364" s="5" t="n">
        <v>1</v>
      </c>
      <c r="T364" s="5" t="n">
        <v>0</v>
      </c>
      <c r="U364" s="5" t="n">
        <v>71</v>
      </c>
      <c r="V364" s="5" t="n">
        <v>4</v>
      </c>
      <c r="W364" s="5" t="n">
        <v>9.35</v>
      </c>
      <c r="X364" s="5" t="inlineStr"/>
      <c r="Y364" s="5" t="n">
        <v>4541.4</v>
      </c>
      <c r="Z364" s="5" t="n">
        <v>2929.6</v>
      </c>
      <c r="AA364" s="5" t="n">
        <v>4820.2</v>
      </c>
      <c r="AB364" s="5" t="n">
        <v>3019.1</v>
      </c>
      <c r="AC364" s="5" t="inlineStr"/>
      <c r="AD364" s="5">
        <f>IF(AC364="","",IF(OR(AC364=F364,AND(AC364="crane_footing",F364="isolated_footing")),"yes","no"))</f>
        <v/>
      </c>
    </row>
    <row r="365">
      <c r="A365" s="5" t="n">
        <v>364</v>
      </c>
      <c r="B365" s="5" t="inlineStr">
        <is>
          <t>122</t>
        </is>
      </c>
      <c r="C365" s="5" t="inlineStr">
        <is>
          <t>region between joints</t>
        </is>
      </c>
      <c r="D365" s="5" t="inlineStr">
        <is>
          <t>band</t>
        </is>
      </c>
      <c r="E365" s="5" t="n">
        <v>11</v>
      </c>
      <c r="F365" s="5" t="inlineStr">
        <is>
          <t>unnamed</t>
        </is>
      </c>
      <c r="G365" s="5" t="inlineStr">
        <is>
          <t>no label votes</t>
        </is>
      </c>
      <c r="H365" s="5" t="inlineStr">
        <is>
          <t>(none)</t>
        </is>
      </c>
      <c r="I365" s="5" t="inlineStr"/>
      <c r="J365" s="5" t="inlineStr"/>
      <c r="K365" s="5" t="n">
        <v>270</v>
      </c>
      <c r="L365" s="5" t="n">
        <v>134</v>
      </c>
      <c r="M365" s="10">
        <f>IF(AND(ISNUMBER(K365),L365&gt;0),K365/L365,"")</f>
        <v/>
      </c>
      <c r="N365" s="5" t="n">
        <v>3.617</v>
      </c>
      <c r="O365" s="5" t="n">
        <v>90</v>
      </c>
      <c r="P365" s="5" t="n">
        <v>2</v>
      </c>
      <c r="Q365" s="5" t="n">
        <v>0</v>
      </c>
      <c r="R365" s="5" t="n">
        <v>0</v>
      </c>
      <c r="S365" s="5" t="n">
        <v>1</v>
      </c>
      <c r="T365" s="5" t="n">
        <v>0</v>
      </c>
      <c r="U365" s="5" t="n">
        <v>17</v>
      </c>
      <c r="V365" s="5" t="n">
        <v>1</v>
      </c>
      <c r="W365" s="5" t="n">
        <v>2.7</v>
      </c>
      <c r="X365" s="5" t="inlineStr"/>
      <c r="Y365" s="5" t="n">
        <v>4689.3</v>
      </c>
      <c r="Z365" s="5" t="n">
        <v>2618.1</v>
      </c>
      <c r="AA365" s="5" t="n">
        <v>4728.9</v>
      </c>
      <c r="AB365" s="5" t="n">
        <v>2697.8</v>
      </c>
      <c r="AC365" s="5" t="inlineStr"/>
      <c r="AD365" s="5">
        <f>IF(AC365="","",IF(OR(AC365=F365,AND(AC365="crane_footing",F365="isolated_footing")),"yes","no"))</f>
        <v/>
      </c>
    </row>
    <row r="366">
      <c r="A366" s="5" t="n">
        <v>365</v>
      </c>
      <c r="B366" s="5" t="inlineStr">
        <is>
          <t>122</t>
        </is>
      </c>
      <c r="C366" s="5" t="inlineStr">
        <is>
          <t>nearest labels in its region</t>
        </is>
      </c>
      <c r="D366" s="5" t="inlineStr">
        <is>
          <t>band</t>
        </is>
      </c>
      <c r="E366" s="5" t="n">
        <v>13</v>
      </c>
      <c r="F366" s="5" t="inlineStr">
        <is>
          <t>unnamed</t>
        </is>
      </c>
      <c r="G366" s="5" t="inlineStr">
        <is>
          <t>no label votes</t>
        </is>
      </c>
      <c r="H366" s="5" t="inlineStr">
        <is>
          <t>(none)</t>
        </is>
      </c>
      <c r="I366" s="5" t="inlineStr"/>
      <c r="J366" s="5" t="inlineStr"/>
      <c r="K366" s="5" t="n">
        <v>350</v>
      </c>
      <c r="L366" s="5" t="n">
        <v>145</v>
      </c>
      <c r="M366" s="10">
        <f>IF(AND(ISNUMBER(K366),L366&gt;0),K366/L366,"")</f>
        <v/>
      </c>
      <c r="N366" s="5" t="n">
        <v>5.077</v>
      </c>
      <c r="O366" s="5" t="n">
        <v>0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0</v>
      </c>
      <c r="U366" s="5" t="n">
        <v>1</v>
      </c>
      <c r="V366" s="5" t="n">
        <v>1</v>
      </c>
      <c r="W366" s="5" t="n">
        <v>3.5</v>
      </c>
      <c r="X366" s="5" t="inlineStr"/>
      <c r="Y366" s="5" t="n">
        <v>4270.4</v>
      </c>
      <c r="Z366" s="5" t="n">
        <v>2187.6</v>
      </c>
      <c r="AA366" s="5" t="n">
        <v>4373.8</v>
      </c>
      <c r="AB366" s="5" t="n">
        <v>2230.5</v>
      </c>
      <c r="AC366" s="5" t="inlineStr"/>
      <c r="AD366" s="5">
        <f>IF(AC366="","",IF(OR(AC366=F366,AND(AC366="crane_footing",F366="isolated_footing")),"yes","no"))</f>
        <v/>
      </c>
    </row>
    <row r="367">
      <c r="A367" s="5" t="n">
        <v>366</v>
      </c>
      <c r="B367" s="5" t="inlineStr">
        <is>
          <t>122</t>
        </is>
      </c>
      <c r="C367" s="5" t="inlineStr">
        <is>
          <t>region between joints</t>
        </is>
      </c>
      <c r="D367" s="5" t="inlineStr">
        <is>
          <t>band</t>
        </is>
      </c>
      <c r="E367" s="5" t="n">
        <v>13</v>
      </c>
      <c r="F367" s="5" t="inlineStr">
        <is>
          <t>unnamed</t>
        </is>
      </c>
      <c r="G367" s="5" t="inlineStr">
        <is>
          <t>no label votes</t>
        </is>
      </c>
      <c r="H367" s="5" t="inlineStr">
        <is>
          <t>(none)</t>
        </is>
      </c>
      <c r="I367" s="5" t="inlineStr"/>
      <c r="J367" s="5" t="inlineStr"/>
      <c r="K367" s="5" t="n">
        <v>123</v>
      </c>
      <c r="L367" s="5" t="n">
        <v>145</v>
      </c>
      <c r="M367" s="10">
        <f>IF(AND(ISNUMBER(K367),L367&gt;0),K367/L367,"")</f>
        <v/>
      </c>
      <c r="N367" s="5" t="n">
        <v>1.783</v>
      </c>
      <c r="O367" s="5" t="n">
        <v>90</v>
      </c>
      <c r="P367" s="5" t="n">
        <v>0</v>
      </c>
      <c r="Q367" s="5" t="n">
        <v>1</v>
      </c>
      <c r="R367" s="5" t="n">
        <v>0</v>
      </c>
      <c r="S367" s="5" t="n">
        <v>0</v>
      </c>
      <c r="T367" s="5" t="n">
        <v>0</v>
      </c>
      <c r="U367" s="5" t="n">
        <v>2</v>
      </c>
      <c r="V367" s="5" t="n">
        <v>1</v>
      </c>
      <c r="W367" s="5" t="n">
        <v>0</v>
      </c>
      <c r="X367" s="5" t="inlineStr"/>
      <c r="Y367" s="5" t="n">
        <v>4538.6</v>
      </c>
      <c r="Z367" s="5" t="n">
        <v>2842.8</v>
      </c>
      <c r="AA367" s="5" t="n">
        <v>4574.9</v>
      </c>
      <c r="AB367" s="5" t="n">
        <v>2885.6</v>
      </c>
      <c r="AC367" s="5" t="inlineStr"/>
      <c r="AD367" s="5">
        <f>IF(AC367="","",IF(OR(AC367=F367,AND(AC367="crane_footing",F367="isolated_footing")),"yes","no"))</f>
        <v/>
      </c>
    </row>
    <row r="368">
      <c r="A368" s="5" t="n">
        <v>367</v>
      </c>
      <c r="B368" s="5" t="inlineStr">
        <is>
          <t>122</t>
        </is>
      </c>
      <c r="C368" s="5" t="inlineStr">
        <is>
          <t>nearest labels in its region</t>
        </is>
      </c>
      <c r="D368" s="5" t="inlineStr">
        <is>
          <t>band</t>
        </is>
      </c>
      <c r="E368" s="5" t="n">
        <v>10</v>
      </c>
      <c r="F368" s="5" t="inlineStr">
        <is>
          <t>unnamed</t>
        </is>
      </c>
      <c r="G368" s="5" t="inlineStr">
        <is>
          <t>no label votes</t>
        </is>
      </c>
      <c r="H368" s="5" t="inlineStr">
        <is>
          <t>SF4</t>
        </is>
      </c>
      <c r="I368" s="5" t="inlineStr">
        <is>
          <t>printed label</t>
        </is>
      </c>
      <c r="J368" s="5" t="inlineStr">
        <is>
          <t>SF4- 120x25</t>
        </is>
      </c>
      <c r="K368" s="5" t="n">
        <v>288</v>
      </c>
      <c r="L368" s="5" t="n">
        <v>121</v>
      </c>
      <c r="M368" s="10">
        <f>IF(AND(ISNUMBER(K368),L368&gt;0),K368/L368,"")</f>
        <v/>
      </c>
      <c r="N368" s="5" t="n">
        <v>3.488</v>
      </c>
      <c r="O368" s="5" t="n">
        <v>179.9</v>
      </c>
      <c r="P368" s="5" t="n">
        <v>2</v>
      </c>
      <c r="Q368" s="5" t="n">
        <v>0</v>
      </c>
      <c r="R368" s="5" t="n">
        <v>0</v>
      </c>
      <c r="S368" s="5" t="n">
        <v>0</v>
      </c>
      <c r="T368" s="5" t="n">
        <v>0</v>
      </c>
      <c r="U368" s="5" t="n">
        <v>9</v>
      </c>
      <c r="V368" s="5" t="n">
        <v>20</v>
      </c>
      <c r="W368" s="5" t="n">
        <v>2.88</v>
      </c>
      <c r="X368" s="5" t="inlineStr"/>
      <c r="Y368" s="5" t="n">
        <v>4610.3</v>
      </c>
      <c r="Z368" s="5" t="n">
        <v>2119</v>
      </c>
      <c r="AA368" s="5" t="n">
        <v>4695.5</v>
      </c>
      <c r="AB368" s="5" t="n">
        <v>2154.9</v>
      </c>
      <c r="AC368" s="5" t="inlineStr"/>
      <c r="AD368" s="5">
        <f>IF(AC368="","",IF(OR(AC368=F368,AND(AC368="crane_footing",F368="isolated_footing")),"yes","no"))</f>
        <v/>
      </c>
    </row>
    <row r="369">
      <c r="A369" s="5" t="n">
        <v>368</v>
      </c>
      <c r="B369" s="5" t="inlineStr">
        <is>
          <t>123</t>
        </is>
      </c>
      <c r="C369" s="5" t="inlineStr">
        <is>
          <t>nearest labels in its region</t>
        </is>
      </c>
      <c r="D369" s="5" t="inlineStr">
        <is>
          <t>solid</t>
        </is>
      </c>
      <c r="E369" s="5" t="n">
        <v>31</v>
      </c>
      <c r="F369" s="5" t="inlineStr">
        <is>
          <t>column</t>
        </is>
      </c>
      <c r="G369" s="5" t="inlineStr">
        <is>
          <t>label vote</t>
        </is>
      </c>
      <c r="H369" s="5" t="inlineStr">
        <is>
          <t>(none)</t>
        </is>
      </c>
      <c r="I369" s="5" t="inlineStr">
        <is>
          <t>no column type in its building has this size</t>
        </is>
      </c>
      <c r="J369" s="5" t="inlineStr"/>
      <c r="K369" s="5" t="n">
        <v>77</v>
      </c>
      <c r="L369" s="5" t="n">
        <v>25</v>
      </c>
      <c r="M369" s="10">
        <f>IF(AND(ISNUMBER(K369),L369&gt;0),K369/L369,"")</f>
        <v/>
      </c>
      <c r="N369" s="5" t="n">
        <v>0.196</v>
      </c>
      <c r="O369" s="5" t="n">
        <v>169.3</v>
      </c>
      <c r="P369" s="5" t="n">
        <v>1</v>
      </c>
      <c r="Q369" s="5" t="n">
        <v>0</v>
      </c>
      <c r="R369" s="5" t="n">
        <v>0</v>
      </c>
      <c r="S369" s="5" t="n">
        <v>1</v>
      </c>
      <c r="T369" s="5" t="n">
        <v>0</v>
      </c>
      <c r="U369" s="5" t="n">
        <v>1</v>
      </c>
      <c r="V369" s="5" t="n">
        <v>0</v>
      </c>
      <c r="W369" s="5" t="n"/>
      <c r="X369" s="5" t="inlineStr"/>
      <c r="Y369" s="5" t="n">
        <v>4730.1</v>
      </c>
      <c r="Z369" s="5" t="n">
        <v>3109</v>
      </c>
      <c r="AA369" s="5" t="n">
        <v>4753.9</v>
      </c>
      <c r="AB369" s="5" t="n">
        <v>3120.6</v>
      </c>
      <c r="AC369" s="5" t="inlineStr"/>
      <c r="AD369" s="5">
        <f>IF(AC369="","",IF(OR(AC369=F369,AND(AC369="crane_footing",F369="isolated_footing")),"yes","no"))</f>
        <v/>
      </c>
    </row>
    <row r="370">
      <c r="A370" s="5" t="n">
        <v>369</v>
      </c>
      <c r="B370" s="5" t="inlineStr">
        <is>
          <t>123</t>
        </is>
      </c>
      <c r="C370" s="5" t="inlineStr">
        <is>
          <t>nearest labels in its region</t>
        </is>
      </c>
      <c r="D370" s="5" t="inlineStr">
        <is>
          <t>solid</t>
        </is>
      </c>
      <c r="E370" s="5" t="n">
        <v>32</v>
      </c>
      <c r="F370" s="5" t="inlineStr">
        <is>
          <t>shear_wall</t>
        </is>
      </c>
      <c r="G370" s="5" t="inlineStr">
        <is>
          <t>label vote</t>
        </is>
      </c>
      <c r="H370" s="5" t="inlineStr">
        <is>
          <t>(none)</t>
        </is>
      </c>
      <c r="I370" s="5" t="inlineStr">
        <is>
          <t>no shear_wall type in its building has this size</t>
        </is>
      </c>
      <c r="J370" s="5" t="inlineStr"/>
      <c r="K370" s="5" t="n">
        <v>404</v>
      </c>
      <c r="L370" s="5" t="n">
        <v>25</v>
      </c>
      <c r="M370" s="10">
        <f>IF(AND(ISNUMBER(K370),L370&gt;0),K370/L370,"")</f>
        <v/>
      </c>
      <c r="N370" s="5" t="n">
        <v>0.986</v>
      </c>
      <c r="O370" s="5" t="n">
        <v>79.40000000000001</v>
      </c>
      <c r="P370" s="5" t="n">
        <v>1</v>
      </c>
      <c r="Q370" s="5" t="n">
        <v>0</v>
      </c>
      <c r="R370" s="5" t="n">
        <v>0</v>
      </c>
      <c r="S370" s="5" t="n">
        <v>1</v>
      </c>
      <c r="T370" s="5" t="n">
        <v>0</v>
      </c>
      <c r="U370" s="5" t="n">
        <v>6</v>
      </c>
      <c r="V370" s="5" t="n">
        <v>3</v>
      </c>
      <c r="W370" s="5" t="n"/>
      <c r="X370" s="5" t="inlineStr"/>
      <c r="Y370" s="5" t="n">
        <v>4589.6</v>
      </c>
      <c r="Z370" s="5" t="n">
        <v>3029</v>
      </c>
      <c r="AA370" s="5" t="n">
        <v>4618.7</v>
      </c>
      <c r="AB370" s="5" t="n">
        <v>3146.3</v>
      </c>
      <c r="AC370" s="5" t="inlineStr"/>
      <c r="AD370" s="5">
        <f>IF(AC370="","",IF(OR(AC370=F370,AND(AC370="crane_footing",F370="isolated_footing")),"yes","no"))</f>
        <v/>
      </c>
    </row>
    <row r="371">
      <c r="A371" s="5" t="n">
        <v>370</v>
      </c>
      <c r="B371" s="5" t="inlineStr">
        <is>
          <t>123</t>
        </is>
      </c>
      <c r="C371" s="5" t="inlineStr">
        <is>
          <t>nearest labels in its region</t>
        </is>
      </c>
      <c r="D371" s="5" t="inlineStr">
        <is>
          <t>solid</t>
        </is>
      </c>
      <c r="E371" s="5" t="n">
        <v>32</v>
      </c>
      <c r="F371" s="5" t="inlineStr">
        <is>
          <t>shear_wall</t>
        </is>
      </c>
      <c r="G371" s="5" t="inlineStr">
        <is>
          <t>label vote</t>
        </is>
      </c>
      <c r="H371" s="5" t="inlineStr">
        <is>
          <t>(none)</t>
        </is>
      </c>
      <c r="I371" s="5" t="inlineStr">
        <is>
          <t>no shear_wall type in its building has this size</t>
        </is>
      </c>
      <c r="J371" s="5" t="inlineStr"/>
      <c r="K371" s="5" t="n">
        <v>233</v>
      </c>
      <c r="L371" s="5" t="n">
        <v>25</v>
      </c>
      <c r="M371" s="10">
        <f>IF(AND(ISNUMBER(K371),L371&gt;0),K371/L371,"")</f>
        <v/>
      </c>
      <c r="N371" s="5" t="n">
        <v>0.588</v>
      </c>
      <c r="O371" s="5" t="n">
        <v>79.2</v>
      </c>
      <c r="P371" s="5" t="n">
        <v>1</v>
      </c>
      <c r="Q371" s="5" t="n">
        <v>0</v>
      </c>
      <c r="R371" s="5" t="n">
        <v>0</v>
      </c>
      <c r="S371" s="5" t="n">
        <v>1</v>
      </c>
      <c r="T371" s="5" t="n">
        <v>0</v>
      </c>
      <c r="U371" s="5" t="n">
        <v>2</v>
      </c>
      <c r="V371" s="5" t="n">
        <v>4</v>
      </c>
      <c r="W371" s="5" t="n"/>
      <c r="X371" s="5" t="inlineStr"/>
      <c r="Y371" s="5" t="n">
        <v>4773.3</v>
      </c>
      <c r="Z371" s="5" t="n">
        <v>2998.8</v>
      </c>
      <c r="AA371" s="5" t="n">
        <v>4793.5</v>
      </c>
      <c r="AB371" s="5" t="n">
        <v>3067.7</v>
      </c>
      <c r="AC371" s="5" t="inlineStr"/>
      <c r="AD371" s="5">
        <f>IF(AC371="","",IF(OR(AC371=F371,AND(AC371="crane_footing",F371="isolated_footing")),"yes","no"))</f>
        <v/>
      </c>
    </row>
    <row r="372">
      <c r="A372" s="5" t="n">
        <v>371</v>
      </c>
      <c r="B372" s="5" t="inlineStr">
        <is>
          <t>123</t>
        </is>
      </c>
      <c r="C372" s="5" t="inlineStr">
        <is>
          <t>nearest labels in its region</t>
        </is>
      </c>
      <c r="D372" s="5" t="inlineStr">
        <is>
          <t>solid</t>
        </is>
      </c>
      <c r="E372" s="5" t="n">
        <v>32</v>
      </c>
      <c r="F372" s="5" t="inlineStr">
        <is>
          <t>shear_wall</t>
        </is>
      </c>
      <c r="G372" s="5" t="inlineStr">
        <is>
          <t>label vote</t>
        </is>
      </c>
      <c r="H372" s="5" t="inlineStr">
        <is>
          <t>(none)</t>
        </is>
      </c>
      <c r="I372" s="5" t="inlineStr">
        <is>
          <t>no shear_wall type in its building has this size</t>
        </is>
      </c>
      <c r="J372" s="5" t="inlineStr"/>
      <c r="K372" s="5" t="n">
        <v>214</v>
      </c>
      <c r="L372" s="5" t="n">
        <v>25</v>
      </c>
      <c r="M372" s="10">
        <f>IF(AND(ISNUMBER(K372),L372&gt;0),K372/L372,"")</f>
        <v/>
      </c>
      <c r="N372" s="5" t="n">
        <v>0.536</v>
      </c>
      <c r="O372" s="5" t="n">
        <v>169.4</v>
      </c>
      <c r="P372" s="5" t="n">
        <v>1</v>
      </c>
      <c r="Q372" s="5" t="n">
        <v>0</v>
      </c>
      <c r="R372" s="5" t="n">
        <v>0</v>
      </c>
      <c r="S372" s="5" t="n">
        <v>1</v>
      </c>
      <c r="T372" s="5" t="n">
        <v>0</v>
      </c>
      <c r="U372" s="5" t="n">
        <v>2</v>
      </c>
      <c r="V372" s="5" t="n">
        <v>2</v>
      </c>
      <c r="W372" s="5" t="n"/>
      <c r="X372" s="5" t="inlineStr"/>
      <c r="Y372" s="5" t="n">
        <v>4709.9</v>
      </c>
      <c r="Z372" s="5" t="n">
        <v>2992.9</v>
      </c>
      <c r="AA372" s="5" t="n">
        <v>4773.3</v>
      </c>
      <c r="AB372" s="5" t="n">
        <v>3011.8</v>
      </c>
      <c r="AC372" s="5" t="inlineStr"/>
      <c r="AD372" s="5">
        <f>IF(AC372="","",IF(OR(AC372=F372,AND(AC372="crane_footing",F372="isolated_footing")),"yes","no"))</f>
        <v/>
      </c>
    </row>
    <row r="373">
      <c r="A373" s="5" t="n">
        <v>372</v>
      </c>
      <c r="B373" s="5" t="inlineStr">
        <is>
          <t>123</t>
        </is>
      </c>
      <c r="C373" s="5" t="inlineStr">
        <is>
          <t>nearest labels in its region</t>
        </is>
      </c>
      <c r="D373" s="5" t="inlineStr">
        <is>
          <t>solid</t>
        </is>
      </c>
      <c r="E373" s="5" t="n">
        <v>32</v>
      </c>
      <c r="F373" s="5" t="inlineStr">
        <is>
          <t>shear_wall</t>
        </is>
      </c>
      <c r="G373" s="5" t="inlineStr">
        <is>
          <t>label vote</t>
        </is>
      </c>
      <c r="H373" s="5" t="inlineStr">
        <is>
          <t>(none)</t>
        </is>
      </c>
      <c r="I373" s="5" t="inlineStr">
        <is>
          <t>no shear_wall type in its building has this size</t>
        </is>
      </c>
      <c r="J373" s="5" t="inlineStr"/>
      <c r="K373" s="5" t="n">
        <v>292</v>
      </c>
      <c r="L373" s="5" t="n">
        <v>25</v>
      </c>
      <c r="M373" s="10">
        <f>IF(AND(ISNUMBER(K373),L373&gt;0),K373/L373,"")</f>
        <v/>
      </c>
      <c r="N373" s="5" t="n">
        <v>0.727</v>
      </c>
      <c r="O373" s="5" t="n">
        <v>169.3</v>
      </c>
      <c r="P373" s="5" t="n">
        <v>1</v>
      </c>
      <c r="Q373" s="5" t="n">
        <v>0</v>
      </c>
      <c r="R373" s="5" t="n">
        <v>0</v>
      </c>
      <c r="S373" s="5" t="n">
        <v>1</v>
      </c>
      <c r="T373" s="5" t="n">
        <v>0</v>
      </c>
      <c r="U373" s="5" t="n">
        <v>4</v>
      </c>
      <c r="V373" s="5" t="n">
        <v>2</v>
      </c>
      <c r="W373" s="5" t="n"/>
      <c r="X373" s="5" t="inlineStr"/>
      <c r="Y373" s="5" t="n">
        <v>4596.4</v>
      </c>
      <c r="Z373" s="5" t="n">
        <v>3010</v>
      </c>
      <c r="AA373" s="5" t="n">
        <v>4682.4</v>
      </c>
      <c r="AB373" s="5" t="n">
        <v>3033.2</v>
      </c>
      <c r="AC373" s="5" t="inlineStr"/>
      <c r="AD373" s="5">
        <f>IF(AC373="","",IF(OR(AC373=F373,AND(AC373="crane_footing",F373="isolated_footing")),"yes","no"))</f>
        <v/>
      </c>
    </row>
    <row r="374">
      <c r="A374" s="5" t="n">
        <v>373</v>
      </c>
      <c r="B374" s="5" t="inlineStr">
        <is>
          <t>123</t>
        </is>
      </c>
      <c r="C374" s="5" t="inlineStr">
        <is>
          <t>nearest labels in its region</t>
        </is>
      </c>
      <c r="D374" s="5" t="inlineStr">
        <is>
          <t>solid</t>
        </is>
      </c>
      <c r="E374" s="5" t="n">
        <v>30</v>
      </c>
      <c r="F374" s="5" t="inlineStr">
        <is>
          <t>shear_wall</t>
        </is>
      </c>
      <c r="G374" s="5" t="inlineStr">
        <is>
          <t>label vote</t>
        </is>
      </c>
      <c r="H374" s="5" t="inlineStr">
        <is>
          <t>(none)</t>
        </is>
      </c>
      <c r="I374" s="5" t="inlineStr">
        <is>
          <t>no shear_wall type in its building has this size</t>
        </is>
      </c>
      <c r="J374" s="5" t="inlineStr"/>
      <c r="K374" s="5" t="n">
        <v>299</v>
      </c>
      <c r="L374" s="5" t="n">
        <v>25</v>
      </c>
      <c r="M374" s="10">
        <f>IF(AND(ISNUMBER(K374),L374&gt;0),K374/L374,"")</f>
        <v/>
      </c>
      <c r="N374" s="5" t="n">
        <v>0.752</v>
      </c>
      <c r="O374" s="5" t="n">
        <v>79.3</v>
      </c>
      <c r="P374" s="5" t="n">
        <v>2</v>
      </c>
      <c r="Q374" s="5" t="n">
        <v>0</v>
      </c>
      <c r="R374" s="5" t="n">
        <v>0</v>
      </c>
      <c r="S374" s="5" t="n">
        <v>1</v>
      </c>
      <c r="T374" s="5" t="n">
        <v>0</v>
      </c>
      <c r="U374" s="5" t="n">
        <v>0</v>
      </c>
      <c r="V374" s="5" t="n">
        <v>1</v>
      </c>
      <c r="W374" s="5" t="n"/>
      <c r="X374" s="5" t="inlineStr"/>
      <c r="Y374" s="5" t="n">
        <v>4706.4</v>
      </c>
      <c r="Z374" s="5" t="n">
        <v>3026.4</v>
      </c>
      <c r="AA374" s="5" t="n">
        <v>4730.1</v>
      </c>
      <c r="AB374" s="5" t="n">
        <v>3114.5</v>
      </c>
      <c r="AC374" s="5" t="inlineStr"/>
      <c r="AD374" s="5">
        <f>IF(AC374="","",IF(OR(AC374=F374,AND(AC374="crane_footing",F374="isolated_footing")),"yes","no"))</f>
        <v/>
      </c>
    </row>
    <row r="375">
      <c r="A375" s="5" t="n">
        <v>374</v>
      </c>
      <c r="B375" s="5" t="inlineStr">
        <is>
          <t>123</t>
        </is>
      </c>
      <c r="C375" s="5" t="inlineStr">
        <is>
          <t>nearest labels in its region</t>
        </is>
      </c>
      <c r="D375" s="5" t="inlineStr">
        <is>
          <t>solid</t>
        </is>
      </c>
      <c r="E375" s="5" t="n">
        <v>32</v>
      </c>
      <c r="F375" s="5" t="inlineStr">
        <is>
          <t>shear_wall</t>
        </is>
      </c>
      <c r="G375" s="5" t="inlineStr">
        <is>
          <t>label vote</t>
        </is>
      </c>
      <c r="H375" s="5" t="inlineStr">
        <is>
          <t>(none)</t>
        </is>
      </c>
      <c r="I375" s="5" t="inlineStr">
        <is>
          <t>no shear_wall type in its building has this size</t>
        </is>
      </c>
      <c r="J375" s="5" t="inlineStr"/>
      <c r="K375" s="5" t="n">
        <v>234</v>
      </c>
      <c r="L375" s="5" t="n">
        <v>25</v>
      </c>
      <c r="M375" s="10">
        <f>IF(AND(ISNUMBER(K375),L375&gt;0),K375/L375,"")</f>
        <v/>
      </c>
      <c r="N375" s="5" t="n">
        <v>0.589</v>
      </c>
      <c r="O375" s="5" t="n">
        <v>169.3</v>
      </c>
      <c r="P375" s="5" t="n">
        <v>1</v>
      </c>
      <c r="Q375" s="5" t="n">
        <v>0</v>
      </c>
      <c r="R375" s="5" t="n">
        <v>0</v>
      </c>
      <c r="S375" s="5" t="n">
        <v>1</v>
      </c>
      <c r="T375" s="5" t="n">
        <v>0</v>
      </c>
      <c r="U375" s="5" t="n">
        <v>2</v>
      </c>
      <c r="V375" s="5" t="n">
        <v>0</v>
      </c>
      <c r="W375" s="5" t="n"/>
      <c r="X375" s="5" t="inlineStr"/>
      <c r="Y375" s="5" t="n">
        <v>4654.9</v>
      </c>
      <c r="Z375" s="5" t="n">
        <v>3114.7</v>
      </c>
      <c r="AA375" s="5" t="n">
        <v>4724.2</v>
      </c>
      <c r="AB375" s="5" t="n">
        <v>3134.8</v>
      </c>
      <c r="AC375" s="5" t="inlineStr"/>
      <c r="AD375" s="5">
        <f>IF(AC375="","",IF(OR(AC375=F375,AND(AC375="crane_footing",F375="isolated_footing")),"yes","no"))</f>
        <v/>
      </c>
    </row>
    <row r="376">
      <c r="A376" s="5" t="n">
        <v>375</v>
      </c>
      <c r="B376" s="5" t="inlineStr">
        <is>
          <t>123</t>
        </is>
      </c>
      <c r="C376" s="5" t="inlineStr">
        <is>
          <t>nearest labels in its region</t>
        </is>
      </c>
      <c r="D376" s="5" t="inlineStr">
        <is>
          <t>solid</t>
        </is>
      </c>
      <c r="E376" s="5" t="n">
        <v>36</v>
      </c>
      <c r="F376" s="5" t="inlineStr">
        <is>
          <t>shear_wall</t>
        </is>
      </c>
      <c r="G376" s="5" t="inlineStr">
        <is>
          <t>label vote</t>
        </is>
      </c>
      <c r="H376" s="5" t="inlineStr">
        <is>
          <t>(none)</t>
        </is>
      </c>
      <c r="I376" s="5" t="inlineStr">
        <is>
          <t>no shear_wall type in its building has this size</t>
        </is>
      </c>
      <c r="J376" s="5" t="inlineStr"/>
      <c r="K376" s="5" t="n">
        <v>175</v>
      </c>
      <c r="L376" s="5" t="n">
        <v>25</v>
      </c>
      <c r="M376" s="10">
        <f>IF(AND(ISNUMBER(K376),L376&gt;0),K376/L376,"")</f>
        <v/>
      </c>
      <c r="N376" s="5" t="n">
        <v>0.441</v>
      </c>
      <c r="O376" s="5" t="n">
        <v>79.2</v>
      </c>
      <c r="P376" s="5" t="n">
        <v>0</v>
      </c>
      <c r="Q376" s="5" t="n">
        <v>0</v>
      </c>
      <c r="R376" s="5" t="n">
        <v>0</v>
      </c>
      <c r="S376" s="5" t="n">
        <v>1</v>
      </c>
      <c r="T376" s="5" t="n">
        <v>0</v>
      </c>
      <c r="U376" s="5" t="n">
        <v>1</v>
      </c>
      <c r="V376" s="5" t="n">
        <v>2</v>
      </c>
      <c r="W376" s="5" t="n"/>
      <c r="X376" s="5" t="inlineStr"/>
      <c r="Y376" s="5" t="n">
        <v>4754.5</v>
      </c>
      <c r="Z376" s="5" t="n">
        <v>3114.9</v>
      </c>
      <c r="AA376" s="5" t="n">
        <v>4771.6</v>
      </c>
      <c r="AB376" s="5" t="n">
        <v>3167</v>
      </c>
      <c r="AC376" s="5" t="inlineStr"/>
      <c r="AD376" s="5">
        <f>IF(AC376="","",IF(OR(AC376=F376,AND(AC376="crane_footing",F376="isolated_footing")),"yes","no"))</f>
        <v/>
      </c>
    </row>
    <row r="377">
      <c r="A377" s="5" t="n">
        <v>376</v>
      </c>
      <c r="B377" s="5" t="inlineStr">
        <is>
          <t>123</t>
        </is>
      </c>
      <c r="C377" s="5" t="inlineStr">
        <is>
          <t>own label</t>
        </is>
      </c>
      <c r="D377" s="5" t="inlineStr">
        <is>
          <t>solid</t>
        </is>
      </c>
      <c r="E377" s="5" t="n">
        <v>30</v>
      </c>
      <c r="F377" s="5" t="inlineStr">
        <is>
          <t>shear_wall</t>
        </is>
      </c>
      <c r="G377" s="5" t="inlineStr">
        <is>
          <t>label vote</t>
        </is>
      </c>
      <c r="H377" s="5" t="inlineStr">
        <is>
          <t>V1/123</t>
        </is>
      </c>
      <c r="I377" s="5" t="inlineStr">
        <is>
          <t>printed label</t>
        </is>
      </c>
      <c r="J377" s="5" t="inlineStr">
        <is>
          <t>V1/123/123</t>
        </is>
      </c>
      <c r="K377" s="5" t="n">
        <v>125</v>
      </c>
      <c r="L377" s="5" t="n">
        <v>25</v>
      </c>
      <c r="M377" s="10">
        <f>IF(AND(ISNUMBER(K377),L377&gt;0),K377/L377,"")</f>
        <v/>
      </c>
      <c r="N377" s="5" t="n">
        <v>0.313</v>
      </c>
      <c r="O377" s="5" t="n">
        <v>79.40000000000001</v>
      </c>
      <c r="P377" s="5" t="n">
        <v>2</v>
      </c>
      <c r="Q377" s="5" t="n">
        <v>1</v>
      </c>
      <c r="R377" s="5" t="n">
        <v>0</v>
      </c>
      <c r="S377" s="5" t="n">
        <v>0</v>
      </c>
      <c r="T377" s="5" t="n">
        <v>0</v>
      </c>
      <c r="U377" s="5" t="n">
        <v>1</v>
      </c>
      <c r="V377" s="5" t="n">
        <v>2</v>
      </c>
      <c r="W377" s="5" t="n"/>
      <c r="X377" s="5" t="inlineStr"/>
      <c r="Y377" s="5" t="n">
        <v>4335.1</v>
      </c>
      <c r="Z377" s="5" t="n">
        <v>3545</v>
      </c>
      <c r="AA377" s="5" t="n">
        <v>4349.2</v>
      </c>
      <c r="AB377" s="5" t="n">
        <v>3582.7</v>
      </c>
      <c r="AC377" s="5" t="inlineStr"/>
      <c r="AD377" s="5">
        <f>IF(AC377="","",IF(OR(AC377=F377,AND(AC377="crane_footing",F377="isolated_footing")),"yes","no"))</f>
        <v/>
      </c>
    </row>
    <row r="378">
      <c r="A378" s="5" t="n">
        <v>377</v>
      </c>
      <c r="B378" s="5" t="inlineStr">
        <is>
          <t>123</t>
        </is>
      </c>
      <c r="C378" s="5" t="inlineStr">
        <is>
          <t>own label</t>
        </is>
      </c>
      <c r="D378" s="5" t="inlineStr">
        <is>
          <t>solid</t>
        </is>
      </c>
      <c r="E378" s="5" t="n">
        <v>35</v>
      </c>
      <c r="F378" s="5" t="inlineStr">
        <is>
          <t>shear_wall</t>
        </is>
      </c>
      <c r="G378" s="5" t="inlineStr">
        <is>
          <t>label vote</t>
        </is>
      </c>
      <c r="H378" s="5" t="inlineStr">
        <is>
          <t>V2/123</t>
        </is>
      </c>
      <c r="I378" s="5" t="inlineStr">
        <is>
          <t>printed label</t>
        </is>
      </c>
      <c r="J378" s="5" t="inlineStr">
        <is>
          <t>V2/123/123</t>
        </is>
      </c>
      <c r="K378" s="5" t="n">
        <v>200</v>
      </c>
      <c r="L378" s="5" t="n">
        <v>30</v>
      </c>
      <c r="M378" s="10">
        <f>IF(AND(ISNUMBER(K378),L378&gt;0),K378/L378,"")</f>
        <v/>
      </c>
      <c r="N378" s="5" t="n">
        <v>0.6</v>
      </c>
      <c r="O378" s="5" t="n">
        <v>79.40000000000001</v>
      </c>
      <c r="P378" s="5" t="n">
        <v>0</v>
      </c>
      <c r="Q378" s="5" t="n">
        <v>1</v>
      </c>
      <c r="R378" s="5" t="n">
        <v>0</v>
      </c>
      <c r="S378" s="5" t="n">
        <v>0</v>
      </c>
      <c r="T378" s="5" t="n">
        <v>0</v>
      </c>
      <c r="U378" s="5" t="n">
        <v>2</v>
      </c>
      <c r="V378" s="5" t="n">
        <v>2</v>
      </c>
      <c r="W378" s="5" t="n"/>
      <c r="X378" s="5" t="inlineStr"/>
      <c r="Y378" s="5" t="n">
        <v>4703.6</v>
      </c>
      <c r="Z378" s="5" t="n">
        <v>3429.1</v>
      </c>
      <c r="AA378" s="5" t="n">
        <v>4723.2</v>
      </c>
      <c r="AB378" s="5" t="n">
        <v>3488.8</v>
      </c>
      <c r="AC378" s="5" t="inlineStr">
        <is>
          <t>shear_wall</t>
        </is>
      </c>
      <c r="AD378" s="5">
        <f>IF(AC378="","",IF(OR(AC378=F378,AND(AC378="crane_footing",F378="isolated_footing")),"yes","no"))</f>
        <v/>
      </c>
    </row>
    <row r="379">
      <c r="A379" s="5" t="n">
        <v>378</v>
      </c>
      <c r="B379" s="5" t="inlineStr">
        <is>
          <t>123</t>
        </is>
      </c>
      <c r="C379" s="5" t="inlineStr">
        <is>
          <t>own label</t>
        </is>
      </c>
      <c r="D379" s="5" t="inlineStr">
        <is>
          <t>solid</t>
        </is>
      </c>
      <c r="E379" s="5" t="n">
        <v>35</v>
      </c>
      <c r="F379" s="5" t="inlineStr">
        <is>
          <t>shear_wall</t>
        </is>
      </c>
      <c r="G379" s="5" t="inlineStr">
        <is>
          <t>label vote</t>
        </is>
      </c>
      <c r="H379" s="5" t="inlineStr">
        <is>
          <t>V2/123</t>
        </is>
      </c>
      <c r="I379" s="5" t="inlineStr">
        <is>
          <t>printed label</t>
        </is>
      </c>
      <c r="J379" s="5" t="inlineStr">
        <is>
          <t>V2/123/123</t>
        </is>
      </c>
      <c r="K379" s="5" t="n">
        <v>200</v>
      </c>
      <c r="L379" s="5" t="n">
        <v>30</v>
      </c>
      <c r="M379" s="10">
        <f>IF(AND(ISNUMBER(K379),L379&gt;0),K379/L379,"")</f>
        <v/>
      </c>
      <c r="N379" s="5" t="n">
        <v>0.599</v>
      </c>
      <c r="O379" s="5" t="n">
        <v>79.40000000000001</v>
      </c>
      <c r="P379" s="5" t="n">
        <v>0</v>
      </c>
      <c r="Q379" s="5" t="n">
        <v>1</v>
      </c>
      <c r="R379" s="5" t="n">
        <v>1</v>
      </c>
      <c r="S379" s="5" t="n">
        <v>0</v>
      </c>
      <c r="T379" s="5" t="n">
        <v>0</v>
      </c>
      <c r="U379" s="5" t="n">
        <v>9</v>
      </c>
      <c r="V379" s="5" t="n">
        <v>4</v>
      </c>
      <c r="W379" s="5" t="n"/>
      <c r="X379" s="5" t="inlineStr"/>
      <c r="Y379" s="5" t="n">
        <v>4411.6</v>
      </c>
      <c r="Z379" s="5" t="n">
        <v>3059.4</v>
      </c>
      <c r="AA379" s="5" t="n">
        <v>4431.1</v>
      </c>
      <c r="AB379" s="5" t="n">
        <v>3119</v>
      </c>
      <c r="AC379" s="5" t="inlineStr">
        <is>
          <t>shear_wall</t>
        </is>
      </c>
      <c r="AD379" s="5">
        <f>IF(AC379="","",IF(OR(AC379=F379,AND(AC379="crane_footing",F379="isolated_footing")),"yes","no"))</f>
        <v/>
      </c>
    </row>
    <row r="380">
      <c r="A380" s="5" t="n">
        <v>379</v>
      </c>
      <c r="B380" s="5" t="inlineStr">
        <is>
          <t>123</t>
        </is>
      </c>
      <c r="C380" s="5" t="inlineStr">
        <is>
          <t>own label</t>
        </is>
      </c>
      <c r="D380" s="5" t="inlineStr">
        <is>
          <t>solid</t>
        </is>
      </c>
      <c r="E380" s="5" t="n">
        <v>37</v>
      </c>
      <c r="F380" s="5" t="inlineStr">
        <is>
          <t>shear_wall</t>
        </is>
      </c>
      <c r="G380" s="5" t="inlineStr">
        <is>
          <t>label vote</t>
        </is>
      </c>
      <c r="H380" s="5" t="inlineStr">
        <is>
          <t>V2/123</t>
        </is>
      </c>
      <c r="I380" s="5" t="inlineStr">
        <is>
          <t>printed label</t>
        </is>
      </c>
      <c r="J380" s="5" t="inlineStr">
        <is>
          <t>V2/123/123</t>
        </is>
      </c>
      <c r="K380" s="5" t="n">
        <v>200</v>
      </c>
      <c r="L380" s="5" t="n">
        <v>30</v>
      </c>
      <c r="M380" s="10">
        <f>IF(AND(ISNUMBER(K380),L380&gt;0),K380/L380,"")</f>
        <v/>
      </c>
      <c r="N380" s="5" t="n">
        <v>0.599</v>
      </c>
      <c r="O380" s="5" t="n">
        <v>79.3</v>
      </c>
      <c r="P380" s="5" t="n">
        <v>1</v>
      </c>
      <c r="Q380" s="5" t="n">
        <v>1</v>
      </c>
      <c r="R380" s="5" t="n">
        <v>0</v>
      </c>
      <c r="S380" s="5" t="n">
        <v>0</v>
      </c>
      <c r="T380" s="5" t="n">
        <v>0</v>
      </c>
      <c r="U380" s="5" t="n">
        <v>1</v>
      </c>
      <c r="V380" s="5" t="n">
        <v>2</v>
      </c>
      <c r="W380" s="5" t="n"/>
      <c r="X380" s="5" t="inlineStr"/>
      <c r="Y380" s="5" t="n">
        <v>4519.9</v>
      </c>
      <c r="Z380" s="5" t="n">
        <v>3487.9</v>
      </c>
      <c r="AA380" s="5" t="n">
        <v>4539.6</v>
      </c>
      <c r="AB380" s="5" t="n">
        <v>3547.5</v>
      </c>
      <c r="AC380" s="5" t="inlineStr"/>
      <c r="AD380" s="5">
        <f>IF(AC380="","",IF(OR(AC380=F380,AND(AC380="crane_footing",F380="isolated_footing")),"yes","no"))</f>
        <v/>
      </c>
    </row>
    <row r="381">
      <c r="A381" s="5" t="n">
        <v>380</v>
      </c>
      <c r="B381" s="5" t="inlineStr">
        <is>
          <t>123</t>
        </is>
      </c>
      <c r="C381" s="5" t="inlineStr">
        <is>
          <t>nearest labels in its region</t>
        </is>
      </c>
      <c r="D381" s="5" t="inlineStr">
        <is>
          <t>solid</t>
        </is>
      </c>
      <c r="E381" s="5" t="n">
        <v>35</v>
      </c>
      <c r="F381" s="5" t="inlineStr">
        <is>
          <t>shear_wall</t>
        </is>
      </c>
      <c r="G381" s="5" t="inlineStr">
        <is>
          <t>label vote</t>
        </is>
      </c>
      <c r="H381" s="5" t="inlineStr">
        <is>
          <t>V2/123|V4/123|V7/123</t>
        </is>
      </c>
      <c r="I381" s="5" t="inlineStr">
        <is>
          <t>inferred, ambiguous: 3 shear_wall types in its building have this size (nearest first)</t>
        </is>
      </c>
      <c r="J381" s="5" t="inlineStr"/>
      <c r="K381" s="5" t="n">
        <v>200</v>
      </c>
      <c r="L381" s="5" t="n">
        <v>30</v>
      </c>
      <c r="M381" s="10">
        <f>IF(AND(ISNUMBER(K381),L381&gt;0),K381/L381,"")</f>
        <v/>
      </c>
      <c r="N381" s="5" t="n">
        <v>0.599</v>
      </c>
      <c r="O381" s="5" t="n">
        <v>79.3</v>
      </c>
      <c r="P381" s="5" t="n">
        <v>0</v>
      </c>
      <c r="Q381" s="5" t="n">
        <v>1</v>
      </c>
      <c r="R381" s="5" t="n">
        <v>0</v>
      </c>
      <c r="S381" s="5" t="n">
        <v>0</v>
      </c>
      <c r="T381" s="5" t="n">
        <v>0</v>
      </c>
      <c r="U381" s="5" t="n">
        <v>1</v>
      </c>
      <c r="V381" s="5" t="n">
        <v>3</v>
      </c>
      <c r="W381" s="5" t="n"/>
      <c r="X381" s="5" t="inlineStr"/>
      <c r="Y381" s="5" t="n">
        <v>4483.5</v>
      </c>
      <c r="Z381" s="5" t="n">
        <v>3295.7</v>
      </c>
      <c r="AA381" s="5" t="n">
        <v>4503.1</v>
      </c>
      <c r="AB381" s="5" t="n">
        <v>3355.4</v>
      </c>
      <c r="AC381" s="5" t="inlineStr">
        <is>
          <t>shear_wall</t>
        </is>
      </c>
      <c r="AD381" s="5">
        <f>IF(AC381="","",IF(OR(AC381=F381,AND(AC381="crane_footing",F381="isolated_footing")),"yes","no"))</f>
        <v/>
      </c>
    </row>
    <row r="382">
      <c r="A382" s="5" t="n">
        <v>381</v>
      </c>
      <c r="B382" s="5" t="inlineStr">
        <is>
          <t>123</t>
        </is>
      </c>
      <c r="C382" s="5" t="inlineStr">
        <is>
          <t>own label</t>
        </is>
      </c>
      <c r="D382" s="5" t="inlineStr">
        <is>
          <t>solid</t>
        </is>
      </c>
      <c r="E382" s="5" t="n">
        <v>36</v>
      </c>
      <c r="F382" s="5" t="inlineStr">
        <is>
          <t>shear_wall</t>
        </is>
      </c>
      <c r="G382" s="5" t="inlineStr">
        <is>
          <t>label vote</t>
        </is>
      </c>
      <c r="H382" s="5" t="inlineStr">
        <is>
          <t>V3/123</t>
        </is>
      </c>
      <c r="I382" s="5" t="inlineStr">
        <is>
          <t>printed label</t>
        </is>
      </c>
      <c r="J382" s="5" t="inlineStr">
        <is>
          <t>V3/123/123</t>
        </is>
      </c>
      <c r="K382" s="5" t="n">
        <v>200</v>
      </c>
      <c r="L382" s="5" t="n">
        <v>25</v>
      </c>
      <c r="M382" s="10">
        <f>IF(AND(ISNUMBER(K382),L382&gt;0),K382/L382,"")</f>
        <v/>
      </c>
      <c r="N382" s="5" t="n">
        <v>0.501</v>
      </c>
      <c r="O382" s="5" t="n">
        <v>169.3</v>
      </c>
      <c r="P382" s="5" t="n">
        <v>0</v>
      </c>
      <c r="Q382" s="5" t="n">
        <v>0</v>
      </c>
      <c r="R382" s="5" t="n">
        <v>0</v>
      </c>
      <c r="S382" s="5" t="n">
        <v>1</v>
      </c>
      <c r="T382" s="5" t="n">
        <v>0</v>
      </c>
      <c r="U382" s="5" t="n">
        <v>1</v>
      </c>
      <c r="V382" s="5" t="n">
        <v>2</v>
      </c>
      <c r="W382" s="5" t="n"/>
      <c r="X382" s="5" t="inlineStr"/>
      <c r="Y382" s="5" t="n">
        <v>4634.4</v>
      </c>
      <c r="Z382" s="5" t="n">
        <v>3257.9</v>
      </c>
      <c r="AA382" s="5" t="n">
        <v>4693.8</v>
      </c>
      <c r="AB382" s="5" t="n">
        <v>3276.1</v>
      </c>
      <c r="AC382" s="5" t="inlineStr">
        <is>
          <t>shear_wall</t>
        </is>
      </c>
      <c r="AD382" s="5">
        <f>IF(AC382="","",IF(OR(AC382=F382,AND(AC382="crane_footing",F382="isolated_footing")),"yes","no"))</f>
        <v/>
      </c>
    </row>
    <row r="383">
      <c r="A383" s="5" t="n">
        <v>382</v>
      </c>
      <c r="B383" s="5" t="inlineStr">
        <is>
          <t>123</t>
        </is>
      </c>
      <c r="C383" s="5" t="inlineStr">
        <is>
          <t>own label</t>
        </is>
      </c>
      <c r="D383" s="5" t="inlineStr">
        <is>
          <t>solid</t>
        </is>
      </c>
      <c r="E383" s="5" t="n">
        <v>36</v>
      </c>
      <c r="F383" s="5" t="inlineStr">
        <is>
          <t>shear_wall</t>
        </is>
      </c>
      <c r="G383" s="5" t="inlineStr">
        <is>
          <t>label vote</t>
        </is>
      </c>
      <c r="H383" s="5" t="inlineStr">
        <is>
          <t>V3/123</t>
        </is>
      </c>
      <c r="I383" s="5" t="inlineStr">
        <is>
          <t>printed label</t>
        </is>
      </c>
      <c r="J383" s="5" t="inlineStr">
        <is>
          <t>V3/123/123</t>
        </is>
      </c>
      <c r="K383" s="5" t="n">
        <v>200</v>
      </c>
      <c r="L383" s="5" t="n">
        <v>25</v>
      </c>
      <c r="M383" s="10">
        <f>IF(AND(ISNUMBER(K383),L383&gt;0),K383/L383,"")</f>
        <v/>
      </c>
      <c r="N383" s="5" t="n">
        <v>0.501</v>
      </c>
      <c r="O383" s="5" t="n">
        <v>169.3</v>
      </c>
      <c r="P383" s="5" t="n">
        <v>0</v>
      </c>
      <c r="Q383" s="5" t="n">
        <v>0</v>
      </c>
      <c r="R383" s="5" t="n">
        <v>0</v>
      </c>
      <c r="S383" s="5" t="n">
        <v>1</v>
      </c>
      <c r="T383" s="5" t="n">
        <v>0</v>
      </c>
      <c r="U383" s="5" t="n">
        <v>2</v>
      </c>
      <c r="V383" s="5" t="n">
        <v>0</v>
      </c>
      <c r="W383" s="5" t="n"/>
      <c r="X383" s="5" t="inlineStr"/>
      <c r="Y383" s="5" t="n">
        <v>4805.9</v>
      </c>
      <c r="Z383" s="5" t="n">
        <v>3225.6</v>
      </c>
      <c r="AA383" s="5" t="n">
        <v>4865.3</v>
      </c>
      <c r="AB383" s="5" t="n">
        <v>3243.8</v>
      </c>
      <c r="AC383" s="5" t="inlineStr">
        <is>
          <t>shear_wall</t>
        </is>
      </c>
      <c r="AD383" s="5">
        <f>IF(AC383="","",IF(OR(AC383=F383,AND(AC383="crane_footing",F383="isolated_footing")),"yes","no"))</f>
        <v/>
      </c>
    </row>
    <row r="384">
      <c r="A384" s="5" t="n">
        <v>383</v>
      </c>
      <c r="B384" s="5" t="inlineStr">
        <is>
          <t>123</t>
        </is>
      </c>
      <c r="C384" s="5" t="inlineStr">
        <is>
          <t>own label (region says 124)</t>
        </is>
      </c>
      <c r="D384" s="5" t="inlineStr">
        <is>
          <t>solid</t>
        </is>
      </c>
      <c r="E384" s="5" t="n">
        <v>36</v>
      </c>
      <c r="F384" s="5" t="inlineStr">
        <is>
          <t>shear_wall</t>
        </is>
      </c>
      <c r="G384" s="5" t="inlineStr">
        <is>
          <t>label vote</t>
        </is>
      </c>
      <c r="H384" s="5" t="inlineStr">
        <is>
          <t>V3/123</t>
        </is>
      </c>
      <c r="I384" s="5" t="inlineStr">
        <is>
          <t>printed label</t>
        </is>
      </c>
      <c r="J384" s="5" t="inlineStr">
        <is>
          <t>V3/123/123</t>
        </is>
      </c>
      <c r="K384" s="5" t="n">
        <v>200</v>
      </c>
      <c r="L384" s="5" t="n">
        <v>25</v>
      </c>
      <c r="M384" s="10">
        <f>IF(AND(ISNUMBER(K384),L384&gt;0),K384/L384,"")</f>
        <v/>
      </c>
      <c r="N384" s="5" t="n">
        <v>0.499</v>
      </c>
      <c r="O384" s="5" t="n">
        <v>79.3</v>
      </c>
      <c r="P384" s="5" t="n">
        <v>0</v>
      </c>
      <c r="Q384" s="5" t="n">
        <v>1</v>
      </c>
      <c r="R384" s="5" t="n">
        <v>0</v>
      </c>
      <c r="S384" s="5" t="n">
        <v>0</v>
      </c>
      <c r="T384" s="5" t="n">
        <v>0</v>
      </c>
      <c r="U384" s="5" t="n">
        <v>1</v>
      </c>
      <c r="V384" s="5" t="n">
        <v>7</v>
      </c>
      <c r="W384" s="5" t="n"/>
      <c r="X384" s="5" t="inlineStr"/>
      <c r="Y384" s="5" t="n">
        <v>4249.1</v>
      </c>
      <c r="Z384" s="5" t="n">
        <v>3088.5</v>
      </c>
      <c r="AA384" s="5" t="n">
        <v>4267.3</v>
      </c>
      <c r="AB384" s="5" t="n">
        <v>3147.9</v>
      </c>
      <c r="AC384" s="5" t="inlineStr">
        <is>
          <t>shear_wall</t>
        </is>
      </c>
      <c r="AD384" s="5">
        <f>IF(AC384="","",IF(OR(AC384=F384,AND(AC384="crane_footing",F384="isolated_footing")),"yes","no"))</f>
        <v/>
      </c>
    </row>
    <row r="385">
      <c r="A385" s="5" t="n">
        <v>384</v>
      </c>
      <c r="B385" s="5" t="inlineStr">
        <is>
          <t>123</t>
        </is>
      </c>
      <c r="C385" s="5" t="inlineStr">
        <is>
          <t>own label (region says 124)</t>
        </is>
      </c>
      <c r="D385" s="5" t="inlineStr">
        <is>
          <t>solid</t>
        </is>
      </c>
      <c r="E385" s="5" t="n">
        <v>32</v>
      </c>
      <c r="F385" s="5" t="inlineStr">
        <is>
          <t>shear_wall</t>
        </is>
      </c>
      <c r="G385" s="5" t="inlineStr">
        <is>
          <t>label vote</t>
        </is>
      </c>
      <c r="H385" s="5" t="inlineStr">
        <is>
          <t>V3/123</t>
        </is>
      </c>
      <c r="I385" s="5" t="inlineStr">
        <is>
          <t>printed label</t>
        </is>
      </c>
      <c r="J385" s="5" t="inlineStr">
        <is>
          <t>V3/123/123</t>
        </is>
      </c>
      <c r="K385" s="5" t="n">
        <v>200</v>
      </c>
      <c r="L385" s="5" t="n">
        <v>25</v>
      </c>
      <c r="M385" s="10">
        <f>IF(AND(ISNUMBER(K385),L385&gt;0),K385/L385,"")</f>
        <v/>
      </c>
      <c r="N385" s="5" t="n">
        <v>0.499</v>
      </c>
      <c r="O385" s="5" t="n">
        <v>79.3</v>
      </c>
      <c r="P385" s="5" t="n">
        <v>1</v>
      </c>
      <c r="Q385" s="5" t="n">
        <v>1</v>
      </c>
      <c r="R385" s="5" t="n">
        <v>0</v>
      </c>
      <c r="S385" s="5" t="n">
        <v>0</v>
      </c>
      <c r="T385" s="5" t="n">
        <v>0</v>
      </c>
      <c r="U385" s="5" t="n">
        <v>1</v>
      </c>
      <c r="V385" s="5" t="n">
        <v>2</v>
      </c>
      <c r="W385" s="5" t="n"/>
      <c r="X385" s="5" t="inlineStr"/>
      <c r="Y385" s="5" t="n">
        <v>4290.9</v>
      </c>
      <c r="Z385" s="5" t="n">
        <v>3310.2</v>
      </c>
      <c r="AA385" s="5" t="n">
        <v>4309.1</v>
      </c>
      <c r="AB385" s="5" t="n">
        <v>3369.6</v>
      </c>
      <c r="AC385" s="5" t="inlineStr"/>
      <c r="AD385" s="5">
        <f>IF(AC385="","",IF(OR(AC385=F385,AND(AC385="crane_footing",F385="isolated_footing")),"yes","no"))</f>
        <v/>
      </c>
    </row>
    <row r="386">
      <c r="A386" s="5" t="n">
        <v>385</v>
      </c>
      <c r="B386" s="5" t="inlineStr">
        <is>
          <t>123</t>
        </is>
      </c>
      <c r="C386" s="5" t="inlineStr">
        <is>
          <t>own label</t>
        </is>
      </c>
      <c r="D386" s="5" t="inlineStr">
        <is>
          <t>solid</t>
        </is>
      </c>
      <c r="E386" s="5" t="n">
        <v>37</v>
      </c>
      <c r="F386" s="5" t="inlineStr">
        <is>
          <t>shear_wall</t>
        </is>
      </c>
      <c r="G386" s="5" t="inlineStr">
        <is>
          <t>label vote</t>
        </is>
      </c>
      <c r="H386" s="5" t="inlineStr">
        <is>
          <t>V4/123</t>
        </is>
      </c>
      <c r="I386" s="5" t="inlineStr">
        <is>
          <t>printed label</t>
        </is>
      </c>
      <c r="J386" s="5" t="inlineStr">
        <is>
          <t>V4/123/123</t>
        </is>
      </c>
      <c r="K386" s="5" t="n">
        <v>200</v>
      </c>
      <c r="L386" s="5" t="n">
        <v>30</v>
      </c>
      <c r="M386" s="10">
        <f>IF(AND(ISNUMBER(K386),L386&gt;0),K386/L386,"")</f>
        <v/>
      </c>
      <c r="N386" s="5" t="n">
        <v>0.603</v>
      </c>
      <c r="O386" s="5" t="n">
        <v>79.40000000000001</v>
      </c>
      <c r="P386" s="5" t="n">
        <v>1</v>
      </c>
      <c r="Q386" s="5" t="n">
        <v>1</v>
      </c>
      <c r="R386" s="5" t="n">
        <v>0</v>
      </c>
      <c r="S386" s="5" t="n">
        <v>0</v>
      </c>
      <c r="T386" s="5" t="n">
        <v>0</v>
      </c>
      <c r="U386" s="5" t="n">
        <v>2</v>
      </c>
      <c r="V386" s="5" t="n">
        <v>1</v>
      </c>
      <c r="W386" s="5" t="n"/>
      <c r="X386" s="5" t="inlineStr"/>
      <c r="Y386" s="5" t="n">
        <v>4892.3</v>
      </c>
      <c r="Z386" s="5" t="n">
        <v>3417.7</v>
      </c>
      <c r="AA386" s="5" t="n">
        <v>4911.9</v>
      </c>
      <c r="AB386" s="5" t="n">
        <v>3477.4</v>
      </c>
      <c r="AC386" s="5" t="inlineStr"/>
      <c r="AD386" s="5">
        <f>IF(AC386="","",IF(OR(AC386=F386,AND(AC386="crane_footing",F386="isolated_footing")),"yes","no"))</f>
        <v/>
      </c>
    </row>
    <row r="387">
      <c r="A387" s="5" t="n">
        <v>386</v>
      </c>
      <c r="B387" s="5" t="inlineStr">
        <is>
          <t>123</t>
        </is>
      </c>
      <c r="C387" s="5" t="inlineStr">
        <is>
          <t>own label</t>
        </is>
      </c>
      <c r="D387" s="5" t="inlineStr">
        <is>
          <t>solid</t>
        </is>
      </c>
      <c r="E387" s="5" t="n">
        <v>37</v>
      </c>
      <c r="F387" s="5" t="inlineStr">
        <is>
          <t>shear_wall</t>
        </is>
      </c>
      <c r="G387" s="5" t="inlineStr">
        <is>
          <t>label vote</t>
        </is>
      </c>
      <c r="H387" s="5" t="inlineStr">
        <is>
          <t>V5/123</t>
        </is>
      </c>
      <c r="I387" s="5" t="inlineStr">
        <is>
          <t>printed label</t>
        </is>
      </c>
      <c r="J387" s="5" t="inlineStr">
        <is>
          <t>V5/123/123</t>
        </is>
      </c>
      <c r="K387" s="5" t="n">
        <v>150</v>
      </c>
      <c r="L387" s="5" t="n">
        <v>30</v>
      </c>
      <c r="M387" s="10">
        <f>IF(AND(ISNUMBER(K387),L387&gt;0),K387/L387,"")</f>
        <v/>
      </c>
      <c r="N387" s="5" t="n">
        <v>0.45</v>
      </c>
      <c r="O387" s="5" t="n">
        <v>169.4</v>
      </c>
      <c r="P387" s="5" t="n">
        <v>1</v>
      </c>
      <c r="Q387" s="5" t="n">
        <v>1</v>
      </c>
      <c r="R387" s="5" t="n">
        <v>0</v>
      </c>
      <c r="S387" s="5" t="n">
        <v>0</v>
      </c>
      <c r="T387" s="5" t="n">
        <v>0</v>
      </c>
      <c r="U387" s="5" t="n">
        <v>1</v>
      </c>
      <c r="V387" s="5" t="n">
        <v>1</v>
      </c>
      <c r="W387" s="5" t="n"/>
      <c r="X387" s="5" t="inlineStr"/>
      <c r="Y387" s="5" t="n">
        <v>4975.9</v>
      </c>
      <c r="Z387" s="5" t="n">
        <v>3317.4</v>
      </c>
      <c r="AA387" s="5" t="n">
        <v>5021.1</v>
      </c>
      <c r="AB387" s="5" t="n">
        <v>3334.2</v>
      </c>
      <c r="AC387" s="5" t="inlineStr"/>
      <c r="AD387" s="5">
        <f>IF(AC387="","",IF(OR(AC387=F387,AND(AC387="crane_footing",F387="isolated_footing")),"yes","no"))</f>
        <v/>
      </c>
    </row>
    <row r="388">
      <c r="A388" s="5" t="n">
        <v>387</v>
      </c>
      <c r="B388" s="5" t="inlineStr">
        <is>
          <t>123</t>
        </is>
      </c>
      <c r="C388" s="5" t="inlineStr">
        <is>
          <t>own label</t>
        </is>
      </c>
      <c r="D388" s="5" t="inlineStr">
        <is>
          <t>solid</t>
        </is>
      </c>
      <c r="E388" s="5" t="n">
        <v>37</v>
      </c>
      <c r="F388" s="5" t="inlineStr">
        <is>
          <t>shear_wall</t>
        </is>
      </c>
      <c r="G388" s="5" t="inlineStr">
        <is>
          <t>label vote</t>
        </is>
      </c>
      <c r="H388" s="5" t="inlineStr">
        <is>
          <t>V6/123</t>
        </is>
      </c>
      <c r="I388" s="5" t="inlineStr">
        <is>
          <t>printed label</t>
        </is>
      </c>
      <c r="J388" s="5" t="inlineStr">
        <is>
          <t>V6/123/123</t>
        </is>
      </c>
      <c r="K388" s="5" t="n">
        <v>125</v>
      </c>
      <c r="L388" s="5" t="n">
        <v>30</v>
      </c>
      <c r="M388" s="10">
        <f>IF(AND(ISNUMBER(K388),L388&gt;0),K388/L388,"")</f>
        <v/>
      </c>
      <c r="N388" s="5" t="n">
        <v>0.375</v>
      </c>
      <c r="O388" s="5" t="n">
        <v>169.3</v>
      </c>
      <c r="P388" s="5" t="n">
        <v>1</v>
      </c>
      <c r="Q388" s="5" t="n">
        <v>1</v>
      </c>
      <c r="R388" s="5" t="n">
        <v>0</v>
      </c>
      <c r="S388" s="5" t="n">
        <v>0</v>
      </c>
      <c r="T388" s="5" t="n">
        <v>0</v>
      </c>
      <c r="U388" s="5" t="n">
        <v>1</v>
      </c>
      <c r="V388" s="5" t="n">
        <v>2</v>
      </c>
      <c r="W388" s="5" t="n"/>
      <c r="X388" s="5" t="inlineStr"/>
      <c r="Y388" s="5" t="n">
        <v>4978.1</v>
      </c>
      <c r="Z388" s="5" t="n">
        <v>2947.2</v>
      </c>
      <c r="AA388" s="5" t="n">
        <v>5015.9</v>
      </c>
      <c r="AB388" s="5" t="n">
        <v>2962.7</v>
      </c>
      <c r="AC388" s="5" t="inlineStr"/>
      <c r="AD388" s="5">
        <f>IF(AC388="","",IF(OR(AC388=F388,AND(AC388="crane_footing",F388="isolated_footing")),"yes","no"))</f>
        <v/>
      </c>
    </row>
    <row r="389">
      <c r="A389" s="5" t="n">
        <v>388</v>
      </c>
      <c r="B389" s="5" t="inlineStr">
        <is>
          <t>123</t>
        </is>
      </c>
      <c r="C389" s="5" t="inlineStr">
        <is>
          <t>own label</t>
        </is>
      </c>
      <c r="D389" s="5" t="inlineStr">
        <is>
          <t>solid</t>
        </is>
      </c>
      <c r="E389" s="5" t="n">
        <v>37</v>
      </c>
      <c r="F389" s="5" t="inlineStr">
        <is>
          <t>shear_wall</t>
        </is>
      </c>
      <c r="G389" s="5" t="inlineStr">
        <is>
          <t>label vote</t>
        </is>
      </c>
      <c r="H389" s="5" t="inlineStr">
        <is>
          <t>V7/123</t>
        </is>
      </c>
      <c r="I389" s="5" t="inlineStr">
        <is>
          <t>printed label</t>
        </is>
      </c>
      <c r="J389" s="5" t="inlineStr">
        <is>
          <t>V7/123/123</t>
        </is>
      </c>
      <c r="K389" s="5" t="n">
        <v>200</v>
      </c>
      <c r="L389" s="5" t="n">
        <v>30</v>
      </c>
      <c r="M389" s="10">
        <f>IF(AND(ISNUMBER(K389),L389&gt;0),K389/L389,"")</f>
        <v/>
      </c>
      <c r="N389" s="5" t="n">
        <v>0.601</v>
      </c>
      <c r="O389" s="5" t="n">
        <v>169.3</v>
      </c>
      <c r="P389" s="5" t="n">
        <v>1</v>
      </c>
      <c r="Q389" s="5" t="n">
        <v>1</v>
      </c>
      <c r="R389" s="5" t="n">
        <v>0</v>
      </c>
      <c r="S389" s="5" t="n">
        <v>0</v>
      </c>
      <c r="T389" s="5" t="n">
        <v>0</v>
      </c>
      <c r="U389" s="5" t="n">
        <v>1</v>
      </c>
      <c r="V389" s="5" t="n">
        <v>1</v>
      </c>
      <c r="W389" s="5" t="n"/>
      <c r="X389" s="5" t="inlineStr"/>
      <c r="Y389" s="5" t="n">
        <v>4963.2</v>
      </c>
      <c r="Z389" s="5" t="n">
        <v>3141.2</v>
      </c>
      <c r="AA389" s="5" t="n">
        <v>5022.9</v>
      </c>
      <c r="AB389" s="5" t="n">
        <v>3160.9</v>
      </c>
      <c r="AC389" s="5" t="inlineStr"/>
      <c r="AD389" s="5">
        <f>IF(AC389="","",IF(OR(AC389=F389,AND(AC389="crane_footing",F389="isolated_footing")),"yes","no"))</f>
        <v/>
      </c>
    </row>
    <row r="390">
      <c r="A390" s="5" t="n">
        <v>389</v>
      </c>
      <c r="B390" s="5" t="inlineStr">
        <is>
          <t>123</t>
        </is>
      </c>
      <c r="C390" s="5" t="inlineStr">
        <is>
          <t>nearest labels in its region</t>
        </is>
      </c>
      <c r="D390" s="5" t="inlineStr">
        <is>
          <t>solid</t>
        </is>
      </c>
      <c r="E390" s="5" t="n">
        <v>28</v>
      </c>
      <c r="F390" s="5" t="inlineStr">
        <is>
          <t>retaining_wall</t>
        </is>
      </c>
      <c r="G390" s="5" t="inlineStr">
        <is>
          <t>label vote</t>
        </is>
      </c>
      <c r="H390" s="5" t="inlineStr">
        <is>
          <t>VP25</t>
        </is>
      </c>
      <c r="I390" s="5" t="inlineStr">
        <is>
          <t>inferred: the only retaining_wall type with this size</t>
        </is>
      </c>
      <c r="J390" s="5" t="inlineStr"/>
      <c r="K390" s="5" t="n">
        <v>1145</v>
      </c>
      <c r="L390" s="5" t="n">
        <v>25</v>
      </c>
      <c r="M390" s="10">
        <f>IF(AND(ISNUMBER(K390),L390&gt;0),K390/L390,"")</f>
        <v/>
      </c>
      <c r="N390" s="5" t="n">
        <v>2.784</v>
      </c>
      <c r="O390" s="5" t="n">
        <v>169.3</v>
      </c>
      <c r="P390" s="5" t="n">
        <v>2</v>
      </c>
      <c r="Q390" s="5" t="n">
        <v>0</v>
      </c>
      <c r="R390" s="5" t="n">
        <v>0</v>
      </c>
      <c r="S390" s="5" t="n">
        <v>0</v>
      </c>
      <c r="T390" s="5" t="n">
        <v>0</v>
      </c>
      <c r="U390" s="5" t="n">
        <v>8</v>
      </c>
      <c r="V390" s="5" t="n">
        <v>3</v>
      </c>
      <c r="W390" s="5" t="n"/>
      <c r="X390" s="5" t="inlineStr"/>
      <c r="Y390" s="5" t="n">
        <v>4687.5</v>
      </c>
      <c r="Z390" s="5" t="n">
        <v>3449.7</v>
      </c>
      <c r="AA390" s="5" t="n">
        <v>5021.2</v>
      </c>
      <c r="AB390" s="5" t="n">
        <v>3516</v>
      </c>
      <c r="AC390" s="5" t="inlineStr"/>
      <c r="AD390" s="5">
        <f>IF(AC390="","",IF(OR(AC390=F390,AND(AC390="crane_footing",F390="isolated_footing")),"yes","no"))</f>
        <v/>
      </c>
    </row>
    <row r="391">
      <c r="A391" s="5" t="n">
        <v>390</v>
      </c>
      <c r="B391" s="5" t="inlineStr">
        <is>
          <t>123</t>
        </is>
      </c>
      <c r="C391" s="5" t="inlineStr">
        <is>
          <t>nearest labels in its region</t>
        </is>
      </c>
      <c r="D391" s="5" t="inlineStr">
        <is>
          <t>solid</t>
        </is>
      </c>
      <c r="E391" s="5" t="n">
        <v>28</v>
      </c>
      <c r="F391" s="5" t="inlineStr">
        <is>
          <t>retaining_wall</t>
        </is>
      </c>
      <c r="G391" s="5" t="inlineStr">
        <is>
          <t>label vote</t>
        </is>
      </c>
      <c r="H391" s="5" t="inlineStr">
        <is>
          <t>VP25</t>
        </is>
      </c>
      <c r="I391" s="5" t="inlineStr">
        <is>
          <t>inferred: the only retaining_wall type with this size</t>
        </is>
      </c>
      <c r="J391" s="5" t="inlineStr"/>
      <c r="K391" s="5" t="n">
        <v>1700</v>
      </c>
      <c r="L391" s="5" t="n">
        <v>25</v>
      </c>
      <c r="M391" s="10">
        <f>IF(AND(ISNUMBER(K391),L391&gt;0),K391/L391,"")</f>
        <v/>
      </c>
      <c r="N391" s="5" t="n">
        <v>4.246</v>
      </c>
      <c r="O391" s="5" t="n">
        <v>90</v>
      </c>
      <c r="P391" s="5" t="n">
        <v>5</v>
      </c>
      <c r="Q391" s="5" t="n">
        <v>0</v>
      </c>
      <c r="R391" s="5" t="n">
        <v>0</v>
      </c>
      <c r="S391" s="5" t="n">
        <v>0</v>
      </c>
      <c r="T391" s="5" t="n">
        <v>1</v>
      </c>
      <c r="U391" s="5" t="n">
        <v>4</v>
      </c>
      <c r="V391" s="5" t="n">
        <v>4</v>
      </c>
      <c r="W391" s="5" t="n"/>
      <c r="X391" s="5" t="inlineStr"/>
      <c r="Y391" s="5" t="n">
        <v>5013.8</v>
      </c>
      <c r="Z391" s="5" t="n">
        <v>2947.2</v>
      </c>
      <c r="AA391" s="5" t="n">
        <v>5021.6</v>
      </c>
      <c r="AB391" s="5" t="n">
        <v>3449</v>
      </c>
      <c r="AC391" s="5" t="inlineStr"/>
      <c r="AD391" s="5">
        <f>IF(AC391="","",IF(OR(AC391=F391,AND(AC391="crane_footing",F391="isolated_footing")),"yes","no"))</f>
        <v/>
      </c>
    </row>
    <row r="392">
      <c r="A392" s="5" t="n">
        <v>391</v>
      </c>
      <c r="B392" s="5" t="inlineStr">
        <is>
          <t>123</t>
        </is>
      </c>
      <c r="C392" s="5" t="inlineStr">
        <is>
          <t>nearest labels in its region</t>
        </is>
      </c>
      <c r="D392" s="5" t="inlineStr">
        <is>
          <t>solid</t>
        </is>
      </c>
      <c r="E392" s="5" t="n">
        <v>28</v>
      </c>
      <c r="F392" s="5" t="inlineStr">
        <is>
          <t>retaining_wall</t>
        </is>
      </c>
      <c r="G392" s="5" t="inlineStr">
        <is>
          <t>label vote</t>
        </is>
      </c>
      <c r="H392" s="5" t="inlineStr">
        <is>
          <t>VP25</t>
        </is>
      </c>
      <c r="I392" s="5" t="inlineStr">
        <is>
          <t>inferred: the only retaining_wall type with this size</t>
        </is>
      </c>
      <c r="J392" s="5" t="inlineStr"/>
      <c r="K392" s="5" t="n">
        <v>1170</v>
      </c>
      <c r="L392" s="5" t="n">
        <v>25</v>
      </c>
      <c r="M392" s="10">
        <f>IF(AND(ISNUMBER(K392),L392&gt;0),K392/L392,"")</f>
        <v/>
      </c>
      <c r="N392" s="5" t="n">
        <v>2.935</v>
      </c>
      <c r="O392" s="5" t="n">
        <v>169.3</v>
      </c>
      <c r="P392" s="5" t="n">
        <v>4</v>
      </c>
      <c r="Q392" s="5" t="n">
        <v>0</v>
      </c>
      <c r="R392" s="5" t="n">
        <v>1</v>
      </c>
      <c r="S392" s="5" t="n">
        <v>0</v>
      </c>
      <c r="T392" s="5" t="n">
        <v>0</v>
      </c>
      <c r="U392" s="5" t="n">
        <v>6</v>
      </c>
      <c r="V392" s="5" t="n">
        <v>1</v>
      </c>
      <c r="W392" s="5" t="n"/>
      <c r="X392" s="5" t="inlineStr"/>
      <c r="Y392" s="5" t="n">
        <v>4348</v>
      </c>
      <c r="Z392" s="5" t="n">
        <v>3510.5</v>
      </c>
      <c r="AA392" s="5" t="n">
        <v>4688.9</v>
      </c>
      <c r="AB392" s="5" t="n">
        <v>3581.7</v>
      </c>
      <c r="AC392" s="5" t="inlineStr"/>
      <c r="AD392" s="5">
        <f>IF(AC392="","",IF(OR(AC392=F392,AND(AC392="crane_footing",F392="isolated_footing")),"yes","no"))</f>
        <v/>
      </c>
    </row>
    <row r="393">
      <c r="A393" s="5" t="n">
        <v>392</v>
      </c>
      <c r="B393" s="5" t="inlineStr">
        <is>
          <t>123</t>
        </is>
      </c>
      <c r="C393" s="5" t="inlineStr">
        <is>
          <t>nearest labels in its region</t>
        </is>
      </c>
      <c r="D393" s="5" t="inlineStr">
        <is>
          <t>outline</t>
        </is>
      </c>
      <c r="E393" s="5" t="n">
        <v>18</v>
      </c>
      <c r="F393" s="5" t="inlineStr">
        <is>
          <t>isolated_footing</t>
        </is>
      </c>
      <c r="G393" s="5" t="inlineStr">
        <is>
          <t>label vote</t>
        </is>
      </c>
      <c r="H393" s="5" t="inlineStr">
        <is>
          <t>(none)</t>
        </is>
      </c>
      <c r="I393" s="5" t="inlineStr">
        <is>
          <t>no isolated_footing type has this size</t>
        </is>
      </c>
      <c r="J393" s="5" t="inlineStr"/>
      <c r="K393" s="5" t="n">
        <v>200</v>
      </c>
      <c r="L393" s="5" t="n">
        <v>150</v>
      </c>
      <c r="M393" s="10">
        <f>IF(AND(ISNUMBER(K393),L393&gt;0),K393/L393,"")</f>
        <v/>
      </c>
      <c r="N393" s="5" t="n">
        <v>3.002</v>
      </c>
      <c r="O393" s="5" t="n">
        <v>179.9</v>
      </c>
      <c r="P393" s="5" t="n">
        <v>5</v>
      </c>
      <c r="Q393" s="5" t="n">
        <v>1</v>
      </c>
      <c r="R393" s="5" t="n">
        <v>0</v>
      </c>
      <c r="S393" s="5" t="n">
        <v>0</v>
      </c>
      <c r="T393" s="5" t="n">
        <v>0</v>
      </c>
      <c r="U393" s="5" t="n">
        <v>7</v>
      </c>
      <c r="V393" s="5" t="n">
        <v>0</v>
      </c>
      <c r="W393" s="5" t="n"/>
      <c r="X393" s="5" t="inlineStr"/>
      <c r="Y393" s="5" t="n">
        <v>4956.4</v>
      </c>
      <c r="Z393" s="5" t="n">
        <v>3217</v>
      </c>
      <c r="AA393" s="5" t="n">
        <v>5015.6</v>
      </c>
      <c r="AB393" s="5" t="n">
        <v>3261.4</v>
      </c>
      <c r="AC393" s="5" t="inlineStr"/>
      <c r="AD393" s="5">
        <f>IF(AC393="","",IF(OR(AC393=F393,AND(AC393="crane_footing",F393="isolated_footing")),"yes","no"))</f>
        <v/>
      </c>
    </row>
    <row r="394">
      <c r="A394" s="5" t="n">
        <v>393</v>
      </c>
      <c r="B394" s="5" t="inlineStr">
        <is>
          <t>123</t>
        </is>
      </c>
      <c r="C394" s="5" t="inlineStr">
        <is>
          <t>own label</t>
        </is>
      </c>
      <c r="D394" s="5" t="inlineStr">
        <is>
          <t>outline</t>
        </is>
      </c>
      <c r="E394" s="5" t="n">
        <v>16</v>
      </c>
      <c r="F394" s="5" t="inlineStr">
        <is>
          <t>isolated_footing</t>
        </is>
      </c>
      <c r="G394" s="5" t="inlineStr">
        <is>
          <t>label vote</t>
        </is>
      </c>
      <c r="H394" s="5" t="inlineStr">
        <is>
          <t>S5</t>
        </is>
      </c>
      <c r="I394" s="5" t="inlineStr">
        <is>
          <t>printed label</t>
        </is>
      </c>
      <c r="J394" s="5" t="inlineStr">
        <is>
          <t>S5-123123</t>
        </is>
      </c>
      <c r="K394" s="5" t="n">
        <v>450</v>
      </c>
      <c r="L394" s="5" t="n">
        <v>400</v>
      </c>
      <c r="M394" s="10">
        <f>IF(AND(ISNUMBER(K394),L394&gt;0),K394/L394,"")</f>
        <v/>
      </c>
      <c r="N394" s="5" t="n">
        <v>18.002</v>
      </c>
      <c r="O394" s="5" t="n">
        <v>79.3</v>
      </c>
      <c r="P394" s="5" t="n">
        <v>1</v>
      </c>
      <c r="Q394" s="5" t="n">
        <v>0</v>
      </c>
      <c r="R394" s="5" t="n">
        <v>0</v>
      </c>
      <c r="S394" s="5" t="n">
        <v>0</v>
      </c>
      <c r="T394" s="5" t="n">
        <v>1</v>
      </c>
      <c r="U394" s="5" t="n">
        <v>25</v>
      </c>
      <c r="V394" s="5" t="n">
        <v>4</v>
      </c>
      <c r="W394" s="5" t="n"/>
      <c r="X394" s="5" t="inlineStr"/>
      <c r="Y394" s="5" t="n">
        <v>4422.9</v>
      </c>
      <c r="Z394" s="5" t="n">
        <v>3249.3</v>
      </c>
      <c r="AA394" s="5" t="n">
        <v>4563.6</v>
      </c>
      <c r="AB394" s="5" t="n">
        <v>3401.8</v>
      </c>
      <c r="AC394" s="5" t="inlineStr">
        <is>
          <t>isolated_footing</t>
        </is>
      </c>
      <c r="AD394" s="5">
        <f>IF(AC394="","",IF(OR(AC394=F394,AND(AC394="crane_footing",F394="isolated_footing")),"yes","no"))</f>
        <v/>
      </c>
    </row>
    <row r="395">
      <c r="A395" s="5" t="n">
        <v>394</v>
      </c>
      <c r="B395" s="5" t="inlineStr">
        <is>
          <t>123</t>
        </is>
      </c>
      <c r="C395" s="5" t="inlineStr">
        <is>
          <t>own label</t>
        </is>
      </c>
      <c r="D395" s="5" t="inlineStr">
        <is>
          <t>outline</t>
        </is>
      </c>
      <c r="E395" s="5" t="n">
        <v>16</v>
      </c>
      <c r="F395" s="5" t="inlineStr">
        <is>
          <t>isolated_footing</t>
        </is>
      </c>
      <c r="G395" s="5" t="inlineStr">
        <is>
          <t>label vote</t>
        </is>
      </c>
      <c r="H395" s="5" t="inlineStr">
        <is>
          <t>S7</t>
        </is>
      </c>
      <c r="I395" s="5" t="inlineStr">
        <is>
          <t>printed label</t>
        </is>
      </c>
      <c r="J395" s="5" t="inlineStr">
        <is>
          <t>S7-123123</t>
        </is>
      </c>
      <c r="K395" s="5" t="n">
        <v>450</v>
      </c>
      <c r="L395" s="5" t="n">
        <v>350</v>
      </c>
      <c r="M395" s="10">
        <f>IF(AND(ISNUMBER(K395),L395&gt;0),K395/L395,"")</f>
        <v/>
      </c>
      <c r="N395" s="5" t="n">
        <v>15.755</v>
      </c>
      <c r="O395" s="5" t="n">
        <v>169.3</v>
      </c>
      <c r="P395" s="5" t="n">
        <v>2</v>
      </c>
      <c r="Q395" s="5" t="n">
        <v>0</v>
      </c>
      <c r="R395" s="5" t="n">
        <v>0</v>
      </c>
      <c r="S395" s="5" t="n">
        <v>0</v>
      </c>
      <c r="T395" s="5" t="n">
        <v>1</v>
      </c>
      <c r="U395" s="5" t="n">
        <v>58</v>
      </c>
      <c r="V395" s="5" t="n">
        <v>2</v>
      </c>
      <c r="W395" s="5" t="n"/>
      <c r="X395" s="5" t="inlineStr"/>
      <c r="Y395" s="5" t="n">
        <v>4918.1</v>
      </c>
      <c r="Z395" s="5" t="n">
        <v>3087.2</v>
      </c>
      <c r="AA395" s="5" t="n">
        <v>5067.8</v>
      </c>
      <c r="AB395" s="5" t="n">
        <v>3213.4</v>
      </c>
      <c r="AC395" s="5" t="inlineStr">
        <is>
          <t>isolated_footing</t>
        </is>
      </c>
      <c r="AD395" s="5">
        <f>IF(AC395="","",IF(OR(AC395=F395,AND(AC395="crane_footing",F395="isolated_footing")),"yes","no"))</f>
        <v/>
      </c>
    </row>
    <row r="396">
      <c r="A396" s="5" t="n">
        <v>395</v>
      </c>
      <c r="B396" s="5" t="inlineStr">
        <is>
          <t>123</t>
        </is>
      </c>
      <c r="C396" s="5" t="inlineStr">
        <is>
          <t>own label</t>
        </is>
      </c>
      <c r="D396" s="5" t="inlineStr">
        <is>
          <t>outline</t>
        </is>
      </c>
      <c r="E396" s="5" t="n">
        <v>16</v>
      </c>
      <c r="F396" s="5" t="inlineStr">
        <is>
          <t>isolated_footing</t>
        </is>
      </c>
      <c r="G396" s="5" t="inlineStr">
        <is>
          <t>label vote</t>
        </is>
      </c>
      <c r="H396" s="5" t="inlineStr">
        <is>
          <t>S7</t>
        </is>
      </c>
      <c r="I396" s="5" t="inlineStr">
        <is>
          <t>printed label</t>
        </is>
      </c>
      <c r="J396" s="5" t="inlineStr">
        <is>
          <t>S7-123123</t>
        </is>
      </c>
      <c r="K396" s="5" t="n">
        <v>450</v>
      </c>
      <c r="L396" s="5" t="n">
        <v>350</v>
      </c>
      <c r="M396" s="10">
        <f>IF(AND(ISNUMBER(K396),L396&gt;0),K396/L396,"")</f>
        <v/>
      </c>
      <c r="N396" s="5" t="n">
        <v>15.751</v>
      </c>
      <c r="O396" s="5" t="n">
        <v>79.3</v>
      </c>
      <c r="P396" s="5" t="n">
        <v>2</v>
      </c>
      <c r="Q396" s="5" t="n">
        <v>0</v>
      </c>
      <c r="R396" s="5" t="n">
        <v>0</v>
      </c>
      <c r="S396" s="5" t="n">
        <v>0</v>
      </c>
      <c r="T396" s="5" t="n">
        <v>1</v>
      </c>
      <c r="U396" s="5" t="n">
        <v>10</v>
      </c>
      <c r="V396" s="5" t="n">
        <v>1</v>
      </c>
      <c r="W396" s="5" t="n"/>
      <c r="X396" s="5" t="inlineStr"/>
      <c r="Y396" s="5" t="n">
        <v>4838.2</v>
      </c>
      <c r="Z396" s="5" t="n">
        <v>3372.9</v>
      </c>
      <c r="AA396" s="5" t="n">
        <v>4964.4</v>
      </c>
      <c r="AB396" s="5" t="n">
        <v>3522.5</v>
      </c>
      <c r="AC396" s="5" t="inlineStr">
        <is>
          <t>isolated_footing</t>
        </is>
      </c>
      <c r="AD396" s="5">
        <f>IF(AC396="","",IF(OR(AC396=F396,AND(AC396="crane_footing",F396="isolated_footing")),"yes","no"))</f>
        <v/>
      </c>
    </row>
    <row r="397">
      <c r="A397" s="5" t="n">
        <v>396</v>
      </c>
      <c r="B397" s="5" t="inlineStr">
        <is>
          <t>123</t>
        </is>
      </c>
      <c r="C397" s="5" t="inlineStr">
        <is>
          <t>own label</t>
        </is>
      </c>
      <c r="D397" s="5" t="inlineStr">
        <is>
          <t>outline</t>
        </is>
      </c>
      <c r="E397" s="5" t="n">
        <v>16</v>
      </c>
      <c r="F397" s="5" t="inlineStr">
        <is>
          <t>isolated_footing</t>
        </is>
      </c>
      <c r="G397" s="5" t="inlineStr">
        <is>
          <t>label vote</t>
        </is>
      </c>
      <c r="H397" s="5" t="inlineStr">
        <is>
          <t>S7</t>
        </is>
      </c>
      <c r="I397" s="5" t="inlineStr">
        <is>
          <t>printed label</t>
        </is>
      </c>
      <c r="J397" s="5" t="inlineStr">
        <is>
          <t>S7-123123</t>
        </is>
      </c>
      <c r="K397" s="5" t="n">
        <v>450</v>
      </c>
      <c r="L397" s="5" t="n">
        <v>350</v>
      </c>
      <c r="M397" s="10">
        <f>IF(AND(ISNUMBER(K397),L397&gt;0),K397/L397,"")</f>
        <v/>
      </c>
      <c r="N397" s="5" t="n">
        <v>15.751</v>
      </c>
      <c r="O397" s="5" t="n">
        <v>79.3</v>
      </c>
      <c r="P397" s="5" t="n">
        <v>3</v>
      </c>
      <c r="Q397" s="5" t="n">
        <v>0</v>
      </c>
      <c r="R397" s="5" t="n">
        <v>0</v>
      </c>
      <c r="S397" s="5" t="n">
        <v>0</v>
      </c>
      <c r="T397" s="5" t="n">
        <v>1</v>
      </c>
      <c r="U397" s="5" t="n">
        <v>59</v>
      </c>
      <c r="V397" s="5" t="n">
        <v>2</v>
      </c>
      <c r="W397" s="5" t="n"/>
      <c r="X397" s="5" t="inlineStr"/>
      <c r="Y397" s="5" t="n">
        <v>4648</v>
      </c>
      <c r="Z397" s="5" t="n">
        <v>3386.2</v>
      </c>
      <c r="AA397" s="5" t="n">
        <v>4774.2</v>
      </c>
      <c r="AB397" s="5" t="n">
        <v>3535.9</v>
      </c>
      <c r="AC397" s="5" t="inlineStr">
        <is>
          <t>isolated_footing</t>
        </is>
      </c>
      <c r="AD397" s="5">
        <f>IF(AC397="","",IF(OR(AC397=F397,AND(AC397="crane_footing",F397="isolated_footing")),"yes","no"))</f>
        <v/>
      </c>
    </row>
    <row r="398">
      <c r="A398" s="5" t="n">
        <v>397</v>
      </c>
      <c r="B398" s="5" t="inlineStr">
        <is>
          <t>123</t>
        </is>
      </c>
      <c r="C398" s="5" t="inlineStr">
        <is>
          <t>own label</t>
        </is>
      </c>
      <c r="D398" s="5" t="inlineStr">
        <is>
          <t>outline</t>
        </is>
      </c>
      <c r="E398" s="5" t="n">
        <v>16</v>
      </c>
      <c r="F398" s="5" t="inlineStr">
        <is>
          <t>isolated_footing</t>
        </is>
      </c>
      <c r="G398" s="5" t="inlineStr">
        <is>
          <t>label vote</t>
        </is>
      </c>
      <c r="H398" s="5" t="inlineStr">
        <is>
          <t>S7</t>
        </is>
      </c>
      <c r="I398" s="5" t="inlineStr">
        <is>
          <t>printed label</t>
        </is>
      </c>
      <c r="J398" s="5" t="inlineStr">
        <is>
          <t>S7-123123</t>
        </is>
      </c>
      <c r="K398" s="5" t="n">
        <v>450</v>
      </c>
      <c r="L398" s="5" t="n">
        <v>350</v>
      </c>
      <c r="M398" s="10">
        <f>IF(AND(ISNUMBER(K398),L398&gt;0),K398/L398,"")</f>
        <v/>
      </c>
      <c r="N398" s="5" t="n">
        <v>15.749</v>
      </c>
      <c r="O398" s="5" t="n">
        <v>169.3</v>
      </c>
      <c r="P398" s="5" t="n">
        <v>2</v>
      </c>
      <c r="Q398" s="5" t="n">
        <v>0</v>
      </c>
      <c r="R398" s="5" t="n">
        <v>0</v>
      </c>
      <c r="S398" s="5" t="n">
        <v>0</v>
      </c>
      <c r="T398" s="5" t="n">
        <v>1</v>
      </c>
      <c r="U398" s="5" t="n">
        <v>24</v>
      </c>
      <c r="V398" s="5" t="n">
        <v>1</v>
      </c>
      <c r="W398" s="5" t="n"/>
      <c r="X398" s="5" t="inlineStr"/>
      <c r="Y398" s="5" t="n">
        <v>4923.7</v>
      </c>
      <c r="Z398" s="5" t="n">
        <v>3262.7</v>
      </c>
      <c r="AA398" s="5" t="n">
        <v>5073.4</v>
      </c>
      <c r="AB398" s="5" t="n">
        <v>3388.8</v>
      </c>
      <c r="AC398" s="5" t="inlineStr">
        <is>
          <t>isolated_footing</t>
        </is>
      </c>
      <c r="AD398" s="5">
        <f>IF(AC398="","",IF(OR(AC398=F398,AND(AC398="crane_footing",F398="isolated_footing")),"yes","no"))</f>
        <v/>
      </c>
    </row>
    <row r="399">
      <c r="A399" s="5" t="n">
        <v>398</v>
      </c>
      <c r="B399" s="5" t="inlineStr">
        <is>
          <t>123</t>
        </is>
      </c>
      <c r="C399" s="5" t="inlineStr">
        <is>
          <t>own label</t>
        </is>
      </c>
      <c r="D399" s="5" t="inlineStr">
        <is>
          <t>outline</t>
        </is>
      </c>
      <c r="E399" s="5" t="n">
        <v>16</v>
      </c>
      <c r="F399" s="5" t="inlineStr">
        <is>
          <t>isolated_footing</t>
        </is>
      </c>
      <c r="G399" s="5" t="inlineStr">
        <is>
          <t>label vote</t>
        </is>
      </c>
      <c r="H399" s="5" t="inlineStr">
        <is>
          <t>S7</t>
        </is>
      </c>
      <c r="I399" s="5" t="inlineStr">
        <is>
          <t>printed label</t>
        </is>
      </c>
      <c r="J399" s="5" t="inlineStr">
        <is>
          <t>S7-123123</t>
        </is>
      </c>
      <c r="K399" s="5" t="n">
        <v>450</v>
      </c>
      <c r="L399" s="5" t="n">
        <v>350</v>
      </c>
      <c r="M399" s="10">
        <f>IF(AND(ISNUMBER(K399),L399&gt;0),K399/L399,"")</f>
        <v/>
      </c>
      <c r="N399" s="5" t="n">
        <v>15.749</v>
      </c>
      <c r="O399" s="5" t="n">
        <v>79.3</v>
      </c>
      <c r="P399" s="5" t="n">
        <v>2</v>
      </c>
      <c r="Q399" s="5" t="n">
        <v>0</v>
      </c>
      <c r="R399" s="5" t="n">
        <v>0</v>
      </c>
      <c r="S399" s="5" t="n">
        <v>0</v>
      </c>
      <c r="T399" s="5" t="n">
        <v>1</v>
      </c>
      <c r="U399" s="5" t="n">
        <v>43</v>
      </c>
      <c r="V399" s="5" t="n">
        <v>2</v>
      </c>
      <c r="W399" s="5" t="n"/>
      <c r="X399" s="5" t="inlineStr"/>
      <c r="Y399" s="5" t="n">
        <v>4464.4</v>
      </c>
      <c r="Z399" s="5" t="n">
        <v>3444.9</v>
      </c>
      <c r="AA399" s="5" t="n">
        <v>4590.5</v>
      </c>
      <c r="AB399" s="5" t="n">
        <v>3594.6</v>
      </c>
      <c r="AC399" s="5" t="inlineStr">
        <is>
          <t>isolated_footing</t>
        </is>
      </c>
      <c r="AD399" s="5">
        <f>IF(AC399="","",IF(OR(AC399=F399,AND(AC399="crane_footing",F399="isolated_footing")),"yes","no"))</f>
        <v/>
      </c>
    </row>
    <row r="400">
      <c r="A400" s="5" t="n">
        <v>399</v>
      </c>
      <c r="B400" s="5" t="inlineStr">
        <is>
          <t>123</t>
        </is>
      </c>
      <c r="C400" s="5" t="inlineStr">
        <is>
          <t>nearest labels in its region</t>
        </is>
      </c>
      <c r="D400" s="5" t="inlineStr">
        <is>
          <t>outline</t>
        </is>
      </c>
      <c r="E400" s="5" t="n">
        <v>15</v>
      </c>
      <c r="F400" s="5" t="inlineStr">
        <is>
          <t>combined_footing</t>
        </is>
      </c>
      <c r="G400" s="5" t="inlineStr">
        <is>
          <t>label vote</t>
        </is>
      </c>
      <c r="H400" s="5" t="inlineStr">
        <is>
          <t>SC1</t>
        </is>
      </c>
      <c r="I400" s="5" t="inlineStr">
        <is>
          <t>printed label</t>
        </is>
      </c>
      <c r="J400" s="5" t="inlineStr">
        <is>
          <t>SC1-</t>
        </is>
      </c>
      <c r="K400" s="5" t="n">
        <v>500</v>
      </c>
      <c r="L400" s="5" t="n">
        <v>350</v>
      </c>
      <c r="M400" s="10">
        <f>IF(AND(ISNUMBER(K400),L400&gt;0),K400/L400,"")</f>
        <v/>
      </c>
      <c r="N400" s="5" t="n">
        <v>17.505</v>
      </c>
      <c r="O400" s="5" t="n">
        <v>79.3</v>
      </c>
      <c r="P400" s="5" t="n">
        <v>4</v>
      </c>
      <c r="Q400" s="5" t="n">
        <v>0</v>
      </c>
      <c r="R400" s="5" t="n">
        <v>0</v>
      </c>
      <c r="S400" s="5" t="n">
        <v>0</v>
      </c>
      <c r="T400" s="5" t="n">
        <v>2</v>
      </c>
      <c r="U400" s="5" t="n">
        <v>90</v>
      </c>
      <c r="V400" s="5" t="n">
        <v>3</v>
      </c>
      <c r="W400" s="5" t="n"/>
      <c r="X400" s="5" t="inlineStr"/>
      <c r="Y400" s="5" t="n">
        <v>4271.1</v>
      </c>
      <c r="Z400" s="5" t="n">
        <v>3483</v>
      </c>
      <c r="AA400" s="5" t="n">
        <v>4400.1</v>
      </c>
      <c r="AB400" s="5" t="n">
        <v>3647.2</v>
      </c>
      <c r="AC400" s="5" t="inlineStr">
        <is>
          <t>combined_footing</t>
        </is>
      </c>
      <c r="AD400" s="5">
        <f>IF(AC400="","",IF(OR(AC400=F400,AND(AC400="crane_footing",F400="isolated_footing")),"yes","no"))</f>
        <v/>
      </c>
    </row>
    <row r="401">
      <c r="A401" s="5" t="n">
        <v>400</v>
      </c>
      <c r="B401" s="5" t="inlineStr">
        <is>
          <t>123</t>
        </is>
      </c>
      <c r="C401" s="5" t="inlineStr">
        <is>
          <t>nearest labels</t>
        </is>
      </c>
      <c r="D401" s="5" t="inlineStr">
        <is>
          <t>outline</t>
        </is>
      </c>
      <c r="E401" s="5" t="n">
        <v>15</v>
      </c>
      <c r="F401" s="5" t="inlineStr">
        <is>
          <t>combined_footing</t>
        </is>
      </c>
      <c r="G401" s="5" t="inlineStr">
        <is>
          <t>label vote</t>
        </is>
      </c>
      <c r="H401" s="5" t="inlineStr">
        <is>
          <t>SC1</t>
        </is>
      </c>
      <c r="I401" s="5" t="inlineStr">
        <is>
          <t>printed label</t>
        </is>
      </c>
      <c r="J401" s="5" t="inlineStr">
        <is>
          <t>SC1-</t>
        </is>
      </c>
      <c r="K401" s="5" t="n">
        <v>500</v>
      </c>
      <c r="L401" s="5" t="n">
        <v>350</v>
      </c>
      <c r="M401" s="10">
        <f>IF(AND(ISNUMBER(K401),L401&gt;0),K401/L401,"")</f>
        <v/>
      </c>
      <c r="N401" s="5" t="n">
        <v>17.492</v>
      </c>
      <c r="O401" s="5" t="n">
        <v>169.8</v>
      </c>
      <c r="P401" s="5" t="n">
        <v>4</v>
      </c>
      <c r="Q401" s="5" t="n">
        <v>0</v>
      </c>
      <c r="R401" s="5" t="n">
        <v>0</v>
      </c>
      <c r="S401" s="5" t="n">
        <v>0</v>
      </c>
      <c r="T401" s="5" t="n">
        <v>2</v>
      </c>
      <c r="U401" s="5" t="n">
        <v>60</v>
      </c>
      <c r="V401" s="5" t="n">
        <v>2</v>
      </c>
      <c r="W401" s="5" t="n"/>
      <c r="X401" s="5" t="inlineStr"/>
      <c r="Y401" s="5" t="n">
        <v>4915.8</v>
      </c>
      <c r="Z401" s="5" t="n">
        <v>2883.4</v>
      </c>
      <c r="AA401" s="5" t="n">
        <v>5079.3</v>
      </c>
      <c r="AB401" s="5" t="n">
        <v>3011.3</v>
      </c>
      <c r="AC401" s="5" t="inlineStr">
        <is>
          <t>combined_footing</t>
        </is>
      </c>
      <c r="AD401" s="5">
        <f>IF(AC401="","",IF(OR(AC401=F401,AND(AC401="crane_footing",F401="isolated_footing")),"yes","no"))</f>
        <v/>
      </c>
    </row>
    <row r="402">
      <c r="A402" s="5" t="n">
        <v>401</v>
      </c>
      <c r="B402" s="5" t="inlineStr">
        <is>
          <t>123</t>
        </is>
      </c>
      <c r="C402" s="5" t="inlineStr">
        <is>
          <t>nearest labels in its region</t>
        </is>
      </c>
      <c r="D402" s="5" t="inlineStr">
        <is>
          <t>outline</t>
        </is>
      </c>
      <c r="E402" s="5" t="n">
        <v>15</v>
      </c>
      <c r="F402" s="5" t="inlineStr">
        <is>
          <t>combined_footing</t>
        </is>
      </c>
      <c r="G402" s="5" t="inlineStr">
        <is>
          <t>label vote</t>
        </is>
      </c>
      <c r="H402" s="5" t="inlineStr">
        <is>
          <t>SC4</t>
        </is>
      </c>
      <c r="I402" s="5" t="inlineStr">
        <is>
          <t>printed label</t>
        </is>
      </c>
      <c r="J402" s="5" t="inlineStr">
        <is>
          <t>SC4-</t>
        </is>
      </c>
      <c r="K402" s="5" t="n">
        <v>450</v>
      </c>
      <c r="L402" s="5" t="n">
        <v>450</v>
      </c>
      <c r="M402" s="10">
        <f>IF(AND(ISNUMBER(K402),L402&gt;0),K402/L402,"")</f>
        <v/>
      </c>
      <c r="N402" s="5" t="n">
        <v>20.254</v>
      </c>
      <c r="O402" s="5" t="n">
        <v>169.4</v>
      </c>
      <c r="P402" s="5" t="n">
        <v>2</v>
      </c>
      <c r="Q402" s="5" t="n">
        <v>0</v>
      </c>
      <c r="R402" s="5" t="n">
        <v>0</v>
      </c>
      <c r="S402" s="5" t="n">
        <v>0</v>
      </c>
      <c r="T402" s="5" t="n">
        <v>2</v>
      </c>
      <c r="U402" s="5" t="n">
        <v>58</v>
      </c>
      <c r="V402" s="5" t="n">
        <v>5</v>
      </c>
      <c r="W402" s="5" t="n"/>
      <c r="X402" s="5" t="inlineStr"/>
      <c r="Y402" s="5" t="n">
        <v>4343.3</v>
      </c>
      <c r="Z402" s="5" t="n">
        <v>3006.4</v>
      </c>
      <c r="AA402" s="5" t="n">
        <v>4498.3</v>
      </c>
      <c r="AB402" s="5" t="n">
        <v>3161.4</v>
      </c>
      <c r="AC402" s="5" t="inlineStr">
        <is>
          <t>combined_footing</t>
        </is>
      </c>
      <c r="AD402" s="5">
        <f>IF(AC402="","",IF(OR(AC402=F402,AND(AC402="crane_footing",F402="isolated_footing")),"yes","no"))</f>
        <v/>
      </c>
    </row>
    <row r="403">
      <c r="A403" s="5" t="n">
        <v>402</v>
      </c>
      <c r="B403" s="5" t="inlineStr">
        <is>
          <t>123</t>
        </is>
      </c>
      <c r="C403" s="5" t="inlineStr">
        <is>
          <t>nearest labels in its region</t>
        </is>
      </c>
      <c r="D403" s="5" t="inlineStr">
        <is>
          <t>band</t>
        </is>
      </c>
      <c r="E403" s="5" t="n">
        <v>6</v>
      </c>
      <c r="F403" s="5" t="inlineStr">
        <is>
          <t>strip_footing</t>
        </is>
      </c>
      <c r="G403" s="5" t="inlineStr">
        <is>
          <t>label vote</t>
        </is>
      </c>
      <c r="H403" s="5" t="inlineStr">
        <is>
          <t>(none)</t>
        </is>
      </c>
      <c r="I403" s="5" t="inlineStr"/>
      <c r="J403" s="5" t="inlineStr"/>
      <c r="K403" s="5" t="n">
        <v>153</v>
      </c>
      <c r="L403" s="5" t="n">
        <v>80</v>
      </c>
      <c r="M403" s="10">
        <f>IF(AND(ISNUMBER(K403),L403&gt;0),K403/L403,"")</f>
        <v/>
      </c>
      <c r="N403" s="5" t="n">
        <v>1.224</v>
      </c>
      <c r="O403" s="5" t="n">
        <v>79.40000000000001</v>
      </c>
      <c r="P403" s="5" t="n">
        <v>1</v>
      </c>
      <c r="Q403" s="5" t="n">
        <v>1</v>
      </c>
      <c r="R403" s="5" t="n">
        <v>0</v>
      </c>
      <c r="S403" s="5" t="n">
        <v>0</v>
      </c>
      <c r="T403" s="5" t="n">
        <v>1</v>
      </c>
      <c r="U403" s="5" t="n">
        <v>1</v>
      </c>
      <c r="V403" s="5" t="n">
        <v>4</v>
      </c>
      <c r="W403" s="5" t="n">
        <v>0</v>
      </c>
      <c r="X403" s="5" t="inlineStr"/>
      <c r="Y403" s="5" t="n">
        <v>4401</v>
      </c>
      <c r="Z403" s="5" t="n">
        <v>3070.4</v>
      </c>
      <c r="AA403" s="5" t="n">
        <v>4432.5</v>
      </c>
      <c r="AB403" s="5" t="n">
        <v>3119.1</v>
      </c>
      <c r="AC403" s="5" t="inlineStr"/>
      <c r="AD403" s="5">
        <f>IF(AC403="","",IF(OR(AC403=F403,AND(AC403="crane_footing",F403="isolated_footing")),"yes","no"))</f>
        <v/>
      </c>
    </row>
    <row r="404">
      <c r="A404" s="5" t="n">
        <v>403</v>
      </c>
      <c r="B404" s="5" t="inlineStr">
        <is>
          <t>123</t>
        </is>
      </c>
      <c r="C404" s="5" t="inlineStr">
        <is>
          <t>nearest labels in its region</t>
        </is>
      </c>
      <c r="D404" s="5" t="inlineStr">
        <is>
          <t>band</t>
        </is>
      </c>
      <c r="E404" s="5" t="n">
        <v>6</v>
      </c>
      <c r="F404" s="5" t="inlineStr">
        <is>
          <t>strip_footing</t>
        </is>
      </c>
      <c r="G404" s="5" t="inlineStr">
        <is>
          <t>label vote</t>
        </is>
      </c>
      <c r="H404" s="5" t="inlineStr">
        <is>
          <t>SF1</t>
        </is>
      </c>
      <c r="I404" s="5" t="inlineStr">
        <is>
          <t>printed label</t>
        </is>
      </c>
      <c r="J404" s="5" t="inlineStr">
        <is>
          <t>VP25/SF1 80x25</t>
        </is>
      </c>
      <c r="K404" s="5" t="n">
        <v>317</v>
      </c>
      <c r="L404" s="5" t="n">
        <v>80</v>
      </c>
      <c r="M404" s="10">
        <f>IF(AND(ISNUMBER(K404),L404&gt;0),K404/L404,"")</f>
        <v/>
      </c>
      <c r="N404" s="5" t="n">
        <v>2.534</v>
      </c>
      <c r="O404" s="5" t="n">
        <v>169.3</v>
      </c>
      <c r="P404" s="5" t="n">
        <v>1</v>
      </c>
      <c r="Q404" s="5" t="n">
        <v>0</v>
      </c>
      <c r="R404" s="5" t="n">
        <v>0</v>
      </c>
      <c r="S404" s="5" t="n">
        <v>0</v>
      </c>
      <c r="T404" s="5" t="n">
        <v>0</v>
      </c>
      <c r="U404" s="5" t="n">
        <v>2</v>
      </c>
      <c r="V404" s="5" t="n">
        <v>1</v>
      </c>
      <c r="W404" s="5" t="n">
        <v>3.17</v>
      </c>
      <c r="X404" s="5" t="inlineStr"/>
      <c r="Y404" s="5" t="n">
        <v>4387.1</v>
      </c>
      <c r="Z404" s="5" t="n">
        <v>3542.2</v>
      </c>
      <c r="AA404" s="5" t="n">
        <v>4483.4</v>
      </c>
      <c r="AB404" s="5" t="n">
        <v>3582.8</v>
      </c>
      <c r="AC404" s="5" t="inlineStr"/>
      <c r="AD404" s="5">
        <f>IF(AC404="","",IF(OR(AC404=F404,AND(AC404="crane_footing",F404="isolated_footing")),"yes","no"))</f>
        <v/>
      </c>
    </row>
    <row r="405">
      <c r="A405" s="5" t="n">
        <v>404</v>
      </c>
      <c r="B405" s="5" t="inlineStr">
        <is>
          <t>123</t>
        </is>
      </c>
      <c r="C405" s="5" t="inlineStr">
        <is>
          <t>nearest labels in its region</t>
        </is>
      </c>
      <c r="D405" s="5" t="inlineStr">
        <is>
          <t>band</t>
        </is>
      </c>
      <c r="E405" s="5" t="n">
        <v>6</v>
      </c>
      <c r="F405" s="5" t="inlineStr">
        <is>
          <t>strip_footing</t>
        </is>
      </c>
      <c r="G405" s="5" t="inlineStr">
        <is>
          <t>label vote</t>
        </is>
      </c>
      <c r="H405" s="5" t="inlineStr">
        <is>
          <t>SF1</t>
        </is>
      </c>
      <c r="I405" s="5" t="inlineStr">
        <is>
          <t>printed label</t>
        </is>
      </c>
      <c r="J405" s="5" t="inlineStr">
        <is>
          <t>VP25/SF1 80x25</t>
        </is>
      </c>
      <c r="K405" s="5" t="n">
        <v>313</v>
      </c>
      <c r="L405" s="5" t="n">
        <v>80</v>
      </c>
      <c r="M405" s="10">
        <f>IF(AND(ISNUMBER(K405),L405&gt;0),K405/L405,"")</f>
        <v/>
      </c>
      <c r="N405" s="5" t="n">
        <v>2.506</v>
      </c>
      <c r="O405" s="5" t="n">
        <v>90</v>
      </c>
      <c r="P405" s="5" t="n">
        <v>1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4</v>
      </c>
      <c r="V405" s="5" t="n">
        <v>2</v>
      </c>
      <c r="W405" s="5" t="n">
        <v>3.13</v>
      </c>
      <c r="X405" s="5" t="inlineStr"/>
      <c r="Y405" s="5" t="n">
        <v>5006.7</v>
      </c>
      <c r="Z405" s="5" t="n">
        <v>2998.2</v>
      </c>
      <c r="AA405" s="5" t="n">
        <v>5030.4</v>
      </c>
      <c r="AB405" s="5" t="n">
        <v>3090.7</v>
      </c>
      <c r="AC405" s="5" t="inlineStr"/>
      <c r="AD405" s="5">
        <f>IF(AC405="","",IF(OR(AC405=F405,AND(AC405="crane_footing",F405="isolated_footing")),"yes","no"))</f>
        <v/>
      </c>
    </row>
    <row r="406">
      <c r="A406" s="5" t="n">
        <v>405</v>
      </c>
      <c r="B406" s="5" t="inlineStr">
        <is>
          <t>123</t>
        </is>
      </c>
      <c r="C406" s="5" t="inlineStr">
        <is>
          <t>nearest labels in its region</t>
        </is>
      </c>
      <c r="D406" s="5" t="inlineStr">
        <is>
          <t>band</t>
        </is>
      </c>
      <c r="E406" s="5" t="n">
        <v>6</v>
      </c>
      <c r="F406" s="5" t="inlineStr">
        <is>
          <t>strip_footing</t>
        </is>
      </c>
      <c r="G406" s="5" t="inlineStr">
        <is>
          <t>label vote</t>
        </is>
      </c>
      <c r="H406" s="5" t="inlineStr">
        <is>
          <t>SF1</t>
        </is>
      </c>
      <c r="I406" s="5" t="inlineStr">
        <is>
          <t>printed label</t>
        </is>
      </c>
      <c r="J406" s="5" t="inlineStr">
        <is>
          <t>VP25/SF1 80x25</t>
        </is>
      </c>
      <c r="K406" s="5" t="n">
        <v>295</v>
      </c>
      <c r="L406" s="5" t="n">
        <v>80</v>
      </c>
      <c r="M406" s="10">
        <f>IF(AND(ISNUMBER(K406),L406&gt;0),K406/L406,"")</f>
        <v/>
      </c>
      <c r="N406" s="5" t="n">
        <v>2.363</v>
      </c>
      <c r="O406" s="5" t="n">
        <v>169.3</v>
      </c>
      <c r="P406" s="5" t="n">
        <v>1</v>
      </c>
      <c r="Q406" s="5" t="n">
        <v>0</v>
      </c>
      <c r="R406" s="5" t="n">
        <v>0</v>
      </c>
      <c r="S406" s="5" t="n">
        <v>0</v>
      </c>
      <c r="T406" s="5" t="n">
        <v>0</v>
      </c>
      <c r="U406" s="5" t="n">
        <v>2</v>
      </c>
      <c r="V406" s="5" t="n">
        <v>0</v>
      </c>
      <c r="W406" s="5" t="n">
        <v>2.95</v>
      </c>
      <c r="X406" s="5" t="inlineStr"/>
      <c r="Y406" s="5" t="n">
        <v>4580.6</v>
      </c>
      <c r="Z406" s="5" t="n">
        <v>3506.8</v>
      </c>
      <c r="AA406" s="5" t="n">
        <v>4670.7</v>
      </c>
      <c r="AB406" s="5" t="n">
        <v>3546.2</v>
      </c>
      <c r="AC406" s="5" t="inlineStr"/>
      <c r="AD406" s="5">
        <f>IF(AC406="","",IF(OR(AC406=F406,AND(AC406="crane_footing",F406="isolated_footing")),"yes","no"))</f>
        <v/>
      </c>
    </row>
    <row r="407">
      <c r="A407" s="5" t="n">
        <v>406</v>
      </c>
      <c r="B407" s="5" t="inlineStr">
        <is>
          <t>123</t>
        </is>
      </c>
      <c r="C407" s="5" t="inlineStr">
        <is>
          <t>nearest labels in its region</t>
        </is>
      </c>
      <c r="D407" s="5" t="inlineStr">
        <is>
          <t>band</t>
        </is>
      </c>
      <c r="E407" s="5" t="n">
        <v>6</v>
      </c>
      <c r="F407" s="5" t="inlineStr">
        <is>
          <t>strip_footing</t>
        </is>
      </c>
      <c r="G407" s="5" t="inlineStr">
        <is>
          <t>label vote</t>
        </is>
      </c>
      <c r="H407" s="5" t="inlineStr">
        <is>
          <t>SF1</t>
        </is>
      </c>
      <c r="I407" s="5" t="inlineStr">
        <is>
          <t>printed label</t>
        </is>
      </c>
      <c r="J407" s="5" t="inlineStr">
        <is>
          <t>VP25/SF1 80x25</t>
        </is>
      </c>
      <c r="K407" s="5" t="n">
        <v>291</v>
      </c>
      <c r="L407" s="5" t="n">
        <v>80</v>
      </c>
      <c r="M407" s="10">
        <f>IF(AND(ISNUMBER(K407),L407&gt;0),K407/L407,"")</f>
        <v/>
      </c>
      <c r="N407" s="5" t="n">
        <v>2.329</v>
      </c>
      <c r="O407" s="5" t="n">
        <v>169.4</v>
      </c>
      <c r="P407" s="5" t="n">
        <v>1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3</v>
      </c>
      <c r="V407" s="5" t="n">
        <v>0</v>
      </c>
      <c r="W407" s="5" t="n">
        <v>2.91</v>
      </c>
      <c r="X407" s="5" t="inlineStr"/>
      <c r="Y407" s="5" t="n">
        <v>4768.7</v>
      </c>
      <c r="Z407" s="5" t="n">
        <v>3471.7</v>
      </c>
      <c r="AA407" s="5" t="n">
        <v>4857.5</v>
      </c>
      <c r="AB407" s="5" t="n">
        <v>3510.7</v>
      </c>
      <c r="AC407" s="5" t="inlineStr"/>
      <c r="AD407" s="5">
        <f>IF(AC407="","",IF(OR(AC407=F407,AND(AC407="crane_footing",F407="isolated_footing")),"yes","no"))</f>
        <v/>
      </c>
    </row>
    <row r="408">
      <c r="A408" s="5" t="n">
        <v>407</v>
      </c>
      <c r="B408" s="5" t="inlineStr">
        <is>
          <t>123</t>
        </is>
      </c>
      <c r="C408" s="5" t="inlineStr">
        <is>
          <t>nearest labels in its region</t>
        </is>
      </c>
      <c r="D408" s="5" t="inlineStr">
        <is>
          <t>band</t>
        </is>
      </c>
      <c r="E408" s="5" t="n">
        <v>6</v>
      </c>
      <c r="F408" s="5" t="inlineStr">
        <is>
          <t>strip_footing</t>
        </is>
      </c>
      <c r="G408" s="5" t="inlineStr">
        <is>
          <t>label vote</t>
        </is>
      </c>
      <c r="H408" s="5" t="inlineStr">
        <is>
          <t>SF1</t>
        </is>
      </c>
      <c r="I408" s="5" t="inlineStr">
        <is>
          <t>printed label</t>
        </is>
      </c>
      <c r="J408" s="5" t="inlineStr">
        <is>
          <t>VP25/SF1 80x25</t>
        </is>
      </c>
      <c r="K408" s="5" t="n">
        <v>224</v>
      </c>
      <c r="L408" s="5" t="n">
        <v>80</v>
      </c>
      <c r="M408" s="10">
        <f>IF(AND(ISNUMBER(K408),L408&gt;0),K408/L408,"")</f>
        <v/>
      </c>
      <c r="N408" s="5" t="n">
        <v>1.792</v>
      </c>
      <c r="O408" s="5" t="n">
        <v>90.09999999999999</v>
      </c>
      <c r="P408" s="5" t="n">
        <v>1</v>
      </c>
      <c r="Q408" s="5" t="n">
        <v>0</v>
      </c>
      <c r="R408" s="5" t="n">
        <v>0</v>
      </c>
      <c r="S408" s="5" t="n">
        <v>0</v>
      </c>
      <c r="T408" s="5" t="n">
        <v>0</v>
      </c>
      <c r="U408" s="5" t="n">
        <v>3</v>
      </c>
      <c r="V408" s="5" t="n">
        <v>0</v>
      </c>
      <c r="W408" s="5" t="n">
        <v>2.24</v>
      </c>
      <c r="X408" s="5" t="inlineStr"/>
      <c r="Y408" s="5" t="n">
        <v>5006.4</v>
      </c>
      <c r="Z408" s="5" t="n">
        <v>3376.8</v>
      </c>
      <c r="AA408" s="5" t="n">
        <v>5030.1</v>
      </c>
      <c r="AB408" s="5" t="n">
        <v>3442.9</v>
      </c>
      <c r="AC408" s="5" t="inlineStr"/>
      <c r="AD408" s="5">
        <f>IF(AC408="","",IF(OR(AC408=F408,AND(AC408="crane_footing",F408="isolated_footing")),"yes","no"))</f>
        <v/>
      </c>
    </row>
    <row r="409">
      <c r="A409" s="5" t="n">
        <v>408</v>
      </c>
      <c r="B409" s="5" t="inlineStr">
        <is>
          <t>123</t>
        </is>
      </c>
      <c r="C409" s="5" t="inlineStr">
        <is>
          <t>nearest labels in its region</t>
        </is>
      </c>
      <c r="D409" s="5" t="inlineStr">
        <is>
          <t>band</t>
        </is>
      </c>
      <c r="E409" s="5" t="n">
        <v>4</v>
      </c>
      <c r="F409" s="5" t="inlineStr">
        <is>
          <t>grade_beam</t>
        </is>
      </c>
      <c r="G409" s="5" t="inlineStr">
        <is>
          <t>label vote</t>
        </is>
      </c>
      <c r="H409" s="5" t="inlineStr">
        <is>
          <t>LG40x15</t>
        </is>
      </c>
      <c r="I409" s="5" t="inlineStr">
        <is>
          <t>printed label</t>
        </is>
      </c>
      <c r="J409" s="5" t="inlineStr">
        <is>
          <t>LG-40x15</t>
        </is>
      </c>
      <c r="K409" s="5" t="n">
        <v>1171</v>
      </c>
      <c r="L409" s="5" t="n">
        <v>41</v>
      </c>
      <c r="M409" s="10">
        <f>IF(AND(ISNUMBER(K409),L409&gt;0),K409/L409,"")</f>
        <v/>
      </c>
      <c r="N409" s="5" t="n">
        <v>4.803</v>
      </c>
      <c r="O409" s="5" t="n">
        <v>169.3</v>
      </c>
      <c r="P409" s="5" t="n">
        <v>3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45</v>
      </c>
      <c r="V409" s="5" t="n">
        <v>6</v>
      </c>
      <c r="W409" s="5" t="n">
        <v>5.03</v>
      </c>
      <c r="X409" s="5" t="inlineStr"/>
      <c r="Y409" s="5" t="n">
        <v>4249.3</v>
      </c>
      <c r="Z409" s="5" t="n">
        <v>3027.1</v>
      </c>
      <c r="AA409" s="5" t="n">
        <v>4591.4</v>
      </c>
      <c r="AB409" s="5" t="n">
        <v>3103.1</v>
      </c>
      <c r="AC409" s="5" t="inlineStr"/>
      <c r="AD409" s="5">
        <f>IF(AC409="","",IF(OR(AC409=F409,AND(AC409="crane_footing",F409="isolated_footing")),"yes","no"))</f>
        <v/>
      </c>
    </row>
    <row r="410">
      <c r="A410" s="5" t="n">
        <v>409</v>
      </c>
      <c r="B410" s="5" t="inlineStr">
        <is>
          <t>123</t>
        </is>
      </c>
      <c r="C410" s="5" t="inlineStr">
        <is>
          <t>nearest labels in its region</t>
        </is>
      </c>
      <c r="D410" s="5" t="inlineStr">
        <is>
          <t>band</t>
        </is>
      </c>
      <c r="E410" s="5" t="n">
        <v>4</v>
      </c>
      <c r="F410" s="5" t="inlineStr">
        <is>
          <t>grade_beam</t>
        </is>
      </c>
      <c r="G410" s="5" t="inlineStr">
        <is>
          <t>label vote</t>
        </is>
      </c>
      <c r="H410" s="5" t="inlineStr">
        <is>
          <t>LG40x15</t>
        </is>
      </c>
      <c r="I410" s="5" t="inlineStr">
        <is>
          <t>printed label</t>
        </is>
      </c>
      <c r="J410" s="5" t="inlineStr">
        <is>
          <t>LG-40x15</t>
        </is>
      </c>
      <c r="K410" s="5" t="n">
        <v>1015</v>
      </c>
      <c r="L410" s="5" t="n">
        <v>41</v>
      </c>
      <c r="M410" s="10">
        <f>IF(AND(ISNUMBER(K410),L410&gt;0),K410/L410,"")</f>
        <v/>
      </c>
      <c r="N410" s="5" t="n">
        <v>4.161</v>
      </c>
      <c r="O410" s="5" t="n">
        <v>169.4</v>
      </c>
      <c r="P410" s="5" t="n">
        <v>3</v>
      </c>
      <c r="Q410" s="5" t="n">
        <v>0</v>
      </c>
      <c r="R410" s="5" t="n">
        <v>0</v>
      </c>
      <c r="S410" s="5" t="n">
        <v>0</v>
      </c>
      <c r="T410" s="5" t="n">
        <v>0</v>
      </c>
      <c r="U410" s="5" t="n">
        <v>19</v>
      </c>
      <c r="V410" s="5" t="n">
        <v>4</v>
      </c>
      <c r="W410" s="5" t="n">
        <v>5.46</v>
      </c>
      <c r="X410" s="5" t="inlineStr"/>
      <c r="Y410" s="5" t="n">
        <v>4302.2</v>
      </c>
      <c r="Z410" s="5" t="n">
        <v>3276.8</v>
      </c>
      <c r="AA410" s="5" t="n">
        <v>4598.9</v>
      </c>
      <c r="AB410" s="5" t="n">
        <v>3343.7</v>
      </c>
      <c r="AC410" s="5" t="inlineStr"/>
      <c r="AD410" s="5">
        <f>IF(AC410="","",IF(OR(AC410=F410,AND(AC410="crane_footing",F410="isolated_footing")),"yes","no"))</f>
        <v/>
      </c>
    </row>
    <row r="411">
      <c r="A411" s="5" t="n">
        <v>410</v>
      </c>
      <c r="B411" s="5" t="inlineStr">
        <is>
          <t>123</t>
        </is>
      </c>
      <c r="C411" s="5" t="inlineStr">
        <is>
          <t>nearest labels in its region</t>
        </is>
      </c>
      <c r="D411" s="5" t="inlineStr">
        <is>
          <t>band</t>
        </is>
      </c>
      <c r="E411" s="5" t="n">
        <v>4</v>
      </c>
      <c r="F411" s="5" t="inlineStr">
        <is>
          <t>grade_beam</t>
        </is>
      </c>
      <c r="G411" s="5" t="inlineStr">
        <is>
          <t>label vote</t>
        </is>
      </c>
      <c r="H411" s="5" t="inlineStr">
        <is>
          <t>LG40x15</t>
        </is>
      </c>
      <c r="I411" s="5" t="inlineStr">
        <is>
          <t>printed label</t>
        </is>
      </c>
      <c r="J411" s="5" t="inlineStr">
        <is>
          <t>LG-40x15</t>
        </is>
      </c>
      <c r="K411" s="5" t="n">
        <v>807</v>
      </c>
      <c r="L411" s="5" t="n">
        <v>41</v>
      </c>
      <c r="M411" s="10">
        <f>IF(AND(ISNUMBER(K411),L411&gt;0),K411/L411,"")</f>
        <v/>
      </c>
      <c r="N411" s="5" t="n">
        <v>3.31</v>
      </c>
      <c r="O411" s="5" t="n">
        <v>169.3</v>
      </c>
      <c r="P411" s="5" t="n">
        <v>3</v>
      </c>
      <c r="Q411" s="5" t="n">
        <v>0</v>
      </c>
      <c r="R411" s="5" t="n">
        <v>0</v>
      </c>
      <c r="S411" s="5" t="n">
        <v>0</v>
      </c>
      <c r="T411" s="5" t="n">
        <v>1</v>
      </c>
      <c r="U411" s="5" t="n">
        <v>23</v>
      </c>
      <c r="V411" s="5" t="n">
        <v>3</v>
      </c>
      <c r="W411" s="5" t="n">
        <v>5.04</v>
      </c>
      <c r="X411" s="5" t="inlineStr"/>
      <c r="Y411" s="5" t="n">
        <v>4779.2</v>
      </c>
      <c r="Z411" s="5" t="n">
        <v>2947.2</v>
      </c>
      <c r="AA411" s="5" t="n">
        <v>5015.7</v>
      </c>
      <c r="AB411" s="5" t="n">
        <v>3003.2</v>
      </c>
      <c r="AC411" s="5" t="inlineStr"/>
      <c r="AD411" s="5">
        <f>IF(AC411="","",IF(OR(AC411=F411,AND(AC411="crane_footing",F411="isolated_footing")),"yes","no"))</f>
        <v/>
      </c>
    </row>
    <row r="412">
      <c r="A412" s="5" t="n">
        <v>411</v>
      </c>
      <c r="B412" s="5" t="inlineStr">
        <is>
          <t>123</t>
        </is>
      </c>
      <c r="C412" s="5" t="inlineStr">
        <is>
          <t>nearest labels in its region</t>
        </is>
      </c>
      <c r="D412" s="5" t="inlineStr">
        <is>
          <t>band</t>
        </is>
      </c>
      <c r="E412" s="5" t="n">
        <v>4</v>
      </c>
      <c r="F412" s="5" t="inlineStr">
        <is>
          <t>grade_beam</t>
        </is>
      </c>
      <c r="G412" s="5" t="inlineStr">
        <is>
          <t>label vote</t>
        </is>
      </c>
      <c r="H412" s="5" t="inlineStr">
        <is>
          <t>LG40x15</t>
        </is>
      </c>
      <c r="I412" s="5" t="inlineStr">
        <is>
          <t>printed label</t>
        </is>
      </c>
      <c r="J412" s="5" t="inlineStr">
        <is>
          <t>LG-40x15</t>
        </is>
      </c>
      <c r="K412" s="5" t="n">
        <v>800</v>
      </c>
      <c r="L412" s="5" t="n">
        <v>41</v>
      </c>
      <c r="M412" s="10">
        <f>IF(AND(ISNUMBER(K412),L412&gt;0),K412/L412,"")</f>
        <v/>
      </c>
      <c r="N412" s="5" t="n">
        <v>3.279</v>
      </c>
      <c r="O412" s="5" t="n">
        <v>79.40000000000001</v>
      </c>
      <c r="P412" s="5" t="n">
        <v>3</v>
      </c>
      <c r="Q412" s="5" t="n">
        <v>0</v>
      </c>
      <c r="R412" s="5" t="n">
        <v>0</v>
      </c>
      <c r="S412" s="5" t="n">
        <v>0</v>
      </c>
      <c r="T412" s="5" t="n">
        <v>2</v>
      </c>
      <c r="U412" s="5" t="n">
        <v>22</v>
      </c>
      <c r="V412" s="5" t="n">
        <v>3</v>
      </c>
      <c r="W412" s="5" t="n">
        <v>2.18</v>
      </c>
      <c r="X412" s="5" t="inlineStr"/>
      <c r="Y412" s="5" t="n">
        <v>4484.2</v>
      </c>
      <c r="Z412" s="5" t="n">
        <v>3307.8</v>
      </c>
      <c r="AA412" s="5" t="n">
        <v>4539.5</v>
      </c>
      <c r="AB412" s="5" t="n">
        <v>3542.1</v>
      </c>
      <c r="AC412" s="5" t="inlineStr"/>
      <c r="AD412" s="5">
        <f>IF(AC412="","",IF(OR(AC412=F412,AND(AC412="crane_footing",F412="isolated_footing")),"yes","no"))</f>
        <v/>
      </c>
    </row>
    <row r="413">
      <c r="A413" s="5" t="n">
        <v>412</v>
      </c>
      <c r="B413" s="5" t="inlineStr">
        <is>
          <t>123</t>
        </is>
      </c>
      <c r="C413" s="5" t="inlineStr">
        <is>
          <t>nearest labels in its region</t>
        </is>
      </c>
      <c r="D413" s="5" t="inlineStr">
        <is>
          <t>band</t>
        </is>
      </c>
      <c r="E413" s="5" t="n">
        <v>4</v>
      </c>
      <c r="F413" s="5" t="inlineStr">
        <is>
          <t>grade_beam</t>
        </is>
      </c>
      <c r="G413" s="5" t="inlineStr">
        <is>
          <t>label vote</t>
        </is>
      </c>
      <c r="H413" s="5" t="inlineStr">
        <is>
          <t>LG40x15</t>
        </is>
      </c>
      <c r="I413" s="5" t="inlineStr">
        <is>
          <t>printed label</t>
        </is>
      </c>
      <c r="J413" s="5" t="inlineStr">
        <is>
          <t>LG-40x15</t>
        </is>
      </c>
      <c r="K413" s="5" t="n">
        <v>795</v>
      </c>
      <c r="L413" s="5" t="n">
        <v>41</v>
      </c>
      <c r="M413" s="10">
        <f>IF(AND(ISNUMBER(K413),L413&gt;0),K413/L413,"")</f>
        <v/>
      </c>
      <c r="N413" s="5" t="n">
        <v>3.26</v>
      </c>
      <c r="O413" s="5" t="n">
        <v>79.40000000000001</v>
      </c>
      <c r="P413" s="5" t="n">
        <v>1</v>
      </c>
      <c r="Q413" s="5" t="n">
        <v>0</v>
      </c>
      <c r="R413" s="5" t="n">
        <v>0</v>
      </c>
      <c r="S413" s="5" t="n">
        <v>0</v>
      </c>
      <c r="T413" s="5" t="n">
        <v>1</v>
      </c>
      <c r="U413" s="5" t="n">
        <v>5</v>
      </c>
      <c r="V413" s="5" t="n">
        <v>4</v>
      </c>
      <c r="W413" s="5" t="n">
        <v>4</v>
      </c>
      <c r="X413" s="5" t="inlineStr"/>
      <c r="Y413" s="5" t="n">
        <v>4412.5</v>
      </c>
      <c r="Z413" s="5" t="n">
        <v>3070.4</v>
      </c>
      <c r="AA413" s="5" t="n">
        <v>4467.5</v>
      </c>
      <c r="AB413" s="5" t="n">
        <v>3303.3</v>
      </c>
      <c r="AC413" s="5" t="inlineStr"/>
      <c r="AD413" s="5">
        <f>IF(AC413="","",IF(OR(AC413=F413,AND(AC413="crane_footing",F413="isolated_footing")),"yes","no"))</f>
        <v/>
      </c>
    </row>
    <row r="414">
      <c r="A414" s="5" t="n">
        <v>413</v>
      </c>
      <c r="B414" s="5" t="inlineStr">
        <is>
          <t>123</t>
        </is>
      </c>
      <c r="C414" s="5" t="inlineStr">
        <is>
          <t>nearest labels in its region</t>
        </is>
      </c>
      <c r="D414" s="5" t="inlineStr">
        <is>
          <t>band</t>
        </is>
      </c>
      <c r="E414" s="5" t="n">
        <v>4</v>
      </c>
      <c r="F414" s="5" t="inlineStr">
        <is>
          <t>grade_beam</t>
        </is>
      </c>
      <c r="G414" s="5" t="inlineStr">
        <is>
          <t>label vote</t>
        </is>
      </c>
      <c r="H414" s="5" t="inlineStr">
        <is>
          <t>LG40x15</t>
        </is>
      </c>
      <c r="I414" s="5" t="inlineStr">
        <is>
          <t>printed label</t>
        </is>
      </c>
      <c r="J414" s="5" t="inlineStr">
        <is>
          <t>LG-40x15</t>
        </is>
      </c>
      <c r="K414" s="5" t="n">
        <v>662</v>
      </c>
      <c r="L414" s="5" t="n">
        <v>41</v>
      </c>
      <c r="M414" s="10">
        <f>IF(AND(ISNUMBER(K414),L414&gt;0),K414/L414,"")</f>
        <v/>
      </c>
      <c r="N414" s="5" t="n">
        <v>2.714</v>
      </c>
      <c r="O414" s="5" t="n">
        <v>79.40000000000001</v>
      </c>
      <c r="P414" s="5" t="n">
        <v>2</v>
      </c>
      <c r="Q414" s="5" t="n">
        <v>0</v>
      </c>
      <c r="R414" s="5" t="n">
        <v>0</v>
      </c>
      <c r="S414" s="5" t="n">
        <v>0</v>
      </c>
      <c r="T414" s="5" t="n">
        <v>1</v>
      </c>
      <c r="U414" s="5" t="n">
        <v>31</v>
      </c>
      <c r="V414" s="5" t="n">
        <v>1</v>
      </c>
      <c r="W414" s="5" t="n">
        <v>2.98</v>
      </c>
      <c r="X414" s="5" t="inlineStr"/>
      <c r="Y414" s="5" t="n">
        <v>4863.1</v>
      </c>
      <c r="Z414" s="5" t="n">
        <v>3277.6</v>
      </c>
      <c r="AA414" s="5" t="n">
        <v>4910.9</v>
      </c>
      <c r="AB414" s="5" t="n">
        <v>3471.9</v>
      </c>
      <c r="AC414" s="5" t="inlineStr"/>
      <c r="AD414" s="5">
        <f>IF(AC414="","",IF(OR(AC414=F414,AND(AC414="crane_footing",F414="isolated_footing")),"yes","no"))</f>
        <v/>
      </c>
    </row>
    <row r="415">
      <c r="A415" s="5" t="n">
        <v>414</v>
      </c>
      <c r="B415" s="5" t="inlineStr">
        <is>
          <t>123</t>
        </is>
      </c>
      <c r="C415" s="5" t="inlineStr">
        <is>
          <t>nearest labels in its region</t>
        </is>
      </c>
      <c r="D415" s="5" t="inlineStr">
        <is>
          <t>band</t>
        </is>
      </c>
      <c r="E415" s="5" t="n">
        <v>4</v>
      </c>
      <c r="F415" s="5" t="inlineStr">
        <is>
          <t>grade_beam</t>
        </is>
      </c>
      <c r="G415" s="5" t="inlineStr">
        <is>
          <t>label vote</t>
        </is>
      </c>
      <c r="H415" s="5" t="inlineStr">
        <is>
          <t>LG40x15</t>
        </is>
      </c>
      <c r="I415" s="5" t="inlineStr">
        <is>
          <t>printed label</t>
        </is>
      </c>
      <c r="J415" s="5" t="inlineStr">
        <is>
          <t>LG-40x15</t>
        </is>
      </c>
      <c r="K415" s="5" t="n">
        <v>662</v>
      </c>
      <c r="L415" s="5" t="n">
        <v>41</v>
      </c>
      <c r="M415" s="10">
        <f>IF(AND(ISNUMBER(K415),L415&gt;0),K415/L415,"")</f>
        <v/>
      </c>
      <c r="N415" s="5" t="n">
        <v>2.714</v>
      </c>
      <c r="O415" s="5" t="n">
        <v>79.3</v>
      </c>
      <c r="P415" s="5" t="n">
        <v>2</v>
      </c>
      <c r="Q415" s="5" t="n">
        <v>1</v>
      </c>
      <c r="R415" s="5" t="n">
        <v>0</v>
      </c>
      <c r="S415" s="5" t="n">
        <v>0</v>
      </c>
      <c r="T415" s="5" t="n">
        <v>1</v>
      </c>
      <c r="U415" s="5" t="n">
        <v>21</v>
      </c>
      <c r="V415" s="5" t="n">
        <v>1</v>
      </c>
      <c r="W415" s="5" t="n">
        <v>2.84</v>
      </c>
      <c r="X415" s="5" t="inlineStr"/>
      <c r="Y415" s="5" t="n">
        <v>4678.5</v>
      </c>
      <c r="Z415" s="5" t="n">
        <v>3312</v>
      </c>
      <c r="AA415" s="5" t="n">
        <v>4726.7</v>
      </c>
      <c r="AB415" s="5" t="n">
        <v>3506.3</v>
      </c>
      <c r="AC415" s="5" t="inlineStr"/>
      <c r="AD415" s="5">
        <f>IF(AC415="","",IF(OR(AC415=F415,AND(AC415="crane_footing",F415="isolated_footing")),"yes","no"))</f>
        <v/>
      </c>
    </row>
    <row r="416">
      <c r="A416" s="5" t="n">
        <v>415</v>
      </c>
      <c r="B416" s="5" t="inlineStr">
        <is>
          <t>123</t>
        </is>
      </c>
      <c r="C416" s="5" t="inlineStr">
        <is>
          <t>nearest labels in its region</t>
        </is>
      </c>
      <c r="D416" s="5" t="inlineStr">
        <is>
          <t>band</t>
        </is>
      </c>
      <c r="E416" s="5" t="n">
        <v>4</v>
      </c>
      <c r="F416" s="5" t="inlineStr">
        <is>
          <t>grade_beam</t>
        </is>
      </c>
      <c r="G416" s="5" t="inlineStr">
        <is>
          <t>label vote</t>
        </is>
      </c>
      <c r="H416" s="5" t="inlineStr">
        <is>
          <t>LG40x15</t>
        </is>
      </c>
      <c r="I416" s="5" t="inlineStr">
        <is>
          <t>printed label</t>
        </is>
      </c>
      <c r="J416" s="5" t="inlineStr">
        <is>
          <t>LG-40x15</t>
        </is>
      </c>
      <c r="K416" s="5" t="n">
        <v>610</v>
      </c>
      <c r="L416" s="5" t="n">
        <v>41</v>
      </c>
      <c r="M416" s="10">
        <f>IF(AND(ISNUMBER(K416),L416&gt;0),K416/L416,"")</f>
        <v/>
      </c>
      <c r="N416" s="5" t="n">
        <v>2.501</v>
      </c>
      <c r="O416" s="5" t="n">
        <v>169.4</v>
      </c>
      <c r="P416" s="5" t="n">
        <v>1</v>
      </c>
      <c r="Q416" s="5" t="n">
        <v>0</v>
      </c>
      <c r="R416" s="5" t="n">
        <v>0</v>
      </c>
      <c r="S416" s="5" t="n">
        <v>0</v>
      </c>
      <c r="T416" s="5" t="n">
        <v>0</v>
      </c>
      <c r="U416" s="5" t="n">
        <v>4</v>
      </c>
      <c r="V416" s="5" t="n">
        <v>2</v>
      </c>
      <c r="W416" s="5" t="n">
        <v>2.98</v>
      </c>
      <c r="X416" s="5" t="inlineStr"/>
      <c r="Y416" s="5" t="n">
        <v>4528.3</v>
      </c>
      <c r="Z416" s="5" t="n">
        <v>3454.7</v>
      </c>
      <c r="AA416" s="5" t="n">
        <v>4707.6</v>
      </c>
      <c r="AB416" s="5" t="n">
        <v>3499.7</v>
      </c>
      <c r="AC416" s="5" t="inlineStr"/>
      <c r="AD416" s="5">
        <f>IF(AC416="","",IF(OR(AC416=F416,AND(AC416="crane_footing",F416="isolated_footing")),"yes","no"))</f>
        <v/>
      </c>
    </row>
    <row r="417">
      <c r="A417" s="5" t="n">
        <v>416</v>
      </c>
      <c r="B417" s="5" t="inlineStr">
        <is>
          <t>123</t>
        </is>
      </c>
      <c r="C417" s="5" t="inlineStr">
        <is>
          <t>nearest labels in its region</t>
        </is>
      </c>
      <c r="D417" s="5" t="inlineStr">
        <is>
          <t>band</t>
        </is>
      </c>
      <c r="E417" s="5" t="n">
        <v>4</v>
      </c>
      <c r="F417" s="5" t="inlineStr">
        <is>
          <t>grade_beam</t>
        </is>
      </c>
      <c r="G417" s="5" t="inlineStr">
        <is>
          <t>label vote</t>
        </is>
      </c>
      <c r="H417" s="5" t="inlineStr">
        <is>
          <t>LG40x15</t>
        </is>
      </c>
      <c r="I417" s="5" t="inlineStr">
        <is>
          <t>printed label</t>
        </is>
      </c>
      <c r="J417" s="5" t="inlineStr">
        <is>
          <t>LG-40x15</t>
        </is>
      </c>
      <c r="K417" s="5" t="n">
        <v>450</v>
      </c>
      <c r="L417" s="5" t="n">
        <v>41</v>
      </c>
      <c r="M417" s="10">
        <f>IF(AND(ISNUMBER(K417),L417&gt;0),K417/L417,"")</f>
        <v/>
      </c>
      <c r="N417" s="5" t="n">
        <v>1.845</v>
      </c>
      <c r="O417" s="5" t="n">
        <v>169.4</v>
      </c>
      <c r="P417" s="5" t="n">
        <v>2</v>
      </c>
      <c r="Q417" s="5" t="n">
        <v>1</v>
      </c>
      <c r="R417" s="5" t="n">
        <v>0</v>
      </c>
      <c r="S417" s="5" t="n">
        <v>0</v>
      </c>
      <c r="T417" s="5" t="n">
        <v>1</v>
      </c>
      <c r="U417" s="5" t="n">
        <v>18</v>
      </c>
      <c r="V417" s="5" t="n">
        <v>0</v>
      </c>
      <c r="W417" s="5" t="n">
        <v>1.52</v>
      </c>
      <c r="X417" s="5" t="inlineStr"/>
      <c r="Y417" s="5" t="n">
        <v>4882.7</v>
      </c>
      <c r="Z417" s="5" t="n">
        <v>3142.7</v>
      </c>
      <c r="AA417" s="5" t="n">
        <v>5015.6</v>
      </c>
      <c r="AB417" s="5" t="n">
        <v>3179</v>
      </c>
      <c r="AC417" s="5" t="inlineStr"/>
      <c r="AD417" s="5">
        <f>IF(AC417="","",IF(OR(AC417=F417,AND(AC417="crane_footing",F417="isolated_footing")),"yes","no"))</f>
        <v/>
      </c>
    </row>
    <row r="418">
      <c r="A418" s="5" t="n">
        <v>417</v>
      </c>
      <c r="B418" s="5" t="inlineStr">
        <is>
          <t>123</t>
        </is>
      </c>
      <c r="C418" s="5" t="inlineStr">
        <is>
          <t>nearest labels in its region</t>
        </is>
      </c>
      <c r="D418" s="5" t="inlineStr">
        <is>
          <t>band</t>
        </is>
      </c>
      <c r="E418" s="5" t="n">
        <v>4</v>
      </c>
      <c r="F418" s="5" t="inlineStr">
        <is>
          <t>grade_beam</t>
        </is>
      </c>
      <c r="G418" s="5" t="inlineStr">
        <is>
          <t>label vote</t>
        </is>
      </c>
      <c r="H418" s="5" t="inlineStr">
        <is>
          <t>LG40x15</t>
        </is>
      </c>
      <c r="I418" s="5" t="inlineStr">
        <is>
          <t>printed label</t>
        </is>
      </c>
      <c r="J418" s="5" t="inlineStr">
        <is>
          <t>LG-40x15</t>
        </is>
      </c>
      <c r="K418" s="5" t="n">
        <v>440</v>
      </c>
      <c r="L418" s="5" t="n">
        <v>41</v>
      </c>
      <c r="M418" s="10">
        <f>IF(AND(ISNUMBER(K418),L418&gt;0),K418/L418,"")</f>
        <v/>
      </c>
      <c r="N418" s="5" t="n">
        <v>1.804</v>
      </c>
      <c r="O418" s="5" t="n">
        <v>169.4</v>
      </c>
      <c r="P418" s="5" t="n">
        <v>2</v>
      </c>
      <c r="Q418" s="5" t="n">
        <v>1</v>
      </c>
      <c r="R418" s="5" t="n">
        <v>0</v>
      </c>
      <c r="S418" s="5" t="n">
        <v>0</v>
      </c>
      <c r="T418" s="5" t="n">
        <v>1</v>
      </c>
      <c r="U418" s="5" t="n">
        <v>14</v>
      </c>
      <c r="V418" s="5" t="n">
        <v>1</v>
      </c>
      <c r="W418" s="5" t="n">
        <v>1.48</v>
      </c>
      <c r="X418" s="5" t="inlineStr"/>
      <c r="Y418" s="5" t="n">
        <v>4886</v>
      </c>
      <c r="Z418" s="5" t="n">
        <v>3318.2</v>
      </c>
      <c r="AA418" s="5" t="n">
        <v>5015.9</v>
      </c>
      <c r="AB418" s="5" t="n">
        <v>3354</v>
      </c>
      <c r="AC418" s="5" t="inlineStr"/>
      <c r="AD418" s="5">
        <f>IF(AC418="","",IF(OR(AC418=F418,AND(AC418="crane_footing",F418="isolated_footing")),"yes","no"))</f>
        <v/>
      </c>
    </row>
    <row r="419">
      <c r="A419" s="5" t="n">
        <v>418</v>
      </c>
      <c r="B419" s="5" t="inlineStr">
        <is>
          <t>123</t>
        </is>
      </c>
      <c r="C419" s="5" t="inlineStr">
        <is>
          <t>nearest labels in its region</t>
        </is>
      </c>
      <c r="D419" s="5" t="inlineStr">
        <is>
          <t>band</t>
        </is>
      </c>
      <c r="E419" s="5" t="n">
        <v>4</v>
      </c>
      <c r="F419" s="5" t="inlineStr">
        <is>
          <t>grade_beam</t>
        </is>
      </c>
      <c r="G419" s="5" t="inlineStr">
        <is>
          <t>label vote</t>
        </is>
      </c>
      <c r="H419" s="5" t="inlineStr">
        <is>
          <t>(none)</t>
        </is>
      </c>
      <c r="I419" s="5" t="inlineStr"/>
      <c r="J419" s="5" t="inlineStr"/>
      <c r="K419" s="5" t="n">
        <v>153</v>
      </c>
      <c r="L419" s="5" t="n">
        <v>41</v>
      </c>
      <c r="M419" s="10">
        <f>IF(AND(ISNUMBER(K419),L419&gt;0),K419/L419,"")</f>
        <v/>
      </c>
      <c r="N419" s="5" t="n">
        <v>0.627</v>
      </c>
      <c r="O419" s="5" t="n">
        <v>79.40000000000001</v>
      </c>
      <c r="P419" s="5" t="n">
        <v>0</v>
      </c>
      <c r="Q419" s="5" t="n">
        <v>1</v>
      </c>
      <c r="R419" s="5" t="n">
        <v>0</v>
      </c>
      <c r="S419" s="5" t="n">
        <v>0</v>
      </c>
      <c r="T419" s="5" t="n">
        <v>0</v>
      </c>
      <c r="U419" s="5" t="n">
        <v>1</v>
      </c>
      <c r="V419" s="5" t="n">
        <v>3</v>
      </c>
      <c r="W419" s="5" t="n">
        <v>0</v>
      </c>
      <c r="X419" s="5" t="inlineStr"/>
      <c r="Y419" s="5" t="n">
        <v>4400.9</v>
      </c>
      <c r="Z419" s="5" t="n">
        <v>3072.5</v>
      </c>
      <c r="AA419" s="5" t="n">
        <v>4421.1</v>
      </c>
      <c r="AB419" s="5" t="n">
        <v>3119.1</v>
      </c>
      <c r="AC419" s="5" t="inlineStr"/>
      <c r="AD419" s="5">
        <f>IF(AC419="","",IF(OR(AC419=F419,AND(AC419="crane_footing",F419="isolated_footing")),"yes","no"))</f>
        <v/>
      </c>
    </row>
    <row r="420">
      <c r="A420" s="5" t="n">
        <v>419</v>
      </c>
      <c r="B420" s="5" t="inlineStr">
        <is>
          <t>123</t>
        </is>
      </c>
      <c r="C420" s="5" t="inlineStr">
        <is>
          <t>nearest labels in its region</t>
        </is>
      </c>
      <c r="D420" s="5" t="inlineStr">
        <is>
          <t>stamped_region</t>
        </is>
      </c>
      <c r="E420" s="5" t="n">
        <v>39</v>
      </c>
      <c r="F420" s="5" t="inlineStr">
        <is>
          <t>raft</t>
        </is>
      </c>
      <c r="G420" s="5" t="inlineStr">
        <is>
          <t>label vote</t>
        </is>
      </c>
      <c r="H420" s="5" t="inlineStr">
        <is>
          <t>Radier 90</t>
        </is>
      </c>
      <c r="I420" s="5" t="inlineStr">
        <is>
          <t>printed label</t>
        </is>
      </c>
      <c r="J420" s="5" t="inlineStr">
        <is>
          <t>Radier</t>
        </is>
      </c>
      <c r="K420" s="5" t="n">
        <v>1198</v>
      </c>
      <c r="L420" s="5" t="n">
        <v>1022</v>
      </c>
      <c r="M420" s="10">
        <f>IF(AND(ISNUMBER(K420),L420&gt;0),K420/L420,"")</f>
        <v/>
      </c>
      <c r="N420" s="5" t="n">
        <v>115.482</v>
      </c>
      <c r="O420" s="5" t="n">
        <v>79.40000000000001</v>
      </c>
      <c r="P420" s="5" t="n">
        <v>12</v>
      </c>
      <c r="Q420" s="5" t="n">
        <v>0</v>
      </c>
      <c r="R420" s="5" t="n">
        <v>0</v>
      </c>
      <c r="S420" s="5" t="n">
        <v>0</v>
      </c>
      <c r="T420" s="5" t="n">
        <v>12</v>
      </c>
      <c r="U420" s="5" t="n">
        <v>279</v>
      </c>
      <c r="V420" s="5" t="n">
        <v>16</v>
      </c>
      <c r="W420" s="5" t="n"/>
      <c r="X420" s="5" t="inlineStr">
        <is>
          <t>traced outline</t>
        </is>
      </c>
      <c r="Y420" s="5" t="n">
        <v>4541.1</v>
      </c>
      <c r="Z420" s="5" t="n">
        <v>2929.7</v>
      </c>
      <c r="AA420" s="5" t="n">
        <v>4902.8</v>
      </c>
      <c r="AB420" s="5" t="n">
        <v>3327.6</v>
      </c>
      <c r="AC420" s="5" t="inlineStr"/>
      <c r="AD420" s="5">
        <f>IF(AC420="","",IF(OR(AC420=F420,AND(AC420="crane_footing",F420="isolated_footing")),"yes","no"))</f>
        <v/>
      </c>
    </row>
    <row r="421">
      <c r="A421" s="5" t="n">
        <v>420</v>
      </c>
      <c r="B421" s="5" t="inlineStr">
        <is>
          <t>123</t>
        </is>
      </c>
      <c r="C421" s="5" t="inlineStr">
        <is>
          <t>nearest labels in its region</t>
        </is>
      </c>
      <c r="D421" s="5" t="inlineStr">
        <is>
          <t>outline</t>
        </is>
      </c>
      <c r="E421" s="5" t="n">
        <v>20</v>
      </c>
      <c r="F421" s="5" t="inlineStr">
        <is>
          <t>sump_pit</t>
        </is>
      </c>
      <c r="G421" s="5" t="inlineStr">
        <is>
          <t>label vote</t>
        </is>
      </c>
      <c r="H421" s="5" t="inlineStr">
        <is>
          <t>Fosse</t>
        </is>
      </c>
      <c r="I421" s="5" t="inlineStr">
        <is>
          <t>printed label</t>
        </is>
      </c>
      <c r="J421" s="5" t="inlineStr">
        <is>
          <t>FOSSE DE RELEVAGE2.00x1.50x1.50</t>
        </is>
      </c>
      <c r="K421" s="5" t="n">
        <v>290</v>
      </c>
      <c r="L421" s="5" t="n">
        <v>240</v>
      </c>
      <c r="M421" s="10">
        <f>IF(AND(ISNUMBER(K421),L421&gt;0),K421/L421,"")</f>
        <v/>
      </c>
      <c r="N421" s="5" t="n">
        <v>6.961</v>
      </c>
      <c r="O421" s="5" t="n">
        <v>179.9</v>
      </c>
      <c r="P421" s="5" t="n">
        <v>5</v>
      </c>
      <c r="Q421" s="5" t="n">
        <v>1</v>
      </c>
      <c r="R421" s="5" t="n">
        <v>0</v>
      </c>
      <c r="S421" s="5" t="n">
        <v>0</v>
      </c>
      <c r="T421" s="5" t="n">
        <v>4</v>
      </c>
      <c r="U421" s="5" t="n">
        <v>9</v>
      </c>
      <c r="V421" s="5" t="n">
        <v>0</v>
      </c>
      <c r="W421" s="5" t="n"/>
      <c r="X421" s="5" t="inlineStr"/>
      <c r="Y421" s="5" t="n">
        <v>4943.1</v>
      </c>
      <c r="Z421" s="5" t="n">
        <v>3203.7</v>
      </c>
      <c r="AA421" s="5" t="n">
        <v>5028.9</v>
      </c>
      <c r="AB421" s="5" t="n">
        <v>3274.7</v>
      </c>
      <c r="AC421" s="5" t="inlineStr"/>
      <c r="AD421" s="5">
        <f>IF(AC421="","",IF(OR(AC421=F421,AND(AC421="crane_footing",F421="isolated_footing")),"yes","no"))</f>
        <v/>
      </c>
    </row>
    <row r="422">
      <c r="A422" s="5" t="n">
        <v>421</v>
      </c>
      <c r="B422" s="5" t="inlineStr">
        <is>
          <t>123</t>
        </is>
      </c>
      <c r="C422" s="5" t="inlineStr">
        <is>
          <t>nearest labels in its region</t>
        </is>
      </c>
      <c r="D422" s="5" t="inlineStr">
        <is>
          <t>outline</t>
        </is>
      </c>
      <c r="E422" s="5" t="n">
        <v>20</v>
      </c>
      <c r="F422" s="5" t="inlineStr">
        <is>
          <t>sump_pit</t>
        </is>
      </c>
      <c r="G422" s="5" t="inlineStr">
        <is>
          <t>label vote</t>
        </is>
      </c>
      <c r="H422" s="5" t="inlineStr">
        <is>
          <t>(none)</t>
        </is>
      </c>
      <c r="I422" s="5" t="inlineStr"/>
      <c r="J422" s="5" t="inlineStr"/>
      <c r="K422" s="5" t="n">
        <v>240</v>
      </c>
      <c r="L422" s="5" t="n">
        <v>190</v>
      </c>
      <c r="M422" s="10">
        <f>IF(AND(ISNUMBER(K422),L422&gt;0),K422/L422,"")</f>
        <v/>
      </c>
      <c r="N422" s="5" t="n">
        <v>4.56</v>
      </c>
      <c r="O422" s="5" t="n">
        <v>179.9</v>
      </c>
      <c r="P422" s="5" t="n">
        <v>5</v>
      </c>
      <c r="Q422" s="5" t="n">
        <v>1</v>
      </c>
      <c r="R422" s="5" t="n">
        <v>0</v>
      </c>
      <c r="S422" s="5" t="n">
        <v>0</v>
      </c>
      <c r="T422" s="5" t="n">
        <v>4</v>
      </c>
      <c r="U422" s="5" t="n">
        <v>7</v>
      </c>
      <c r="V422" s="5" t="n">
        <v>0</v>
      </c>
      <c r="W422" s="5" t="n"/>
      <c r="X422" s="5" t="inlineStr"/>
      <c r="Y422" s="5" t="n">
        <v>4950.5</v>
      </c>
      <c r="Z422" s="5" t="n">
        <v>3211</v>
      </c>
      <c r="AA422" s="5" t="n">
        <v>5021.5</v>
      </c>
      <c r="AB422" s="5" t="n">
        <v>3267.3</v>
      </c>
      <c r="AC422" s="5" t="inlineStr"/>
      <c r="AD422" s="5">
        <f>IF(AC422="","",IF(OR(AC422=F422,AND(AC422="crane_footing",F422="isolated_footing")),"yes","no"))</f>
        <v/>
      </c>
    </row>
    <row r="423">
      <c r="A423" s="5" t="n">
        <v>422</v>
      </c>
      <c r="B423" s="5" t="inlineStr">
        <is>
          <t>123</t>
        </is>
      </c>
      <c r="C423" s="5" t="inlineStr">
        <is>
          <t>nearest labels in its region</t>
        </is>
      </c>
      <c r="D423" s="5" t="inlineStr">
        <is>
          <t>solid</t>
        </is>
      </c>
      <c r="E423" s="5" t="n">
        <v>38</v>
      </c>
      <c r="F423" s="5" t="inlineStr">
        <is>
          <t>unnamed</t>
        </is>
      </c>
      <c r="G423" s="5" t="inlineStr">
        <is>
          <t>no label votes</t>
        </is>
      </c>
      <c r="H423" s="5" t="inlineStr">
        <is>
          <t>(none)</t>
        </is>
      </c>
      <c r="I423" s="5" t="inlineStr"/>
      <c r="J423" s="5" t="inlineStr"/>
      <c r="K423" s="5" t="n">
        <v>200</v>
      </c>
      <c r="L423" s="5" t="n">
        <v>20</v>
      </c>
      <c r="M423" s="10">
        <f>IF(AND(ISNUMBER(K423),L423&gt;0),K423/L423,"")</f>
        <v/>
      </c>
      <c r="N423" s="5" t="n">
        <v>0.402</v>
      </c>
      <c r="O423" s="5" t="n">
        <v>179.8</v>
      </c>
      <c r="P423" s="5" t="n">
        <v>3</v>
      </c>
      <c r="Q423" s="5" t="n">
        <v>1</v>
      </c>
      <c r="R423" s="5" t="n">
        <v>0</v>
      </c>
      <c r="S423" s="5" t="n">
        <v>0</v>
      </c>
      <c r="T423" s="5" t="n">
        <v>0</v>
      </c>
      <c r="U423" s="5" t="n">
        <v>0</v>
      </c>
      <c r="V423" s="5" t="n">
        <v>0</v>
      </c>
      <c r="W423" s="5" t="n"/>
      <c r="X423" s="5" t="inlineStr"/>
      <c r="Y423" s="5" t="n">
        <v>4956.4</v>
      </c>
      <c r="Z423" s="5" t="n">
        <v>3211.1</v>
      </c>
      <c r="AA423" s="5" t="n">
        <v>5015.5</v>
      </c>
      <c r="AB423" s="5" t="n">
        <v>3217.1</v>
      </c>
      <c r="AC423" s="5" t="inlineStr"/>
      <c r="AD423" s="5">
        <f>IF(AC423="","",IF(OR(AC423=F423,AND(AC423="crane_footing",F423="isolated_footing")),"yes","no"))</f>
        <v/>
      </c>
    </row>
    <row r="424">
      <c r="A424" s="5" t="n">
        <v>423</v>
      </c>
      <c r="B424" s="5" t="inlineStr">
        <is>
          <t>123</t>
        </is>
      </c>
      <c r="C424" s="5" t="inlineStr">
        <is>
          <t>nearest labels in its region</t>
        </is>
      </c>
      <c r="D424" s="5" t="inlineStr">
        <is>
          <t>solid</t>
        </is>
      </c>
      <c r="E424" s="5" t="n">
        <v>38</v>
      </c>
      <c r="F424" s="5" t="inlineStr">
        <is>
          <t>unnamed</t>
        </is>
      </c>
      <c r="G424" s="5" t="inlineStr">
        <is>
          <t>no label votes</t>
        </is>
      </c>
      <c r="H424" s="5" t="inlineStr">
        <is>
          <t>(none)</t>
        </is>
      </c>
      <c r="I424" s="5" t="inlineStr"/>
      <c r="J424" s="5" t="inlineStr"/>
      <c r="K424" s="5" t="n">
        <v>150</v>
      </c>
      <c r="L424" s="5" t="n">
        <v>20</v>
      </c>
      <c r="M424" s="10">
        <f>IF(AND(ISNUMBER(K424),L424&gt;0),K424/L424,"")</f>
        <v/>
      </c>
      <c r="N424" s="5" t="n">
        <v>0.3</v>
      </c>
      <c r="O424" s="5" t="n">
        <v>89.90000000000001</v>
      </c>
      <c r="P424" s="5" t="n">
        <v>2</v>
      </c>
      <c r="Q424" s="5" t="n">
        <v>1</v>
      </c>
      <c r="R424" s="5" t="n">
        <v>0</v>
      </c>
      <c r="S424" s="5" t="n">
        <v>0</v>
      </c>
      <c r="T424" s="5" t="n">
        <v>0</v>
      </c>
      <c r="U424" s="5" t="n">
        <v>0</v>
      </c>
      <c r="V424" s="5" t="n">
        <v>0</v>
      </c>
      <c r="W424" s="5" t="n"/>
      <c r="X424" s="5" t="inlineStr"/>
      <c r="Y424" s="5" t="n">
        <v>5015.5</v>
      </c>
      <c r="Z424" s="5" t="n">
        <v>3217</v>
      </c>
      <c r="AA424" s="5" t="n">
        <v>5021.5</v>
      </c>
      <c r="AB424" s="5" t="n">
        <v>3261.3</v>
      </c>
      <c r="AC424" s="5" t="inlineStr"/>
      <c r="AD424" s="5">
        <f>IF(AC424="","",IF(OR(AC424=F424,AND(AC424="crane_footing",F424="isolated_footing")),"yes","no"))</f>
        <v/>
      </c>
    </row>
    <row r="425">
      <c r="A425" s="5" t="n">
        <v>424</v>
      </c>
      <c r="B425" s="5" t="inlineStr">
        <is>
          <t>123</t>
        </is>
      </c>
      <c r="C425" s="5" t="inlineStr">
        <is>
          <t>nearest labels in its region</t>
        </is>
      </c>
      <c r="D425" s="5" t="inlineStr">
        <is>
          <t>solid</t>
        </is>
      </c>
      <c r="E425" s="5" t="n">
        <v>38</v>
      </c>
      <c r="F425" s="5" t="inlineStr">
        <is>
          <t>unnamed</t>
        </is>
      </c>
      <c r="G425" s="5" t="inlineStr">
        <is>
          <t>no label votes</t>
        </is>
      </c>
      <c r="H425" s="5" t="inlineStr">
        <is>
          <t>(none)</t>
        </is>
      </c>
      <c r="I425" s="5" t="inlineStr"/>
      <c r="J425" s="5" t="inlineStr"/>
      <c r="K425" s="5" t="n">
        <v>150</v>
      </c>
      <c r="L425" s="5" t="n">
        <v>20</v>
      </c>
      <c r="M425" s="10">
        <f>IF(AND(ISNUMBER(K425),L425&gt;0),K425/L425,"")</f>
        <v/>
      </c>
      <c r="N425" s="5" t="n">
        <v>0.3</v>
      </c>
      <c r="O425" s="5" t="n">
        <v>89.90000000000001</v>
      </c>
      <c r="P425" s="5" t="n">
        <v>2</v>
      </c>
      <c r="Q425" s="5" t="n">
        <v>1</v>
      </c>
      <c r="R425" s="5" t="n">
        <v>0</v>
      </c>
      <c r="S425" s="5" t="n">
        <v>0</v>
      </c>
      <c r="T425" s="5" t="n">
        <v>0</v>
      </c>
      <c r="U425" s="5" t="n">
        <v>0</v>
      </c>
      <c r="V425" s="5" t="n">
        <v>0</v>
      </c>
      <c r="W425" s="5" t="n"/>
      <c r="X425" s="5" t="inlineStr"/>
      <c r="Y425" s="5" t="n">
        <v>4950.5</v>
      </c>
      <c r="Z425" s="5" t="n">
        <v>3217.1</v>
      </c>
      <c r="AA425" s="5" t="n">
        <v>4956.5</v>
      </c>
      <c r="AB425" s="5" t="n">
        <v>3261.4</v>
      </c>
      <c r="AC425" s="5" t="inlineStr"/>
      <c r="AD425" s="5">
        <f>IF(AC425="","",IF(OR(AC425=F425,AND(AC425="crane_footing",F425="isolated_footing")),"yes","no"))</f>
        <v/>
      </c>
    </row>
    <row r="426">
      <c r="A426" s="5" t="n">
        <v>425</v>
      </c>
      <c r="B426" s="5" t="inlineStr">
        <is>
          <t>123</t>
        </is>
      </c>
      <c r="C426" s="5" t="inlineStr">
        <is>
          <t>nearest labels in its region</t>
        </is>
      </c>
      <c r="D426" s="5" t="inlineStr">
        <is>
          <t>cross_hatch</t>
        </is>
      </c>
      <c r="E426" s="5" t="n">
        <v>14</v>
      </c>
      <c r="F426" s="5" t="inlineStr">
        <is>
          <t>unnamed</t>
        </is>
      </c>
      <c r="G426" s="5" t="inlineStr">
        <is>
          <t>no label votes</t>
        </is>
      </c>
      <c r="H426" s="5" t="inlineStr">
        <is>
          <t>(none)</t>
        </is>
      </c>
      <c r="I426" s="5" t="inlineStr"/>
      <c r="J426" s="5" t="inlineStr"/>
      <c r="K426" s="5" t="n">
        <v>293</v>
      </c>
      <c r="L426" s="5" t="n">
        <v>20</v>
      </c>
      <c r="M426" s="10">
        <f>IF(AND(ISNUMBER(K426),L426&gt;0),K426/L426,"")</f>
        <v/>
      </c>
      <c r="N426" s="5" t="n">
        <v>0.592</v>
      </c>
      <c r="O426" s="5" t="n">
        <v>79.40000000000001</v>
      </c>
      <c r="P426" s="5" t="n">
        <v>1</v>
      </c>
      <c r="Q426" s="5" t="n">
        <v>0</v>
      </c>
      <c r="R426" s="5" t="n">
        <v>0</v>
      </c>
      <c r="S426" s="5" t="n">
        <v>1</v>
      </c>
      <c r="T426" s="5" t="n">
        <v>0</v>
      </c>
      <c r="U426" s="5" t="n">
        <v>3</v>
      </c>
      <c r="V426" s="5" t="n">
        <v>1</v>
      </c>
      <c r="W426" s="5" t="n"/>
      <c r="X426" s="5" t="inlineStr"/>
      <c r="Y426" s="5" t="n">
        <v>4612.3</v>
      </c>
      <c r="Z426" s="5" t="n">
        <v>3145.7</v>
      </c>
      <c r="AA426" s="5" t="n">
        <v>4639.7</v>
      </c>
      <c r="AB426" s="5" t="n">
        <v>3266.4</v>
      </c>
      <c r="AC426" s="5" t="inlineStr"/>
      <c r="AD426" s="5">
        <f>IF(AC426="","",IF(OR(AC426=F426,AND(AC426="crane_footing",F426="isolated_footing")),"yes","no"))</f>
        <v/>
      </c>
    </row>
    <row r="427">
      <c r="A427" s="5" t="n">
        <v>426</v>
      </c>
      <c r="B427" s="5" t="inlineStr">
        <is>
          <t>123</t>
        </is>
      </c>
      <c r="C427" s="5" t="inlineStr">
        <is>
          <t>nearest labels in its region</t>
        </is>
      </c>
      <c r="D427" s="5" t="inlineStr">
        <is>
          <t>cross_hatch</t>
        </is>
      </c>
      <c r="E427" s="5" t="n">
        <v>14</v>
      </c>
      <c r="F427" s="5" t="inlineStr">
        <is>
          <t>unnamed</t>
        </is>
      </c>
      <c r="G427" s="5" t="inlineStr">
        <is>
          <t>no label votes</t>
        </is>
      </c>
      <c r="H427" s="5" t="inlineStr">
        <is>
          <t>(none)</t>
        </is>
      </c>
      <c r="I427" s="5" t="inlineStr"/>
      <c r="J427" s="5" t="inlineStr"/>
      <c r="K427" s="5" t="n">
        <v>883</v>
      </c>
      <c r="L427" s="5" t="n">
        <v>20</v>
      </c>
      <c r="M427" s="10">
        <f>IF(AND(ISNUMBER(K427),L427&gt;0),K427/L427,"")</f>
        <v/>
      </c>
      <c r="N427" s="5" t="n">
        <v>1.782</v>
      </c>
      <c r="O427" s="5" t="n">
        <v>169.3</v>
      </c>
      <c r="P427" s="5" t="n">
        <v>2</v>
      </c>
      <c r="Q427" s="5" t="n">
        <v>0</v>
      </c>
      <c r="R427" s="5" t="n">
        <v>0</v>
      </c>
      <c r="S427" s="5" t="n">
        <v>1</v>
      </c>
      <c r="T427" s="5" t="n">
        <v>0</v>
      </c>
      <c r="U427" s="5" t="n">
        <v>8</v>
      </c>
      <c r="V427" s="5" t="n">
        <v>2</v>
      </c>
      <c r="W427" s="5" t="n"/>
      <c r="X427" s="5" t="inlineStr"/>
      <c r="Y427" s="5" t="n">
        <v>4655.5</v>
      </c>
      <c r="Z427" s="5" t="n">
        <v>3160</v>
      </c>
      <c r="AA427" s="5" t="n">
        <v>4765</v>
      </c>
      <c r="AB427" s="5" t="n">
        <v>3263.4</v>
      </c>
      <c r="AC427" s="5" t="inlineStr"/>
      <c r="AD427" s="5">
        <f>IF(AC427="","",IF(OR(AC427=F427,AND(AC427="crane_footing",F427="isolated_footing")),"yes","no"))</f>
        <v/>
      </c>
    </row>
    <row r="428">
      <c r="A428" s="5" t="n">
        <v>427</v>
      </c>
      <c r="B428" s="5" t="inlineStr">
        <is>
          <t>123</t>
        </is>
      </c>
      <c r="C428" s="5" t="inlineStr">
        <is>
          <t>nearest labels in its region</t>
        </is>
      </c>
      <c r="D428" s="5" t="inlineStr">
        <is>
          <t>cross_hatch</t>
        </is>
      </c>
      <c r="E428" s="5" t="n">
        <v>14</v>
      </c>
      <c r="F428" s="5" t="inlineStr">
        <is>
          <t>unnamed</t>
        </is>
      </c>
      <c r="G428" s="5" t="inlineStr">
        <is>
          <t>no label votes</t>
        </is>
      </c>
      <c r="H428" s="5" t="inlineStr">
        <is>
          <t>(none)</t>
        </is>
      </c>
      <c r="I428" s="5" t="inlineStr"/>
      <c r="J428" s="5" t="inlineStr"/>
      <c r="K428" s="5" t="n">
        <v>138</v>
      </c>
      <c r="L428" s="5" t="n">
        <v>25</v>
      </c>
      <c r="M428" s="10">
        <f>IF(AND(ISNUMBER(K428),L428&gt;0),K428/L428,"")</f>
        <v/>
      </c>
      <c r="N428" s="5" t="n">
        <v>0.347</v>
      </c>
      <c r="O428" s="5" t="n">
        <v>169.4</v>
      </c>
      <c r="P428" s="5" t="n">
        <v>1</v>
      </c>
      <c r="Q428" s="5" t="n">
        <v>0</v>
      </c>
      <c r="R428" s="5" t="n">
        <v>0</v>
      </c>
      <c r="S428" s="5" t="n">
        <v>1</v>
      </c>
      <c r="T428" s="5" t="n">
        <v>0</v>
      </c>
      <c r="U428" s="5" t="n">
        <v>3</v>
      </c>
      <c r="V428" s="5" t="n">
        <v>3</v>
      </c>
      <c r="W428" s="5" t="n"/>
      <c r="X428" s="5" t="inlineStr"/>
      <c r="Y428" s="5" t="n">
        <v>4758.6</v>
      </c>
      <c r="Z428" s="5" t="n">
        <v>3069</v>
      </c>
      <c r="AA428" s="5" t="n">
        <v>4798.9</v>
      </c>
      <c r="AB428" s="5" t="n">
        <v>3114.9</v>
      </c>
      <c r="AC428" s="5" t="inlineStr"/>
      <c r="AD428" s="5">
        <f>IF(AC428="","",IF(OR(AC428=F428,AND(AC428="crane_footing",F428="isolated_footing")),"yes","no"))</f>
        <v/>
      </c>
    </row>
    <row r="429">
      <c r="A429" s="5" t="n">
        <v>428</v>
      </c>
      <c r="B429" s="5" t="inlineStr">
        <is>
          <t>123</t>
        </is>
      </c>
      <c r="C429" s="5" t="inlineStr">
        <is>
          <t>nearest labels in its region</t>
        </is>
      </c>
      <c r="D429" s="5" t="inlineStr">
        <is>
          <t>outline</t>
        </is>
      </c>
      <c r="E429" s="5" t="n">
        <v>24</v>
      </c>
      <c r="F429" s="5" t="inlineStr">
        <is>
          <t>unnamed</t>
        </is>
      </c>
      <c r="G429" s="5" t="inlineStr">
        <is>
          <t>no label votes</t>
        </is>
      </c>
      <c r="H429" s="5" t="inlineStr">
        <is>
          <t>(none)</t>
        </is>
      </c>
      <c r="I429" s="5" t="inlineStr"/>
      <c r="J429" s="5" t="inlineStr"/>
      <c r="K429" s="5" t="n">
        <v>60</v>
      </c>
      <c r="L429" s="5" t="n">
        <v>60</v>
      </c>
      <c r="M429" s="10">
        <f>IF(AND(ISNUMBER(K429),L429&gt;0),K429/L429,"")</f>
        <v/>
      </c>
      <c r="N429" s="5" t="n">
        <v>0.36</v>
      </c>
      <c r="O429" s="5" t="n">
        <v>80.90000000000001</v>
      </c>
      <c r="P429" s="5" t="n">
        <v>0</v>
      </c>
      <c r="Q429" s="5" t="n">
        <v>0</v>
      </c>
      <c r="R429" s="5" t="n">
        <v>0</v>
      </c>
      <c r="S429" s="5" t="n">
        <v>0</v>
      </c>
      <c r="T429" s="5" t="n">
        <v>0</v>
      </c>
      <c r="U429" s="5" t="n">
        <v>51</v>
      </c>
      <c r="V429" s="5" t="n">
        <v>2</v>
      </c>
      <c r="W429" s="5" t="n"/>
      <c r="X429" s="5" t="inlineStr"/>
      <c r="Y429" s="5" t="n">
        <v>4871.7</v>
      </c>
      <c r="Z429" s="5" t="n">
        <v>3338.7</v>
      </c>
      <c r="AA429" s="5" t="n">
        <v>4892</v>
      </c>
      <c r="AB429" s="5" t="n">
        <v>3359</v>
      </c>
      <c r="AC429" s="5" t="inlineStr">
        <is>
          <t>mass_concrete_pad</t>
        </is>
      </c>
      <c r="AD429" s="5">
        <f>IF(AC429="","",IF(OR(AC429=F429,AND(AC429="crane_footing",F429="isolated_footing")),"yes","no"))</f>
        <v/>
      </c>
    </row>
    <row r="430">
      <c r="A430" s="5" t="n">
        <v>429</v>
      </c>
      <c r="B430" s="5" t="inlineStr">
        <is>
          <t>123</t>
        </is>
      </c>
      <c r="C430" s="5" t="inlineStr">
        <is>
          <t>nearest labels in its region</t>
        </is>
      </c>
      <c r="D430" s="5" t="inlineStr">
        <is>
          <t>band</t>
        </is>
      </c>
      <c r="E430" s="5" t="n">
        <v>1</v>
      </c>
      <c r="F430" s="5" t="inlineStr">
        <is>
          <t>unnamed</t>
        </is>
      </c>
      <c r="G430" s="5" t="inlineStr">
        <is>
          <t>no label votes</t>
        </is>
      </c>
      <c r="H430" s="5" t="inlineStr">
        <is>
          <t>(none)</t>
        </is>
      </c>
      <c r="I430" s="5" t="inlineStr"/>
      <c r="J430" s="5" t="inlineStr"/>
      <c r="K430" s="5" t="n">
        <v>428</v>
      </c>
      <c r="L430" s="5" t="n">
        <v>20</v>
      </c>
      <c r="M430" s="10">
        <f>IF(AND(ISNUMBER(K430),L430&gt;0),K430/L430,"")</f>
        <v/>
      </c>
      <c r="N430" s="5" t="n">
        <v>0.855</v>
      </c>
      <c r="O430" s="5" t="n">
        <v>79.40000000000001</v>
      </c>
      <c r="P430" s="5" t="n">
        <v>2</v>
      </c>
      <c r="Q430" s="5" t="n">
        <v>0</v>
      </c>
      <c r="R430" s="5" t="n">
        <v>0</v>
      </c>
      <c r="S430" s="5" t="n">
        <v>1</v>
      </c>
      <c r="T430" s="5" t="n">
        <v>0</v>
      </c>
      <c r="U430" s="5" t="n">
        <v>7</v>
      </c>
      <c r="V430" s="5" t="n">
        <v>0</v>
      </c>
      <c r="W430" s="5" t="n">
        <v>4.28</v>
      </c>
      <c r="X430" s="5" t="inlineStr"/>
      <c r="Y430" s="5" t="n">
        <v>4611.5</v>
      </c>
      <c r="Z430" s="5" t="n">
        <v>3143.5</v>
      </c>
      <c r="AA430" s="5" t="n">
        <v>4640.5</v>
      </c>
      <c r="AB430" s="5" t="n">
        <v>3268.8</v>
      </c>
      <c r="AC430" s="5" t="inlineStr"/>
      <c r="AD430" s="5">
        <f>IF(AC430="","",IF(OR(AC430=F430,AND(AC430="crane_footing",F430="isolated_footing")),"yes","no"))</f>
        <v/>
      </c>
    </row>
    <row r="431">
      <c r="A431" s="5" t="n">
        <v>430</v>
      </c>
      <c r="B431" s="5" t="inlineStr">
        <is>
          <t>123</t>
        </is>
      </c>
      <c r="C431" s="5" t="inlineStr">
        <is>
          <t>nearest labels in its region</t>
        </is>
      </c>
      <c r="D431" s="5" t="inlineStr">
        <is>
          <t>band</t>
        </is>
      </c>
      <c r="E431" s="5" t="n">
        <v>1</v>
      </c>
      <c r="F431" s="5" t="inlineStr">
        <is>
          <t>unnamed</t>
        </is>
      </c>
      <c r="G431" s="5" t="inlineStr">
        <is>
          <t>no label votes</t>
        </is>
      </c>
      <c r="H431" s="5" t="inlineStr">
        <is>
          <t>(none)</t>
        </is>
      </c>
      <c r="I431" s="5" t="inlineStr"/>
      <c r="J431" s="5" t="inlineStr"/>
      <c r="K431" s="5" t="n">
        <v>340</v>
      </c>
      <c r="L431" s="5" t="n">
        <v>20</v>
      </c>
      <c r="M431" s="10">
        <f>IF(AND(ISNUMBER(K431),L431&gt;0),K431/L431,"")</f>
        <v/>
      </c>
      <c r="N431" s="5" t="n">
        <v>0.68</v>
      </c>
      <c r="O431" s="5" t="n">
        <v>169.3</v>
      </c>
      <c r="P431" s="5" t="n">
        <v>1</v>
      </c>
      <c r="Q431" s="5" t="n">
        <v>0</v>
      </c>
      <c r="R431" s="5" t="n">
        <v>0</v>
      </c>
      <c r="S431" s="5" t="n">
        <v>1</v>
      </c>
      <c r="T431" s="5" t="n">
        <v>0</v>
      </c>
      <c r="U431" s="5" t="n">
        <v>3</v>
      </c>
      <c r="V431" s="5" t="n">
        <v>1</v>
      </c>
      <c r="W431" s="5" t="n">
        <v>3.4</v>
      </c>
      <c r="X431" s="5" t="inlineStr"/>
      <c r="Y431" s="5" t="n">
        <v>4664.6</v>
      </c>
      <c r="Z431" s="5" t="n">
        <v>3161.2</v>
      </c>
      <c r="AA431" s="5" t="n">
        <v>4764.3</v>
      </c>
      <c r="AB431" s="5" t="n">
        <v>3185.6</v>
      </c>
      <c r="AC431" s="5" t="inlineStr"/>
      <c r="AD431" s="5">
        <f>IF(AC431="","",IF(OR(AC431=F431,AND(AC431="crane_footing",F431="isolated_footing")),"yes","no"))</f>
        <v/>
      </c>
    </row>
    <row r="432">
      <c r="A432" s="5" t="n">
        <v>431</v>
      </c>
      <c r="B432" s="5" t="inlineStr">
        <is>
          <t>123</t>
        </is>
      </c>
      <c r="C432" s="5" t="inlineStr">
        <is>
          <t>nearest labels in its region</t>
        </is>
      </c>
      <c r="D432" s="5" t="inlineStr">
        <is>
          <t>band</t>
        </is>
      </c>
      <c r="E432" s="5" t="n">
        <v>1</v>
      </c>
      <c r="F432" s="5" t="inlineStr">
        <is>
          <t>unnamed</t>
        </is>
      </c>
      <c r="G432" s="5" t="inlineStr">
        <is>
          <t>no label votes</t>
        </is>
      </c>
      <c r="H432" s="5" t="inlineStr">
        <is>
          <t>(none)</t>
        </is>
      </c>
      <c r="I432" s="5" t="inlineStr"/>
      <c r="J432" s="5" t="inlineStr"/>
      <c r="K432" s="5" t="n">
        <v>257</v>
      </c>
      <c r="L432" s="5" t="n">
        <v>20</v>
      </c>
      <c r="M432" s="10">
        <f>IF(AND(ISNUMBER(K432),L432&gt;0),K432/L432,"")</f>
        <v/>
      </c>
      <c r="N432" s="5" t="n">
        <v>0.515</v>
      </c>
      <c r="O432" s="5" t="n">
        <v>79.40000000000001</v>
      </c>
      <c r="P432" s="5" t="n">
        <v>1</v>
      </c>
      <c r="Q432" s="5" t="n">
        <v>0</v>
      </c>
      <c r="R432" s="5" t="n">
        <v>0</v>
      </c>
      <c r="S432" s="5" t="n">
        <v>1</v>
      </c>
      <c r="T432" s="5" t="n">
        <v>0</v>
      </c>
      <c r="U432" s="5" t="n">
        <v>3</v>
      </c>
      <c r="V432" s="5" t="n">
        <v>1</v>
      </c>
      <c r="W432" s="5" t="n">
        <v>2.57</v>
      </c>
      <c r="X432" s="5" t="inlineStr"/>
      <c r="Y432" s="5" t="n">
        <v>4658.4</v>
      </c>
      <c r="Z432" s="5" t="n">
        <v>3185.9</v>
      </c>
      <c r="AA432" s="5" t="n">
        <v>4678.1</v>
      </c>
      <c r="AB432" s="5" t="n">
        <v>3261.7</v>
      </c>
      <c r="AC432" s="5" t="inlineStr"/>
      <c r="AD432" s="5">
        <f>IF(AC432="","",IF(OR(AC432=F432,AND(AC432="crane_footing",F432="isolated_footing")),"yes","no"))</f>
        <v/>
      </c>
    </row>
    <row r="433">
      <c r="A433" s="5" t="n">
        <v>432</v>
      </c>
      <c r="B433" s="5" t="inlineStr">
        <is>
          <t>123</t>
        </is>
      </c>
      <c r="C433" s="5" t="inlineStr">
        <is>
          <t>nearest labels in its region</t>
        </is>
      </c>
      <c r="D433" s="5" t="inlineStr">
        <is>
          <t>band</t>
        </is>
      </c>
      <c r="E433" s="5" t="n">
        <v>1</v>
      </c>
      <c r="F433" s="5" t="inlineStr">
        <is>
          <t>unnamed</t>
        </is>
      </c>
      <c r="G433" s="5" t="inlineStr">
        <is>
          <t>no label votes</t>
        </is>
      </c>
      <c r="H433" s="5" t="inlineStr">
        <is>
          <t>(none)</t>
        </is>
      </c>
      <c r="I433" s="5" t="inlineStr"/>
      <c r="J433" s="5" t="inlineStr"/>
      <c r="K433" s="5" t="n">
        <v>142</v>
      </c>
      <c r="L433" s="5" t="n">
        <v>20</v>
      </c>
      <c r="M433" s="10">
        <f>IF(AND(ISNUMBER(K433),L433&gt;0),K433/L433,"")</f>
        <v/>
      </c>
      <c r="N433" s="5" t="n">
        <v>0.284</v>
      </c>
      <c r="O433" s="5" t="n">
        <v>79.40000000000001</v>
      </c>
      <c r="P433" s="5" t="n">
        <v>1</v>
      </c>
      <c r="Q433" s="5" t="n">
        <v>0</v>
      </c>
      <c r="R433" s="5" t="n">
        <v>0</v>
      </c>
      <c r="S433" s="5" t="n">
        <v>1</v>
      </c>
      <c r="T433" s="5" t="n">
        <v>0</v>
      </c>
      <c r="U433" s="5" t="n">
        <v>3</v>
      </c>
      <c r="V433" s="5" t="n">
        <v>2</v>
      </c>
      <c r="W433" s="5" t="n">
        <v>1.42</v>
      </c>
      <c r="X433" s="5" t="inlineStr"/>
      <c r="Y433" s="5" t="n">
        <v>4786.1</v>
      </c>
      <c r="Z433" s="5" t="n">
        <v>3066.6</v>
      </c>
      <c r="AA433" s="5" t="n">
        <v>4799.6</v>
      </c>
      <c r="AB433" s="5" t="n">
        <v>3108.9</v>
      </c>
      <c r="AC433" s="5" t="inlineStr"/>
      <c r="AD433" s="5">
        <f>IF(AC433="","",IF(OR(AC433=F433,AND(AC433="crane_footing",F433="isolated_footing")),"yes","no"))</f>
        <v/>
      </c>
    </row>
    <row r="434">
      <c r="A434" s="5" t="n">
        <v>433</v>
      </c>
      <c r="B434" s="5" t="inlineStr">
        <is>
          <t>123</t>
        </is>
      </c>
      <c r="C434" s="5" t="inlineStr">
        <is>
          <t>nearest labels in its region</t>
        </is>
      </c>
      <c r="D434" s="5" t="inlineStr">
        <is>
          <t>band</t>
        </is>
      </c>
      <c r="E434" s="5" t="n">
        <v>1</v>
      </c>
      <c r="F434" s="5" t="inlineStr">
        <is>
          <t>unnamed</t>
        </is>
      </c>
      <c r="G434" s="5" t="inlineStr">
        <is>
          <t>no label votes</t>
        </is>
      </c>
      <c r="H434" s="5" t="inlineStr">
        <is>
          <t>(none)</t>
        </is>
      </c>
      <c r="I434" s="5" t="inlineStr"/>
      <c r="J434" s="5" t="inlineStr"/>
      <c r="K434" s="5" t="n">
        <v>110</v>
      </c>
      <c r="L434" s="5" t="n">
        <v>20</v>
      </c>
      <c r="M434" s="10">
        <f>IF(AND(ISNUMBER(K434),L434&gt;0),K434/L434,"")</f>
        <v/>
      </c>
      <c r="N434" s="5" t="n">
        <v>0.22</v>
      </c>
      <c r="O434" s="5" t="n">
        <v>169.4</v>
      </c>
      <c r="P434" s="5" t="n">
        <v>1</v>
      </c>
      <c r="Q434" s="5" t="n">
        <v>0</v>
      </c>
      <c r="R434" s="5" t="n">
        <v>0</v>
      </c>
      <c r="S434" s="5" t="n">
        <v>1</v>
      </c>
      <c r="T434" s="5" t="n">
        <v>0</v>
      </c>
      <c r="U434" s="5" t="n">
        <v>3</v>
      </c>
      <c r="V434" s="5" t="n">
        <v>1</v>
      </c>
      <c r="W434" s="5" t="n">
        <v>1.1</v>
      </c>
      <c r="X434" s="5" t="inlineStr"/>
      <c r="Y434" s="5" t="n">
        <v>4760.9</v>
      </c>
      <c r="Z434" s="5" t="n">
        <v>3103.1</v>
      </c>
      <c r="AA434" s="5" t="n">
        <v>4793.8</v>
      </c>
      <c r="AB434" s="5" t="n">
        <v>3114.8</v>
      </c>
      <c r="AC434" s="5" t="inlineStr"/>
      <c r="AD434" s="5">
        <f>IF(AC434="","",IF(OR(AC434=F434,AND(AC434="crane_footing",F434="isolated_footing")),"yes","no"))</f>
        <v/>
      </c>
    </row>
    <row r="435">
      <c r="A435" s="5" t="n">
        <v>434</v>
      </c>
      <c r="B435" s="5" t="inlineStr">
        <is>
          <t>123</t>
        </is>
      </c>
      <c r="C435" s="5" t="inlineStr">
        <is>
          <t>nearest labels in its region</t>
        </is>
      </c>
      <c r="D435" s="5" t="inlineStr">
        <is>
          <t>band</t>
        </is>
      </c>
      <c r="E435" s="5" t="n">
        <v>5</v>
      </c>
      <c r="F435" s="5" t="inlineStr">
        <is>
          <t>unnamed</t>
        </is>
      </c>
      <c r="G435" s="5" t="inlineStr">
        <is>
          <t>no label votes</t>
        </is>
      </c>
      <c r="H435" s="5" t="inlineStr">
        <is>
          <t>(none)</t>
        </is>
      </c>
      <c r="I435" s="5" t="inlineStr"/>
      <c r="J435" s="5" t="inlineStr"/>
      <c r="K435" s="5" t="n">
        <v>7425</v>
      </c>
      <c r="L435" s="5" t="n">
        <v>49</v>
      </c>
      <c r="M435" s="10">
        <f>IF(AND(ISNUMBER(K435),L435&gt;0),K435/L435,"")</f>
        <v/>
      </c>
      <c r="N435" s="5" t="n">
        <v>36.384</v>
      </c>
      <c r="O435" s="5" t="n">
        <v>90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2</v>
      </c>
      <c r="W435" s="5" t="n">
        <v>74.25</v>
      </c>
      <c r="X435" s="5" t="inlineStr"/>
      <c r="Y435" s="5" t="n">
        <v>5187.5</v>
      </c>
      <c r="Z435" s="5" t="n">
        <v>2083.5</v>
      </c>
      <c r="AA435" s="5" t="n">
        <v>5202</v>
      </c>
      <c r="AB435" s="5" t="n">
        <v>4275.9</v>
      </c>
      <c r="AC435" s="5" t="inlineStr"/>
      <c r="AD435" s="5">
        <f>IF(AC435="","",IF(OR(AC435=F435,AND(AC435="crane_footing",F435="isolated_footing")),"yes","no"))</f>
        <v/>
      </c>
    </row>
    <row r="436">
      <c r="A436" s="5" t="n">
        <v>435</v>
      </c>
      <c r="B436" s="5" t="inlineStr">
        <is>
          <t>123</t>
        </is>
      </c>
      <c r="C436" s="5" t="inlineStr">
        <is>
          <t>nearest labels in its region</t>
        </is>
      </c>
      <c r="D436" s="5" t="inlineStr">
        <is>
          <t>band</t>
        </is>
      </c>
      <c r="E436" s="5" t="n">
        <v>9</v>
      </c>
      <c r="F436" s="5" t="inlineStr">
        <is>
          <t>unnamed</t>
        </is>
      </c>
      <c r="G436" s="5" t="inlineStr">
        <is>
          <t>no label votes</t>
        </is>
      </c>
      <c r="H436" s="5" t="inlineStr">
        <is>
          <t>(none)</t>
        </is>
      </c>
      <c r="I436" s="5" t="inlineStr"/>
      <c r="J436" s="5" t="inlineStr"/>
      <c r="K436" s="5" t="n">
        <v>5740</v>
      </c>
      <c r="L436" s="5" t="n">
        <v>99</v>
      </c>
      <c r="M436" s="10">
        <f>IF(AND(ISNUMBER(K436),L436&gt;0),K436/L436,"")</f>
        <v/>
      </c>
      <c r="N436" s="5" t="n">
        <v>56.829</v>
      </c>
      <c r="O436" s="5" t="n">
        <v>90</v>
      </c>
      <c r="P436" s="5" t="n">
        <v>0</v>
      </c>
      <c r="Q436" s="5" t="n">
        <v>0</v>
      </c>
      <c r="R436" s="5" t="n">
        <v>0</v>
      </c>
      <c r="S436" s="5" t="n">
        <v>0</v>
      </c>
      <c r="T436" s="5" t="n">
        <v>0</v>
      </c>
      <c r="U436" s="5" t="n">
        <v>0</v>
      </c>
      <c r="V436" s="5" t="n">
        <v>1</v>
      </c>
      <c r="W436" s="5" t="n">
        <v>57.4</v>
      </c>
      <c r="X436" s="5" t="inlineStr"/>
      <c r="Y436" s="5" t="n">
        <v>5202.1</v>
      </c>
      <c r="Z436" s="5" t="n">
        <v>2606.1</v>
      </c>
      <c r="AA436" s="5" t="n">
        <v>5231.3</v>
      </c>
      <c r="AB436" s="5" t="n">
        <v>4301</v>
      </c>
      <c r="AC436" s="5" t="inlineStr"/>
      <c r="AD436" s="5">
        <f>IF(AC436="","",IF(OR(AC436=F436,AND(AC436="crane_footing",F436="isolated_footing")),"yes","no"))</f>
        <v/>
      </c>
    </row>
    <row r="437">
      <c r="A437" s="5" t="n">
        <v>436</v>
      </c>
      <c r="B437" s="5" t="inlineStr">
        <is>
          <t>123</t>
        </is>
      </c>
      <c r="C437" s="5" t="inlineStr">
        <is>
          <t>nearest labels in its region</t>
        </is>
      </c>
      <c r="D437" s="5" t="inlineStr">
        <is>
          <t>band</t>
        </is>
      </c>
      <c r="E437" s="5" t="n">
        <v>12</v>
      </c>
      <c r="F437" s="5" t="inlineStr">
        <is>
          <t>unnamed</t>
        </is>
      </c>
      <c r="G437" s="5" t="inlineStr">
        <is>
          <t>no label votes</t>
        </is>
      </c>
      <c r="H437" s="5" t="inlineStr">
        <is>
          <t>(none)</t>
        </is>
      </c>
      <c r="I437" s="5" t="inlineStr"/>
      <c r="J437" s="5" t="inlineStr"/>
      <c r="K437" s="5" t="n">
        <v>466</v>
      </c>
      <c r="L437" s="5" t="n">
        <v>140</v>
      </c>
      <c r="M437" s="10">
        <f>IF(AND(ISNUMBER(K437),L437&gt;0),K437/L437,"")</f>
        <v/>
      </c>
      <c r="N437" s="5" t="n">
        <v>6.52</v>
      </c>
      <c r="O437" s="5" t="n">
        <v>0</v>
      </c>
      <c r="P437" s="5" t="n">
        <v>0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0</v>
      </c>
      <c r="V437" s="5" t="n">
        <v>0</v>
      </c>
      <c r="W437" s="5" t="n">
        <v>4.66</v>
      </c>
      <c r="X437" s="5" t="inlineStr"/>
      <c r="Y437" s="5" t="n">
        <v>5253.5</v>
      </c>
      <c r="Z437" s="5" t="n">
        <v>3676.6</v>
      </c>
      <c r="AA437" s="5" t="n">
        <v>5391</v>
      </c>
      <c r="AB437" s="5" t="n">
        <v>3718</v>
      </c>
      <c r="AC437" s="5" t="inlineStr"/>
      <c r="AD437" s="5">
        <f>IF(AC437="","",IF(OR(AC437=F437,AND(AC437="crane_footing",F437="isolated_footing")),"yes","no"))</f>
        <v/>
      </c>
    </row>
    <row r="438">
      <c r="A438" s="5" t="n">
        <v>437</v>
      </c>
      <c r="B438" s="5" t="inlineStr">
        <is>
          <t>123</t>
        </is>
      </c>
      <c r="C438" s="5" t="inlineStr">
        <is>
          <t>nearest labels in its region</t>
        </is>
      </c>
      <c r="D438" s="5" t="inlineStr">
        <is>
          <t>solid</t>
        </is>
      </c>
      <c r="E438" s="5" t="n">
        <v>34</v>
      </c>
      <c r="F438" s="5" t="inlineStr">
        <is>
          <t>unnamed</t>
        </is>
      </c>
      <c r="G438" s="5" t="inlineStr">
        <is>
          <t>no label votes</t>
        </is>
      </c>
      <c r="H438" s="5" t="inlineStr">
        <is>
          <t>Radier 25</t>
        </is>
      </c>
      <c r="I438" s="5" t="inlineStr">
        <is>
          <t>printed label</t>
        </is>
      </c>
      <c r="J438" s="5" t="inlineStr">
        <is>
          <t>RADIER</t>
        </is>
      </c>
      <c r="K438" s="5" t="n">
        <v>180</v>
      </c>
      <c r="L438" s="5" t="n">
        <v>20</v>
      </c>
      <c r="M438" s="10">
        <f>IF(AND(ISNUMBER(K438),L438&gt;0),K438/L438,"")</f>
        <v/>
      </c>
      <c r="N438" s="5" t="n">
        <v>0.36</v>
      </c>
      <c r="O438" s="5" t="n">
        <v>179.9</v>
      </c>
      <c r="P438" s="5" t="n">
        <v>1</v>
      </c>
      <c r="Q438" s="5" t="n">
        <v>1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/>
      <c r="X438" s="5" t="inlineStr"/>
      <c r="Y438" s="5" t="n">
        <v>4956.5</v>
      </c>
      <c r="Z438" s="5" t="n">
        <v>3261.3</v>
      </c>
      <c r="AA438" s="5" t="n">
        <v>5009.8</v>
      </c>
      <c r="AB438" s="5" t="n">
        <v>3267.3</v>
      </c>
      <c r="AC438" s="5" t="inlineStr"/>
      <c r="AD438" s="5">
        <f>IF(AC438="","",IF(OR(AC438=F438,AND(AC438="crane_footing",F438="isolated_footing")),"yes","no"))</f>
        <v/>
      </c>
    </row>
    <row r="439">
      <c r="A439" s="5" t="n">
        <v>438</v>
      </c>
      <c r="B439" s="5" t="inlineStr">
        <is>
          <t>123</t>
        </is>
      </c>
      <c r="C439" s="5" t="inlineStr">
        <is>
          <t>own label</t>
        </is>
      </c>
      <c r="D439" s="5" t="inlineStr">
        <is>
          <t>band</t>
        </is>
      </c>
      <c r="E439" s="5" t="n">
        <v>8</v>
      </c>
      <c r="F439" s="5" t="inlineStr">
        <is>
          <t>unnamed</t>
        </is>
      </c>
      <c r="G439" s="5" t="inlineStr">
        <is>
          <t>no label votes</t>
        </is>
      </c>
      <c r="H439" s="5" t="inlineStr">
        <is>
          <t>V4/123</t>
        </is>
      </c>
      <c r="I439" s="5" t="inlineStr">
        <is>
          <t>printed label</t>
        </is>
      </c>
      <c r="J439" s="5" t="inlineStr">
        <is>
          <t>V4/123/123</t>
        </is>
      </c>
      <c r="K439" s="5" t="n">
        <v>149</v>
      </c>
      <c r="L439" s="5" t="n">
        <v>94</v>
      </c>
      <c r="M439" s="10">
        <f>IF(AND(ISNUMBER(K439),L439&gt;0),K439/L439,"")</f>
        <v/>
      </c>
      <c r="N439" s="5" t="n">
        <v>1.405</v>
      </c>
      <c r="O439" s="5" t="n">
        <v>79.40000000000001</v>
      </c>
      <c r="P439" s="5" t="n">
        <v>1</v>
      </c>
      <c r="Q439" s="5" t="n">
        <v>1</v>
      </c>
      <c r="R439" s="5" t="n">
        <v>0</v>
      </c>
      <c r="S439" s="5" t="n">
        <v>0</v>
      </c>
      <c r="T439" s="5" t="n">
        <v>1</v>
      </c>
      <c r="U439" s="5" t="n">
        <v>2</v>
      </c>
      <c r="V439" s="5" t="n">
        <v>2</v>
      </c>
      <c r="W439" s="5" t="n">
        <v>0</v>
      </c>
      <c r="X439" s="5" t="inlineStr"/>
      <c r="Y439" s="5" t="n">
        <v>4468.8</v>
      </c>
      <c r="Z439" s="5" t="n">
        <v>3307.8</v>
      </c>
      <c r="AA439" s="5" t="n">
        <v>4504.2</v>
      </c>
      <c r="AB439" s="5" t="n">
        <v>3356.2</v>
      </c>
      <c r="AC439" s="5" t="inlineStr"/>
      <c r="AD439" s="5">
        <f>IF(AC439="","",IF(OR(AC439=F439,AND(AC439="crane_footing",F439="isolated_footing")),"yes","no"))</f>
        <v/>
      </c>
    </row>
    <row r="440">
      <c r="A440" s="5" t="n">
        <v>439</v>
      </c>
      <c r="B440" s="5" t="inlineStr">
        <is>
          <t>124</t>
        </is>
      </c>
      <c r="C440" s="5" t="inlineStr">
        <is>
          <t>own label</t>
        </is>
      </c>
      <c r="D440" s="5" t="inlineStr">
        <is>
          <t>solid</t>
        </is>
      </c>
      <c r="E440" s="5" t="n">
        <v>29</v>
      </c>
      <c r="F440" s="5" t="inlineStr">
        <is>
          <t>column</t>
        </is>
      </c>
      <c r="G440" s="5" t="inlineStr">
        <is>
          <t>label vote</t>
        </is>
      </c>
      <c r="H440" s="5" t="inlineStr">
        <is>
          <t>P1/124</t>
        </is>
      </c>
      <c r="I440" s="5" t="inlineStr">
        <is>
          <t>printed label</t>
        </is>
      </c>
      <c r="J440" s="5" t="inlineStr">
        <is>
          <t>P1/124/124</t>
        </is>
      </c>
      <c r="K440" s="5" t="n">
        <v>100</v>
      </c>
      <c r="L440" s="5" t="n">
        <v>30</v>
      </c>
      <c r="M440" s="10">
        <f>IF(AND(ISNUMBER(K440),L440&gt;0),K440/L440,"")</f>
        <v/>
      </c>
      <c r="N440" s="5" t="n">
        <v>0.301</v>
      </c>
      <c r="O440" s="5" t="n">
        <v>79.3</v>
      </c>
      <c r="P440" s="5" t="n">
        <v>0</v>
      </c>
      <c r="Q440" s="5" t="n">
        <v>1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2</v>
      </c>
      <c r="W440" s="5" t="n"/>
      <c r="X440" s="5" t="inlineStr"/>
      <c r="Y440" s="5" t="n">
        <v>4070.1</v>
      </c>
      <c r="Z440" s="5" t="n">
        <v>3198.9</v>
      </c>
      <c r="AA440" s="5" t="n">
        <v>4084.3</v>
      </c>
      <c r="AB440" s="5" t="n">
        <v>3229.6</v>
      </c>
      <c r="AC440" s="5" t="inlineStr">
        <is>
          <t>column</t>
        </is>
      </c>
      <c r="AD440" s="5">
        <f>IF(AC440="","",IF(OR(AC440=F440,AND(AC440="crane_footing",F440="isolated_footing")),"yes","no"))</f>
        <v/>
      </c>
    </row>
    <row r="441">
      <c r="A441" s="5" t="n">
        <v>440</v>
      </c>
      <c r="B441" s="5" t="inlineStr">
        <is>
          <t>124</t>
        </is>
      </c>
      <c r="C441" s="5" t="inlineStr">
        <is>
          <t>own label</t>
        </is>
      </c>
      <c r="D441" s="5" t="inlineStr">
        <is>
          <t>solid</t>
        </is>
      </c>
      <c r="E441" s="5" t="n">
        <v>29</v>
      </c>
      <c r="F441" s="5" t="inlineStr">
        <is>
          <t>column</t>
        </is>
      </c>
      <c r="G441" s="5" t="inlineStr">
        <is>
          <t>label vote</t>
        </is>
      </c>
      <c r="H441" s="5" t="inlineStr">
        <is>
          <t>P1/124</t>
        </is>
      </c>
      <c r="I441" s="5" t="inlineStr">
        <is>
          <t>printed label</t>
        </is>
      </c>
      <c r="J441" s="5" t="inlineStr">
        <is>
          <t>P1/124/124</t>
        </is>
      </c>
      <c r="K441" s="5" t="n">
        <v>100</v>
      </c>
      <c r="L441" s="5" t="n">
        <v>30</v>
      </c>
      <c r="M441" s="10">
        <f>IF(AND(ISNUMBER(K441),L441&gt;0),K441/L441,"")</f>
        <v/>
      </c>
      <c r="N441" s="5" t="n">
        <v>0.3</v>
      </c>
      <c r="O441" s="5" t="n">
        <v>79.40000000000001</v>
      </c>
      <c r="P441" s="5" t="n">
        <v>0</v>
      </c>
      <c r="Q441" s="5" t="n">
        <v>0</v>
      </c>
      <c r="R441" s="5" t="n">
        <v>0</v>
      </c>
      <c r="S441" s="5" t="n">
        <v>1</v>
      </c>
      <c r="T441" s="5" t="n">
        <v>0</v>
      </c>
      <c r="U441" s="5" t="n">
        <v>0</v>
      </c>
      <c r="V441" s="5" t="n">
        <v>6</v>
      </c>
      <c r="W441" s="5" t="n"/>
      <c r="X441" s="5" t="inlineStr"/>
      <c r="Y441" s="5" t="n">
        <v>4003</v>
      </c>
      <c r="Z441" s="5" t="n">
        <v>3320.2</v>
      </c>
      <c r="AA441" s="5" t="n">
        <v>4017.1</v>
      </c>
      <c r="AB441" s="5" t="n">
        <v>3350.9</v>
      </c>
      <c r="AC441" s="5" t="inlineStr">
        <is>
          <t>column</t>
        </is>
      </c>
      <c r="AD441" s="5">
        <f>IF(AC441="","",IF(OR(AC441=F441,AND(AC441="crane_footing",F441="isolated_footing")),"yes","no"))</f>
        <v/>
      </c>
    </row>
    <row r="442">
      <c r="A442" s="5" t="n">
        <v>441</v>
      </c>
      <c r="B442" s="5" t="inlineStr">
        <is>
          <t>124</t>
        </is>
      </c>
      <c r="C442" s="5" t="inlineStr">
        <is>
          <t>nearest labels in its region</t>
        </is>
      </c>
      <c r="D442" s="5" t="inlineStr">
        <is>
          <t>solid</t>
        </is>
      </c>
      <c r="E442" s="5" t="n">
        <v>29</v>
      </c>
      <c r="F442" s="5" t="inlineStr">
        <is>
          <t>column</t>
        </is>
      </c>
      <c r="G442" s="5" t="inlineStr">
        <is>
          <t>label vote</t>
        </is>
      </c>
      <c r="H442" s="5" t="inlineStr">
        <is>
          <t>P1/124</t>
        </is>
      </c>
      <c r="I442" s="5" t="inlineStr">
        <is>
          <t>inferred: the only column type in its building with this size</t>
        </is>
      </c>
      <c r="J442" s="5" t="inlineStr"/>
      <c r="K442" s="5" t="n">
        <v>100</v>
      </c>
      <c r="L442" s="5" t="n">
        <v>30</v>
      </c>
      <c r="M442" s="10">
        <f>IF(AND(ISNUMBER(K442),L442&gt;0),K442/L442,"")</f>
        <v/>
      </c>
      <c r="N442" s="5" t="n">
        <v>0.3</v>
      </c>
      <c r="O442" s="5" t="n">
        <v>79.40000000000001</v>
      </c>
      <c r="P442" s="5" t="n">
        <v>0</v>
      </c>
      <c r="Q442" s="5" t="n">
        <v>0</v>
      </c>
      <c r="R442" s="5" t="n">
        <v>0</v>
      </c>
      <c r="S442" s="5" t="n">
        <v>1</v>
      </c>
      <c r="T442" s="5" t="n">
        <v>0</v>
      </c>
      <c r="U442" s="5" t="n">
        <v>0</v>
      </c>
      <c r="V442" s="5" t="n">
        <v>5</v>
      </c>
      <c r="W442" s="5" t="n"/>
      <c r="X442" s="5" t="inlineStr"/>
      <c r="Y442" s="5" t="n">
        <v>4089.9</v>
      </c>
      <c r="Z442" s="5" t="n">
        <v>3303.8</v>
      </c>
      <c r="AA442" s="5" t="n">
        <v>4104.1</v>
      </c>
      <c r="AB442" s="5" t="n">
        <v>3334.4</v>
      </c>
      <c r="AC442" s="5" t="inlineStr">
        <is>
          <t>column</t>
        </is>
      </c>
      <c r="AD442" s="5">
        <f>IF(AC442="","",IF(OR(AC442=F442,AND(AC442="crane_footing",F442="isolated_footing")),"yes","no"))</f>
        <v/>
      </c>
    </row>
    <row r="443">
      <c r="A443" s="5" t="n">
        <v>442</v>
      </c>
      <c r="B443" s="5" t="inlineStr">
        <is>
          <t>124</t>
        </is>
      </c>
      <c r="C443" s="5" t="inlineStr">
        <is>
          <t>nearest labels in its region</t>
        </is>
      </c>
      <c r="D443" s="5" t="inlineStr">
        <is>
          <t>solid</t>
        </is>
      </c>
      <c r="E443" s="5" t="n">
        <v>29</v>
      </c>
      <c r="F443" s="5" t="inlineStr">
        <is>
          <t>column</t>
        </is>
      </c>
      <c r="G443" s="5" t="inlineStr">
        <is>
          <t>label vote</t>
        </is>
      </c>
      <c r="H443" s="5" t="inlineStr">
        <is>
          <t>P1/124</t>
        </is>
      </c>
      <c r="I443" s="5" t="inlineStr">
        <is>
          <t>inferred: the only column type in its building with this size</t>
        </is>
      </c>
      <c r="J443" s="5" t="inlineStr"/>
      <c r="K443" s="5" t="n">
        <v>100</v>
      </c>
      <c r="L443" s="5" t="n">
        <v>30</v>
      </c>
      <c r="M443" s="10">
        <f>IF(AND(ISNUMBER(K443),L443&gt;0),K443/L443,"")</f>
        <v/>
      </c>
      <c r="N443" s="5" t="n">
        <v>0.299</v>
      </c>
      <c r="O443" s="5" t="n">
        <v>79.40000000000001</v>
      </c>
      <c r="P443" s="5" t="n">
        <v>0</v>
      </c>
      <c r="Q443" s="5" t="n">
        <v>1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2</v>
      </c>
      <c r="W443" s="5" t="n"/>
      <c r="X443" s="5" t="inlineStr"/>
      <c r="Y443" s="5" t="n">
        <v>3983.3</v>
      </c>
      <c r="Z443" s="5" t="n">
        <v>3215.8</v>
      </c>
      <c r="AA443" s="5" t="n">
        <v>3997.4</v>
      </c>
      <c r="AB443" s="5" t="n">
        <v>3246.4</v>
      </c>
      <c r="AC443" s="5" t="inlineStr">
        <is>
          <t>column</t>
        </is>
      </c>
      <c r="AD443" s="5">
        <f>IF(AC443="","",IF(OR(AC443=F443,AND(AC443="crane_footing",F443="isolated_footing")),"yes","no"))</f>
        <v/>
      </c>
    </row>
    <row r="444">
      <c r="A444" s="5" t="n">
        <v>443</v>
      </c>
      <c r="B444" s="5" t="inlineStr">
        <is>
          <t>124</t>
        </is>
      </c>
      <c r="C444" s="5" t="inlineStr">
        <is>
          <t>nearest labels in its region</t>
        </is>
      </c>
      <c r="D444" s="5" t="inlineStr">
        <is>
          <t>solid</t>
        </is>
      </c>
      <c r="E444" s="5" t="n">
        <v>30</v>
      </c>
      <c r="F444" s="5" t="inlineStr">
        <is>
          <t>shear_wall</t>
        </is>
      </c>
      <c r="G444" s="5" t="inlineStr">
        <is>
          <t>label vote</t>
        </is>
      </c>
      <c r="H444" s="5" t="inlineStr">
        <is>
          <t>(none)</t>
        </is>
      </c>
      <c r="I444" s="5" t="inlineStr">
        <is>
          <t>no shear_wall type in its building has this size</t>
        </is>
      </c>
      <c r="J444" s="5" t="inlineStr"/>
      <c r="K444" s="5" t="n">
        <v>342</v>
      </c>
      <c r="L444" s="5" t="n">
        <v>25</v>
      </c>
      <c r="M444" s="10">
        <f>IF(AND(ISNUMBER(K444),L444&gt;0),K444/L444,"")</f>
        <v/>
      </c>
      <c r="N444" s="5" t="n">
        <v>0.856</v>
      </c>
      <c r="O444" s="5" t="n">
        <v>79.40000000000001</v>
      </c>
      <c r="P444" s="5" t="n">
        <v>2</v>
      </c>
      <c r="Q444" s="5" t="n">
        <v>0</v>
      </c>
      <c r="R444" s="5" t="n">
        <v>0</v>
      </c>
      <c r="S444" s="5" t="n">
        <v>1</v>
      </c>
      <c r="T444" s="5" t="n">
        <v>0</v>
      </c>
      <c r="U444" s="5" t="n">
        <v>2</v>
      </c>
      <c r="V444" s="5" t="n">
        <v>2</v>
      </c>
      <c r="W444" s="5" t="n"/>
      <c r="X444" s="5" t="inlineStr"/>
      <c r="Y444" s="5" t="n">
        <v>4043.6</v>
      </c>
      <c r="Z444" s="5" t="n">
        <v>3528</v>
      </c>
      <c r="AA444" s="5" t="n">
        <v>4069.4</v>
      </c>
      <c r="AB444" s="5" t="n">
        <v>3628.4</v>
      </c>
      <c r="AC444" s="5" t="inlineStr"/>
      <c r="AD444" s="5">
        <f>IF(AC444="","",IF(OR(AC444=F444,AND(AC444="crane_footing",F444="isolated_footing")),"yes","no"))</f>
        <v/>
      </c>
    </row>
    <row r="445">
      <c r="A445" s="5" t="n">
        <v>444</v>
      </c>
      <c r="B445" s="5" t="inlineStr">
        <is>
          <t>124</t>
        </is>
      </c>
      <c r="C445" s="5" t="inlineStr">
        <is>
          <t>nearest labels in its region</t>
        </is>
      </c>
      <c r="D445" s="5" t="inlineStr">
        <is>
          <t>solid</t>
        </is>
      </c>
      <c r="E445" s="5" t="n">
        <v>32</v>
      </c>
      <c r="F445" s="5" t="inlineStr">
        <is>
          <t>shear_wall</t>
        </is>
      </c>
      <c r="G445" s="5" t="inlineStr">
        <is>
          <t>label vote</t>
        </is>
      </c>
      <c r="H445" s="5" t="inlineStr">
        <is>
          <t>(none)</t>
        </is>
      </c>
      <c r="I445" s="5" t="inlineStr">
        <is>
          <t>no shear_wall type in its building has this size</t>
        </is>
      </c>
      <c r="J445" s="5" t="inlineStr"/>
      <c r="K445" s="5" t="n">
        <v>317</v>
      </c>
      <c r="L445" s="5" t="n">
        <v>25</v>
      </c>
      <c r="M445" s="10">
        <f>IF(AND(ISNUMBER(K445),L445&gt;0),K445/L445,"")</f>
        <v/>
      </c>
      <c r="N445" s="5" t="n">
        <v>0.793</v>
      </c>
      <c r="O445" s="5" t="n">
        <v>79.3</v>
      </c>
      <c r="P445" s="5" t="n">
        <v>1</v>
      </c>
      <c r="Q445" s="5" t="n">
        <v>0</v>
      </c>
      <c r="R445" s="5" t="n">
        <v>0</v>
      </c>
      <c r="S445" s="5" t="n">
        <v>1</v>
      </c>
      <c r="T445" s="5" t="n">
        <v>0</v>
      </c>
      <c r="U445" s="5" t="n">
        <v>3</v>
      </c>
      <c r="V445" s="5" t="n">
        <v>0</v>
      </c>
      <c r="W445" s="5" t="n"/>
      <c r="X445" s="5" t="inlineStr"/>
      <c r="Y445" s="5" t="n">
        <v>4104.3</v>
      </c>
      <c r="Z445" s="5" t="n">
        <v>3380.7</v>
      </c>
      <c r="AA445" s="5" t="n">
        <v>4128.9</v>
      </c>
      <c r="AB445" s="5" t="n">
        <v>3474.2</v>
      </c>
      <c r="AC445" s="5" t="inlineStr"/>
      <c r="AD445" s="5">
        <f>IF(AC445="","",IF(OR(AC445=F445,AND(AC445="crane_footing",F445="isolated_footing")),"yes","no"))</f>
        <v/>
      </c>
    </row>
    <row r="446">
      <c r="A446" s="5" t="n">
        <v>445</v>
      </c>
      <c r="B446" s="5" t="inlineStr">
        <is>
          <t>124</t>
        </is>
      </c>
      <c r="C446" s="5" t="inlineStr">
        <is>
          <t>nearest labels in its region</t>
        </is>
      </c>
      <c r="D446" s="5" t="inlineStr">
        <is>
          <t>solid</t>
        </is>
      </c>
      <c r="E446" s="5" t="n">
        <v>36</v>
      </c>
      <c r="F446" s="5" t="inlineStr">
        <is>
          <t>shear_wall</t>
        </is>
      </c>
      <c r="G446" s="5" t="inlineStr">
        <is>
          <t>label vote</t>
        </is>
      </c>
      <c r="H446" s="5" t="inlineStr">
        <is>
          <t>(none)</t>
        </is>
      </c>
      <c r="I446" s="5" t="inlineStr">
        <is>
          <t>no shear_wall type in its building has this size</t>
        </is>
      </c>
      <c r="J446" s="5" t="inlineStr"/>
      <c r="K446" s="5" t="n">
        <v>109</v>
      </c>
      <c r="L446" s="5" t="n">
        <v>25</v>
      </c>
      <c r="M446" s="10">
        <f>IF(AND(ISNUMBER(K446),L446&gt;0),K446/L446,"")</f>
        <v/>
      </c>
      <c r="N446" s="5" t="n">
        <v>0.274</v>
      </c>
      <c r="O446" s="5" t="n">
        <v>169.6</v>
      </c>
      <c r="P446" s="5" t="n">
        <v>0</v>
      </c>
      <c r="Q446" s="5" t="n">
        <v>0</v>
      </c>
      <c r="R446" s="5" t="n">
        <v>0</v>
      </c>
      <c r="S446" s="5" t="n">
        <v>1</v>
      </c>
      <c r="T446" s="5" t="n">
        <v>0</v>
      </c>
      <c r="U446" s="5" t="n">
        <v>1</v>
      </c>
      <c r="V446" s="5" t="n">
        <v>1</v>
      </c>
      <c r="W446" s="5" t="n"/>
      <c r="X446" s="5" t="inlineStr"/>
      <c r="Y446" s="5" t="n">
        <v>4060.7</v>
      </c>
      <c r="Z446" s="5" t="n">
        <v>3371.2</v>
      </c>
      <c r="AA446" s="5" t="n">
        <v>4093.7</v>
      </c>
      <c r="AB446" s="5" t="n">
        <v>3384.3</v>
      </c>
      <c r="AC446" s="5" t="inlineStr"/>
      <c r="AD446" s="5">
        <f>IF(AC446="","",IF(OR(AC446=F446,AND(AC446="crane_footing",F446="isolated_footing")),"yes","no"))</f>
        <v/>
      </c>
    </row>
    <row r="447">
      <c r="A447" s="5" t="n">
        <v>446</v>
      </c>
      <c r="B447" s="5" t="inlineStr">
        <is>
          <t>124</t>
        </is>
      </c>
      <c r="C447" s="5" t="inlineStr">
        <is>
          <t>nearest labels in its region</t>
        </is>
      </c>
      <c r="D447" s="5" t="inlineStr">
        <is>
          <t>solid</t>
        </is>
      </c>
      <c r="E447" s="5" t="n">
        <v>30</v>
      </c>
      <c r="F447" s="5" t="inlineStr">
        <is>
          <t>shear_wall</t>
        </is>
      </c>
      <c r="G447" s="5" t="inlineStr">
        <is>
          <t>label vote</t>
        </is>
      </c>
      <c r="H447" s="5" t="inlineStr">
        <is>
          <t>(none)</t>
        </is>
      </c>
      <c r="I447" s="5" t="inlineStr">
        <is>
          <t>no shear_wall type in its building has this size</t>
        </is>
      </c>
      <c r="J447" s="5" t="inlineStr"/>
      <c r="K447" s="5" t="n">
        <v>430</v>
      </c>
      <c r="L447" s="5" t="n">
        <v>25</v>
      </c>
      <c r="M447" s="10">
        <f>IF(AND(ISNUMBER(K447),L447&gt;0),K447/L447,"")</f>
        <v/>
      </c>
      <c r="N447" s="5" t="n">
        <v>1.079</v>
      </c>
      <c r="O447" s="5" t="n">
        <v>79.3</v>
      </c>
      <c r="P447" s="5" t="n">
        <v>2</v>
      </c>
      <c r="Q447" s="5" t="n">
        <v>0</v>
      </c>
      <c r="R447" s="5" t="n">
        <v>0</v>
      </c>
      <c r="S447" s="5" t="n">
        <v>1</v>
      </c>
      <c r="T447" s="5" t="n">
        <v>1</v>
      </c>
      <c r="U447" s="5" t="n">
        <v>4</v>
      </c>
      <c r="V447" s="5" t="n">
        <v>0</v>
      </c>
      <c r="W447" s="5" t="n"/>
      <c r="X447" s="5" t="inlineStr"/>
      <c r="Y447" s="5" t="n">
        <v>4124.1</v>
      </c>
      <c r="Z447" s="5" t="n">
        <v>3485.9</v>
      </c>
      <c r="AA447" s="5" t="n">
        <v>4154.9</v>
      </c>
      <c r="AB447" s="5" t="n">
        <v>3612</v>
      </c>
      <c r="AC447" s="5" t="inlineStr"/>
      <c r="AD447" s="5">
        <f>IF(AC447="","",IF(OR(AC447=F447,AND(AC447="crane_footing",F447="isolated_footing")),"yes","no"))</f>
        <v/>
      </c>
    </row>
    <row r="448">
      <c r="A448" s="5" t="n">
        <v>447</v>
      </c>
      <c r="B448" s="5" t="inlineStr">
        <is>
          <t>124</t>
        </is>
      </c>
      <c r="C448" s="5" t="inlineStr">
        <is>
          <t>nearest labels in its region</t>
        </is>
      </c>
      <c r="D448" s="5" t="inlineStr">
        <is>
          <t>solid</t>
        </is>
      </c>
      <c r="E448" s="5" t="n">
        <v>30</v>
      </c>
      <c r="F448" s="5" t="inlineStr">
        <is>
          <t>shear_wall</t>
        </is>
      </c>
      <c r="G448" s="5" t="inlineStr">
        <is>
          <t>label vote</t>
        </is>
      </c>
      <c r="H448" s="5" t="inlineStr">
        <is>
          <t>(none)</t>
        </is>
      </c>
      <c r="I448" s="5" t="inlineStr">
        <is>
          <t>no shear_wall type in its building has this size</t>
        </is>
      </c>
      <c r="J448" s="5" t="inlineStr"/>
      <c r="K448" s="5" t="n">
        <v>295</v>
      </c>
      <c r="L448" s="5" t="n">
        <v>25</v>
      </c>
      <c r="M448" s="10">
        <f>IF(AND(ISNUMBER(K448),L448&gt;0),K448/L448,"")</f>
        <v/>
      </c>
      <c r="N448" s="5" t="n">
        <v>0.75</v>
      </c>
      <c r="O448" s="5" t="n">
        <v>169.1</v>
      </c>
      <c r="P448" s="5" t="n">
        <v>4</v>
      </c>
      <c r="Q448" s="5" t="n">
        <v>0</v>
      </c>
      <c r="R448" s="5" t="n">
        <v>0</v>
      </c>
      <c r="S448" s="5" t="n">
        <v>1</v>
      </c>
      <c r="T448" s="5" t="n">
        <v>0</v>
      </c>
      <c r="U448" s="5" t="n">
        <v>2</v>
      </c>
      <c r="V448" s="5" t="n">
        <v>1</v>
      </c>
      <c r="W448" s="5" t="n"/>
      <c r="X448" s="5" t="inlineStr"/>
      <c r="Y448" s="5" t="n">
        <v>4062.1</v>
      </c>
      <c r="Z448" s="5" t="n">
        <v>3612</v>
      </c>
      <c r="AA448" s="5" t="n">
        <v>4149.1</v>
      </c>
      <c r="AB448" s="5" t="n">
        <v>3635.8</v>
      </c>
      <c r="AC448" s="5" t="inlineStr"/>
      <c r="AD448" s="5">
        <f>IF(AC448="","",IF(OR(AC448=F448,AND(AC448="crane_footing",F448="isolated_footing")),"yes","no"))</f>
        <v/>
      </c>
    </row>
    <row r="449">
      <c r="A449" s="5" t="n">
        <v>448</v>
      </c>
      <c r="B449" s="5" t="inlineStr">
        <is>
          <t>124</t>
        </is>
      </c>
      <c r="C449" s="5" t="inlineStr">
        <is>
          <t>nearest labels in its region</t>
        </is>
      </c>
      <c r="D449" s="5" t="inlineStr">
        <is>
          <t>solid</t>
        </is>
      </c>
      <c r="E449" s="5" t="n">
        <v>36</v>
      </c>
      <c r="F449" s="5" t="inlineStr">
        <is>
          <t>shear_wall</t>
        </is>
      </c>
      <c r="G449" s="5" t="inlineStr">
        <is>
          <t>label vote</t>
        </is>
      </c>
      <c r="H449" s="5" t="inlineStr">
        <is>
          <t>(none)</t>
        </is>
      </c>
      <c r="I449" s="5" t="inlineStr">
        <is>
          <t>no shear_wall type in its building has this size</t>
        </is>
      </c>
      <c r="J449" s="5" t="inlineStr"/>
      <c r="K449" s="5" t="n">
        <v>229</v>
      </c>
      <c r="L449" s="5" t="n">
        <v>25</v>
      </c>
      <c r="M449" s="10">
        <f>IF(AND(ISNUMBER(K449),L449&gt;0),K449/L449,"")</f>
        <v/>
      </c>
      <c r="N449" s="5" t="n">
        <v>0.575</v>
      </c>
      <c r="O449" s="5" t="n">
        <v>169.4</v>
      </c>
      <c r="P449" s="5" t="n">
        <v>0</v>
      </c>
      <c r="Q449" s="5" t="n">
        <v>0</v>
      </c>
      <c r="R449" s="5" t="n">
        <v>0</v>
      </c>
      <c r="S449" s="5" t="n">
        <v>1</v>
      </c>
      <c r="T449" s="5" t="n">
        <v>0</v>
      </c>
      <c r="U449" s="5" t="n">
        <v>1</v>
      </c>
      <c r="V449" s="5" t="n">
        <v>3</v>
      </c>
      <c r="W449" s="5" t="n"/>
      <c r="X449" s="5" t="inlineStr"/>
      <c r="Y449" s="5" t="n">
        <v>4045.6</v>
      </c>
      <c r="Z449" s="5" t="n">
        <v>3476.4</v>
      </c>
      <c r="AA449" s="5" t="n">
        <v>4113.6</v>
      </c>
      <c r="AB449" s="5" t="n">
        <v>3496</v>
      </c>
      <c r="AC449" s="5" t="inlineStr"/>
      <c r="AD449" s="5">
        <f>IF(AC449="","",IF(OR(AC449=F449,AND(AC449="crane_footing",F449="isolated_footing")),"yes","no"))</f>
        <v/>
      </c>
    </row>
    <row r="450">
      <c r="A450" s="5" t="n">
        <v>449</v>
      </c>
      <c r="B450" s="5" t="inlineStr">
        <is>
          <t>124</t>
        </is>
      </c>
      <c r="C450" s="5" t="inlineStr">
        <is>
          <t>own label</t>
        </is>
      </c>
      <c r="D450" s="5" t="inlineStr">
        <is>
          <t>solid</t>
        </is>
      </c>
      <c r="E450" s="5" t="n">
        <v>32</v>
      </c>
      <c r="F450" s="5" t="inlineStr">
        <is>
          <t>shear_wall</t>
        </is>
      </c>
      <c r="G450" s="5" t="inlineStr">
        <is>
          <t>label vote</t>
        </is>
      </c>
      <c r="H450" s="5" t="inlineStr">
        <is>
          <t>V1/124</t>
        </is>
      </c>
      <c r="I450" s="5" t="inlineStr">
        <is>
          <t>printed label</t>
        </is>
      </c>
      <c r="J450" s="5" t="inlineStr">
        <is>
          <t>V1/124/124</t>
        </is>
      </c>
      <c r="K450" s="5" t="n">
        <v>125</v>
      </c>
      <c r="L450" s="5" t="n">
        <v>25</v>
      </c>
      <c r="M450" s="10">
        <f>IF(AND(ISNUMBER(K450),L450&gt;0),K450/L450,"")</f>
        <v/>
      </c>
      <c r="N450" s="5" t="n">
        <v>0.313</v>
      </c>
      <c r="O450" s="5" t="n">
        <v>79.40000000000001</v>
      </c>
      <c r="P450" s="5" t="n">
        <v>1</v>
      </c>
      <c r="Q450" s="5" t="n">
        <v>1</v>
      </c>
      <c r="R450" s="5" t="n">
        <v>0</v>
      </c>
      <c r="S450" s="5" t="n">
        <v>0</v>
      </c>
      <c r="T450" s="5" t="n">
        <v>0</v>
      </c>
      <c r="U450" s="5" t="n">
        <v>2</v>
      </c>
      <c r="V450" s="5" t="n">
        <v>1</v>
      </c>
      <c r="W450" s="5" t="n"/>
      <c r="X450" s="5" t="inlineStr"/>
      <c r="Y450" s="5" t="n">
        <v>4284.7</v>
      </c>
      <c r="Z450" s="5" t="n">
        <v>3333.9</v>
      </c>
      <c r="AA450" s="5" t="n">
        <v>4298.9</v>
      </c>
      <c r="AB450" s="5" t="n">
        <v>3371.5</v>
      </c>
      <c r="AC450" s="5" t="inlineStr"/>
      <c r="AD450" s="5">
        <f>IF(AC450="","",IF(OR(AC450=F450,AND(AC450="crane_footing",F450="isolated_footing")),"yes","no"))</f>
        <v/>
      </c>
    </row>
    <row r="451">
      <c r="A451" s="5" t="n">
        <v>450</v>
      </c>
      <c r="B451" s="5" t="inlineStr">
        <is>
          <t>124</t>
        </is>
      </c>
      <c r="C451" s="5" t="inlineStr">
        <is>
          <t>own label</t>
        </is>
      </c>
      <c r="D451" s="5" t="inlineStr">
        <is>
          <t>solid</t>
        </is>
      </c>
      <c r="E451" s="5" t="n">
        <v>30</v>
      </c>
      <c r="F451" s="5" t="inlineStr">
        <is>
          <t>shear_wall</t>
        </is>
      </c>
      <c r="G451" s="5" t="inlineStr">
        <is>
          <t>label vote</t>
        </is>
      </c>
      <c r="H451" s="5" t="inlineStr">
        <is>
          <t>V1/124</t>
        </is>
      </c>
      <c r="I451" s="5" t="inlineStr">
        <is>
          <t>printed label</t>
        </is>
      </c>
      <c r="J451" s="5" t="inlineStr">
        <is>
          <t>V1/124/124</t>
        </is>
      </c>
      <c r="K451" s="5" t="n">
        <v>125</v>
      </c>
      <c r="L451" s="5" t="n">
        <v>25</v>
      </c>
      <c r="M451" s="10">
        <f>IF(AND(ISNUMBER(K451),L451&gt;0),K451/L451,"")</f>
        <v/>
      </c>
      <c r="N451" s="5" t="n">
        <v>0.313</v>
      </c>
      <c r="O451" s="5" t="n">
        <v>79.40000000000001</v>
      </c>
      <c r="P451" s="5" t="n">
        <v>2</v>
      </c>
      <c r="Q451" s="5" t="n">
        <v>1</v>
      </c>
      <c r="R451" s="5" t="n">
        <v>0</v>
      </c>
      <c r="S451" s="5" t="n">
        <v>0</v>
      </c>
      <c r="T451" s="5" t="n">
        <v>0</v>
      </c>
      <c r="U451" s="5" t="n">
        <v>1</v>
      </c>
      <c r="V451" s="5" t="n">
        <v>0</v>
      </c>
      <c r="W451" s="5" t="n"/>
      <c r="X451" s="5" t="inlineStr"/>
      <c r="Y451" s="5" t="n">
        <v>3657.3</v>
      </c>
      <c r="Z451" s="5" t="n">
        <v>3670.2</v>
      </c>
      <c r="AA451" s="5" t="n">
        <v>3671.4</v>
      </c>
      <c r="AB451" s="5" t="n">
        <v>3707.8</v>
      </c>
      <c r="AC451" s="5" t="inlineStr"/>
      <c r="AD451" s="5">
        <f>IF(AC451="","",IF(OR(AC451=F451,AND(AC451="crane_footing",F451="isolated_footing")),"yes","no"))</f>
        <v/>
      </c>
    </row>
    <row r="452">
      <c r="A452" s="5" t="n">
        <v>451</v>
      </c>
      <c r="B452" s="5" t="inlineStr">
        <is>
          <t>124</t>
        </is>
      </c>
      <c r="C452" s="5" t="inlineStr">
        <is>
          <t>own label (region says 123)</t>
        </is>
      </c>
      <c r="D452" s="5" t="inlineStr">
        <is>
          <t>solid</t>
        </is>
      </c>
      <c r="E452" s="5" t="n">
        <v>36</v>
      </c>
      <c r="F452" s="5" t="inlineStr">
        <is>
          <t>shear_wall</t>
        </is>
      </c>
      <c r="G452" s="5" t="inlineStr">
        <is>
          <t>label vote</t>
        </is>
      </c>
      <c r="H452" s="5" t="inlineStr">
        <is>
          <t>V1/124</t>
        </is>
      </c>
      <c r="I452" s="5" t="inlineStr">
        <is>
          <t>printed label</t>
        </is>
      </c>
      <c r="J452" s="5" t="inlineStr">
        <is>
          <t>V1/124/124</t>
        </is>
      </c>
      <c r="K452" s="5" t="n">
        <v>125</v>
      </c>
      <c r="L452" s="5" t="n">
        <v>25</v>
      </c>
      <c r="M452" s="10">
        <f>IF(AND(ISNUMBER(K452),L452&gt;0),K452/L452,"")</f>
        <v/>
      </c>
      <c r="N452" s="5" t="n">
        <v>0.313</v>
      </c>
      <c r="O452" s="5" t="n">
        <v>79.40000000000001</v>
      </c>
      <c r="P452" s="5" t="n">
        <v>0</v>
      </c>
      <c r="Q452" s="5" t="n">
        <v>1</v>
      </c>
      <c r="R452" s="5" t="n">
        <v>0</v>
      </c>
      <c r="S452" s="5" t="n">
        <v>0</v>
      </c>
      <c r="T452" s="5" t="n">
        <v>0</v>
      </c>
      <c r="U452" s="5" t="n">
        <v>0</v>
      </c>
      <c r="V452" s="5" t="n">
        <v>3</v>
      </c>
      <c r="W452" s="5" t="n"/>
      <c r="X452" s="5" t="inlineStr"/>
      <c r="Y452" s="5" t="n">
        <v>4325</v>
      </c>
      <c r="Z452" s="5" t="n">
        <v>3547.5</v>
      </c>
      <c r="AA452" s="5" t="n">
        <v>4339.1</v>
      </c>
      <c r="AB452" s="5" t="n">
        <v>3585.1</v>
      </c>
      <c r="AC452" s="5" t="inlineStr">
        <is>
          <t>shear_wall</t>
        </is>
      </c>
      <c r="AD452" s="5">
        <f>IF(AC452="","",IF(OR(AC452=F452,AND(AC452="crane_footing",F452="isolated_footing")),"yes","no"))</f>
        <v/>
      </c>
    </row>
    <row r="453">
      <c r="A453" s="5" t="n">
        <v>452</v>
      </c>
      <c r="B453" s="5" t="inlineStr">
        <is>
          <t>124</t>
        </is>
      </c>
      <c r="C453" s="5" t="inlineStr">
        <is>
          <t>own label</t>
        </is>
      </c>
      <c r="D453" s="5" t="inlineStr">
        <is>
          <t>solid</t>
        </is>
      </c>
      <c r="E453" s="5" t="n">
        <v>32</v>
      </c>
      <c r="F453" s="5" t="inlineStr">
        <is>
          <t>shear_wall</t>
        </is>
      </c>
      <c r="G453" s="5" t="inlineStr">
        <is>
          <t>label vote</t>
        </is>
      </c>
      <c r="H453" s="5" t="inlineStr">
        <is>
          <t>V2/124</t>
        </is>
      </c>
      <c r="I453" s="5" t="inlineStr">
        <is>
          <t>printed label</t>
        </is>
      </c>
      <c r="J453" s="5" t="inlineStr">
        <is>
          <t>V2/124/124</t>
        </is>
      </c>
      <c r="K453" s="5" t="n">
        <v>200</v>
      </c>
      <c r="L453" s="5" t="n">
        <v>25</v>
      </c>
      <c r="M453" s="10">
        <f>IF(AND(ISNUMBER(K453),L453&gt;0),K453/L453,"")</f>
        <v/>
      </c>
      <c r="N453" s="5" t="n">
        <v>0.501</v>
      </c>
      <c r="O453" s="5" t="n">
        <v>169.4</v>
      </c>
      <c r="P453" s="5" t="n">
        <v>1</v>
      </c>
      <c r="Q453" s="5" t="n">
        <v>1</v>
      </c>
      <c r="R453" s="5" t="n">
        <v>0</v>
      </c>
      <c r="S453" s="5" t="n">
        <v>0</v>
      </c>
      <c r="T453" s="5" t="n">
        <v>0</v>
      </c>
      <c r="U453" s="5" t="n">
        <v>8</v>
      </c>
      <c r="V453" s="5" t="n">
        <v>0</v>
      </c>
      <c r="W453" s="5" t="n"/>
      <c r="X453" s="5" t="inlineStr"/>
      <c r="Y453" s="5" t="n">
        <v>4197.5</v>
      </c>
      <c r="Z453" s="5" t="n">
        <v>3339.3</v>
      </c>
      <c r="AA453" s="5" t="n">
        <v>4256.9</v>
      </c>
      <c r="AB453" s="5" t="n">
        <v>3357.4</v>
      </c>
      <c r="AC453" s="5" t="inlineStr"/>
      <c r="AD453" s="5">
        <f>IF(AC453="","",IF(OR(AC453=F453,AND(AC453="crane_footing",F453="isolated_footing")),"yes","no"))</f>
        <v/>
      </c>
    </row>
    <row r="454">
      <c r="A454" s="5" t="n">
        <v>453</v>
      </c>
      <c r="B454" s="5" t="inlineStr">
        <is>
          <t>124</t>
        </is>
      </c>
      <c r="C454" s="5" t="inlineStr">
        <is>
          <t>own label</t>
        </is>
      </c>
      <c r="D454" s="5" t="inlineStr">
        <is>
          <t>solid</t>
        </is>
      </c>
      <c r="E454" s="5" t="n">
        <v>36</v>
      </c>
      <c r="F454" s="5" t="inlineStr">
        <is>
          <t>shear_wall</t>
        </is>
      </c>
      <c r="G454" s="5" t="inlineStr">
        <is>
          <t>label vote</t>
        </is>
      </c>
      <c r="H454" s="5" t="inlineStr">
        <is>
          <t>V3/124</t>
        </is>
      </c>
      <c r="I454" s="5" t="inlineStr">
        <is>
          <t>printed label</t>
        </is>
      </c>
      <c r="J454" s="5" t="inlineStr">
        <is>
          <t>V3/124/124</t>
        </is>
      </c>
      <c r="K454" s="5" t="n">
        <v>200</v>
      </c>
      <c r="L454" s="5" t="n">
        <v>25</v>
      </c>
      <c r="M454" s="10">
        <f>IF(AND(ISNUMBER(K454),L454&gt;0),K454/L454,"")</f>
        <v/>
      </c>
      <c r="N454" s="5" t="n">
        <v>0.499</v>
      </c>
      <c r="O454" s="5" t="n">
        <v>79.3</v>
      </c>
      <c r="P454" s="5" t="n">
        <v>0</v>
      </c>
      <c r="Q454" s="5" t="n">
        <v>1</v>
      </c>
      <c r="R454" s="5" t="n">
        <v>0</v>
      </c>
      <c r="S454" s="5" t="n">
        <v>0</v>
      </c>
      <c r="T454" s="5" t="n">
        <v>0</v>
      </c>
      <c r="U454" s="5" t="n">
        <v>1</v>
      </c>
      <c r="V454" s="5" t="n">
        <v>6</v>
      </c>
      <c r="W454" s="5" t="n"/>
      <c r="X454" s="5" t="inlineStr"/>
      <c r="Y454" s="5" t="n">
        <v>4238.9</v>
      </c>
      <c r="Z454" s="5" t="n">
        <v>3090.4</v>
      </c>
      <c r="AA454" s="5" t="n">
        <v>4257.1</v>
      </c>
      <c r="AB454" s="5" t="n">
        <v>3149.9</v>
      </c>
      <c r="AC454" s="5" t="inlineStr">
        <is>
          <t>shear_wall</t>
        </is>
      </c>
      <c r="AD454" s="5">
        <f>IF(AC454="","",IF(OR(AC454=F454,AND(AC454="crane_footing",F454="isolated_footing")),"yes","no"))</f>
        <v/>
      </c>
    </row>
    <row r="455">
      <c r="A455" s="5" t="n">
        <v>454</v>
      </c>
      <c r="B455" s="5" t="inlineStr">
        <is>
          <t>124</t>
        </is>
      </c>
      <c r="C455" s="5" t="inlineStr">
        <is>
          <t>own label</t>
        </is>
      </c>
      <c r="D455" s="5" t="inlineStr">
        <is>
          <t>solid</t>
        </is>
      </c>
      <c r="E455" s="5" t="n">
        <v>35</v>
      </c>
      <c r="F455" s="5" t="inlineStr">
        <is>
          <t>shear_wall</t>
        </is>
      </c>
      <c r="G455" s="5" t="inlineStr">
        <is>
          <t>label vote</t>
        </is>
      </c>
      <c r="H455" s="5" t="inlineStr">
        <is>
          <t>V4/124</t>
        </is>
      </c>
      <c r="I455" s="5" t="inlineStr">
        <is>
          <t>printed label</t>
        </is>
      </c>
      <c r="J455" s="5" t="inlineStr">
        <is>
          <t>V4/124/124</t>
        </is>
      </c>
      <c r="K455" s="5" t="n">
        <v>220</v>
      </c>
      <c r="L455" s="5" t="n">
        <v>30</v>
      </c>
      <c r="M455" s="10">
        <f>IF(AND(ISNUMBER(K455),L455&gt;0),K455/L455,"")</f>
        <v/>
      </c>
      <c r="N455" s="5" t="n">
        <v>0.649</v>
      </c>
      <c r="O455" s="5" t="n">
        <v>79.40000000000001</v>
      </c>
      <c r="P455" s="5" t="n">
        <v>0</v>
      </c>
      <c r="Q455" s="5" t="n">
        <v>1</v>
      </c>
      <c r="R455" s="5" t="n">
        <v>0</v>
      </c>
      <c r="S455" s="5" t="n">
        <v>0</v>
      </c>
      <c r="T455" s="5" t="n">
        <v>0</v>
      </c>
      <c r="U455" s="5" t="n">
        <v>1</v>
      </c>
      <c r="V455" s="5" t="n">
        <v>2</v>
      </c>
      <c r="W455" s="5" t="n"/>
      <c r="X455" s="5" t="inlineStr"/>
      <c r="Y455" s="5" t="n">
        <v>3928.7</v>
      </c>
      <c r="Z455" s="5" t="n">
        <v>3149.3</v>
      </c>
      <c r="AA455" s="5" t="n">
        <v>3949.2</v>
      </c>
      <c r="AB455" s="5" t="n">
        <v>3214.7</v>
      </c>
      <c r="AC455" s="5" t="inlineStr">
        <is>
          <t>shear_wall</t>
        </is>
      </c>
      <c r="AD455" s="5">
        <f>IF(AC455="","",IF(OR(AC455=F455,AND(AC455="crane_footing",F455="isolated_footing")),"yes","no"))</f>
        <v/>
      </c>
    </row>
    <row r="456">
      <c r="A456" s="5" t="n">
        <v>455</v>
      </c>
      <c r="B456" s="5" t="inlineStr">
        <is>
          <t>124</t>
        </is>
      </c>
      <c r="C456" s="5" t="inlineStr">
        <is>
          <t>own label</t>
        </is>
      </c>
      <c r="D456" s="5" t="inlineStr">
        <is>
          <t>solid</t>
        </is>
      </c>
      <c r="E456" s="5" t="n">
        <v>35</v>
      </c>
      <c r="F456" s="5" t="inlineStr">
        <is>
          <t>shear_wall</t>
        </is>
      </c>
      <c r="G456" s="5" t="inlineStr">
        <is>
          <t>label vote</t>
        </is>
      </c>
      <c r="H456" s="5" t="inlineStr">
        <is>
          <t>V5/124</t>
        </is>
      </c>
      <c r="I456" s="5" t="inlineStr">
        <is>
          <t>printed label</t>
        </is>
      </c>
      <c r="J456" s="5" t="inlineStr">
        <is>
          <t>V5/124/124</t>
        </is>
      </c>
      <c r="K456" s="5" t="n">
        <v>300</v>
      </c>
      <c r="L456" s="5" t="n">
        <v>30</v>
      </c>
      <c r="M456" s="10">
        <f>IF(AND(ISNUMBER(K456),L456&gt;0),K456/L456,"")</f>
        <v/>
      </c>
      <c r="N456" s="5" t="n">
        <v>0.9</v>
      </c>
      <c r="O456" s="5" t="n">
        <v>169.4</v>
      </c>
      <c r="P456" s="5" t="n">
        <v>0</v>
      </c>
      <c r="Q456" s="5" t="n">
        <v>1</v>
      </c>
      <c r="R456" s="5" t="n">
        <v>0</v>
      </c>
      <c r="S456" s="5" t="n">
        <v>0</v>
      </c>
      <c r="T456" s="5" t="n">
        <v>0</v>
      </c>
      <c r="U456" s="5" t="n">
        <v>2</v>
      </c>
      <c r="V456" s="5" t="n">
        <v>2</v>
      </c>
      <c r="W456" s="5" t="n"/>
      <c r="X456" s="5" t="inlineStr"/>
      <c r="Y456" s="5" t="n">
        <v>3737.7</v>
      </c>
      <c r="Z456" s="5" t="n">
        <v>3420.7</v>
      </c>
      <c r="AA456" s="5" t="n">
        <v>3826.4</v>
      </c>
      <c r="AB456" s="5" t="n">
        <v>3445.7</v>
      </c>
      <c r="AC456" s="5" t="inlineStr">
        <is>
          <t>shear_wall</t>
        </is>
      </c>
      <c r="AD456" s="5">
        <f>IF(AC456="","",IF(OR(AC456=F456,AND(AC456="crane_footing",F456="isolated_footing")),"yes","no"))</f>
        <v/>
      </c>
    </row>
    <row r="457">
      <c r="A457" s="5" t="n">
        <v>456</v>
      </c>
      <c r="B457" s="5" t="inlineStr">
        <is>
          <t>124</t>
        </is>
      </c>
      <c r="C457" s="5" t="inlineStr">
        <is>
          <t>own label (region says 122)</t>
        </is>
      </c>
      <c r="D457" s="5" t="inlineStr">
        <is>
          <t>solid</t>
        </is>
      </c>
      <c r="E457" s="5" t="n">
        <v>36</v>
      </c>
      <c r="F457" s="5" t="inlineStr">
        <is>
          <t>shear_wall</t>
        </is>
      </c>
      <c r="G457" s="5" t="inlineStr">
        <is>
          <t>label vote</t>
        </is>
      </c>
      <c r="H457" s="5" t="inlineStr">
        <is>
          <t>V6/124</t>
        </is>
      </c>
      <c r="I457" s="5" t="inlineStr">
        <is>
          <t>printed label</t>
        </is>
      </c>
      <c r="J457" s="5" t="inlineStr">
        <is>
          <t>V6/124/124</t>
        </is>
      </c>
      <c r="K457" s="5" t="n">
        <v>125</v>
      </c>
      <c r="L457" s="5" t="n">
        <v>25</v>
      </c>
      <c r="M457" s="10">
        <f>IF(AND(ISNUMBER(K457),L457&gt;0),K457/L457,"")</f>
        <v/>
      </c>
      <c r="N457" s="5" t="n">
        <v>0.312</v>
      </c>
      <c r="O457" s="5" t="n">
        <v>79.40000000000001</v>
      </c>
      <c r="P457" s="5" t="n">
        <v>0</v>
      </c>
      <c r="Q457" s="5" t="n">
        <v>1</v>
      </c>
      <c r="R457" s="5" t="n">
        <v>0</v>
      </c>
      <c r="S457" s="5" t="n">
        <v>0</v>
      </c>
      <c r="T457" s="5" t="n">
        <v>0</v>
      </c>
      <c r="U457" s="5" t="n">
        <v>0</v>
      </c>
      <c r="V457" s="5" t="n">
        <v>3</v>
      </c>
      <c r="W457" s="5" t="n"/>
      <c r="X457" s="5" t="inlineStr"/>
      <c r="Y457" s="5" t="n">
        <v>4198</v>
      </c>
      <c r="Z457" s="5" t="n">
        <v>2873.2</v>
      </c>
      <c r="AA457" s="5" t="n">
        <v>4212.1</v>
      </c>
      <c r="AB457" s="5" t="n">
        <v>2910.9</v>
      </c>
      <c r="AC457" s="5" t="inlineStr">
        <is>
          <t>shear_wall</t>
        </is>
      </c>
      <c r="AD457" s="5">
        <f>IF(AC457="","",IF(OR(AC457=F457,AND(AC457="crane_footing",F457="isolated_footing")),"yes","no"))</f>
        <v/>
      </c>
    </row>
    <row r="458">
      <c r="A458" s="5" t="n">
        <v>457</v>
      </c>
      <c r="B458" s="5" t="inlineStr">
        <is>
          <t>124</t>
        </is>
      </c>
      <c r="C458" s="5" t="inlineStr">
        <is>
          <t>own label (region says 122)</t>
        </is>
      </c>
      <c r="D458" s="5" t="inlineStr">
        <is>
          <t>solid</t>
        </is>
      </c>
      <c r="E458" s="5" t="n">
        <v>36</v>
      </c>
      <c r="F458" s="5" t="inlineStr">
        <is>
          <t>shear_wall</t>
        </is>
      </c>
      <c r="G458" s="5" t="inlineStr">
        <is>
          <t>label vote</t>
        </is>
      </c>
      <c r="H458" s="5" t="inlineStr">
        <is>
          <t>V6/124</t>
        </is>
      </c>
      <c r="I458" s="5" t="inlineStr">
        <is>
          <t>printed label</t>
        </is>
      </c>
      <c r="J458" s="5" t="inlineStr">
        <is>
          <t>V6/124/124</t>
        </is>
      </c>
      <c r="K458" s="5" t="n">
        <v>125</v>
      </c>
      <c r="L458" s="5" t="n">
        <v>25</v>
      </c>
      <c r="M458" s="10">
        <f>IF(AND(ISNUMBER(K458),L458&gt;0),K458/L458,"")</f>
        <v/>
      </c>
      <c r="N458" s="5" t="n">
        <v>0.312</v>
      </c>
      <c r="O458" s="5" t="n">
        <v>79.40000000000001</v>
      </c>
      <c r="P458" s="5" t="n">
        <v>0</v>
      </c>
      <c r="Q458" s="5" t="n">
        <v>1</v>
      </c>
      <c r="R458" s="5" t="n">
        <v>0</v>
      </c>
      <c r="S458" s="5" t="n">
        <v>0</v>
      </c>
      <c r="T458" s="5" t="n">
        <v>0</v>
      </c>
      <c r="U458" s="5" t="n">
        <v>0</v>
      </c>
      <c r="V458" s="5" t="n">
        <v>4</v>
      </c>
      <c r="W458" s="5" t="n"/>
      <c r="X458" s="5" t="inlineStr"/>
      <c r="Y458" s="5" t="n">
        <v>3526.1</v>
      </c>
      <c r="Z458" s="5" t="n">
        <v>2972.8</v>
      </c>
      <c r="AA458" s="5" t="n">
        <v>3540.1</v>
      </c>
      <c r="AB458" s="5" t="n">
        <v>3010.5</v>
      </c>
      <c r="AC458" s="5" t="inlineStr">
        <is>
          <t>shear_wall</t>
        </is>
      </c>
      <c r="AD458" s="5">
        <f>IF(AC458="","",IF(OR(AC458=F458,AND(AC458="crane_footing",F458="isolated_footing")),"yes","no"))</f>
        <v/>
      </c>
    </row>
    <row r="459">
      <c r="A459" s="5" t="n">
        <v>458</v>
      </c>
      <c r="B459" s="5" t="inlineStr">
        <is>
          <t>124</t>
        </is>
      </c>
      <c r="C459" s="5" t="inlineStr">
        <is>
          <t>own label (region says 122)</t>
        </is>
      </c>
      <c r="D459" s="5" t="inlineStr">
        <is>
          <t>solid</t>
        </is>
      </c>
      <c r="E459" s="5" t="n">
        <v>36</v>
      </c>
      <c r="F459" s="5" t="inlineStr">
        <is>
          <t>shear_wall</t>
        </is>
      </c>
      <c r="G459" s="5" t="inlineStr">
        <is>
          <t>label vote</t>
        </is>
      </c>
      <c r="H459" s="5" t="inlineStr">
        <is>
          <t>V6/124</t>
        </is>
      </c>
      <c r="I459" s="5" t="inlineStr">
        <is>
          <t>printed label</t>
        </is>
      </c>
      <c r="J459" s="5" t="inlineStr">
        <is>
          <t>V6/124/124</t>
        </is>
      </c>
      <c r="K459" s="5" t="n">
        <v>125</v>
      </c>
      <c r="L459" s="5" t="n">
        <v>25</v>
      </c>
      <c r="M459" s="10">
        <f>IF(AND(ISNUMBER(K459),L459&gt;0),K459/L459,"")</f>
        <v/>
      </c>
      <c r="N459" s="5" t="n">
        <v>0.312</v>
      </c>
      <c r="O459" s="5" t="n">
        <v>79.40000000000001</v>
      </c>
      <c r="P459" s="5" t="n">
        <v>0</v>
      </c>
      <c r="Q459" s="5" t="n">
        <v>1</v>
      </c>
      <c r="R459" s="5" t="n">
        <v>0</v>
      </c>
      <c r="S459" s="5" t="n">
        <v>0</v>
      </c>
      <c r="T459" s="5" t="n">
        <v>0</v>
      </c>
      <c r="U459" s="5" t="n">
        <v>1</v>
      </c>
      <c r="V459" s="5" t="n">
        <v>2</v>
      </c>
      <c r="W459" s="5" t="n"/>
      <c r="X459" s="5" t="inlineStr"/>
      <c r="Y459" s="5" t="n">
        <v>3980.6</v>
      </c>
      <c r="Z459" s="5" t="n">
        <v>2913.9</v>
      </c>
      <c r="AA459" s="5" t="n">
        <v>3994.7</v>
      </c>
      <c r="AB459" s="5" t="n">
        <v>2951.5</v>
      </c>
      <c r="AC459" s="5" t="inlineStr">
        <is>
          <t>shear_wall</t>
        </is>
      </c>
      <c r="AD459" s="5">
        <f>IF(AC459="","",IF(OR(AC459=F459,AND(AC459="crane_footing",F459="isolated_footing")),"yes","no"))</f>
        <v/>
      </c>
    </row>
    <row r="460">
      <c r="A460" s="5" t="n">
        <v>459</v>
      </c>
      <c r="B460" s="5" t="inlineStr">
        <is>
          <t>124</t>
        </is>
      </c>
      <c r="C460" s="5" t="inlineStr">
        <is>
          <t>own label (region says 122)</t>
        </is>
      </c>
      <c r="D460" s="5" t="inlineStr">
        <is>
          <t>solid</t>
        </is>
      </c>
      <c r="E460" s="5" t="n">
        <v>36</v>
      </c>
      <c r="F460" s="5" t="inlineStr">
        <is>
          <t>shear_wall</t>
        </is>
      </c>
      <c r="G460" s="5" t="inlineStr">
        <is>
          <t>label vote</t>
        </is>
      </c>
      <c r="H460" s="5" t="inlineStr">
        <is>
          <t>V6/124</t>
        </is>
      </c>
      <c r="I460" s="5" t="inlineStr">
        <is>
          <t>printed label</t>
        </is>
      </c>
      <c r="J460" s="5" t="inlineStr">
        <is>
          <t>V6/124/124</t>
        </is>
      </c>
      <c r="K460" s="5" t="n">
        <v>125</v>
      </c>
      <c r="L460" s="5" t="n">
        <v>25</v>
      </c>
      <c r="M460" s="10">
        <f>IF(AND(ISNUMBER(K460),L460&gt;0),K460/L460,"")</f>
        <v/>
      </c>
      <c r="N460" s="5" t="n">
        <v>0.312</v>
      </c>
      <c r="O460" s="5" t="n">
        <v>79.40000000000001</v>
      </c>
      <c r="P460" s="5" t="n">
        <v>0</v>
      </c>
      <c r="Q460" s="5" t="n">
        <v>1</v>
      </c>
      <c r="R460" s="5" t="n">
        <v>0</v>
      </c>
      <c r="S460" s="5" t="n">
        <v>0</v>
      </c>
      <c r="T460" s="5" t="n">
        <v>0</v>
      </c>
      <c r="U460" s="5" t="n">
        <v>2</v>
      </c>
      <c r="V460" s="5" t="n">
        <v>4</v>
      </c>
      <c r="W460" s="5" t="n"/>
      <c r="X460" s="5" t="inlineStr"/>
      <c r="Y460" s="5" t="n">
        <v>3754.3</v>
      </c>
      <c r="Z460" s="5" t="n">
        <v>2944.3</v>
      </c>
      <c r="AA460" s="5" t="n">
        <v>3768.4</v>
      </c>
      <c r="AB460" s="5" t="n">
        <v>2981.9</v>
      </c>
      <c r="AC460" s="5" t="inlineStr">
        <is>
          <t>shear_wall</t>
        </is>
      </c>
      <c r="AD460" s="5">
        <f>IF(AC460="","",IF(OR(AC460=F460,AND(AC460="crane_footing",F460="isolated_footing")),"yes","no"))</f>
        <v/>
      </c>
    </row>
    <row r="461">
      <c r="A461" s="5" t="n">
        <v>460</v>
      </c>
      <c r="B461" s="5" t="inlineStr">
        <is>
          <t>124</t>
        </is>
      </c>
      <c r="C461" s="5" t="inlineStr">
        <is>
          <t>own label</t>
        </is>
      </c>
      <c r="D461" s="5" t="inlineStr">
        <is>
          <t>solid</t>
        </is>
      </c>
      <c r="E461" s="5" t="n">
        <v>35</v>
      </c>
      <c r="F461" s="5" t="inlineStr">
        <is>
          <t>shear_wall</t>
        </is>
      </c>
      <c r="G461" s="5" t="inlineStr">
        <is>
          <t>label vote</t>
        </is>
      </c>
      <c r="H461" s="5" t="inlineStr">
        <is>
          <t>V7/124</t>
        </is>
      </c>
      <c r="I461" s="5" t="inlineStr">
        <is>
          <t>printed label</t>
        </is>
      </c>
      <c r="J461" s="5" t="inlineStr">
        <is>
          <t>V7/124/124</t>
        </is>
      </c>
      <c r="K461" s="5" t="n">
        <v>250</v>
      </c>
      <c r="L461" s="5" t="n">
        <v>30</v>
      </c>
      <c r="M461" s="10">
        <f>IF(AND(ISNUMBER(K461),L461&gt;0),K461/L461,"")</f>
        <v/>
      </c>
      <c r="N461" s="5" t="n">
        <v>0.75</v>
      </c>
      <c r="O461" s="5" t="n">
        <v>79.40000000000001</v>
      </c>
      <c r="P461" s="5" t="n">
        <v>0</v>
      </c>
      <c r="Q461" s="5" t="n">
        <v>1</v>
      </c>
      <c r="R461" s="5" t="n">
        <v>0</v>
      </c>
      <c r="S461" s="5" t="n">
        <v>0</v>
      </c>
      <c r="T461" s="5" t="n">
        <v>0</v>
      </c>
      <c r="U461" s="5" t="n">
        <v>3</v>
      </c>
      <c r="V461" s="5" t="n">
        <v>2</v>
      </c>
      <c r="W461" s="5" t="n"/>
      <c r="X461" s="5" t="inlineStr"/>
      <c r="Y461" s="5" t="n">
        <v>3743.9</v>
      </c>
      <c r="Z461" s="5" t="n">
        <v>3191</v>
      </c>
      <c r="AA461" s="5" t="n">
        <v>3766.2</v>
      </c>
      <c r="AB461" s="5" t="n">
        <v>3265.2</v>
      </c>
      <c r="AC461" s="5" t="inlineStr">
        <is>
          <t>shear_wall</t>
        </is>
      </c>
      <c r="AD461" s="5">
        <f>IF(AC461="","",IF(OR(AC461=F461,AND(AC461="crane_footing",F461="isolated_footing")),"yes","no"))</f>
        <v/>
      </c>
    </row>
    <row r="462">
      <c r="A462" s="5" t="n">
        <v>461</v>
      </c>
      <c r="B462" s="5" t="inlineStr">
        <is>
          <t>124</t>
        </is>
      </c>
      <c r="C462" s="5" t="inlineStr">
        <is>
          <t>own label</t>
        </is>
      </c>
      <c r="D462" s="5" t="inlineStr">
        <is>
          <t>solid</t>
        </is>
      </c>
      <c r="E462" s="5" t="n">
        <v>35</v>
      </c>
      <c r="F462" s="5" t="inlineStr">
        <is>
          <t>shear_wall</t>
        </is>
      </c>
      <c r="G462" s="5" t="inlineStr">
        <is>
          <t>label vote</t>
        </is>
      </c>
      <c r="H462" s="5" t="inlineStr">
        <is>
          <t>V7/124</t>
        </is>
      </c>
      <c r="I462" s="5" t="inlineStr">
        <is>
          <t>printed label</t>
        </is>
      </c>
      <c r="J462" s="5" t="inlineStr">
        <is>
          <t>V7/124/124</t>
        </is>
      </c>
      <c r="K462" s="5" t="n">
        <v>250</v>
      </c>
      <c r="L462" s="5" t="n">
        <v>30</v>
      </c>
      <c r="M462" s="10">
        <f>IF(AND(ISNUMBER(K462),L462&gt;0),K462/L462,"")</f>
        <v/>
      </c>
      <c r="N462" s="5" t="n">
        <v>0.75</v>
      </c>
      <c r="O462" s="5" t="n">
        <v>79.40000000000001</v>
      </c>
      <c r="P462" s="5" t="n">
        <v>0</v>
      </c>
      <c r="Q462" s="5" t="n">
        <v>1</v>
      </c>
      <c r="R462" s="5" t="n">
        <v>0</v>
      </c>
      <c r="S462" s="5" t="n">
        <v>0</v>
      </c>
      <c r="T462" s="5" t="n">
        <v>0</v>
      </c>
      <c r="U462" s="5" t="n">
        <v>2</v>
      </c>
      <c r="V462" s="5" t="n">
        <v>2</v>
      </c>
      <c r="W462" s="5" t="n"/>
      <c r="X462" s="5" t="inlineStr"/>
      <c r="Y462" s="5" t="n">
        <v>3818</v>
      </c>
      <c r="Z462" s="5" t="n">
        <v>3580.2</v>
      </c>
      <c r="AA462" s="5" t="n">
        <v>3840.2</v>
      </c>
      <c r="AB462" s="5" t="n">
        <v>3654.4</v>
      </c>
      <c r="AC462" s="5" t="inlineStr">
        <is>
          <t>shear_wall</t>
        </is>
      </c>
      <c r="AD462" s="5">
        <f>IF(AC462="","",IF(OR(AC462=F462,AND(AC462="crane_footing",F462="isolated_footing")),"yes","no"))</f>
        <v/>
      </c>
    </row>
    <row r="463">
      <c r="A463" s="5" t="n">
        <v>462</v>
      </c>
      <c r="B463" s="5" t="inlineStr">
        <is>
          <t>124</t>
        </is>
      </c>
      <c r="C463" s="5" t="inlineStr">
        <is>
          <t>own label</t>
        </is>
      </c>
      <c r="D463" s="5" t="inlineStr">
        <is>
          <t>solid</t>
        </is>
      </c>
      <c r="E463" s="5" t="n">
        <v>35</v>
      </c>
      <c r="F463" s="5" t="inlineStr">
        <is>
          <t>shear_wall</t>
        </is>
      </c>
      <c r="G463" s="5" t="inlineStr">
        <is>
          <t>label vote</t>
        </is>
      </c>
      <c r="H463" s="5" t="inlineStr">
        <is>
          <t>V8/124</t>
        </is>
      </c>
      <c r="I463" s="5" t="inlineStr">
        <is>
          <t>printed label</t>
        </is>
      </c>
      <c r="J463" s="5" t="inlineStr">
        <is>
          <t>V8/124/124</t>
        </is>
      </c>
      <c r="K463" s="5" t="n">
        <v>125</v>
      </c>
      <c r="L463" s="5" t="n">
        <v>30</v>
      </c>
      <c r="M463" s="10">
        <f>IF(AND(ISNUMBER(K463),L463&gt;0),K463/L463,"")</f>
        <v/>
      </c>
      <c r="N463" s="5" t="n">
        <v>0.376</v>
      </c>
      <c r="O463" s="5" t="n">
        <v>79.3</v>
      </c>
      <c r="P463" s="5" t="n">
        <v>0</v>
      </c>
      <c r="Q463" s="5" t="n">
        <v>1</v>
      </c>
      <c r="R463" s="5" t="n">
        <v>0</v>
      </c>
      <c r="S463" s="5" t="n">
        <v>0</v>
      </c>
      <c r="T463" s="5" t="n">
        <v>0</v>
      </c>
      <c r="U463" s="5" t="n">
        <v>1</v>
      </c>
      <c r="V463" s="5" t="n">
        <v>4</v>
      </c>
      <c r="W463" s="5" t="n"/>
      <c r="X463" s="5" t="inlineStr"/>
      <c r="Y463" s="5" t="n">
        <v>3571.8</v>
      </c>
      <c r="Z463" s="5" t="n">
        <v>3215.9</v>
      </c>
      <c r="AA463" s="5" t="n">
        <v>3587.4</v>
      </c>
      <c r="AB463" s="5" t="n">
        <v>3253.8</v>
      </c>
      <c r="AC463" s="5" t="inlineStr">
        <is>
          <t>shear_wall</t>
        </is>
      </c>
      <c r="AD463" s="5">
        <f>IF(AC463="","",IF(OR(AC463=F463,AND(AC463="crane_footing",F463="isolated_footing")),"yes","no"))</f>
        <v/>
      </c>
    </row>
    <row r="464">
      <c r="A464" s="5" t="n">
        <v>463</v>
      </c>
      <c r="B464" s="5" t="inlineStr">
        <is>
          <t>124</t>
        </is>
      </c>
      <c r="C464" s="5" t="inlineStr">
        <is>
          <t>own label</t>
        </is>
      </c>
      <c r="D464" s="5" t="inlineStr">
        <is>
          <t>solid</t>
        </is>
      </c>
      <c r="E464" s="5" t="n">
        <v>37</v>
      </c>
      <c r="F464" s="5" t="inlineStr">
        <is>
          <t>shear_wall</t>
        </is>
      </c>
      <c r="G464" s="5" t="inlineStr">
        <is>
          <t>label vote</t>
        </is>
      </c>
      <c r="H464" s="5" t="inlineStr">
        <is>
          <t>V8/124</t>
        </is>
      </c>
      <c r="I464" s="5" t="inlineStr">
        <is>
          <t>printed label</t>
        </is>
      </c>
      <c r="J464" s="5" t="inlineStr">
        <is>
          <t>V8/124/124</t>
        </is>
      </c>
      <c r="K464" s="5" t="n">
        <v>125</v>
      </c>
      <c r="L464" s="5" t="n">
        <v>30</v>
      </c>
      <c r="M464" s="10">
        <f>IF(AND(ISNUMBER(K464),L464&gt;0),K464/L464,"")</f>
        <v/>
      </c>
      <c r="N464" s="5" t="n">
        <v>0.375</v>
      </c>
      <c r="O464" s="5" t="n">
        <v>79.3</v>
      </c>
      <c r="P464" s="5" t="n">
        <v>1</v>
      </c>
      <c r="Q464" s="5" t="n">
        <v>1</v>
      </c>
      <c r="R464" s="5" t="n">
        <v>0</v>
      </c>
      <c r="S464" s="5" t="n">
        <v>0</v>
      </c>
      <c r="T464" s="5" t="n">
        <v>0</v>
      </c>
      <c r="U464" s="5" t="n">
        <v>1</v>
      </c>
      <c r="V464" s="5" t="n">
        <v>4</v>
      </c>
      <c r="W464" s="5" t="n"/>
      <c r="X464" s="5" t="inlineStr"/>
      <c r="Y464" s="5" t="n">
        <v>3617.4</v>
      </c>
      <c r="Z464" s="5" t="n">
        <v>3458.2</v>
      </c>
      <c r="AA464" s="5" t="n">
        <v>3633</v>
      </c>
      <c r="AB464" s="5" t="n">
        <v>3496.1</v>
      </c>
      <c r="AC464" s="5" t="inlineStr"/>
      <c r="AD464" s="5">
        <f>IF(AC464="","",IF(OR(AC464=F464,AND(AC464="crane_footing",F464="isolated_footing")),"yes","no"))</f>
        <v/>
      </c>
    </row>
    <row r="465">
      <c r="A465" s="5" t="n">
        <v>464</v>
      </c>
      <c r="B465" s="5" t="inlineStr">
        <is>
          <t>124</t>
        </is>
      </c>
      <c r="C465" s="5" t="inlineStr">
        <is>
          <t>nearest labels in its region</t>
        </is>
      </c>
      <c r="D465" s="5" t="inlineStr">
        <is>
          <t>solid</t>
        </is>
      </c>
      <c r="E465" s="5" t="n">
        <v>28</v>
      </c>
      <c r="F465" s="5" t="inlineStr">
        <is>
          <t>retaining_wall</t>
        </is>
      </c>
      <c r="G465" s="5" t="inlineStr">
        <is>
          <t>label vote</t>
        </is>
      </c>
      <c r="H465" s="5" t="inlineStr">
        <is>
          <t>VP20</t>
        </is>
      </c>
      <c r="I465" s="5" t="inlineStr">
        <is>
          <t>inferred: the only retaining_wall type with this size</t>
        </is>
      </c>
      <c r="J465" s="5" t="inlineStr"/>
      <c r="K465" s="5" t="n">
        <v>604</v>
      </c>
      <c r="L465" s="5" t="n">
        <v>20</v>
      </c>
      <c r="M465" s="10">
        <f>IF(AND(ISNUMBER(K465),L465&gt;0),K465/L465,"")</f>
        <v/>
      </c>
      <c r="N465" s="5" t="n">
        <v>1.2</v>
      </c>
      <c r="O465" s="5" t="n">
        <v>79.3</v>
      </c>
      <c r="P465" s="5" t="n">
        <v>2</v>
      </c>
      <c r="Q465" s="5" t="n">
        <v>0</v>
      </c>
      <c r="R465" s="5" t="n">
        <v>0</v>
      </c>
      <c r="S465" s="5" t="n">
        <v>0</v>
      </c>
      <c r="T465" s="5" t="n">
        <v>0</v>
      </c>
      <c r="U465" s="5" t="n">
        <v>3</v>
      </c>
      <c r="V465" s="5" t="n">
        <v>2</v>
      </c>
      <c r="W465" s="5" t="n"/>
      <c r="X465" s="5" t="inlineStr"/>
      <c r="Y465" s="5" t="n">
        <v>3624.3</v>
      </c>
      <c r="Z465" s="5" t="n">
        <v>3495</v>
      </c>
      <c r="AA465" s="5" t="n">
        <v>3663.1</v>
      </c>
      <c r="AB465" s="5" t="n">
        <v>3671.5</v>
      </c>
      <c r="AC465" s="5" t="inlineStr"/>
      <c r="AD465" s="5">
        <f>IF(AC465="","",IF(OR(AC465=F465,AND(AC465="crane_footing",F465="isolated_footing")),"yes","no"))</f>
        <v/>
      </c>
    </row>
    <row r="466">
      <c r="A466" s="5" t="n">
        <v>465</v>
      </c>
      <c r="B466" s="5" t="inlineStr">
        <is>
          <t>124</t>
        </is>
      </c>
      <c r="C466" s="5" t="inlineStr">
        <is>
          <t>nearest labels in its region</t>
        </is>
      </c>
      <c r="D466" s="5" t="inlineStr">
        <is>
          <t>solid</t>
        </is>
      </c>
      <c r="E466" s="5" t="n">
        <v>28</v>
      </c>
      <c r="F466" s="5" t="inlineStr">
        <is>
          <t>retaining_wall</t>
        </is>
      </c>
      <c r="G466" s="5" t="inlineStr">
        <is>
          <t>label vote</t>
        </is>
      </c>
      <c r="H466" s="5" t="inlineStr">
        <is>
          <t>VP25</t>
        </is>
      </c>
      <c r="I466" s="5" t="inlineStr">
        <is>
          <t>inferred: the only retaining_wall type with this size</t>
        </is>
      </c>
      <c r="J466" s="5" t="inlineStr"/>
      <c r="K466" s="5" t="n">
        <v>1667</v>
      </c>
      <c r="L466" s="5" t="n">
        <v>25</v>
      </c>
      <c r="M466" s="10">
        <f>IF(AND(ISNUMBER(K466),L466&gt;0),K466/L466,"")</f>
        <v/>
      </c>
      <c r="N466" s="5" t="n">
        <v>4.16</v>
      </c>
      <c r="O466" s="5" t="n">
        <v>169.3</v>
      </c>
      <c r="P466" s="5" t="n">
        <v>4</v>
      </c>
      <c r="Q466" s="5" t="n">
        <v>0</v>
      </c>
      <c r="R466" s="5" t="n">
        <v>0</v>
      </c>
      <c r="S466" s="5" t="n">
        <v>0</v>
      </c>
      <c r="T466" s="5" t="n">
        <v>1</v>
      </c>
      <c r="U466" s="5" t="n">
        <v>11</v>
      </c>
      <c r="V466" s="5" t="n">
        <v>2</v>
      </c>
      <c r="W466" s="5" t="n"/>
      <c r="X466" s="5" t="inlineStr"/>
      <c r="Y466" s="5" t="n">
        <v>3663.3</v>
      </c>
      <c r="Z466" s="5" t="n">
        <v>3612.1</v>
      </c>
      <c r="AA466" s="5" t="n">
        <v>4148.4</v>
      </c>
      <c r="AB466" s="5" t="n">
        <v>3710.4</v>
      </c>
      <c r="AC466" s="5" t="inlineStr"/>
      <c r="AD466" s="5">
        <f>IF(AC466="","",IF(OR(AC466=F466,AND(AC466="crane_footing",F466="isolated_footing")),"yes","no"))</f>
        <v/>
      </c>
    </row>
    <row r="467">
      <c r="A467" s="5" t="n">
        <v>466</v>
      </c>
      <c r="B467" s="5" t="inlineStr">
        <is>
          <t>124</t>
        </is>
      </c>
      <c r="C467" s="5" t="inlineStr">
        <is>
          <t>nearest labels in its region</t>
        </is>
      </c>
      <c r="D467" s="5" t="inlineStr">
        <is>
          <t>solid</t>
        </is>
      </c>
      <c r="E467" s="5" t="n">
        <v>28</v>
      </c>
      <c r="F467" s="5" t="inlineStr">
        <is>
          <t>retaining_wall</t>
        </is>
      </c>
      <c r="G467" s="5" t="inlineStr">
        <is>
          <t>label vote</t>
        </is>
      </c>
      <c r="H467" s="5" t="inlineStr">
        <is>
          <t>VP25</t>
        </is>
      </c>
      <c r="I467" s="5" t="inlineStr">
        <is>
          <t>inferred: the only retaining_wall type with this size</t>
        </is>
      </c>
      <c r="J467" s="5" t="inlineStr"/>
      <c r="K467" s="5" t="n">
        <v>816</v>
      </c>
      <c r="L467" s="5" t="n">
        <v>25</v>
      </c>
      <c r="M467" s="10">
        <f>IF(AND(ISNUMBER(K467),L467&gt;0),K467/L467,"")</f>
        <v/>
      </c>
      <c r="N467" s="5" t="n">
        <v>2.026</v>
      </c>
      <c r="O467" s="5" t="n">
        <v>79.40000000000001</v>
      </c>
      <c r="P467" s="5" t="n">
        <v>5</v>
      </c>
      <c r="Q467" s="5" t="n">
        <v>0</v>
      </c>
      <c r="R467" s="5" t="n">
        <v>0</v>
      </c>
      <c r="S467" s="5" t="n">
        <v>1</v>
      </c>
      <c r="T467" s="5" t="n">
        <v>2</v>
      </c>
      <c r="U467" s="5" t="n">
        <v>7</v>
      </c>
      <c r="V467" s="5" t="n">
        <v>0</v>
      </c>
      <c r="W467" s="5" t="n"/>
      <c r="X467" s="5" t="inlineStr"/>
      <c r="Y467" s="5" t="n">
        <v>4102.8</v>
      </c>
      <c r="Z467" s="5" t="n">
        <v>3374</v>
      </c>
      <c r="AA467" s="5" t="n">
        <v>4154.2</v>
      </c>
      <c r="AB467" s="5" t="n">
        <v>3612.1</v>
      </c>
      <c r="AC467" s="5" t="inlineStr"/>
      <c r="AD467" s="5">
        <f>IF(AC467="","",IF(OR(AC467=F467,AND(AC467="crane_footing",F467="isolated_footing")),"yes","no"))</f>
        <v/>
      </c>
    </row>
    <row r="468">
      <c r="A468" s="5" t="n">
        <v>467</v>
      </c>
      <c r="B468" s="5" t="inlineStr">
        <is>
          <t>124</t>
        </is>
      </c>
      <c r="C468" s="5" t="inlineStr">
        <is>
          <t>nearest labels in its region</t>
        </is>
      </c>
      <c r="D468" s="5" t="inlineStr">
        <is>
          <t>solid</t>
        </is>
      </c>
      <c r="E468" s="5" t="n">
        <v>28</v>
      </c>
      <c r="F468" s="5" t="inlineStr">
        <is>
          <t>retaining_wall</t>
        </is>
      </c>
      <c r="G468" s="5" t="inlineStr">
        <is>
          <t>label vote</t>
        </is>
      </c>
      <c r="H468" s="5" t="inlineStr">
        <is>
          <t>VP25</t>
        </is>
      </c>
      <c r="I468" s="5" t="inlineStr">
        <is>
          <t>printed label</t>
        </is>
      </c>
      <c r="J468" s="5" t="inlineStr">
        <is>
          <t>VP25/SF1- 80x25</t>
        </is>
      </c>
      <c r="K468" s="5" t="n">
        <v>631</v>
      </c>
      <c r="L468" s="5" t="n">
        <v>25</v>
      </c>
      <c r="M468" s="10">
        <f>IF(AND(ISNUMBER(K468),L468&gt;0),K468/L468,"")</f>
        <v/>
      </c>
      <c r="N468" s="5" t="n">
        <v>1.572</v>
      </c>
      <c r="O468" s="5" t="n">
        <v>169.4</v>
      </c>
      <c r="P468" s="5" t="n">
        <v>3</v>
      </c>
      <c r="Q468" s="5" t="n">
        <v>1</v>
      </c>
      <c r="R468" s="5" t="n">
        <v>0</v>
      </c>
      <c r="S468" s="5" t="n">
        <v>0</v>
      </c>
      <c r="T468" s="5" t="n">
        <v>1</v>
      </c>
      <c r="U468" s="5" t="n">
        <v>11</v>
      </c>
      <c r="V468" s="5" t="n">
        <v>3</v>
      </c>
      <c r="W468" s="5" t="n"/>
      <c r="X468" s="5" t="inlineStr"/>
      <c r="Y468" s="5" t="n">
        <v>4108.6</v>
      </c>
      <c r="Z468" s="5" t="n">
        <v>3332.5</v>
      </c>
      <c r="AA468" s="5" t="n">
        <v>4293.1</v>
      </c>
      <c r="AB468" s="5" t="n">
        <v>3374</v>
      </c>
      <c r="AC468" s="5" t="inlineStr"/>
      <c r="AD468" s="5">
        <f>IF(AC468="","",IF(OR(AC468=F468,AND(AC468="crane_footing",F468="isolated_footing")),"yes","no"))</f>
        <v/>
      </c>
    </row>
    <row r="469">
      <c r="A469" s="5" t="n">
        <v>468</v>
      </c>
      <c r="B469" s="5" t="inlineStr">
        <is>
          <t>124</t>
        </is>
      </c>
      <c r="C469" s="5" t="inlineStr">
        <is>
          <t>nearest labels in its region</t>
        </is>
      </c>
      <c r="D469" s="5" t="inlineStr">
        <is>
          <t>solid</t>
        </is>
      </c>
      <c r="E469" s="5" t="n">
        <v>28</v>
      </c>
      <c r="F469" s="5" t="inlineStr">
        <is>
          <t>retaining_wall</t>
        </is>
      </c>
      <c r="G469" s="5" t="inlineStr">
        <is>
          <t>label vote</t>
        </is>
      </c>
      <c r="H469" s="5" t="inlineStr">
        <is>
          <t>VP25</t>
        </is>
      </c>
      <c r="I469" s="5" t="inlineStr">
        <is>
          <t>printed label</t>
        </is>
      </c>
      <c r="J469" s="5" t="inlineStr">
        <is>
          <t>VP25/SF1-80x25</t>
        </is>
      </c>
      <c r="K469" s="5" t="n">
        <v>892</v>
      </c>
      <c r="L469" s="5" t="n">
        <v>25</v>
      </c>
      <c r="M469" s="10">
        <f>IF(AND(ISNUMBER(K469),L469&gt;0),K469/L469,"")</f>
        <v/>
      </c>
      <c r="N469" s="5" t="n">
        <v>2.238</v>
      </c>
      <c r="O469" s="5" t="n">
        <v>79.3</v>
      </c>
      <c r="P469" s="5" t="n">
        <v>3</v>
      </c>
      <c r="Q469" s="5" t="n">
        <v>0</v>
      </c>
      <c r="R469" s="5" t="n">
        <v>0</v>
      </c>
      <c r="S469" s="5" t="n">
        <v>0</v>
      </c>
      <c r="T469" s="5" t="n">
        <v>2</v>
      </c>
      <c r="U469" s="5" t="n">
        <v>6</v>
      </c>
      <c r="V469" s="5" t="n">
        <v>4</v>
      </c>
      <c r="W469" s="5" t="n"/>
      <c r="X469" s="5" t="inlineStr"/>
      <c r="Y469" s="5" t="n">
        <v>4291.9</v>
      </c>
      <c r="Z469" s="5" t="n">
        <v>3315.7</v>
      </c>
      <c r="AA469" s="5" t="n">
        <v>4347.9</v>
      </c>
      <c r="AB469" s="5" t="n">
        <v>3575.8</v>
      </c>
      <c r="AC469" s="5" t="inlineStr"/>
      <c r="AD469" s="5">
        <f>IF(AC469="","",IF(OR(AC469=F469,AND(AC469="crane_footing",F469="isolated_footing")),"yes","no"))</f>
        <v/>
      </c>
    </row>
    <row r="470">
      <c r="A470" s="5" t="n">
        <v>469</v>
      </c>
      <c r="B470" s="5" t="inlineStr">
        <is>
          <t>124</t>
        </is>
      </c>
      <c r="C470" s="5" t="inlineStr">
        <is>
          <t>own label</t>
        </is>
      </c>
      <c r="D470" s="5" t="inlineStr">
        <is>
          <t>outline</t>
        </is>
      </c>
      <c r="E470" s="5" t="n">
        <v>16</v>
      </c>
      <c r="F470" s="5" t="inlineStr">
        <is>
          <t>isolated_footing</t>
        </is>
      </c>
      <c r="G470" s="5" t="inlineStr">
        <is>
          <t>label vote</t>
        </is>
      </c>
      <c r="H470" s="5" t="inlineStr">
        <is>
          <t>S11</t>
        </is>
      </c>
      <c r="I470" s="5" t="inlineStr">
        <is>
          <t>printed label</t>
        </is>
      </c>
      <c r="J470" s="5" t="inlineStr">
        <is>
          <t>S11-124124</t>
        </is>
      </c>
      <c r="K470" s="5" t="n">
        <v>500</v>
      </c>
      <c r="L470" s="5" t="n">
        <v>400</v>
      </c>
      <c r="M470" s="10">
        <f>IF(AND(ISNUMBER(K470),L470&gt;0),K470/L470,"")</f>
        <v/>
      </c>
      <c r="N470" s="5" t="n">
        <v>20.006</v>
      </c>
      <c r="O470" s="5" t="n">
        <v>169.4</v>
      </c>
      <c r="P470" s="5" t="n">
        <v>1</v>
      </c>
      <c r="Q470" s="5" t="n">
        <v>0</v>
      </c>
      <c r="R470" s="5" t="n">
        <v>0</v>
      </c>
      <c r="S470" s="5" t="n">
        <v>0</v>
      </c>
      <c r="T470" s="5" t="n">
        <v>1</v>
      </c>
      <c r="U470" s="5" t="n">
        <v>28</v>
      </c>
      <c r="V470" s="5" t="n">
        <v>3</v>
      </c>
      <c r="W470" s="5" t="n"/>
      <c r="X470" s="5" t="inlineStr"/>
      <c r="Y470" s="5" t="n">
        <v>3699.5</v>
      </c>
      <c r="Z470" s="5" t="n">
        <v>3365.9</v>
      </c>
      <c r="AA470" s="5" t="n">
        <v>3866.3</v>
      </c>
      <c r="AB470" s="5" t="n">
        <v>3509.2</v>
      </c>
      <c r="AC470" s="5" t="inlineStr">
        <is>
          <t>isolated_footing</t>
        </is>
      </c>
      <c r="AD470" s="5">
        <f>IF(AC470="","",IF(OR(AC470=F470,AND(AC470="crane_footing",F470="isolated_footing")),"yes","no"))</f>
        <v/>
      </c>
    </row>
    <row r="471">
      <c r="A471" s="5" t="n">
        <v>470</v>
      </c>
      <c r="B471" s="5" t="inlineStr">
        <is>
          <t>124</t>
        </is>
      </c>
      <c r="C471" s="5" t="inlineStr">
        <is>
          <t>own label</t>
        </is>
      </c>
      <c r="D471" s="5" t="inlineStr">
        <is>
          <t>outline</t>
        </is>
      </c>
      <c r="E471" s="5" t="n">
        <v>16</v>
      </c>
      <c r="F471" s="5" t="inlineStr">
        <is>
          <t>isolated_footing</t>
        </is>
      </c>
      <c r="G471" s="5" t="inlineStr">
        <is>
          <t>label vote</t>
        </is>
      </c>
      <c r="H471" s="5" t="inlineStr">
        <is>
          <t>S11</t>
        </is>
      </c>
      <c r="I471" s="5" t="inlineStr">
        <is>
          <t>printed label</t>
        </is>
      </c>
      <c r="J471" s="5" t="inlineStr">
        <is>
          <t>S11-124124</t>
        </is>
      </c>
      <c r="K471" s="5" t="n">
        <v>500</v>
      </c>
      <c r="L471" s="5" t="n">
        <v>400</v>
      </c>
      <c r="M471" s="10">
        <f>IF(AND(ISNUMBER(K471),L471&gt;0),K471/L471,"")</f>
        <v/>
      </c>
      <c r="N471" s="5" t="n">
        <v>20.003</v>
      </c>
      <c r="O471" s="5" t="n">
        <v>79.3</v>
      </c>
      <c r="P471" s="5" t="n">
        <v>2</v>
      </c>
      <c r="Q471" s="5" t="n">
        <v>0</v>
      </c>
      <c r="R471" s="5" t="n">
        <v>0</v>
      </c>
      <c r="S471" s="5" t="n">
        <v>0</v>
      </c>
      <c r="T471" s="5" t="n">
        <v>1</v>
      </c>
      <c r="U471" s="5" t="n">
        <v>44</v>
      </c>
      <c r="V471" s="5" t="n">
        <v>2</v>
      </c>
      <c r="W471" s="5" t="n"/>
      <c r="X471" s="5" t="inlineStr"/>
      <c r="Y471" s="5" t="n">
        <v>3758.8</v>
      </c>
      <c r="Z471" s="5" t="n">
        <v>3541.1</v>
      </c>
      <c r="AA471" s="5" t="n">
        <v>3902.2</v>
      </c>
      <c r="AB471" s="5" t="n">
        <v>3708.1</v>
      </c>
      <c r="AC471" s="5" t="inlineStr">
        <is>
          <t>isolated_footing</t>
        </is>
      </c>
      <c r="AD471" s="5">
        <f>IF(AC471="","",IF(OR(AC471=F471,AND(AC471="crane_footing",F471="isolated_footing")),"yes","no"))</f>
        <v/>
      </c>
    </row>
    <row r="472">
      <c r="A472" s="5" t="n">
        <v>471</v>
      </c>
      <c r="B472" s="5" t="inlineStr">
        <is>
          <t>124</t>
        </is>
      </c>
      <c r="C472" s="5" t="inlineStr">
        <is>
          <t>own label (region says 122)</t>
        </is>
      </c>
      <c r="D472" s="5" t="inlineStr">
        <is>
          <t>outline</t>
        </is>
      </c>
      <c r="E472" s="5" t="n">
        <v>17</v>
      </c>
      <c r="F472" s="5" t="inlineStr">
        <is>
          <t>isolated_footing</t>
        </is>
      </c>
      <c r="G472" s="5" t="inlineStr">
        <is>
          <t>label vote</t>
        </is>
      </c>
      <c r="H472" s="5" t="inlineStr">
        <is>
          <t>S2</t>
        </is>
      </c>
      <c r="I472" s="5" t="inlineStr">
        <is>
          <t>printed label</t>
        </is>
      </c>
      <c r="J472" s="5" t="inlineStr">
        <is>
          <t>S2-124124</t>
        </is>
      </c>
      <c r="K472" s="5" t="n">
        <v>350</v>
      </c>
      <c r="L472" s="5" t="n">
        <v>200</v>
      </c>
      <c r="M472" s="10">
        <f>IF(AND(ISNUMBER(K472),L472&gt;0),K472/L472,"")</f>
        <v/>
      </c>
      <c r="N472" s="5" t="n">
        <v>7.001</v>
      </c>
      <c r="O472" s="5" t="n">
        <v>79.3</v>
      </c>
      <c r="P472" s="5" t="n">
        <v>1</v>
      </c>
      <c r="Q472" s="5" t="n">
        <v>0</v>
      </c>
      <c r="R472" s="5" t="n">
        <v>0</v>
      </c>
      <c r="S472" s="5" t="n">
        <v>0</v>
      </c>
      <c r="T472" s="5" t="n">
        <v>1</v>
      </c>
      <c r="U472" s="5" t="n">
        <v>20</v>
      </c>
      <c r="V472" s="5" t="n">
        <v>3</v>
      </c>
      <c r="W472" s="5" t="n"/>
      <c r="X472" s="5" t="inlineStr"/>
      <c r="Y472" s="5" t="n">
        <v>3949.1</v>
      </c>
      <c r="Z472" s="5" t="n">
        <v>2876.4</v>
      </c>
      <c r="AA472" s="5" t="n">
        <v>4026.2</v>
      </c>
      <c r="AB472" s="5" t="n">
        <v>2988.9</v>
      </c>
      <c r="AC472" s="5" t="inlineStr">
        <is>
          <t>isolated_footing</t>
        </is>
      </c>
      <c r="AD472" s="5">
        <f>IF(AC472="","",IF(OR(AC472=F472,AND(AC472="crane_footing",F472="isolated_footing")),"yes","no"))</f>
        <v/>
      </c>
    </row>
    <row r="473">
      <c r="A473" s="5" t="n">
        <v>472</v>
      </c>
      <c r="B473" s="5" t="inlineStr">
        <is>
          <t>124</t>
        </is>
      </c>
      <c r="C473" s="5" t="inlineStr">
        <is>
          <t>own label (region says 122)</t>
        </is>
      </c>
      <c r="D473" s="5" t="inlineStr">
        <is>
          <t>outline</t>
        </is>
      </c>
      <c r="E473" s="5" t="n">
        <v>17</v>
      </c>
      <c r="F473" s="5" t="inlineStr">
        <is>
          <t>isolated_footing</t>
        </is>
      </c>
      <c r="G473" s="5" t="inlineStr">
        <is>
          <t>label vote</t>
        </is>
      </c>
      <c r="H473" s="5" t="inlineStr">
        <is>
          <t>S2</t>
        </is>
      </c>
      <c r="I473" s="5" t="inlineStr">
        <is>
          <t>printed label</t>
        </is>
      </c>
      <c r="J473" s="5" t="inlineStr">
        <is>
          <t>S2-124124</t>
        </is>
      </c>
      <c r="K473" s="5" t="n">
        <v>350</v>
      </c>
      <c r="L473" s="5" t="n">
        <v>200</v>
      </c>
      <c r="M473" s="10">
        <f>IF(AND(ISNUMBER(K473),L473&gt;0),K473/L473,"")</f>
        <v/>
      </c>
      <c r="N473" s="5" t="n">
        <v>7.001</v>
      </c>
      <c r="O473" s="5" t="n">
        <v>79.3</v>
      </c>
      <c r="P473" s="5" t="n">
        <v>1</v>
      </c>
      <c r="Q473" s="5" t="n">
        <v>0</v>
      </c>
      <c r="R473" s="5" t="n">
        <v>0</v>
      </c>
      <c r="S473" s="5" t="n">
        <v>0</v>
      </c>
      <c r="T473" s="5" t="n">
        <v>1</v>
      </c>
      <c r="U473" s="5" t="n">
        <v>20</v>
      </c>
      <c r="V473" s="5" t="n">
        <v>4</v>
      </c>
      <c r="W473" s="5" t="n"/>
      <c r="X473" s="5" t="inlineStr"/>
      <c r="Y473" s="5" t="n">
        <v>3722.7</v>
      </c>
      <c r="Z473" s="5" t="n">
        <v>2906.9</v>
      </c>
      <c r="AA473" s="5" t="n">
        <v>3799.9</v>
      </c>
      <c r="AB473" s="5" t="n">
        <v>3019.4</v>
      </c>
      <c r="AC473" s="5" t="inlineStr">
        <is>
          <t>isolated_footing</t>
        </is>
      </c>
      <c r="AD473" s="5">
        <f>IF(AC473="","",IF(OR(AC473=F473,AND(AC473="crane_footing",F473="isolated_footing")),"yes","no"))</f>
        <v/>
      </c>
    </row>
    <row r="474">
      <c r="A474" s="5" t="n">
        <v>473</v>
      </c>
      <c r="B474" s="5" t="inlineStr">
        <is>
          <t>124</t>
        </is>
      </c>
      <c r="C474" s="5" t="inlineStr">
        <is>
          <t>own label</t>
        </is>
      </c>
      <c r="D474" s="5" t="inlineStr">
        <is>
          <t>outline</t>
        </is>
      </c>
      <c r="E474" s="5" t="n">
        <v>17</v>
      </c>
      <c r="F474" s="5" t="inlineStr">
        <is>
          <t>isolated_footing</t>
        </is>
      </c>
      <c r="G474" s="5" t="inlineStr">
        <is>
          <t>label vote</t>
        </is>
      </c>
      <c r="H474" s="5" t="inlineStr">
        <is>
          <t>S3</t>
        </is>
      </c>
      <c r="I474" s="5" t="inlineStr">
        <is>
          <t>printed label</t>
        </is>
      </c>
      <c r="J474" s="5" t="inlineStr">
        <is>
          <t>S3-124</t>
        </is>
      </c>
      <c r="K474" s="5" t="n">
        <v>320</v>
      </c>
      <c r="L474" s="5" t="n">
        <v>320</v>
      </c>
      <c r="M474" s="10">
        <f>IF(AND(ISNUMBER(K474),L474&gt;0),K474/L474,"")</f>
        <v/>
      </c>
      <c r="N474" s="5" t="n">
        <v>10.242</v>
      </c>
      <c r="O474" s="5" t="n">
        <v>168.8</v>
      </c>
      <c r="P474" s="5" t="n">
        <v>1</v>
      </c>
      <c r="Q474" s="5" t="n">
        <v>0</v>
      </c>
      <c r="R474" s="5" t="n">
        <v>0</v>
      </c>
      <c r="S474" s="5" t="n">
        <v>0</v>
      </c>
      <c r="T474" s="5" t="n">
        <v>1</v>
      </c>
      <c r="U474" s="5" t="n">
        <v>39</v>
      </c>
      <c r="V474" s="5" t="n">
        <v>2</v>
      </c>
      <c r="W474" s="5" t="n"/>
      <c r="X474" s="5" t="inlineStr"/>
      <c r="Y474" s="5" t="n">
        <v>4021.7</v>
      </c>
      <c r="Z474" s="5" t="n">
        <v>3158.7</v>
      </c>
      <c r="AA474" s="5" t="n">
        <v>4132.7</v>
      </c>
      <c r="AB474" s="5" t="n">
        <v>3269.8</v>
      </c>
      <c r="AC474" s="5" t="inlineStr">
        <is>
          <t>isolated_footing</t>
        </is>
      </c>
      <c r="AD474" s="5">
        <f>IF(AC474="","",IF(OR(AC474=F474,AND(AC474="crane_footing",F474="isolated_footing")),"yes","no"))</f>
        <v/>
      </c>
    </row>
    <row r="475">
      <c r="A475" s="5" t="n">
        <v>474</v>
      </c>
      <c r="B475" s="5" t="inlineStr">
        <is>
          <t>124</t>
        </is>
      </c>
      <c r="C475" s="5" t="inlineStr">
        <is>
          <t>own label</t>
        </is>
      </c>
      <c r="D475" s="5" t="inlineStr">
        <is>
          <t>outline</t>
        </is>
      </c>
      <c r="E475" s="5" t="n">
        <v>16</v>
      </c>
      <c r="F475" s="5" t="inlineStr">
        <is>
          <t>isolated_footing</t>
        </is>
      </c>
      <c r="G475" s="5" t="inlineStr">
        <is>
          <t>label vote</t>
        </is>
      </c>
      <c r="H475" s="5" t="inlineStr">
        <is>
          <t>S6</t>
        </is>
      </c>
      <c r="I475" s="5" t="inlineStr">
        <is>
          <t>printed label</t>
        </is>
      </c>
      <c r="J475" s="5" t="inlineStr">
        <is>
          <t>S6-124124</t>
        </is>
      </c>
      <c r="K475" s="5" t="n">
        <v>500</v>
      </c>
      <c r="L475" s="5" t="n">
        <v>450</v>
      </c>
      <c r="M475" s="10">
        <f>IF(AND(ISNUMBER(K475),L475&gt;0),K475/L475,"")</f>
        <v/>
      </c>
      <c r="N475" s="5" t="n">
        <v>22.497</v>
      </c>
      <c r="O475" s="5" t="n">
        <v>79.40000000000001</v>
      </c>
      <c r="P475" s="5" t="n">
        <v>1</v>
      </c>
      <c r="Q475" s="5" t="n">
        <v>0</v>
      </c>
      <c r="R475" s="5" t="n">
        <v>0</v>
      </c>
      <c r="S475" s="5" t="n">
        <v>0</v>
      </c>
      <c r="T475" s="5" t="n">
        <v>1</v>
      </c>
      <c r="U475" s="5" t="n">
        <v>24</v>
      </c>
      <c r="V475" s="5" t="n">
        <v>2</v>
      </c>
      <c r="W475" s="5" t="n"/>
      <c r="X475" s="5" t="inlineStr"/>
      <c r="Y475" s="5" t="n">
        <v>3675.4</v>
      </c>
      <c r="Z475" s="5" t="n">
        <v>3139</v>
      </c>
      <c r="AA475" s="5" t="n">
        <v>3833.1</v>
      </c>
      <c r="AB475" s="5" t="n">
        <v>3308.5</v>
      </c>
      <c r="AC475" s="5" t="inlineStr">
        <is>
          <t>isolated_footing</t>
        </is>
      </c>
      <c r="AD475" s="5">
        <f>IF(AC475="","",IF(OR(AC475=F475,AND(AC475="crane_footing",F475="isolated_footing")),"yes","no"))</f>
        <v/>
      </c>
    </row>
    <row r="476">
      <c r="A476" s="5" t="n">
        <v>475</v>
      </c>
      <c r="B476" s="5" t="inlineStr">
        <is>
          <t>124</t>
        </is>
      </c>
      <c r="C476" s="5" t="inlineStr">
        <is>
          <t>nearest labels</t>
        </is>
      </c>
      <c r="D476" s="5" t="inlineStr">
        <is>
          <t>outline</t>
        </is>
      </c>
      <c r="E476" s="5" t="n">
        <v>23</v>
      </c>
      <c r="F476" s="5" t="inlineStr">
        <is>
          <t>combined_footing</t>
        </is>
      </c>
      <c r="G476" s="5" t="inlineStr">
        <is>
          <t>similar to cluster 15 (distance 0.87)</t>
        </is>
      </c>
      <c r="H476" s="5" t="inlineStr">
        <is>
          <t>SC2</t>
        </is>
      </c>
      <c r="I476" s="5" t="inlineStr">
        <is>
          <t>printed label</t>
        </is>
      </c>
      <c r="J476" s="5" t="inlineStr">
        <is>
          <t>SC2-</t>
        </is>
      </c>
      <c r="K476" s="5" t="n">
        <v>350</v>
      </c>
      <c r="L476" s="5" t="n">
        <v>200</v>
      </c>
      <c r="M476" s="10">
        <f>IF(AND(ISNUMBER(K476),L476&gt;0),K476/L476,"")</f>
        <v/>
      </c>
      <c r="N476" s="5" t="n">
        <v>7.001</v>
      </c>
      <c r="O476" s="5" t="n">
        <v>79.3</v>
      </c>
      <c r="P476" s="5" t="n">
        <v>2</v>
      </c>
      <c r="Q476" s="5" t="n">
        <v>0</v>
      </c>
      <c r="R476" s="5" t="n">
        <v>0</v>
      </c>
      <c r="S476" s="5" t="n">
        <v>0</v>
      </c>
      <c r="T476" s="5" t="n">
        <v>2</v>
      </c>
      <c r="U476" s="5" t="n">
        <v>40</v>
      </c>
      <c r="V476" s="5" t="n">
        <v>5</v>
      </c>
      <c r="W476" s="5" t="n"/>
      <c r="X476" s="5" t="inlineStr"/>
      <c r="Y476" s="5" t="n">
        <v>3488.6</v>
      </c>
      <c r="Z476" s="5" t="n">
        <v>2936.5</v>
      </c>
      <c r="AA476" s="5" t="n">
        <v>3565.7</v>
      </c>
      <c r="AB476" s="5" t="n">
        <v>3049</v>
      </c>
      <c r="AC476" s="5" t="inlineStr">
        <is>
          <t>combined_footing</t>
        </is>
      </c>
      <c r="AD476" s="5">
        <f>IF(AC476="","",IF(OR(AC476=F476,AND(AC476="crane_footing",F476="isolated_footing")),"yes","no"))</f>
        <v/>
      </c>
    </row>
    <row r="477">
      <c r="A477" s="5" t="n">
        <v>476</v>
      </c>
      <c r="B477" s="5" t="inlineStr">
        <is>
          <t>124</t>
        </is>
      </c>
      <c r="C477" s="5" t="inlineStr">
        <is>
          <t>nearest labels in its region</t>
        </is>
      </c>
      <c r="D477" s="5" t="inlineStr">
        <is>
          <t>outline</t>
        </is>
      </c>
      <c r="E477" s="5" t="n">
        <v>15</v>
      </c>
      <c r="F477" s="5" t="inlineStr">
        <is>
          <t>combined_footing</t>
        </is>
      </c>
      <c r="G477" s="5" t="inlineStr">
        <is>
          <t>label vote</t>
        </is>
      </c>
      <c r="H477" s="5" t="inlineStr">
        <is>
          <t>SC3</t>
        </is>
      </c>
      <c r="I477" s="5" t="inlineStr">
        <is>
          <t>printed label</t>
        </is>
      </c>
      <c r="J477" s="5" t="inlineStr">
        <is>
          <t>SC3-</t>
        </is>
      </c>
      <c r="K477" s="5" t="n">
        <v>500</v>
      </c>
      <c r="L477" s="5" t="n">
        <v>450</v>
      </c>
      <c r="M477" s="10">
        <f>IF(AND(ISNUMBER(K477),L477&gt;0),K477/L477,"")</f>
        <v/>
      </c>
      <c r="N477" s="5" t="n">
        <v>22.502</v>
      </c>
      <c r="O477" s="5" t="n">
        <v>168.8</v>
      </c>
      <c r="P477" s="5" t="n">
        <v>5</v>
      </c>
      <c r="Q477" s="5" t="n">
        <v>0</v>
      </c>
      <c r="R477" s="5" t="n">
        <v>0</v>
      </c>
      <c r="S477" s="5" t="n">
        <v>0</v>
      </c>
      <c r="T477" s="5" t="n">
        <v>4</v>
      </c>
      <c r="U477" s="5" t="n">
        <v>52</v>
      </c>
      <c r="V477" s="5" t="n">
        <v>6</v>
      </c>
      <c r="W477" s="5" t="n"/>
      <c r="X477" s="5" t="inlineStr"/>
      <c r="Y477" s="5" t="n">
        <v>4164.4</v>
      </c>
      <c r="Z477" s="5" t="n">
        <v>3262.5</v>
      </c>
      <c r="AA477" s="5" t="n">
        <v>4335</v>
      </c>
      <c r="AB477" s="5" t="n">
        <v>3421.6</v>
      </c>
      <c r="AC477" s="5" t="inlineStr">
        <is>
          <t>combined_footing</t>
        </is>
      </c>
      <c r="AD477" s="5">
        <f>IF(AC477="","",IF(OR(AC477=F477,AND(AC477="crane_footing",F477="isolated_footing")),"yes","no"))</f>
        <v/>
      </c>
    </row>
    <row r="478">
      <c r="A478" s="5" t="n">
        <v>477</v>
      </c>
      <c r="B478" s="5" t="inlineStr">
        <is>
          <t>124</t>
        </is>
      </c>
      <c r="C478" s="5" t="inlineStr">
        <is>
          <t>nearest labels in its region</t>
        </is>
      </c>
      <c r="D478" s="5" t="inlineStr">
        <is>
          <t>outline</t>
        </is>
      </c>
      <c r="E478" s="5" t="n">
        <v>15</v>
      </c>
      <c r="F478" s="5" t="inlineStr">
        <is>
          <t>combined_footing</t>
        </is>
      </c>
      <c r="G478" s="5" t="inlineStr">
        <is>
          <t>label vote</t>
        </is>
      </c>
      <c r="H478" s="5" t="inlineStr">
        <is>
          <t>SC3</t>
        </is>
      </c>
      <c r="I478" s="5" t="inlineStr">
        <is>
          <t>printed label</t>
        </is>
      </c>
      <c r="J478" s="5" t="inlineStr">
        <is>
          <t>SC3-</t>
        </is>
      </c>
      <c r="K478" s="5" t="n">
        <v>500</v>
      </c>
      <c r="L478" s="5" t="n">
        <v>450</v>
      </c>
      <c r="M478" s="10">
        <f>IF(AND(ISNUMBER(K478),L478&gt;0),K478/L478,"")</f>
        <v/>
      </c>
      <c r="N478" s="5" t="n">
        <v>22.496</v>
      </c>
      <c r="O478" s="5" t="n">
        <v>78.8</v>
      </c>
      <c r="P478" s="5" t="n">
        <v>3</v>
      </c>
      <c r="Q478" s="5" t="n">
        <v>0</v>
      </c>
      <c r="R478" s="5" t="n">
        <v>0</v>
      </c>
      <c r="S478" s="5" t="n">
        <v>0</v>
      </c>
      <c r="T478" s="5" t="n">
        <v>3</v>
      </c>
      <c r="U478" s="5" t="n">
        <v>47</v>
      </c>
      <c r="V478" s="5" t="n">
        <v>10</v>
      </c>
      <c r="W478" s="5" t="n"/>
      <c r="X478" s="5" t="inlineStr"/>
      <c r="Y478" s="5" t="n">
        <v>4171.9</v>
      </c>
      <c r="Z478" s="5" t="n">
        <v>3027.2</v>
      </c>
      <c r="AA478" s="5" t="n">
        <v>4330.9</v>
      </c>
      <c r="AB478" s="5" t="n">
        <v>3197.8</v>
      </c>
      <c r="AC478" s="5" t="inlineStr">
        <is>
          <t>combined_footing</t>
        </is>
      </c>
      <c r="AD478" s="5">
        <f>IF(AC478="","",IF(OR(AC478=F478,AND(AC478="crane_footing",F478="isolated_footing")),"yes","no"))</f>
        <v/>
      </c>
    </row>
    <row r="479">
      <c r="A479" s="5" t="n">
        <v>478</v>
      </c>
      <c r="B479" s="5" t="inlineStr">
        <is>
          <t>124</t>
        </is>
      </c>
      <c r="C479" s="5" t="inlineStr">
        <is>
          <t>nearest labels</t>
        </is>
      </c>
      <c r="D479" s="5" t="inlineStr">
        <is>
          <t>outline</t>
        </is>
      </c>
      <c r="E479" s="5" t="n">
        <v>15</v>
      </c>
      <c r="F479" s="5" t="inlineStr">
        <is>
          <t>combined_footing</t>
        </is>
      </c>
      <c r="G479" s="5" t="inlineStr">
        <is>
          <t>label vote</t>
        </is>
      </c>
      <c r="H479" s="5" t="inlineStr">
        <is>
          <t>SC3</t>
        </is>
      </c>
      <c r="I479" s="5" t="inlineStr">
        <is>
          <t>printed label</t>
        </is>
      </c>
      <c r="J479" s="5" t="inlineStr">
        <is>
          <t>SC3-</t>
        </is>
      </c>
      <c r="K479" s="5" t="n">
        <v>500</v>
      </c>
      <c r="L479" s="5" t="n">
        <v>450</v>
      </c>
      <c r="M479" s="10">
        <f>IF(AND(ISNUMBER(K479),L479&gt;0),K479/L479,"")</f>
        <v/>
      </c>
      <c r="N479" s="5" t="n">
        <v>22.496</v>
      </c>
      <c r="O479" s="5" t="n">
        <v>78.8</v>
      </c>
      <c r="P479" s="5" t="n">
        <v>2</v>
      </c>
      <c r="Q479" s="5" t="n">
        <v>0</v>
      </c>
      <c r="R479" s="5" t="n">
        <v>0</v>
      </c>
      <c r="S479" s="5" t="n">
        <v>0</v>
      </c>
      <c r="T479" s="5" t="n">
        <v>2</v>
      </c>
      <c r="U479" s="5" t="n">
        <v>40</v>
      </c>
      <c r="V479" s="5" t="n">
        <v>5</v>
      </c>
      <c r="W479" s="5" t="n"/>
      <c r="X479" s="5" t="inlineStr"/>
      <c r="Y479" s="5" t="n">
        <v>3496.5</v>
      </c>
      <c r="Z479" s="5" t="n">
        <v>3154.4</v>
      </c>
      <c r="AA479" s="5" t="n">
        <v>3655.5</v>
      </c>
      <c r="AB479" s="5" t="n">
        <v>3325</v>
      </c>
      <c r="AC479" s="5" t="inlineStr">
        <is>
          <t>combined_footing</t>
        </is>
      </c>
      <c r="AD479" s="5">
        <f>IF(AC479="","",IF(OR(AC479=F479,AND(AC479="crane_footing",F479="isolated_footing")),"yes","no"))</f>
        <v/>
      </c>
    </row>
    <row r="480">
      <c r="A480" s="5" t="n">
        <v>479</v>
      </c>
      <c r="B480" s="5" t="inlineStr">
        <is>
          <t>124</t>
        </is>
      </c>
      <c r="C480" s="5" t="inlineStr">
        <is>
          <t>nearest labels in its region</t>
        </is>
      </c>
      <c r="D480" s="5" t="inlineStr">
        <is>
          <t>outline</t>
        </is>
      </c>
      <c r="E480" s="5" t="n">
        <v>15</v>
      </c>
      <c r="F480" s="5" t="inlineStr">
        <is>
          <t>combined_footing</t>
        </is>
      </c>
      <c r="G480" s="5" t="inlineStr">
        <is>
          <t>label vote</t>
        </is>
      </c>
      <c r="H480" s="5" t="inlineStr">
        <is>
          <t>SC6</t>
        </is>
      </c>
      <c r="I480" s="5" t="inlineStr">
        <is>
          <t>printed label</t>
        </is>
      </c>
      <c r="J480" s="5" t="inlineStr">
        <is>
          <t>SC6</t>
        </is>
      </c>
      <c r="K480" s="5" t="n">
        <v>600</v>
      </c>
      <c r="L480" s="5" t="n">
        <v>450</v>
      </c>
      <c r="M480" s="10">
        <f>IF(AND(ISNUMBER(K480),L480&gt;0),K480/L480,"")</f>
        <v/>
      </c>
      <c r="N480" s="5" t="n">
        <v>27.004</v>
      </c>
      <c r="O480" s="5" t="n">
        <v>79.3</v>
      </c>
      <c r="P480" s="5" t="n">
        <v>2</v>
      </c>
      <c r="Q480" s="5" t="n">
        <v>0</v>
      </c>
      <c r="R480" s="5" t="n">
        <v>0</v>
      </c>
      <c r="S480" s="5" t="n">
        <v>0</v>
      </c>
      <c r="T480" s="5" t="n">
        <v>2</v>
      </c>
      <c r="U480" s="5" t="n">
        <v>63</v>
      </c>
      <c r="V480" s="5" t="n">
        <v>5</v>
      </c>
      <c r="W480" s="5" t="n"/>
      <c r="X480" s="5" t="inlineStr"/>
      <c r="Y480" s="5" t="n">
        <v>3864.5</v>
      </c>
      <c r="Z480" s="5" t="n">
        <v>3097.6</v>
      </c>
      <c r="AA480" s="5" t="n">
        <v>4027.9</v>
      </c>
      <c r="AB480" s="5" t="n">
        <v>3296.3</v>
      </c>
      <c r="AC480" s="5" t="inlineStr">
        <is>
          <t>combined_footing</t>
        </is>
      </c>
      <c r="AD480" s="5">
        <f>IF(AC480="","",IF(OR(AC480=F480,AND(AC480="crane_footing",F480="isolated_footing")),"yes","no"))</f>
        <v/>
      </c>
    </row>
    <row r="481">
      <c r="A481" s="5" t="n">
        <v>480</v>
      </c>
      <c r="B481" s="5" t="inlineStr">
        <is>
          <t>124</t>
        </is>
      </c>
      <c r="C481" s="5" t="inlineStr">
        <is>
          <t>nearest labels in its region</t>
        </is>
      </c>
      <c r="D481" s="5" t="inlineStr">
        <is>
          <t>band</t>
        </is>
      </c>
      <c r="E481" s="5" t="n">
        <v>6</v>
      </c>
      <c r="F481" s="5" t="inlineStr">
        <is>
          <t>strip_footing</t>
        </is>
      </c>
      <c r="G481" s="5" t="inlineStr">
        <is>
          <t>label vote</t>
        </is>
      </c>
      <c r="H481" s="5" t="inlineStr">
        <is>
          <t>SF1</t>
        </is>
      </c>
      <c r="I481" s="5" t="inlineStr">
        <is>
          <t>printed label</t>
        </is>
      </c>
      <c r="J481" s="5" t="inlineStr">
        <is>
          <t>VP25/SF1- 80x25</t>
        </is>
      </c>
      <c r="K481" s="5" t="n">
        <v>476</v>
      </c>
      <c r="L481" s="5" t="n">
        <v>80</v>
      </c>
      <c r="M481" s="10">
        <f>IF(AND(ISNUMBER(K481),L481&gt;0),K481/L481,"")</f>
        <v/>
      </c>
      <c r="N481" s="5" t="n">
        <v>3.809</v>
      </c>
      <c r="O481" s="5" t="n">
        <v>169.3</v>
      </c>
      <c r="P481" s="5" t="n">
        <v>1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4</v>
      </c>
      <c r="V481" s="5" t="n">
        <v>1</v>
      </c>
      <c r="W481" s="5" t="n">
        <v>4.26</v>
      </c>
      <c r="X481" s="5" t="inlineStr"/>
      <c r="Y481" s="5" t="n">
        <v>3881.2</v>
      </c>
      <c r="Z481" s="5" t="n">
        <v>3628.9</v>
      </c>
      <c r="AA481" s="5" t="n">
        <v>4023.8</v>
      </c>
      <c r="AB481" s="5" t="n">
        <v>3678.1</v>
      </c>
      <c r="AC481" s="5" t="inlineStr"/>
      <c r="AD481" s="5">
        <f>IF(AC481="","",IF(OR(AC481=F481,AND(AC481="crane_footing",F481="isolated_footing")),"yes","no"))</f>
        <v/>
      </c>
    </row>
    <row r="482">
      <c r="A482" s="5" t="n">
        <v>481</v>
      </c>
      <c r="B482" s="5" t="inlineStr">
        <is>
          <t>124</t>
        </is>
      </c>
      <c r="C482" s="5" t="inlineStr">
        <is>
          <t>nearest labels in its region</t>
        </is>
      </c>
      <c r="D482" s="5" t="inlineStr">
        <is>
          <t>band</t>
        </is>
      </c>
      <c r="E482" s="5" t="n">
        <v>6</v>
      </c>
      <c r="F482" s="5" t="inlineStr">
        <is>
          <t>strip_footing</t>
        </is>
      </c>
      <c r="G482" s="5" t="inlineStr">
        <is>
          <t>label vote</t>
        </is>
      </c>
      <c r="H482" s="5" t="inlineStr">
        <is>
          <t>SF1</t>
        </is>
      </c>
      <c r="I482" s="5" t="inlineStr">
        <is>
          <t>printed label</t>
        </is>
      </c>
      <c r="J482" s="5" t="inlineStr">
        <is>
          <t>VP25/SF1- 80x25</t>
        </is>
      </c>
      <c r="K482" s="5" t="n">
        <v>283</v>
      </c>
      <c r="L482" s="5" t="n">
        <v>80</v>
      </c>
      <c r="M482" s="10">
        <f>IF(AND(ISNUMBER(K482),L482&gt;0),K482/L482,"")</f>
        <v/>
      </c>
      <c r="N482" s="5" t="n">
        <v>2.262</v>
      </c>
      <c r="O482" s="5" t="n">
        <v>169.3</v>
      </c>
      <c r="P482" s="5" t="n">
        <v>1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2</v>
      </c>
      <c r="V482" s="5" t="n">
        <v>1</v>
      </c>
      <c r="W482" s="5" t="n">
        <v>2.33</v>
      </c>
      <c r="X482" s="5" t="inlineStr"/>
      <c r="Y482" s="5" t="n">
        <v>3712.2</v>
      </c>
      <c r="Z482" s="5" t="n">
        <v>3671.2</v>
      </c>
      <c r="AA482" s="5" t="n">
        <v>3798.6</v>
      </c>
      <c r="AB482" s="5" t="n">
        <v>3709.9</v>
      </c>
      <c r="AC482" s="5" t="inlineStr"/>
      <c r="AD482" s="5">
        <f>IF(AC482="","",IF(OR(AC482=F482,AND(AC482="crane_footing",F482="isolated_footing")),"yes","no"))</f>
        <v/>
      </c>
    </row>
    <row r="483">
      <c r="A483" s="5" t="n">
        <v>482</v>
      </c>
      <c r="B483" s="5" t="inlineStr">
        <is>
          <t>124</t>
        </is>
      </c>
      <c r="C483" s="5" t="inlineStr">
        <is>
          <t>nearest labels in its region</t>
        </is>
      </c>
      <c r="D483" s="5" t="inlineStr">
        <is>
          <t>band</t>
        </is>
      </c>
      <c r="E483" s="5" t="n">
        <v>6</v>
      </c>
      <c r="F483" s="5" t="inlineStr">
        <is>
          <t>strip_footing</t>
        </is>
      </c>
      <c r="G483" s="5" t="inlineStr">
        <is>
          <t>label vote</t>
        </is>
      </c>
      <c r="H483" s="5" t="inlineStr">
        <is>
          <t>SF1</t>
        </is>
      </c>
      <c r="I483" s="5" t="inlineStr">
        <is>
          <t>printed label</t>
        </is>
      </c>
      <c r="J483" s="5" t="inlineStr">
        <is>
          <t>VP20-SF1 80x25</t>
        </is>
      </c>
      <c r="K483" s="5" t="n">
        <v>253</v>
      </c>
      <c r="L483" s="5" t="n">
        <v>80</v>
      </c>
      <c r="M483" s="10">
        <f>IF(AND(ISNUMBER(K483),L483&gt;0),K483/L483,"")</f>
        <v/>
      </c>
      <c r="N483" s="5" t="n">
        <v>2.027</v>
      </c>
      <c r="O483" s="5" t="n">
        <v>79.3</v>
      </c>
      <c r="P483" s="5" t="n">
        <v>1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4</v>
      </c>
      <c r="V483" s="5" t="n">
        <v>1</v>
      </c>
      <c r="W483" s="5" t="n">
        <v>2.53</v>
      </c>
      <c r="X483" s="5" t="inlineStr"/>
      <c r="Y483" s="5" t="n">
        <v>3623.9</v>
      </c>
      <c r="Z483" s="5" t="n">
        <v>3537.3</v>
      </c>
      <c r="AA483" s="5" t="n">
        <v>3661</v>
      </c>
      <c r="AB483" s="5" t="n">
        <v>3615.2</v>
      </c>
      <c r="AC483" s="5" t="inlineStr"/>
      <c r="AD483" s="5">
        <f>IF(AC483="","",IF(OR(AC483=F483,AND(AC483="crane_footing",F483="isolated_footing")),"yes","no"))</f>
        <v/>
      </c>
    </row>
    <row r="484">
      <c r="A484" s="5" t="n">
        <v>483</v>
      </c>
      <c r="B484" s="5" t="inlineStr">
        <is>
          <t>124</t>
        </is>
      </c>
      <c r="C484" s="5" t="inlineStr">
        <is>
          <t>nearest labels in its region</t>
        </is>
      </c>
      <c r="D484" s="5" t="inlineStr">
        <is>
          <t>band</t>
        </is>
      </c>
      <c r="E484" s="5" t="n">
        <v>4</v>
      </c>
      <c r="F484" s="5" t="inlineStr">
        <is>
          <t>grade_beam</t>
        </is>
      </c>
      <c r="G484" s="5" t="inlineStr">
        <is>
          <t>label vote</t>
        </is>
      </c>
      <c r="H484" s="5" t="inlineStr">
        <is>
          <t>LG40x15</t>
        </is>
      </c>
      <c r="I484" s="5" t="inlineStr">
        <is>
          <t>printed label</t>
        </is>
      </c>
      <c r="J484" s="5" t="inlineStr">
        <is>
          <t>LG-40x15</t>
        </is>
      </c>
      <c r="K484" s="5" t="n">
        <v>2393</v>
      </c>
      <c r="L484" s="5" t="n">
        <v>41</v>
      </c>
      <c r="M484" s="10">
        <f>IF(AND(ISNUMBER(K484),L484&gt;0),K484/L484,"")</f>
        <v/>
      </c>
      <c r="N484" s="5" t="n">
        <v>9.813000000000001</v>
      </c>
      <c r="O484" s="5" t="n">
        <v>79.3</v>
      </c>
      <c r="P484" s="5" t="n">
        <v>4</v>
      </c>
      <c r="Q484" s="5" t="n">
        <v>0</v>
      </c>
      <c r="R484" s="5" t="n">
        <v>0</v>
      </c>
      <c r="S484" s="5" t="n">
        <v>0</v>
      </c>
      <c r="T484" s="5" t="n">
        <v>2</v>
      </c>
      <c r="U484" s="5" t="n">
        <v>40</v>
      </c>
      <c r="V484" s="5" t="n">
        <v>6</v>
      </c>
      <c r="W484" s="5" t="n">
        <v>10.81</v>
      </c>
      <c r="X484" s="5" t="inlineStr"/>
      <c r="Y484" s="5" t="n">
        <v>3701.4</v>
      </c>
      <c r="Z484" s="5" t="n">
        <v>2976.5</v>
      </c>
      <c r="AA484" s="5" t="n">
        <v>3844.2</v>
      </c>
      <c r="AB484" s="5" t="n">
        <v>3673.1</v>
      </c>
      <c r="AC484" s="5" t="inlineStr"/>
      <c r="AD484" s="5">
        <f>IF(AC484="","",IF(OR(AC484=F484,AND(AC484="crane_footing",F484="isolated_footing")),"yes","no"))</f>
        <v/>
      </c>
    </row>
    <row r="485">
      <c r="A485" s="5" t="n">
        <v>484</v>
      </c>
      <c r="B485" s="5" t="inlineStr">
        <is>
          <t>124</t>
        </is>
      </c>
      <c r="C485" s="5" t="inlineStr">
        <is>
          <t>nearest labels in its region</t>
        </is>
      </c>
      <c r="D485" s="5" t="inlineStr">
        <is>
          <t>band</t>
        </is>
      </c>
      <c r="E485" s="5" t="n">
        <v>4</v>
      </c>
      <c r="F485" s="5" t="inlineStr">
        <is>
          <t>grade_beam</t>
        </is>
      </c>
      <c r="G485" s="5" t="inlineStr">
        <is>
          <t>label vote</t>
        </is>
      </c>
      <c r="H485" s="5" t="inlineStr">
        <is>
          <t>LG40x15</t>
        </is>
      </c>
      <c r="I485" s="5" t="inlineStr">
        <is>
          <t>printed label</t>
        </is>
      </c>
      <c r="J485" s="5" t="inlineStr">
        <is>
          <t>LG-40x15</t>
        </is>
      </c>
      <c r="K485" s="5" t="n">
        <v>1399</v>
      </c>
      <c r="L485" s="5" t="n">
        <v>41</v>
      </c>
      <c r="M485" s="10">
        <f>IF(AND(ISNUMBER(K485),L485&gt;0),K485/L485,"")</f>
        <v/>
      </c>
      <c r="N485" s="5" t="n">
        <v>5.738</v>
      </c>
      <c r="O485" s="5" t="n">
        <v>169.4</v>
      </c>
      <c r="P485" s="5" t="n">
        <v>3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12</v>
      </c>
      <c r="V485" s="5" t="n">
        <v>1</v>
      </c>
      <c r="W485" s="5" t="n">
        <v>8.32</v>
      </c>
      <c r="X485" s="5" t="inlineStr"/>
      <c r="Y485" s="5" t="n">
        <v>3653.7</v>
      </c>
      <c r="Z485" s="5" t="n">
        <v>3576.6</v>
      </c>
      <c r="AA485" s="5" t="n">
        <v>4062.1</v>
      </c>
      <c r="AB485" s="5" t="n">
        <v>3664.4</v>
      </c>
      <c r="AC485" s="5" t="inlineStr"/>
      <c r="AD485" s="5">
        <f>IF(AC485="","",IF(OR(AC485=F485,AND(AC485="crane_footing",F485="isolated_footing")),"yes","no"))</f>
        <v/>
      </c>
    </row>
    <row r="486">
      <c r="A486" s="5" t="n">
        <v>485</v>
      </c>
      <c r="B486" s="5" t="inlineStr">
        <is>
          <t>124</t>
        </is>
      </c>
      <c r="C486" s="5" t="inlineStr">
        <is>
          <t>nearest labels in its region</t>
        </is>
      </c>
      <c r="D486" s="5" t="inlineStr">
        <is>
          <t>band</t>
        </is>
      </c>
      <c r="E486" s="5" t="n">
        <v>4</v>
      </c>
      <c r="F486" s="5" t="inlineStr">
        <is>
          <t>grade_beam</t>
        </is>
      </c>
      <c r="G486" s="5" t="inlineStr">
        <is>
          <t>label vote</t>
        </is>
      </c>
      <c r="H486" s="5" t="inlineStr">
        <is>
          <t>LG40x15</t>
        </is>
      </c>
      <c r="I486" s="5" t="inlineStr">
        <is>
          <t>printed label</t>
        </is>
      </c>
      <c r="J486" s="5" t="inlineStr">
        <is>
          <t>LG-40x15</t>
        </is>
      </c>
      <c r="K486" s="5" t="n">
        <v>1205</v>
      </c>
      <c r="L486" s="5" t="n">
        <v>41</v>
      </c>
      <c r="M486" s="10">
        <f>IF(AND(ISNUMBER(K486),L486&gt;0),K486/L486,"")</f>
        <v/>
      </c>
      <c r="N486" s="5" t="n">
        <v>4.941</v>
      </c>
      <c r="O486" s="5" t="n">
        <v>169.4</v>
      </c>
      <c r="P486" s="5" t="n">
        <v>3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0</v>
      </c>
      <c r="V486" s="5" t="n">
        <v>5</v>
      </c>
      <c r="W486" s="5" t="n">
        <v>3.59</v>
      </c>
      <c r="X486" s="5" t="inlineStr"/>
      <c r="Y486" s="5" t="n">
        <v>3583.4</v>
      </c>
      <c r="Z486" s="5" t="n">
        <v>3174</v>
      </c>
      <c r="AA486" s="5" t="n">
        <v>3935.4</v>
      </c>
      <c r="AB486" s="5" t="n">
        <v>3251.2</v>
      </c>
      <c r="AC486" s="5" t="inlineStr"/>
      <c r="AD486" s="5">
        <f>IF(AC486="","",IF(OR(AC486=F486,AND(AC486="crane_footing",F486="isolated_footing")),"yes","no"))</f>
        <v/>
      </c>
    </row>
    <row r="487">
      <c r="A487" s="5" t="n">
        <v>486</v>
      </c>
      <c r="B487" s="5" t="inlineStr">
        <is>
          <t>124</t>
        </is>
      </c>
      <c r="C487" s="5" t="inlineStr">
        <is>
          <t>nearest labels in its region</t>
        </is>
      </c>
      <c r="D487" s="5" t="inlineStr">
        <is>
          <t>band</t>
        </is>
      </c>
      <c r="E487" s="5" t="n">
        <v>4</v>
      </c>
      <c r="F487" s="5" t="inlineStr">
        <is>
          <t>grade_beam</t>
        </is>
      </c>
      <c r="G487" s="5" t="inlineStr">
        <is>
          <t>label vote</t>
        </is>
      </c>
      <c r="H487" s="5" t="inlineStr">
        <is>
          <t>LG40x15</t>
        </is>
      </c>
      <c r="I487" s="5" t="inlineStr">
        <is>
          <t>printed label</t>
        </is>
      </c>
      <c r="J487" s="5" t="inlineStr">
        <is>
          <t>LG-40x15</t>
        </is>
      </c>
      <c r="K487" s="5" t="n">
        <v>1020</v>
      </c>
      <c r="L487" s="5" t="n">
        <v>41</v>
      </c>
      <c r="M487" s="10">
        <f>IF(AND(ISNUMBER(K487),L487&gt;0),K487/L487,"")</f>
        <v/>
      </c>
      <c r="N487" s="5" t="n">
        <v>4.184</v>
      </c>
      <c r="O487" s="5" t="n">
        <v>169.3</v>
      </c>
      <c r="P487" s="5" t="n">
        <v>2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9</v>
      </c>
      <c r="V487" s="5" t="n">
        <v>5</v>
      </c>
      <c r="W487" s="5" t="n">
        <v>3.01</v>
      </c>
      <c r="X487" s="5" t="inlineStr"/>
      <c r="Y487" s="5" t="n">
        <v>3952.5</v>
      </c>
      <c r="Z487" s="5" t="n">
        <v>3167.1</v>
      </c>
      <c r="AA487" s="5" t="n">
        <v>4250.8</v>
      </c>
      <c r="AB487" s="5" t="n">
        <v>3235</v>
      </c>
      <c r="AC487" s="5" t="inlineStr"/>
      <c r="AD487" s="5">
        <f>IF(AC487="","",IF(OR(AC487=F487,AND(AC487="crane_footing",F487="isolated_footing")),"yes","no"))</f>
        <v/>
      </c>
    </row>
    <row r="488">
      <c r="A488" s="5" t="n">
        <v>487</v>
      </c>
      <c r="B488" s="5" t="inlineStr">
        <is>
          <t>124</t>
        </is>
      </c>
      <c r="C488" s="5" t="inlineStr">
        <is>
          <t>nearest labels in its region</t>
        </is>
      </c>
      <c r="D488" s="5" t="inlineStr">
        <is>
          <t>band</t>
        </is>
      </c>
      <c r="E488" s="5" t="n">
        <v>4</v>
      </c>
      <c r="F488" s="5" t="inlineStr">
        <is>
          <t>grade_beam</t>
        </is>
      </c>
      <c r="G488" s="5" t="inlineStr">
        <is>
          <t>label vote</t>
        </is>
      </c>
      <c r="H488" s="5" t="inlineStr">
        <is>
          <t>LG40x15</t>
        </is>
      </c>
      <c r="I488" s="5" t="inlineStr">
        <is>
          <t>printed label</t>
        </is>
      </c>
      <c r="J488" s="5" t="inlineStr">
        <is>
          <t>LG-40x15</t>
        </is>
      </c>
      <c r="K488" s="5" t="n">
        <v>752</v>
      </c>
      <c r="L488" s="5" t="n">
        <v>41</v>
      </c>
      <c r="M488" s="10">
        <f>IF(AND(ISNUMBER(K488),L488&gt;0),K488/L488,"")</f>
        <v/>
      </c>
      <c r="N488" s="5" t="n">
        <v>3.085</v>
      </c>
      <c r="O488" s="5" t="n">
        <v>169.3</v>
      </c>
      <c r="P488" s="5" t="n">
        <v>1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4</v>
      </c>
      <c r="V488" s="5" t="n">
        <v>5</v>
      </c>
      <c r="W488" s="5" t="n">
        <v>7.52</v>
      </c>
      <c r="X488" s="5" t="inlineStr"/>
      <c r="Y488" s="5" t="n">
        <v>3787</v>
      </c>
      <c r="Z488" s="5" t="n">
        <v>3327.2</v>
      </c>
      <c r="AA488" s="5" t="n">
        <v>4007.6</v>
      </c>
      <c r="AB488" s="5" t="n">
        <v>3380.3</v>
      </c>
      <c r="AC488" s="5" t="inlineStr"/>
      <c r="AD488" s="5">
        <f>IF(AC488="","",IF(OR(AC488=F488,AND(AC488="crane_footing",F488="isolated_footing")),"yes","no"))</f>
        <v/>
      </c>
    </row>
    <row r="489">
      <c r="A489" s="5" t="n">
        <v>488</v>
      </c>
      <c r="B489" s="5" t="inlineStr">
        <is>
          <t>124</t>
        </is>
      </c>
      <c r="C489" s="5" t="inlineStr">
        <is>
          <t>nearest labels in its region</t>
        </is>
      </c>
      <c r="D489" s="5" t="inlineStr">
        <is>
          <t>band</t>
        </is>
      </c>
      <c r="E489" s="5" t="n">
        <v>4</v>
      </c>
      <c r="F489" s="5" t="inlineStr">
        <is>
          <t>grade_beam</t>
        </is>
      </c>
      <c r="G489" s="5" t="inlineStr">
        <is>
          <t>label vote</t>
        </is>
      </c>
      <c r="H489" s="5" t="inlineStr">
        <is>
          <t>LG40x15</t>
        </is>
      </c>
      <c r="I489" s="5" t="inlineStr">
        <is>
          <t>printed label</t>
        </is>
      </c>
      <c r="J489" s="5" t="inlineStr">
        <is>
          <t>LG-40x15</t>
        </is>
      </c>
      <c r="K489" s="5" t="n">
        <v>543</v>
      </c>
      <c r="L489" s="5" t="n">
        <v>41</v>
      </c>
      <c r="M489" s="10">
        <f>IF(AND(ISNUMBER(K489),L489&gt;0),K489/L489,"")</f>
        <v/>
      </c>
      <c r="N489" s="5" t="n">
        <v>2.225</v>
      </c>
      <c r="O489" s="5" t="n">
        <v>169.4</v>
      </c>
      <c r="P489" s="5" t="n">
        <v>1</v>
      </c>
      <c r="Q489" s="5" t="n">
        <v>0</v>
      </c>
      <c r="R489" s="5" t="n">
        <v>0</v>
      </c>
      <c r="S489" s="5" t="n">
        <v>0</v>
      </c>
      <c r="T489" s="5" t="n">
        <v>1</v>
      </c>
      <c r="U489" s="5" t="n">
        <v>18</v>
      </c>
      <c r="V489" s="5" t="n">
        <v>3</v>
      </c>
      <c r="W489" s="5" t="n">
        <v>1.5</v>
      </c>
      <c r="X489" s="5" t="inlineStr"/>
      <c r="Y489" s="5" t="n">
        <v>3628.4</v>
      </c>
      <c r="Z489" s="5" t="n">
        <v>3426.3</v>
      </c>
      <c r="AA489" s="5" t="n">
        <v>3788.1</v>
      </c>
      <c r="AB489" s="5" t="n">
        <v>3467.7</v>
      </c>
      <c r="AC489" s="5" t="inlineStr"/>
      <c r="AD489" s="5">
        <f>IF(AC489="","",IF(OR(AC489=F489,AND(AC489="crane_footing",F489="isolated_footing")),"yes","no"))</f>
        <v/>
      </c>
    </row>
    <row r="490">
      <c r="A490" s="5" t="n">
        <v>489</v>
      </c>
      <c r="B490" s="5" t="inlineStr">
        <is>
          <t>124</t>
        </is>
      </c>
      <c r="C490" s="5" t="inlineStr">
        <is>
          <t>nearest labels in its region</t>
        </is>
      </c>
      <c r="D490" s="5" t="inlineStr">
        <is>
          <t>band</t>
        </is>
      </c>
      <c r="E490" s="5" t="n">
        <v>4</v>
      </c>
      <c r="F490" s="5" t="inlineStr">
        <is>
          <t>grade_beam</t>
        </is>
      </c>
      <c r="G490" s="5" t="inlineStr">
        <is>
          <t>label vote</t>
        </is>
      </c>
      <c r="H490" s="5" t="inlineStr">
        <is>
          <t>LG40x15</t>
        </is>
      </c>
      <c r="I490" s="5" t="inlineStr">
        <is>
          <t>printed label</t>
        </is>
      </c>
      <c r="J490" s="5" t="inlineStr">
        <is>
          <t>LG-40x15</t>
        </is>
      </c>
      <c r="K490" s="5" t="n">
        <v>326</v>
      </c>
      <c r="L490" s="5" t="n">
        <v>41</v>
      </c>
      <c r="M490" s="10">
        <f>IF(AND(ISNUMBER(K490),L490&gt;0),K490/L490,"")</f>
        <v/>
      </c>
      <c r="N490" s="5" t="n">
        <v>1.335</v>
      </c>
      <c r="O490" s="5" t="n">
        <v>79.40000000000001</v>
      </c>
      <c r="P490" s="5" t="n">
        <v>2</v>
      </c>
      <c r="Q490" s="5" t="n">
        <v>1</v>
      </c>
      <c r="R490" s="5" t="n">
        <v>0</v>
      </c>
      <c r="S490" s="5" t="n">
        <v>0</v>
      </c>
      <c r="T490" s="5" t="n">
        <v>1</v>
      </c>
      <c r="U490" s="5" t="n">
        <v>3</v>
      </c>
      <c r="V490" s="5" t="n">
        <v>3</v>
      </c>
      <c r="W490" s="5" t="n">
        <v>1.51</v>
      </c>
      <c r="X490" s="5" t="inlineStr"/>
      <c r="Y490" s="5" t="n">
        <v>4069.1</v>
      </c>
      <c r="Z490" s="5" t="n">
        <v>3209.3</v>
      </c>
      <c r="AA490" s="5" t="n">
        <v>4098.8</v>
      </c>
      <c r="AB490" s="5" t="n">
        <v>3306</v>
      </c>
      <c r="AC490" s="5" t="inlineStr"/>
      <c r="AD490" s="5">
        <f>IF(AC490="","",IF(OR(AC490=F490,AND(AC490="crane_footing",F490="isolated_footing")),"yes","no"))</f>
        <v/>
      </c>
    </row>
    <row r="491">
      <c r="A491" s="5" t="n">
        <v>490</v>
      </c>
      <c r="B491" s="5" t="inlineStr">
        <is>
          <t>124</t>
        </is>
      </c>
      <c r="C491" s="5" t="inlineStr">
        <is>
          <t>nearest labels in its region</t>
        </is>
      </c>
      <c r="D491" s="5" t="inlineStr">
        <is>
          <t>band</t>
        </is>
      </c>
      <c r="E491" s="5" t="n">
        <v>4</v>
      </c>
      <c r="F491" s="5" t="inlineStr">
        <is>
          <t>grade_beam</t>
        </is>
      </c>
      <c r="G491" s="5" t="inlineStr">
        <is>
          <t>label vote</t>
        </is>
      </c>
      <c r="H491" s="5" t="inlineStr">
        <is>
          <t>LG40x15</t>
        </is>
      </c>
      <c r="I491" s="5" t="inlineStr">
        <is>
          <t>printed label</t>
        </is>
      </c>
      <c r="J491" s="5" t="inlineStr">
        <is>
          <t>LG-40x15</t>
        </is>
      </c>
      <c r="K491" s="5" t="n">
        <v>321</v>
      </c>
      <c r="L491" s="5" t="n">
        <v>41</v>
      </c>
      <c r="M491" s="10">
        <f>IF(AND(ISNUMBER(K491),L491&gt;0),K491/L491,"")</f>
        <v/>
      </c>
      <c r="N491" s="5" t="n">
        <v>1.315</v>
      </c>
      <c r="O491" s="5" t="n">
        <v>79.40000000000001</v>
      </c>
      <c r="P491" s="5" t="n">
        <v>2</v>
      </c>
      <c r="Q491" s="5" t="n">
        <v>1</v>
      </c>
      <c r="R491" s="5" t="n">
        <v>0</v>
      </c>
      <c r="S491" s="5" t="n">
        <v>0</v>
      </c>
      <c r="T491" s="5" t="n">
        <v>1</v>
      </c>
      <c r="U491" s="5" t="n">
        <v>2</v>
      </c>
      <c r="V491" s="5" t="n">
        <v>3</v>
      </c>
      <c r="W491" s="5" t="n">
        <v>1.5</v>
      </c>
      <c r="X491" s="5" t="inlineStr"/>
      <c r="Y491" s="5" t="n">
        <v>3985.2</v>
      </c>
      <c r="Z491" s="5" t="n">
        <v>3226.2</v>
      </c>
      <c r="AA491" s="5" t="n">
        <v>4014.6</v>
      </c>
      <c r="AB491" s="5" t="n">
        <v>3321.5</v>
      </c>
      <c r="AC491" s="5" t="inlineStr"/>
      <c r="AD491" s="5">
        <f>IF(AC491="","",IF(OR(AC491=F491,AND(AC491="crane_footing",F491="isolated_footing")),"yes","no"))</f>
        <v/>
      </c>
    </row>
    <row r="492">
      <c r="A492" s="5" t="n">
        <v>491</v>
      </c>
      <c r="B492" s="5" t="inlineStr">
        <is>
          <t>124</t>
        </is>
      </c>
      <c r="C492" s="5" t="inlineStr">
        <is>
          <t>nearest labels in its region</t>
        </is>
      </c>
      <c r="D492" s="5" t="inlineStr">
        <is>
          <t>stamped_region</t>
        </is>
      </c>
      <c r="E492" s="5" t="n">
        <v>39</v>
      </c>
      <c r="F492" s="5" t="inlineStr">
        <is>
          <t>raft</t>
        </is>
      </c>
      <c r="G492" s="5" t="inlineStr">
        <is>
          <t>label vote</t>
        </is>
      </c>
      <c r="H492" s="5" t="inlineStr">
        <is>
          <t>Radier 100</t>
        </is>
      </c>
      <c r="I492" s="5" t="inlineStr">
        <is>
          <t>printed label</t>
        </is>
      </c>
      <c r="J492" s="5" t="inlineStr">
        <is>
          <t>Radier</t>
        </is>
      </c>
      <c r="K492" s="5" t="n">
        <v>1200</v>
      </c>
      <c r="L492" s="5" t="n">
        <v>600</v>
      </c>
      <c r="M492" s="10">
        <f>IF(AND(ISNUMBER(K492),L492&gt;0),K492/L492,"")</f>
        <v/>
      </c>
      <c r="N492" s="5" t="n">
        <v>72.006</v>
      </c>
      <c r="O492" s="5" t="n">
        <v>79.40000000000001</v>
      </c>
      <c r="P492" s="5" t="n">
        <v>11</v>
      </c>
      <c r="Q492" s="5" t="n">
        <v>0</v>
      </c>
      <c r="R492" s="5" t="n">
        <v>0</v>
      </c>
      <c r="S492" s="5" t="n">
        <v>0</v>
      </c>
      <c r="T492" s="5" t="n">
        <v>9</v>
      </c>
      <c r="U492" s="5" t="n">
        <v>76</v>
      </c>
      <c r="V492" s="5" t="n">
        <v>16</v>
      </c>
      <c r="W492" s="5" t="n"/>
      <c r="X492" s="5" t="inlineStr">
        <is>
          <t>rays' extent (approximate)</t>
        </is>
      </c>
      <c r="Y492" s="5" t="n">
        <v>3960.8</v>
      </c>
      <c r="Z492" s="5" t="n">
        <v>3282.4</v>
      </c>
      <c r="AA492" s="5" t="n">
        <v>4200</v>
      </c>
      <c r="AB492" s="5" t="n">
        <v>3663.2</v>
      </c>
      <c r="AC492" s="5" t="inlineStr"/>
      <c r="AD492" s="5">
        <f>IF(AC492="","",IF(OR(AC492=F492,AND(AC492="crane_footing",F492="isolated_footing")),"yes","no"))</f>
        <v/>
      </c>
    </row>
    <row r="493">
      <c r="A493" s="5" t="n">
        <v>492</v>
      </c>
      <c r="B493" s="5" t="inlineStr">
        <is>
          <t>124</t>
        </is>
      </c>
      <c r="C493" s="5" t="inlineStr">
        <is>
          <t>nearest labels in its region</t>
        </is>
      </c>
      <c r="D493" s="5" t="inlineStr">
        <is>
          <t>cross_hatch</t>
        </is>
      </c>
      <c r="E493" s="5" t="n">
        <v>14</v>
      </c>
      <c r="F493" s="5" t="inlineStr">
        <is>
          <t>unnamed</t>
        </is>
      </c>
      <c r="G493" s="5" t="inlineStr">
        <is>
          <t>no label votes</t>
        </is>
      </c>
      <c r="H493" s="5" t="inlineStr">
        <is>
          <t>(none)</t>
        </is>
      </c>
      <c r="I493" s="5" t="inlineStr"/>
      <c r="J493" s="5" t="inlineStr"/>
      <c r="K493" s="5" t="n">
        <v>122</v>
      </c>
      <c r="L493" s="5" t="n">
        <v>20</v>
      </c>
      <c r="M493" s="10">
        <f>IF(AND(ISNUMBER(K493),L493&gt;0),K493/L493,"")</f>
        <v/>
      </c>
      <c r="N493" s="5" t="n">
        <v>0.247</v>
      </c>
      <c r="O493" s="5" t="n">
        <v>169.4</v>
      </c>
      <c r="P493" s="5" t="n">
        <v>0</v>
      </c>
      <c r="Q493" s="5" t="n">
        <v>0</v>
      </c>
      <c r="R493" s="5" t="n">
        <v>0</v>
      </c>
      <c r="S493" s="5" t="n">
        <v>1</v>
      </c>
      <c r="T493" s="5" t="n">
        <v>0</v>
      </c>
      <c r="U493" s="5" t="n">
        <v>0</v>
      </c>
      <c r="V493" s="5" t="n">
        <v>2</v>
      </c>
      <c r="W493" s="5" t="n"/>
      <c r="X493" s="5" t="inlineStr"/>
      <c r="Y493" s="5" t="n">
        <v>4029.6</v>
      </c>
      <c r="Z493" s="5" t="n">
        <v>3308</v>
      </c>
      <c r="AA493" s="5" t="n">
        <v>4082.2</v>
      </c>
      <c r="AB493" s="5" t="n">
        <v>3322.1</v>
      </c>
      <c r="AC493" s="5" t="inlineStr"/>
      <c r="AD493" s="5">
        <f>IF(AC493="","",IF(OR(AC493=F493,AND(AC493="crane_footing",F493="isolated_footing")),"yes","no"))</f>
        <v/>
      </c>
    </row>
    <row r="494">
      <c r="A494" s="5" t="n">
        <v>493</v>
      </c>
      <c r="B494" s="5" t="inlineStr">
        <is>
          <t>124</t>
        </is>
      </c>
      <c r="C494" s="5" t="inlineStr">
        <is>
          <t>nearest labels in its region</t>
        </is>
      </c>
      <c r="D494" s="5" t="inlineStr">
        <is>
          <t>cross_hatch</t>
        </is>
      </c>
      <c r="E494" s="5" t="n">
        <v>14</v>
      </c>
      <c r="F494" s="5" t="inlineStr">
        <is>
          <t>unnamed</t>
        </is>
      </c>
      <c r="G494" s="5" t="inlineStr">
        <is>
          <t>no label votes</t>
        </is>
      </c>
      <c r="H494" s="5" t="inlineStr">
        <is>
          <t>(none)</t>
        </is>
      </c>
      <c r="I494" s="5" t="inlineStr"/>
      <c r="J494" s="5" t="inlineStr"/>
      <c r="K494" s="5" t="n">
        <v>408</v>
      </c>
      <c r="L494" s="5" t="n">
        <v>20</v>
      </c>
      <c r="M494" s="10">
        <f>IF(AND(ISNUMBER(K494),L494&gt;0),K494/L494,"")</f>
        <v/>
      </c>
      <c r="N494" s="5" t="n">
        <v>0.824</v>
      </c>
      <c r="O494" s="5" t="n">
        <v>79.40000000000001</v>
      </c>
      <c r="P494" s="5" t="n">
        <v>0</v>
      </c>
      <c r="Q494" s="5" t="n">
        <v>0</v>
      </c>
      <c r="R494" s="5" t="n">
        <v>0</v>
      </c>
      <c r="S494" s="5" t="n">
        <v>1</v>
      </c>
      <c r="T494" s="5" t="n">
        <v>0</v>
      </c>
      <c r="U494" s="5" t="n">
        <v>2</v>
      </c>
      <c r="V494" s="5" t="n">
        <v>4</v>
      </c>
      <c r="W494" s="5" t="n"/>
      <c r="X494" s="5" t="inlineStr"/>
      <c r="Y494" s="5" t="n">
        <v>4008.9</v>
      </c>
      <c r="Z494" s="5" t="n">
        <v>3352.9</v>
      </c>
      <c r="AA494" s="5" t="n">
        <v>4033.3</v>
      </c>
      <c r="AB494" s="5" t="n">
        <v>3435.6</v>
      </c>
      <c r="AC494" s="5" t="inlineStr"/>
      <c r="AD494" s="5">
        <f>IF(AC494="","",IF(OR(AC494=F494,AND(AC494="crane_footing",F494="isolated_footing")),"yes","no"))</f>
        <v/>
      </c>
    </row>
    <row r="495">
      <c r="A495" s="5" t="n">
        <v>494</v>
      </c>
      <c r="B495" s="5" t="inlineStr">
        <is>
          <t>124</t>
        </is>
      </c>
      <c r="C495" s="5" t="inlineStr">
        <is>
          <t>nearest labels in its region</t>
        </is>
      </c>
      <c r="D495" s="5" t="inlineStr">
        <is>
          <t>cross_hatch</t>
        </is>
      </c>
      <c r="E495" s="5" t="n">
        <v>14</v>
      </c>
      <c r="F495" s="5" t="inlineStr">
        <is>
          <t>unnamed</t>
        </is>
      </c>
      <c r="G495" s="5" t="inlineStr">
        <is>
          <t>no label votes</t>
        </is>
      </c>
      <c r="H495" s="5" t="inlineStr">
        <is>
          <t>(none)</t>
        </is>
      </c>
      <c r="I495" s="5" t="inlineStr"/>
      <c r="J495" s="5" t="inlineStr"/>
      <c r="K495" s="5" t="n">
        <v>126</v>
      </c>
      <c r="L495" s="5" t="n">
        <v>20</v>
      </c>
      <c r="M495" s="10">
        <f>IF(AND(ISNUMBER(K495),L495&gt;0),K495/L495,"")</f>
        <v/>
      </c>
      <c r="N495" s="5" t="n">
        <v>0.255</v>
      </c>
      <c r="O495" s="5" t="n">
        <v>79.40000000000001</v>
      </c>
      <c r="P495" s="5" t="n">
        <v>0</v>
      </c>
      <c r="Q495" s="5" t="n">
        <v>0</v>
      </c>
      <c r="R495" s="5" t="n">
        <v>0</v>
      </c>
      <c r="S495" s="5" t="n">
        <v>1</v>
      </c>
      <c r="T495" s="5" t="n">
        <v>0</v>
      </c>
      <c r="U495" s="5" t="n">
        <v>0</v>
      </c>
      <c r="V495" s="5" t="n">
        <v>2</v>
      </c>
      <c r="W495" s="5" t="n"/>
      <c r="X495" s="5" t="inlineStr"/>
      <c r="Y495" s="5" t="n">
        <v>4060</v>
      </c>
      <c r="Z495" s="5" t="n">
        <v>3426.4</v>
      </c>
      <c r="AA495" s="5" t="n">
        <v>4076.4</v>
      </c>
      <c r="AB495" s="5" t="n">
        <v>3481.9</v>
      </c>
      <c r="AC495" s="5" t="inlineStr"/>
      <c r="AD495" s="5">
        <f>IF(AC495="","",IF(OR(AC495=F495,AND(AC495="crane_footing",F495="isolated_footing")),"yes","no"))</f>
        <v/>
      </c>
    </row>
    <row r="496">
      <c r="A496" s="5" t="n">
        <v>495</v>
      </c>
      <c r="B496" s="5" t="inlineStr">
        <is>
          <t>124</t>
        </is>
      </c>
      <c r="C496" s="5" t="inlineStr">
        <is>
          <t>nearest labels in its region</t>
        </is>
      </c>
      <c r="D496" s="5" t="inlineStr">
        <is>
          <t>outline</t>
        </is>
      </c>
      <c r="E496" s="5" t="n">
        <v>22</v>
      </c>
      <c r="F496" s="5" t="inlineStr">
        <is>
          <t>unnamed</t>
        </is>
      </c>
      <c r="G496" s="5" t="inlineStr">
        <is>
          <t>no label votes</t>
        </is>
      </c>
      <c r="H496" s="5" t="inlineStr">
        <is>
          <t>(none)</t>
        </is>
      </c>
      <c r="I496" s="5" t="inlineStr"/>
      <c r="J496" s="5" t="inlineStr"/>
      <c r="K496" s="5" t="n">
        <v>116</v>
      </c>
      <c r="L496" s="5" t="n">
        <v>20</v>
      </c>
      <c r="M496" s="10">
        <f>IF(AND(ISNUMBER(K496),L496&gt;0),K496/L496,"")</f>
        <v/>
      </c>
      <c r="N496" s="5" t="n">
        <v>0.231</v>
      </c>
      <c r="O496" s="5" t="n">
        <v>79.5</v>
      </c>
      <c r="P496" s="5" t="n">
        <v>2</v>
      </c>
      <c r="Q496" s="5" t="n">
        <v>0</v>
      </c>
      <c r="R496" s="5" t="n">
        <v>0</v>
      </c>
      <c r="S496" s="5" t="n">
        <v>1</v>
      </c>
      <c r="T496" s="5" t="n">
        <v>0</v>
      </c>
      <c r="U496" s="5" t="n">
        <v>4</v>
      </c>
      <c r="V496" s="5" t="n">
        <v>2</v>
      </c>
      <c r="W496" s="5" t="n"/>
      <c r="X496" s="5" t="inlineStr"/>
      <c r="Y496" s="5" t="n">
        <v>4096.8</v>
      </c>
      <c r="Z496" s="5" t="n">
        <v>3333.1</v>
      </c>
      <c r="AA496" s="5" t="n">
        <v>4108.9</v>
      </c>
      <c r="AB496" s="5" t="n">
        <v>3367.7</v>
      </c>
      <c r="AC496" s="5" t="inlineStr"/>
      <c r="AD496" s="5">
        <f>IF(AC496="","",IF(OR(AC496=F496,AND(AC496="crane_footing",F496="isolated_footing")),"yes","no"))</f>
        <v/>
      </c>
    </row>
    <row r="497">
      <c r="A497" s="5" t="n">
        <v>496</v>
      </c>
      <c r="B497" s="5" t="inlineStr">
        <is>
          <t>124</t>
        </is>
      </c>
      <c r="C497" s="5" t="inlineStr">
        <is>
          <t>nearest labels in its region</t>
        </is>
      </c>
      <c r="D497" s="5" t="inlineStr">
        <is>
          <t>outline</t>
        </is>
      </c>
      <c r="E497" s="5" t="n">
        <v>22</v>
      </c>
      <c r="F497" s="5" t="inlineStr">
        <is>
          <t>unnamed</t>
        </is>
      </c>
      <c r="G497" s="5" t="inlineStr">
        <is>
          <t>no label votes</t>
        </is>
      </c>
      <c r="H497" s="5" t="inlineStr">
        <is>
          <t>(none)</t>
        </is>
      </c>
      <c r="I497" s="5" t="inlineStr"/>
      <c r="J497" s="5" t="inlineStr"/>
      <c r="K497" s="5" t="n">
        <v>109</v>
      </c>
      <c r="L497" s="5" t="n">
        <v>20</v>
      </c>
      <c r="M497" s="10">
        <f>IF(AND(ISNUMBER(K497),L497&gt;0),K497/L497,"")</f>
        <v/>
      </c>
      <c r="N497" s="5" t="n">
        <v>0.217</v>
      </c>
      <c r="O497" s="5" t="n">
        <v>79.09999999999999</v>
      </c>
      <c r="P497" s="5" t="n">
        <v>1</v>
      </c>
      <c r="Q497" s="5" t="n">
        <v>0</v>
      </c>
      <c r="R497" s="5" t="n">
        <v>0</v>
      </c>
      <c r="S497" s="5" t="n">
        <v>1</v>
      </c>
      <c r="T497" s="5" t="n">
        <v>0</v>
      </c>
      <c r="U497" s="5" t="n">
        <v>4</v>
      </c>
      <c r="V497" s="5" t="n">
        <v>1</v>
      </c>
      <c r="W497" s="5" t="n"/>
      <c r="X497" s="5" t="inlineStr"/>
      <c r="Y497" s="5" t="n">
        <v>4037.5</v>
      </c>
      <c r="Z497" s="5" t="n">
        <v>3496.8</v>
      </c>
      <c r="AA497" s="5" t="n">
        <v>4049.4</v>
      </c>
      <c r="AB497" s="5" t="n">
        <v>3529.3</v>
      </c>
      <c r="AC497" s="5" t="inlineStr"/>
      <c r="AD497" s="5">
        <f>IF(AC497="","",IF(OR(AC497=F497,AND(AC497="crane_footing",F497="isolated_footing")),"yes","no"))</f>
        <v/>
      </c>
    </row>
    <row r="498">
      <c r="A498" s="5" t="n">
        <v>497</v>
      </c>
      <c r="B498" s="5" t="inlineStr">
        <is>
          <t>124</t>
        </is>
      </c>
      <c r="C498" s="5" t="inlineStr">
        <is>
          <t>nearest labels</t>
        </is>
      </c>
      <c r="D498" s="5" t="inlineStr">
        <is>
          <t>band</t>
        </is>
      </c>
      <c r="E498" s="5" t="n">
        <v>0</v>
      </c>
      <c r="F498" s="5" t="inlineStr">
        <is>
          <t>unnamed</t>
        </is>
      </c>
      <c r="G498" s="5" t="inlineStr">
        <is>
          <t>no label votes</t>
        </is>
      </c>
      <c r="H498" s="5" t="inlineStr">
        <is>
          <t>(none)</t>
        </is>
      </c>
      <c r="I498" s="5" t="inlineStr"/>
      <c r="J498" s="5" t="inlineStr"/>
      <c r="K498" s="5" t="n">
        <v>2255</v>
      </c>
      <c r="L498" s="5" t="n">
        <v>11</v>
      </c>
      <c r="M498" s="10">
        <f>IF(AND(ISNUMBER(K498),L498&gt;0),K498/L498,"")</f>
        <v/>
      </c>
      <c r="N498" s="5" t="n">
        <v>2.48</v>
      </c>
      <c r="O498" s="5" t="n">
        <v>79.3</v>
      </c>
      <c r="P498" s="5" t="n">
        <v>9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0</v>
      </c>
      <c r="V498" s="5" t="n">
        <v>7</v>
      </c>
      <c r="W498" s="5" t="n">
        <v>9.81</v>
      </c>
      <c r="X498" s="5" t="inlineStr"/>
      <c r="Y498" s="5" t="n">
        <v>3502.1</v>
      </c>
      <c r="Z498" s="5" t="n">
        <v>2863.6</v>
      </c>
      <c r="AA498" s="5" t="n">
        <v>3628.5</v>
      </c>
      <c r="AB498" s="5" t="n">
        <v>3518.5</v>
      </c>
      <c r="AC498" s="5" t="inlineStr"/>
      <c r="AD498" s="5">
        <f>IF(AC498="","",IF(OR(AC498=F498,AND(AC498="crane_footing",F498="isolated_footing")),"yes","no"))</f>
        <v/>
      </c>
    </row>
    <row r="499">
      <c r="A499" s="5" t="n">
        <v>498</v>
      </c>
      <c r="B499" s="5" t="inlineStr">
        <is>
          <t>124</t>
        </is>
      </c>
      <c r="C499" s="5" t="inlineStr">
        <is>
          <t>nearest labels in its region</t>
        </is>
      </c>
      <c r="D499" s="5" t="inlineStr">
        <is>
          <t>band</t>
        </is>
      </c>
      <c r="E499" s="5" t="n">
        <v>0</v>
      </c>
      <c r="F499" s="5" t="inlineStr">
        <is>
          <t>unnamed</t>
        </is>
      </c>
      <c r="G499" s="5" t="inlineStr">
        <is>
          <t>no label votes</t>
        </is>
      </c>
      <c r="H499" s="5" t="inlineStr">
        <is>
          <t>(none)</t>
        </is>
      </c>
      <c r="I499" s="5" t="inlineStr"/>
      <c r="J499" s="5" t="inlineStr"/>
      <c r="K499" s="5" t="n">
        <v>507</v>
      </c>
      <c r="L499" s="5" t="n">
        <v>11</v>
      </c>
      <c r="M499" s="10">
        <f>IF(AND(ISNUMBER(K499),L499&gt;0),K499/L499,"")</f>
        <v/>
      </c>
      <c r="N499" s="5" t="n">
        <v>0.5580000000000001</v>
      </c>
      <c r="O499" s="5" t="n">
        <v>79.3</v>
      </c>
      <c r="P499" s="5" t="n">
        <v>3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0</v>
      </c>
      <c r="V499" s="5" t="n">
        <v>2</v>
      </c>
      <c r="W499" s="5" t="n">
        <v>3.18</v>
      </c>
      <c r="X499" s="5" t="inlineStr"/>
      <c r="Y499" s="5" t="n">
        <v>4304.4</v>
      </c>
      <c r="Z499" s="5" t="n">
        <v>3399.7</v>
      </c>
      <c r="AA499" s="5" t="n">
        <v>4335.4</v>
      </c>
      <c r="AB499" s="5" t="n">
        <v>3547.5</v>
      </c>
      <c r="AC499" s="5" t="inlineStr"/>
      <c r="AD499" s="5">
        <f>IF(AC499="","",IF(OR(AC499=F499,AND(AC499="crane_footing",F499="isolated_footing")),"yes","no"))</f>
        <v/>
      </c>
    </row>
    <row r="500">
      <c r="A500" s="5" t="n">
        <v>499</v>
      </c>
      <c r="B500" s="5" t="inlineStr">
        <is>
          <t>124</t>
        </is>
      </c>
      <c r="C500" s="5" t="inlineStr">
        <is>
          <t>nearest labels in its region</t>
        </is>
      </c>
      <c r="D500" s="5" t="inlineStr">
        <is>
          <t>band</t>
        </is>
      </c>
      <c r="E500" s="5" t="n">
        <v>0</v>
      </c>
      <c r="F500" s="5" t="inlineStr">
        <is>
          <t>unnamed</t>
        </is>
      </c>
      <c r="G500" s="5" t="inlineStr">
        <is>
          <t>no label votes</t>
        </is>
      </c>
      <c r="H500" s="5" t="inlineStr">
        <is>
          <t>(none)</t>
        </is>
      </c>
      <c r="I500" s="5" t="inlineStr"/>
      <c r="J500" s="5" t="inlineStr"/>
      <c r="K500" s="5" t="n">
        <v>69</v>
      </c>
      <c r="L500" s="5" t="n">
        <v>11</v>
      </c>
      <c r="M500" s="10">
        <f>IF(AND(ISNUMBER(K500),L500&gt;0),K500/L500,"")</f>
        <v/>
      </c>
      <c r="N500" s="5" t="n">
        <v>0.076</v>
      </c>
      <c r="O500" s="5" t="n">
        <v>79.40000000000001</v>
      </c>
      <c r="P500" s="5" t="n">
        <v>0</v>
      </c>
      <c r="Q500" s="5" t="n">
        <v>0</v>
      </c>
      <c r="R500" s="5" t="n">
        <v>0</v>
      </c>
      <c r="S500" s="5" t="n">
        <v>1</v>
      </c>
      <c r="T500" s="5" t="n">
        <v>0</v>
      </c>
      <c r="U500" s="5" t="n">
        <v>0</v>
      </c>
      <c r="V500" s="5" t="n">
        <v>3</v>
      </c>
      <c r="W500" s="5" t="n">
        <v>0.6899999999999999</v>
      </c>
      <c r="X500" s="5" t="inlineStr"/>
      <c r="Y500" s="5" t="n">
        <v>3957.7</v>
      </c>
      <c r="Z500" s="5" t="n">
        <v>3314.9</v>
      </c>
      <c r="AA500" s="5" t="n">
        <v>3964.7</v>
      </c>
      <c r="AB500" s="5" t="n">
        <v>3335.6</v>
      </c>
      <c r="AC500" s="5" t="inlineStr"/>
      <c r="AD500" s="5">
        <f>IF(AC500="","",IF(OR(AC500=F500,AND(AC500="crane_footing",F500="isolated_footing")),"yes","no"))</f>
        <v/>
      </c>
    </row>
    <row r="501">
      <c r="A501" s="5" t="n">
        <v>500</v>
      </c>
      <c r="B501" s="5" t="inlineStr">
        <is>
          <t>124</t>
        </is>
      </c>
      <c r="C501" s="5" t="inlineStr">
        <is>
          <t>nearest labels in its region</t>
        </is>
      </c>
      <c r="D501" s="5" t="inlineStr">
        <is>
          <t>band</t>
        </is>
      </c>
      <c r="E501" s="5" t="n">
        <v>1</v>
      </c>
      <c r="F501" s="5" t="inlineStr">
        <is>
          <t>unnamed</t>
        </is>
      </c>
      <c r="G501" s="5" t="inlineStr">
        <is>
          <t>no label votes</t>
        </is>
      </c>
      <c r="H501" s="5" t="inlineStr">
        <is>
          <t>(none)</t>
        </is>
      </c>
      <c r="I501" s="5" t="inlineStr"/>
      <c r="J501" s="5" t="inlineStr"/>
      <c r="K501" s="5" t="n">
        <v>507</v>
      </c>
      <c r="L501" s="5" t="n">
        <v>20</v>
      </c>
      <c r="M501" s="10">
        <f>IF(AND(ISNUMBER(K501),L501&gt;0),K501/L501,"")</f>
        <v/>
      </c>
      <c r="N501" s="5" t="n">
        <v>1.015</v>
      </c>
      <c r="O501" s="5" t="n">
        <v>79.3</v>
      </c>
      <c r="P501" s="5" t="n">
        <v>1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3</v>
      </c>
      <c r="V501" s="5" t="n">
        <v>2</v>
      </c>
      <c r="W501" s="5" t="n">
        <v>3.18</v>
      </c>
      <c r="X501" s="5" t="inlineStr"/>
      <c r="Y501" s="5" t="n">
        <v>4298.7</v>
      </c>
      <c r="Z501" s="5" t="n">
        <v>3400.2</v>
      </c>
      <c r="AA501" s="5" t="n">
        <v>4332.3</v>
      </c>
      <c r="AB501" s="5" t="n">
        <v>3548.6</v>
      </c>
      <c r="AC501" s="5" t="inlineStr"/>
      <c r="AD501" s="5">
        <f>IF(AC501="","",IF(OR(AC501=F501,AND(AC501="crane_footing",F501="isolated_footing")),"yes","no"))</f>
        <v/>
      </c>
    </row>
    <row r="502">
      <c r="A502" s="5" t="n">
        <v>501</v>
      </c>
      <c r="B502" s="5" t="inlineStr">
        <is>
          <t>124</t>
        </is>
      </c>
      <c r="C502" s="5" t="inlineStr">
        <is>
          <t>nearest labels in its region</t>
        </is>
      </c>
      <c r="D502" s="5" t="inlineStr">
        <is>
          <t>band</t>
        </is>
      </c>
      <c r="E502" s="5" t="n">
        <v>1</v>
      </c>
      <c r="F502" s="5" t="inlineStr">
        <is>
          <t>unnamed</t>
        </is>
      </c>
      <c r="G502" s="5" t="inlineStr">
        <is>
          <t>no label votes</t>
        </is>
      </c>
      <c r="H502" s="5" t="inlineStr">
        <is>
          <t>(none)</t>
        </is>
      </c>
      <c r="I502" s="5" t="inlineStr"/>
      <c r="J502" s="5" t="inlineStr"/>
      <c r="K502" s="5" t="n">
        <v>483</v>
      </c>
      <c r="L502" s="5" t="n">
        <v>20</v>
      </c>
      <c r="M502" s="10">
        <f>IF(AND(ISNUMBER(K502),L502&gt;0),K502/L502,"")</f>
        <v/>
      </c>
      <c r="N502" s="5" t="n">
        <v>0.965</v>
      </c>
      <c r="O502" s="5" t="n">
        <v>79.40000000000001</v>
      </c>
      <c r="P502" s="5" t="n">
        <v>1</v>
      </c>
      <c r="Q502" s="5" t="n">
        <v>0</v>
      </c>
      <c r="R502" s="5" t="n">
        <v>0</v>
      </c>
      <c r="S502" s="5" t="n">
        <v>1</v>
      </c>
      <c r="T502" s="5" t="n">
        <v>0</v>
      </c>
      <c r="U502" s="5" t="n">
        <v>5</v>
      </c>
      <c r="V502" s="5" t="n">
        <v>2</v>
      </c>
      <c r="W502" s="5" t="n">
        <v>4.83</v>
      </c>
      <c r="X502" s="5" t="inlineStr"/>
      <c r="Y502" s="5" t="n">
        <v>4009.9</v>
      </c>
      <c r="Z502" s="5" t="n">
        <v>3349.5</v>
      </c>
      <c r="AA502" s="5" t="n">
        <v>4041.9</v>
      </c>
      <c r="AB502" s="5" t="n">
        <v>3490.6</v>
      </c>
      <c r="AC502" s="5" t="inlineStr"/>
      <c r="AD502" s="5">
        <f>IF(AC502="","",IF(OR(AC502=F502,AND(AC502="crane_footing",F502="isolated_footing")),"yes","no"))</f>
        <v/>
      </c>
    </row>
    <row r="503">
      <c r="A503" s="5" t="n">
        <v>502</v>
      </c>
      <c r="B503" s="5" t="inlineStr">
        <is>
          <t>124</t>
        </is>
      </c>
      <c r="C503" s="5" t="inlineStr">
        <is>
          <t>nearest labels in its region</t>
        </is>
      </c>
      <c r="D503" s="5" t="inlineStr">
        <is>
          <t>band</t>
        </is>
      </c>
      <c r="E503" s="5" t="n">
        <v>1</v>
      </c>
      <c r="F503" s="5" t="inlineStr">
        <is>
          <t>unnamed</t>
        </is>
      </c>
      <c r="G503" s="5" t="inlineStr">
        <is>
          <t>no label votes</t>
        </is>
      </c>
      <c r="H503" s="5" t="inlineStr">
        <is>
          <t>(none)</t>
        </is>
      </c>
      <c r="I503" s="5" t="inlineStr"/>
      <c r="J503" s="5" t="inlineStr"/>
      <c r="K503" s="5" t="n">
        <v>337</v>
      </c>
      <c r="L503" s="5" t="n">
        <v>20</v>
      </c>
      <c r="M503" s="10">
        <f>IF(AND(ISNUMBER(K503),L503&gt;0),K503/L503,"")</f>
        <v/>
      </c>
      <c r="N503" s="5" t="n">
        <v>0.675</v>
      </c>
      <c r="O503" s="5" t="n">
        <v>79.40000000000001</v>
      </c>
      <c r="P503" s="5" t="n">
        <v>1</v>
      </c>
      <c r="Q503" s="5" t="n">
        <v>0</v>
      </c>
      <c r="R503" s="5" t="n">
        <v>0</v>
      </c>
      <c r="S503" s="5" t="n">
        <v>1</v>
      </c>
      <c r="T503" s="5" t="n">
        <v>0</v>
      </c>
      <c r="U503" s="5" t="n">
        <v>2</v>
      </c>
      <c r="V503" s="5" t="n">
        <v>1</v>
      </c>
      <c r="W503" s="5" t="n">
        <v>3.37</v>
      </c>
      <c r="X503" s="5" t="inlineStr"/>
      <c r="Y503" s="5" t="n">
        <v>4052.5</v>
      </c>
      <c r="Z503" s="5" t="n">
        <v>3385</v>
      </c>
      <c r="AA503" s="5" t="n">
        <v>4076.6</v>
      </c>
      <c r="AB503" s="5" t="n">
        <v>3484</v>
      </c>
      <c r="AC503" s="5" t="inlineStr"/>
      <c r="AD503" s="5">
        <f>IF(AC503="","",IF(OR(AC503=F503,AND(AC503="crane_footing",F503="isolated_footing")),"yes","no"))</f>
        <v/>
      </c>
    </row>
    <row r="504">
      <c r="A504" s="5" t="n">
        <v>503</v>
      </c>
      <c r="B504" s="5" t="inlineStr">
        <is>
          <t>124</t>
        </is>
      </c>
      <c r="C504" s="5" t="inlineStr">
        <is>
          <t>nearest labels in its region</t>
        </is>
      </c>
      <c r="D504" s="5" t="inlineStr">
        <is>
          <t>band</t>
        </is>
      </c>
      <c r="E504" s="5" t="n">
        <v>1</v>
      </c>
      <c r="F504" s="5" t="inlineStr">
        <is>
          <t>unnamed</t>
        </is>
      </c>
      <c r="G504" s="5" t="inlineStr">
        <is>
          <t>no label votes</t>
        </is>
      </c>
      <c r="H504" s="5" t="inlineStr">
        <is>
          <t>(none)</t>
        </is>
      </c>
      <c r="I504" s="5" t="inlineStr"/>
      <c r="J504" s="5" t="inlineStr"/>
      <c r="K504" s="5" t="n">
        <v>270</v>
      </c>
      <c r="L504" s="5" t="n">
        <v>20</v>
      </c>
      <c r="M504" s="10">
        <f>IF(AND(ISNUMBER(K504),L504&gt;0),K504/L504,"")</f>
        <v/>
      </c>
      <c r="N504" s="5" t="n">
        <v>0.54</v>
      </c>
      <c r="O504" s="5" t="n">
        <v>169.5</v>
      </c>
      <c r="P504" s="5" t="n">
        <v>2</v>
      </c>
      <c r="Q504" s="5" t="n">
        <v>0</v>
      </c>
      <c r="R504" s="5" t="n">
        <v>0</v>
      </c>
      <c r="S504" s="5" t="n">
        <v>1</v>
      </c>
      <c r="T504" s="5" t="n">
        <v>0</v>
      </c>
      <c r="U504" s="5" t="n">
        <v>3</v>
      </c>
      <c r="V504" s="5" t="n">
        <v>3</v>
      </c>
      <c r="W504" s="5" t="n">
        <v>2.7</v>
      </c>
      <c r="X504" s="5" t="inlineStr"/>
      <c r="Y504" s="5" t="n">
        <v>4011.5</v>
      </c>
      <c r="Z504" s="5" t="n">
        <v>3305.5</v>
      </c>
      <c r="AA504" s="5" t="n">
        <v>4091</v>
      </c>
      <c r="AB504" s="5" t="n">
        <v>3325.8</v>
      </c>
      <c r="AC504" s="5" t="inlineStr"/>
      <c r="AD504" s="5">
        <f>IF(AC504="","",IF(OR(AC504=F504,AND(AC504="crane_footing",F504="isolated_footing")),"yes","no"))</f>
        <v/>
      </c>
    </row>
    <row r="505">
      <c r="A505" s="5" t="n">
        <v>504</v>
      </c>
      <c r="B505" s="5" t="inlineStr">
        <is>
          <t>124</t>
        </is>
      </c>
      <c r="C505" s="5" t="inlineStr">
        <is>
          <t>nearest labels in its region</t>
        </is>
      </c>
      <c r="D505" s="5" t="inlineStr">
        <is>
          <t>band</t>
        </is>
      </c>
      <c r="E505" s="5" t="n">
        <v>1</v>
      </c>
      <c r="F505" s="5" t="inlineStr">
        <is>
          <t>unnamed</t>
        </is>
      </c>
      <c r="G505" s="5" t="inlineStr">
        <is>
          <t>no label votes</t>
        </is>
      </c>
      <c r="H505" s="5" t="inlineStr">
        <is>
          <t>(none)</t>
        </is>
      </c>
      <c r="I505" s="5" t="inlineStr"/>
      <c r="J505" s="5" t="inlineStr"/>
      <c r="K505" s="5" t="n">
        <v>115</v>
      </c>
      <c r="L505" s="5" t="n">
        <v>20</v>
      </c>
      <c r="M505" s="10">
        <f>IF(AND(ISNUMBER(K505),L505&gt;0),K505/L505,"")</f>
        <v/>
      </c>
      <c r="N505" s="5" t="n">
        <v>0.231</v>
      </c>
      <c r="O505" s="5" t="n">
        <v>79.40000000000001</v>
      </c>
      <c r="P505" s="5" t="n">
        <v>2</v>
      </c>
      <c r="Q505" s="5" t="n">
        <v>1</v>
      </c>
      <c r="R505" s="5" t="n">
        <v>0</v>
      </c>
      <c r="S505" s="5" t="n">
        <v>1</v>
      </c>
      <c r="T505" s="5" t="n">
        <v>0</v>
      </c>
      <c r="U505" s="5" t="n">
        <v>4</v>
      </c>
      <c r="V505" s="5" t="n">
        <v>1</v>
      </c>
      <c r="W505" s="5" t="n">
        <v>0</v>
      </c>
      <c r="X505" s="5" t="inlineStr"/>
      <c r="Y505" s="5" t="n">
        <v>4096.8</v>
      </c>
      <c r="Z505" s="5" t="n">
        <v>3333.1</v>
      </c>
      <c r="AA505" s="5" t="n">
        <v>4108.9</v>
      </c>
      <c r="AB505" s="5" t="n">
        <v>3367.7</v>
      </c>
      <c r="AC505" s="5" t="inlineStr"/>
      <c r="AD505" s="5">
        <f>IF(AC505="","",IF(OR(AC505=F505,AND(AC505="crane_footing",F505="isolated_footing")),"yes","no"))</f>
        <v/>
      </c>
    </row>
    <row r="506">
      <c r="A506" s="5" t="n">
        <v>505</v>
      </c>
      <c r="B506" s="5" t="inlineStr">
        <is>
          <t>124</t>
        </is>
      </c>
      <c r="C506" s="5" t="inlineStr">
        <is>
          <t>nearest labels in its region</t>
        </is>
      </c>
      <c r="D506" s="5" t="inlineStr">
        <is>
          <t>band</t>
        </is>
      </c>
      <c r="E506" s="5" t="n">
        <v>1</v>
      </c>
      <c r="F506" s="5" t="inlineStr">
        <is>
          <t>unnamed</t>
        </is>
      </c>
      <c r="G506" s="5" t="inlineStr">
        <is>
          <t>no label votes</t>
        </is>
      </c>
      <c r="H506" s="5" t="inlineStr">
        <is>
          <t>(none)</t>
        </is>
      </c>
      <c r="I506" s="5" t="inlineStr"/>
      <c r="J506" s="5" t="inlineStr"/>
      <c r="K506" s="5" t="n">
        <v>108</v>
      </c>
      <c r="L506" s="5" t="n">
        <v>20</v>
      </c>
      <c r="M506" s="10">
        <f>IF(AND(ISNUMBER(K506),L506&gt;0),K506/L506,"")</f>
        <v/>
      </c>
      <c r="N506" s="5" t="n">
        <v>0.216</v>
      </c>
      <c r="O506" s="5" t="n">
        <v>79.09999999999999</v>
      </c>
      <c r="P506" s="5" t="n">
        <v>1</v>
      </c>
      <c r="Q506" s="5" t="n">
        <v>1</v>
      </c>
      <c r="R506" s="5" t="n">
        <v>0</v>
      </c>
      <c r="S506" s="5" t="n">
        <v>1</v>
      </c>
      <c r="T506" s="5" t="n">
        <v>0</v>
      </c>
      <c r="U506" s="5" t="n">
        <v>4</v>
      </c>
      <c r="V506" s="5" t="n">
        <v>0</v>
      </c>
      <c r="W506" s="5" t="n">
        <v>0</v>
      </c>
      <c r="X506" s="5" t="inlineStr"/>
      <c r="Y506" s="5" t="n">
        <v>4037.5</v>
      </c>
      <c r="Z506" s="5" t="n">
        <v>3496.8</v>
      </c>
      <c r="AA506" s="5" t="n">
        <v>4049.4</v>
      </c>
      <c r="AB506" s="5" t="n">
        <v>3529.3</v>
      </c>
      <c r="AC506" s="5" t="inlineStr"/>
      <c r="AD506" s="5">
        <f>IF(AC506="","",IF(OR(AC506=F506,AND(AC506="crane_footing",F506="isolated_footing")),"yes","no"))</f>
        <v/>
      </c>
    </row>
    <row r="507">
      <c r="A507" s="5" t="n">
        <v>506</v>
      </c>
      <c r="B507" s="5" t="inlineStr">
        <is>
          <t>124</t>
        </is>
      </c>
      <c r="C507" s="5" t="inlineStr">
        <is>
          <t>nearest labels in its region</t>
        </is>
      </c>
      <c r="D507" s="5" t="inlineStr">
        <is>
          <t>band</t>
        </is>
      </c>
      <c r="E507" s="5" t="n">
        <v>3</v>
      </c>
      <c r="F507" s="5" t="inlineStr">
        <is>
          <t>unnamed</t>
        </is>
      </c>
      <c r="G507" s="5" t="inlineStr">
        <is>
          <t>no label votes</t>
        </is>
      </c>
      <c r="H507" s="5" t="inlineStr">
        <is>
          <t>(none)</t>
        </is>
      </c>
      <c r="I507" s="5" t="inlineStr"/>
      <c r="J507" s="5" t="inlineStr"/>
      <c r="K507" s="5" t="n">
        <v>962</v>
      </c>
      <c r="L507" s="5" t="n">
        <v>31</v>
      </c>
      <c r="M507" s="10">
        <f>IF(AND(ISNUMBER(K507),L507&gt;0),K507/L507,"")</f>
        <v/>
      </c>
      <c r="N507" s="5" t="n">
        <v>2.982</v>
      </c>
      <c r="O507" s="5" t="n">
        <v>79.3</v>
      </c>
      <c r="P507" s="5" t="n">
        <v>6</v>
      </c>
      <c r="Q507" s="5" t="n">
        <v>0</v>
      </c>
      <c r="R507" s="5" t="n">
        <v>0</v>
      </c>
      <c r="S507" s="5" t="n">
        <v>0</v>
      </c>
      <c r="T507" s="5" t="n">
        <v>1</v>
      </c>
      <c r="U507" s="5" t="n">
        <v>8</v>
      </c>
      <c r="V507" s="5" t="n">
        <v>5</v>
      </c>
      <c r="W507" s="5" t="n">
        <v>3.22</v>
      </c>
      <c r="X507" s="5" t="inlineStr"/>
      <c r="Y507" s="5" t="n">
        <v>4273.8</v>
      </c>
      <c r="Z507" s="5" t="n">
        <v>3267.9</v>
      </c>
      <c r="AA507" s="5" t="n">
        <v>4335.4</v>
      </c>
      <c r="AB507" s="5" t="n">
        <v>3548.6</v>
      </c>
      <c r="AC507" s="5" t="inlineStr"/>
      <c r="AD507" s="5">
        <f>IF(AC507="","",IF(OR(AC507=F507,AND(AC507="crane_footing",F507="isolated_footing")),"yes","no"))</f>
        <v/>
      </c>
    </row>
    <row r="508">
      <c r="A508" s="5" t="n">
        <v>507</v>
      </c>
      <c r="B508" s="5" t="inlineStr">
        <is>
          <t>124</t>
        </is>
      </c>
      <c r="C508" s="5" t="inlineStr">
        <is>
          <t>nearest labels in its region</t>
        </is>
      </c>
      <c r="D508" s="5" t="inlineStr">
        <is>
          <t>band</t>
        </is>
      </c>
      <c r="E508" s="5" t="n">
        <v>3</v>
      </c>
      <c r="F508" s="5" t="inlineStr">
        <is>
          <t>unnamed</t>
        </is>
      </c>
      <c r="G508" s="5" t="inlineStr">
        <is>
          <t>no label votes</t>
        </is>
      </c>
      <c r="H508" s="5" t="inlineStr">
        <is>
          <t>(none)</t>
        </is>
      </c>
      <c r="I508" s="5" t="inlineStr"/>
      <c r="J508" s="5" t="inlineStr"/>
      <c r="K508" s="5" t="n">
        <v>122</v>
      </c>
      <c r="L508" s="5" t="n">
        <v>31</v>
      </c>
      <c r="M508" s="10">
        <f>IF(AND(ISNUMBER(K508),L508&gt;0),K508/L508,"")</f>
        <v/>
      </c>
      <c r="N508" s="5" t="n">
        <v>0.378</v>
      </c>
      <c r="O508" s="5" t="n">
        <v>79.3</v>
      </c>
      <c r="P508" s="5" t="n">
        <v>0</v>
      </c>
      <c r="Q508" s="5" t="n">
        <v>1</v>
      </c>
      <c r="R508" s="5" t="n">
        <v>0</v>
      </c>
      <c r="S508" s="5" t="n">
        <v>0</v>
      </c>
      <c r="T508" s="5" t="n">
        <v>0</v>
      </c>
      <c r="U508" s="5" t="n">
        <v>0</v>
      </c>
      <c r="V508" s="5" t="n">
        <v>4</v>
      </c>
      <c r="W508" s="5" t="n">
        <v>0</v>
      </c>
      <c r="X508" s="5" t="inlineStr"/>
      <c r="Y508" s="5" t="n">
        <v>4264.5</v>
      </c>
      <c r="Z508" s="5" t="n">
        <v>3106.4</v>
      </c>
      <c r="AA508" s="5" t="n">
        <v>4280.2</v>
      </c>
      <c r="AB508" s="5" t="n">
        <v>3143.4</v>
      </c>
      <c r="AC508" s="5" t="inlineStr"/>
      <c r="AD508" s="5">
        <f>IF(AC508="","",IF(OR(AC508=F508,AND(AC508="crane_footing",F508="isolated_footing")),"yes","no"))</f>
        <v/>
      </c>
    </row>
    <row r="509">
      <c r="A509" s="5" t="n">
        <v>508</v>
      </c>
      <c r="B509" s="5" t="inlineStr">
        <is>
          <t>124</t>
        </is>
      </c>
      <c r="C509" s="5" t="inlineStr">
        <is>
          <t>nearest labels in its region</t>
        </is>
      </c>
      <c r="D509" s="5" t="inlineStr">
        <is>
          <t>band</t>
        </is>
      </c>
      <c r="E509" s="5" t="n">
        <v>3</v>
      </c>
      <c r="F509" s="5" t="inlineStr">
        <is>
          <t>unnamed</t>
        </is>
      </c>
      <c r="G509" s="5" t="inlineStr">
        <is>
          <t>no label votes</t>
        </is>
      </c>
      <c r="H509" s="5" t="inlineStr">
        <is>
          <t>(none)</t>
        </is>
      </c>
      <c r="I509" s="5" t="inlineStr"/>
      <c r="J509" s="5" t="inlineStr"/>
      <c r="K509" s="5" t="n">
        <v>69</v>
      </c>
      <c r="L509" s="5" t="n">
        <v>31</v>
      </c>
      <c r="M509" s="10">
        <f>IF(AND(ISNUMBER(K509),L509&gt;0),K509/L509,"")</f>
        <v/>
      </c>
      <c r="N509" s="5" t="n">
        <v>0.215</v>
      </c>
      <c r="O509" s="5" t="n">
        <v>79.40000000000001</v>
      </c>
      <c r="P509" s="5" t="n">
        <v>0</v>
      </c>
      <c r="Q509" s="5" t="n">
        <v>0</v>
      </c>
      <c r="R509" s="5" t="n">
        <v>0</v>
      </c>
      <c r="S509" s="5" t="n">
        <v>1</v>
      </c>
      <c r="T509" s="5" t="n">
        <v>0</v>
      </c>
      <c r="U509" s="5" t="n">
        <v>1</v>
      </c>
      <c r="V509" s="5" t="n">
        <v>3</v>
      </c>
      <c r="W509" s="5" t="n">
        <v>0.6899999999999999</v>
      </c>
      <c r="X509" s="5" t="inlineStr"/>
      <c r="Y509" s="5" t="n">
        <v>3960.6</v>
      </c>
      <c r="Z509" s="5" t="n">
        <v>3313.3</v>
      </c>
      <c r="AA509" s="5" t="n">
        <v>3973.4</v>
      </c>
      <c r="AB509" s="5" t="n">
        <v>3335.1</v>
      </c>
      <c r="AC509" s="5" t="inlineStr"/>
      <c r="AD509" s="5">
        <f>IF(AC509="","",IF(OR(AC509=F509,AND(AC509="crane_footing",F509="isolated_footing")),"yes","no"))</f>
        <v/>
      </c>
    </row>
    <row r="510">
      <c r="A510" s="5" t="n">
        <v>509</v>
      </c>
      <c r="B510" s="5" t="inlineStr">
        <is>
          <t>124</t>
        </is>
      </c>
      <c r="C510" s="5" t="inlineStr">
        <is>
          <t>nearest labels in its region</t>
        </is>
      </c>
      <c r="D510" s="5" t="inlineStr">
        <is>
          <t>band</t>
        </is>
      </c>
      <c r="E510" s="5" t="n">
        <v>5</v>
      </c>
      <c r="F510" s="5" t="inlineStr">
        <is>
          <t>unnamed</t>
        </is>
      </c>
      <c r="G510" s="5" t="inlineStr">
        <is>
          <t>no label votes</t>
        </is>
      </c>
      <c r="H510" s="5" t="inlineStr">
        <is>
          <t>(none)</t>
        </is>
      </c>
      <c r="I510" s="5" t="inlineStr"/>
      <c r="J510" s="5" t="inlineStr"/>
      <c r="K510" s="5" t="n">
        <v>270</v>
      </c>
      <c r="L510" s="5" t="n">
        <v>49</v>
      </c>
      <c r="M510" s="10">
        <f>IF(AND(ISNUMBER(K510),L510&gt;0),K510/L510,"")</f>
        <v/>
      </c>
      <c r="N510" s="5" t="n">
        <v>1.323</v>
      </c>
      <c r="O510" s="5" t="n">
        <v>169.4</v>
      </c>
      <c r="P510" s="5" t="n">
        <v>2</v>
      </c>
      <c r="Q510" s="5" t="n">
        <v>0</v>
      </c>
      <c r="R510" s="5" t="n">
        <v>0</v>
      </c>
      <c r="S510" s="5" t="n">
        <v>1</v>
      </c>
      <c r="T510" s="5" t="n">
        <v>0</v>
      </c>
      <c r="U510" s="5" t="n">
        <v>1</v>
      </c>
      <c r="V510" s="5" t="n">
        <v>3</v>
      </c>
      <c r="W510" s="5" t="n">
        <v>2.7</v>
      </c>
      <c r="X510" s="5" t="inlineStr"/>
      <c r="Y510" s="5" t="n">
        <v>4008.9</v>
      </c>
      <c r="Z510" s="5" t="n">
        <v>3291.3</v>
      </c>
      <c r="AA510" s="5" t="n">
        <v>4089.9</v>
      </c>
      <c r="AB510" s="5" t="n">
        <v>3320.1</v>
      </c>
      <c r="AC510" s="5" t="inlineStr"/>
      <c r="AD510" s="5">
        <f>IF(AC510="","",IF(OR(AC510=F510,AND(AC510="crane_footing",F510="isolated_footing")),"yes","no"))</f>
        <v/>
      </c>
    </row>
    <row r="511">
      <c r="A511" s="5" t="n">
        <v>510</v>
      </c>
      <c r="B511" s="5" t="inlineStr">
        <is>
          <t>124</t>
        </is>
      </c>
      <c r="C511" s="5" t="inlineStr">
        <is>
          <t>nearest labels in its region</t>
        </is>
      </c>
      <c r="D511" s="5" t="inlineStr">
        <is>
          <t>band</t>
        </is>
      </c>
      <c r="E511" s="5" t="n">
        <v>8</v>
      </c>
      <c r="F511" s="5" t="inlineStr">
        <is>
          <t>unnamed</t>
        </is>
      </c>
      <c r="G511" s="5" t="inlineStr">
        <is>
          <t>no label votes</t>
        </is>
      </c>
      <c r="H511" s="5" t="inlineStr">
        <is>
          <t>(none)</t>
        </is>
      </c>
      <c r="I511" s="5" t="inlineStr"/>
      <c r="J511" s="5" t="inlineStr"/>
      <c r="K511" s="5" t="n">
        <v>122</v>
      </c>
      <c r="L511" s="5" t="n">
        <v>94</v>
      </c>
      <c r="M511" s="10">
        <f>IF(AND(ISNUMBER(K511),L511&gt;0),K511/L511,"")</f>
        <v/>
      </c>
      <c r="N511" s="5" t="n">
        <v>1.146</v>
      </c>
      <c r="O511" s="5" t="n">
        <v>79.3</v>
      </c>
      <c r="P511" s="5" t="n">
        <v>2</v>
      </c>
      <c r="Q511" s="5" t="n">
        <v>1</v>
      </c>
      <c r="R511" s="5" t="n">
        <v>0</v>
      </c>
      <c r="S511" s="5" t="n">
        <v>0</v>
      </c>
      <c r="T511" s="5" t="n">
        <v>1</v>
      </c>
      <c r="U511" s="5" t="n">
        <v>2</v>
      </c>
      <c r="V511" s="5" t="n">
        <v>4</v>
      </c>
      <c r="W511" s="5" t="n">
        <v>0</v>
      </c>
      <c r="X511" s="5" t="inlineStr"/>
      <c r="Y511" s="5" t="n">
        <v>4225.8</v>
      </c>
      <c r="Z511" s="5" t="n">
        <v>3110.2</v>
      </c>
      <c r="AA511" s="5" t="n">
        <v>4259.7</v>
      </c>
      <c r="AB511" s="5" t="n">
        <v>3150.8</v>
      </c>
      <c r="AC511" s="5" t="inlineStr"/>
      <c r="AD511" s="5">
        <f>IF(AC511="","",IF(OR(AC511=F511,AND(AC511="crane_footing",F511="isolated_footing")),"yes","no"))</f>
        <v/>
      </c>
    </row>
    <row r="512">
      <c r="A512" s="5" t="n">
        <v>511</v>
      </c>
      <c r="B512" s="5" t="inlineStr">
        <is>
          <t>124</t>
        </is>
      </c>
      <c r="C512" s="5" t="inlineStr">
        <is>
          <t>nearest labels in its region</t>
        </is>
      </c>
      <c r="D512" s="5" t="inlineStr">
        <is>
          <t>band</t>
        </is>
      </c>
      <c r="E512" s="5" t="n">
        <v>9</v>
      </c>
      <c r="F512" s="5" t="inlineStr">
        <is>
          <t>unnamed</t>
        </is>
      </c>
      <c r="G512" s="5" t="inlineStr">
        <is>
          <t>no label votes</t>
        </is>
      </c>
      <c r="H512" s="5" t="inlineStr">
        <is>
          <t>(none)</t>
        </is>
      </c>
      <c r="I512" s="5" t="inlineStr"/>
      <c r="J512" s="5" t="inlineStr"/>
      <c r="K512" s="5" t="n">
        <v>337</v>
      </c>
      <c r="L512" s="5" t="n">
        <v>99</v>
      </c>
      <c r="M512" s="10">
        <f>IF(AND(ISNUMBER(K512),L512&gt;0),K512/L512,"")</f>
        <v/>
      </c>
      <c r="N512" s="5" t="n">
        <v>3.341</v>
      </c>
      <c r="O512" s="5" t="n">
        <v>79.40000000000001</v>
      </c>
      <c r="P512" s="5" t="n">
        <v>1</v>
      </c>
      <c r="Q512" s="5" t="n">
        <v>0</v>
      </c>
      <c r="R512" s="5" t="n">
        <v>0</v>
      </c>
      <c r="S512" s="5" t="n">
        <v>1</v>
      </c>
      <c r="T512" s="5" t="n">
        <v>0</v>
      </c>
      <c r="U512" s="5" t="n">
        <v>3</v>
      </c>
      <c r="V512" s="5" t="n">
        <v>3</v>
      </c>
      <c r="W512" s="5" t="n">
        <v>3.37</v>
      </c>
      <c r="X512" s="5" t="inlineStr"/>
      <c r="Y512" s="5" t="n">
        <v>4023.7</v>
      </c>
      <c r="Z512" s="5" t="n">
        <v>3386.1</v>
      </c>
      <c r="AA512" s="5" t="n">
        <v>4070.7</v>
      </c>
      <c r="AB512" s="5" t="n">
        <v>3489.4</v>
      </c>
      <c r="AC512" s="5" t="inlineStr"/>
      <c r="AD512" s="5">
        <f>IF(AC512="","",IF(OR(AC512=F512,AND(AC512="crane_footing",F512="isolated_footing")),"yes","no"))</f>
        <v/>
      </c>
    </row>
    <row r="513">
      <c r="A513" s="5" t="n">
        <v>512</v>
      </c>
      <c r="B513" s="5" t="inlineStr">
        <is>
          <t>124</t>
        </is>
      </c>
      <c r="C513" s="5" t="inlineStr">
        <is>
          <t>nearest labels in its region</t>
        </is>
      </c>
      <c r="D513" s="5" t="inlineStr">
        <is>
          <t>band</t>
        </is>
      </c>
      <c r="E513" s="5" t="n">
        <v>10</v>
      </c>
      <c r="F513" s="5" t="inlineStr">
        <is>
          <t>unnamed</t>
        </is>
      </c>
      <c r="G513" s="5" t="inlineStr">
        <is>
          <t>no label votes</t>
        </is>
      </c>
      <c r="H513" s="5" t="inlineStr">
        <is>
          <t>(none)</t>
        </is>
      </c>
      <c r="I513" s="5" t="inlineStr"/>
      <c r="J513" s="5" t="inlineStr"/>
      <c r="K513" s="5" t="n">
        <v>122</v>
      </c>
      <c r="L513" s="5" t="n">
        <v>121</v>
      </c>
      <c r="M513" s="10">
        <f>IF(AND(ISNUMBER(K513),L513&gt;0),K513/L513,"")</f>
        <v/>
      </c>
      <c r="N513" s="5" t="n">
        <v>1.475</v>
      </c>
      <c r="O513" s="5" t="n">
        <v>79.3</v>
      </c>
      <c r="P513" s="5" t="n">
        <v>2</v>
      </c>
      <c r="Q513" s="5" t="n">
        <v>1</v>
      </c>
      <c r="R513" s="5" t="n">
        <v>0</v>
      </c>
      <c r="S513" s="5" t="n">
        <v>0</v>
      </c>
      <c r="T513" s="5" t="n">
        <v>2</v>
      </c>
      <c r="U513" s="5" t="n">
        <v>2</v>
      </c>
      <c r="V513" s="5" t="n">
        <v>5</v>
      </c>
      <c r="W513" s="5" t="n">
        <v>0</v>
      </c>
      <c r="X513" s="5" t="inlineStr"/>
      <c r="Y513" s="5" t="n">
        <v>4238.4</v>
      </c>
      <c r="Z513" s="5" t="n">
        <v>3106.4</v>
      </c>
      <c r="AA513" s="5" t="n">
        <v>4280.2</v>
      </c>
      <c r="AB513" s="5" t="n">
        <v>3148.4</v>
      </c>
      <c r="AC513" s="5" t="inlineStr"/>
      <c r="AD513" s="5">
        <f>IF(AC513="","",IF(OR(AC513=F513,AND(AC513="crane_footing",F513="isolated_footing")),"yes","no"))</f>
        <v/>
      </c>
    </row>
    <row r="514">
      <c r="A514" s="5" t="n">
        <v>513</v>
      </c>
      <c r="B514" s="5" t="inlineStr">
        <is>
          <t>124</t>
        </is>
      </c>
      <c r="C514" s="5" t="inlineStr">
        <is>
          <t>nearest labels in its region</t>
        </is>
      </c>
      <c r="D514" s="5" t="inlineStr">
        <is>
          <t>band</t>
        </is>
      </c>
      <c r="E514" s="5" t="n">
        <v>11</v>
      </c>
      <c r="F514" s="5" t="inlineStr">
        <is>
          <t>unnamed</t>
        </is>
      </c>
      <c r="G514" s="5" t="inlineStr">
        <is>
          <t>no label votes</t>
        </is>
      </c>
      <c r="H514" s="5" t="inlineStr">
        <is>
          <t>(none)</t>
        </is>
      </c>
      <c r="I514" s="5" t="inlineStr"/>
      <c r="J514" s="5" t="inlineStr"/>
      <c r="K514" s="5" t="n">
        <v>122</v>
      </c>
      <c r="L514" s="5" t="n">
        <v>134</v>
      </c>
      <c r="M514" s="10">
        <f>IF(AND(ISNUMBER(K514),L514&gt;0),K514/L514,"")</f>
        <v/>
      </c>
      <c r="N514" s="5" t="n">
        <v>1.634</v>
      </c>
      <c r="O514" s="5" t="n">
        <v>169.3</v>
      </c>
      <c r="P514" s="5" t="n">
        <v>2</v>
      </c>
      <c r="Q514" s="5" t="n">
        <v>1</v>
      </c>
      <c r="R514" s="5" t="n">
        <v>0</v>
      </c>
      <c r="S514" s="5" t="n">
        <v>0</v>
      </c>
      <c r="T514" s="5" t="n">
        <v>2</v>
      </c>
      <c r="U514" s="5" t="n">
        <v>3</v>
      </c>
      <c r="V514" s="5" t="n">
        <v>5</v>
      </c>
      <c r="W514" s="5" t="n">
        <v>0</v>
      </c>
      <c r="X514" s="5" t="inlineStr"/>
      <c r="Y514" s="5" t="n">
        <v>4225.8</v>
      </c>
      <c r="Z514" s="5" t="n">
        <v>3108</v>
      </c>
      <c r="AA514" s="5" t="n">
        <v>4271.3</v>
      </c>
      <c r="AB514" s="5" t="n">
        <v>3150.8</v>
      </c>
      <c r="AC514" s="5" t="inlineStr"/>
      <c r="AD514" s="5">
        <f>IF(AC514="","",IF(OR(AC514=F514,AND(AC514="crane_footing",F514="isolated_footing")),"yes","no"))</f>
        <v/>
      </c>
    </row>
    <row r="515">
      <c r="A515" s="5" t="n">
        <v>514</v>
      </c>
      <c r="B515" s="5" t="inlineStr">
        <is>
          <t>124</t>
        </is>
      </c>
      <c r="C515" s="5" t="inlineStr">
        <is>
          <t>nearest labels in its region</t>
        </is>
      </c>
      <c r="D515" s="5" t="inlineStr">
        <is>
          <t>band</t>
        </is>
      </c>
      <c r="E515" s="5" t="n">
        <v>12</v>
      </c>
      <c r="F515" s="5" t="inlineStr">
        <is>
          <t>unnamed</t>
        </is>
      </c>
      <c r="G515" s="5" t="inlineStr">
        <is>
          <t>no label votes</t>
        </is>
      </c>
      <c r="H515" s="5" t="inlineStr">
        <is>
          <t>(none)</t>
        </is>
      </c>
      <c r="I515" s="5" t="inlineStr"/>
      <c r="J515" s="5" t="inlineStr"/>
      <c r="K515" s="5" t="n">
        <v>483</v>
      </c>
      <c r="L515" s="5" t="n">
        <v>140</v>
      </c>
      <c r="M515" s="10">
        <f>IF(AND(ISNUMBER(K515),L515&gt;0),K515/L515,"")</f>
        <v/>
      </c>
      <c r="N515" s="5" t="n">
        <v>6.757</v>
      </c>
      <c r="O515" s="5" t="n">
        <v>79.40000000000001</v>
      </c>
      <c r="P515" s="5" t="n">
        <v>1</v>
      </c>
      <c r="Q515" s="5" t="n">
        <v>0</v>
      </c>
      <c r="R515" s="5" t="n">
        <v>0</v>
      </c>
      <c r="S515" s="5" t="n">
        <v>1</v>
      </c>
      <c r="T515" s="5" t="n">
        <v>0</v>
      </c>
      <c r="U515" s="5" t="n">
        <v>4</v>
      </c>
      <c r="V515" s="5" t="n">
        <v>3</v>
      </c>
      <c r="W515" s="5" t="n">
        <v>4.83</v>
      </c>
      <c r="X515" s="5" t="inlineStr"/>
      <c r="Y515" s="5" t="n">
        <v>3969.1</v>
      </c>
      <c r="Z515" s="5" t="n">
        <v>3350.6</v>
      </c>
      <c r="AA515" s="5" t="n">
        <v>4035.9</v>
      </c>
      <c r="AB515" s="5" t="n">
        <v>3498.2</v>
      </c>
      <c r="AC515" s="5" t="inlineStr"/>
      <c r="AD515" s="5">
        <f>IF(AC515="","",IF(OR(AC515=F515,AND(AC515="crane_footing",F515="isolated_footing")),"yes","no"))</f>
        <v/>
      </c>
    </row>
    <row r="516">
      <c r="A516" s="5" t="n">
        <v>515</v>
      </c>
      <c r="B516" s="5" t="inlineStr">
        <is>
          <t>124</t>
        </is>
      </c>
      <c r="C516" s="5" t="inlineStr">
        <is>
          <t>own label</t>
        </is>
      </c>
      <c r="D516" s="5" t="inlineStr">
        <is>
          <t>band</t>
        </is>
      </c>
      <c r="E516" s="5" t="n">
        <v>12</v>
      </c>
      <c r="F516" s="5" t="inlineStr">
        <is>
          <t>unnamed</t>
        </is>
      </c>
      <c r="G516" s="5" t="inlineStr">
        <is>
          <t>no label votes</t>
        </is>
      </c>
      <c r="H516" s="5" t="inlineStr">
        <is>
          <t>P1/124</t>
        </is>
      </c>
      <c r="I516" s="5" t="inlineStr">
        <is>
          <t>printed label</t>
        </is>
      </c>
      <c r="J516" s="5" t="inlineStr">
        <is>
          <t>P1/124/124</t>
        </is>
      </c>
      <c r="K516" s="5" t="n">
        <v>116</v>
      </c>
      <c r="L516" s="5" t="n">
        <v>140</v>
      </c>
      <c r="M516" s="10">
        <f>IF(AND(ISNUMBER(K516),L516&gt;0),K516/L516,"")</f>
        <v/>
      </c>
      <c r="N516" s="5" t="n">
        <v>1.619</v>
      </c>
      <c r="O516" s="5" t="n">
        <v>169.4</v>
      </c>
      <c r="P516" s="5" t="n">
        <v>2</v>
      </c>
      <c r="Q516" s="5" t="n">
        <v>0</v>
      </c>
      <c r="R516" s="5" t="n">
        <v>0</v>
      </c>
      <c r="S516" s="5" t="n">
        <v>1</v>
      </c>
      <c r="T516" s="5" t="n">
        <v>0</v>
      </c>
      <c r="U516" s="5" t="n">
        <v>0</v>
      </c>
      <c r="V516" s="5" t="n">
        <v>1</v>
      </c>
      <c r="W516" s="5" t="n">
        <v>1.16</v>
      </c>
      <c r="X516" s="5" t="inlineStr"/>
      <c r="Y516" s="5" t="n">
        <v>4102.5</v>
      </c>
      <c r="Z516" s="5" t="n">
        <v>3325.5</v>
      </c>
      <c r="AA516" s="5" t="n">
        <v>4149.4</v>
      </c>
      <c r="AB516" s="5" t="n">
        <v>3366.7</v>
      </c>
      <c r="AC516" s="5" t="inlineStr"/>
      <c r="AD516" s="5">
        <f>IF(AC516="","",IF(OR(AC516=F516,AND(AC516="crane_footing",F516="isolated_footing")),"yes","no"))</f>
        <v/>
      </c>
    </row>
    <row r="517">
      <c r="A517" s="5" t="n">
        <v>516</v>
      </c>
      <c r="B517" s="5" t="inlineStr">
        <is>
          <t>125</t>
        </is>
      </c>
      <c r="C517" s="5" t="inlineStr">
        <is>
          <t>region between joints</t>
        </is>
      </c>
      <c r="D517" s="5" t="inlineStr">
        <is>
          <t>solid</t>
        </is>
      </c>
      <c r="E517" s="5" t="n">
        <v>31</v>
      </c>
      <c r="F517" s="5" t="inlineStr">
        <is>
          <t>column</t>
        </is>
      </c>
      <c r="G517" s="5" t="inlineStr">
        <is>
          <t>label vote</t>
        </is>
      </c>
      <c r="H517" s="5" t="inlineStr">
        <is>
          <t>(none)</t>
        </is>
      </c>
      <c r="I517" s="5" t="inlineStr">
        <is>
          <t>no column type in its building has this size</t>
        </is>
      </c>
      <c r="J517" s="5" t="inlineStr"/>
      <c r="K517" s="5" t="n">
        <v>39</v>
      </c>
      <c r="L517" s="5" t="n">
        <v>20</v>
      </c>
      <c r="M517" s="10">
        <f>IF(AND(ISNUMBER(K517),L517&gt;0),K517/L517,"")</f>
        <v/>
      </c>
      <c r="N517" s="5" t="n">
        <v>0.079</v>
      </c>
      <c r="O517" s="5" t="n">
        <v>169.6</v>
      </c>
      <c r="P517" s="5" t="n">
        <v>1</v>
      </c>
      <c r="Q517" s="5" t="n">
        <v>0</v>
      </c>
      <c r="R517" s="5" t="n">
        <v>0</v>
      </c>
      <c r="S517" s="5" t="n">
        <v>1</v>
      </c>
      <c r="T517" s="5" t="n">
        <v>0</v>
      </c>
      <c r="U517" s="5" t="n">
        <v>1</v>
      </c>
      <c r="V517" s="5" t="n">
        <v>0</v>
      </c>
      <c r="W517" s="5" t="n"/>
      <c r="X517" s="5" t="inlineStr"/>
      <c r="Y517" s="5" t="n">
        <v>3154.7</v>
      </c>
      <c r="Z517" s="5" t="n">
        <v>3612.2</v>
      </c>
      <c r="AA517" s="5" t="n">
        <v>3167.1</v>
      </c>
      <c r="AB517" s="5" t="n">
        <v>3620.2</v>
      </c>
      <c r="AC517" s="5" t="inlineStr"/>
      <c r="AD517" s="5">
        <f>IF(AC517="","",IF(OR(AC517=F517,AND(AC517="crane_footing",F517="isolated_footing")),"yes","no"))</f>
        <v/>
      </c>
    </row>
    <row r="518">
      <c r="A518" s="5" t="n">
        <v>517</v>
      </c>
      <c r="B518" s="5" t="inlineStr">
        <is>
          <t>125</t>
        </is>
      </c>
      <c r="C518" s="5" t="inlineStr">
        <is>
          <t>region between joints</t>
        </is>
      </c>
      <c r="D518" s="5" t="inlineStr">
        <is>
          <t>solid</t>
        </is>
      </c>
      <c r="E518" s="5" t="n">
        <v>31</v>
      </c>
      <c r="F518" s="5" t="inlineStr">
        <is>
          <t>column</t>
        </is>
      </c>
      <c r="G518" s="5" t="inlineStr">
        <is>
          <t>label vote</t>
        </is>
      </c>
      <c r="H518" s="5" t="inlineStr">
        <is>
          <t>(none)</t>
        </is>
      </c>
      <c r="I518" s="5" t="inlineStr">
        <is>
          <t>no column type in its building has this size</t>
        </is>
      </c>
      <c r="J518" s="5" t="inlineStr"/>
      <c r="K518" s="5" t="n">
        <v>34</v>
      </c>
      <c r="L518" s="5" t="n">
        <v>20</v>
      </c>
      <c r="M518" s="10">
        <f>IF(AND(ISNUMBER(K518),L518&gt;0),K518/L518,"")</f>
        <v/>
      </c>
      <c r="N518" s="5" t="n">
        <v>0.06900000000000001</v>
      </c>
      <c r="O518" s="5" t="n">
        <v>79</v>
      </c>
      <c r="P518" s="5" t="n">
        <v>0</v>
      </c>
      <c r="Q518" s="5" t="n">
        <v>0</v>
      </c>
      <c r="R518" s="5" t="n">
        <v>0</v>
      </c>
      <c r="S518" s="5" t="n">
        <v>1</v>
      </c>
      <c r="T518" s="5" t="n">
        <v>0</v>
      </c>
      <c r="U518" s="5" t="n">
        <v>0</v>
      </c>
      <c r="V518" s="5" t="n">
        <v>0</v>
      </c>
      <c r="W518" s="5" t="n"/>
      <c r="X518" s="5" t="inlineStr"/>
      <c r="Y518" s="5" t="n">
        <v>3175.6</v>
      </c>
      <c r="Z518" s="5" t="n">
        <v>3619.9</v>
      </c>
      <c r="AA518" s="5" t="n">
        <v>3183.3</v>
      </c>
      <c r="AB518" s="5" t="n">
        <v>3631</v>
      </c>
      <c r="AC518" s="5" t="inlineStr"/>
      <c r="AD518" s="5">
        <f>IF(AC518="","",IF(OR(AC518=F518,AND(AC518="crane_footing",F518="isolated_footing")),"yes","no"))</f>
        <v/>
      </c>
    </row>
    <row r="519">
      <c r="A519" s="5" t="n">
        <v>518</v>
      </c>
      <c r="B519" s="5" t="inlineStr">
        <is>
          <t>125</t>
        </is>
      </c>
      <c r="C519" s="5" t="inlineStr">
        <is>
          <t>own label</t>
        </is>
      </c>
      <c r="D519" s="5" t="inlineStr">
        <is>
          <t>solid</t>
        </is>
      </c>
      <c r="E519" s="5" t="n">
        <v>29</v>
      </c>
      <c r="F519" s="5" t="inlineStr">
        <is>
          <t>column</t>
        </is>
      </c>
      <c r="G519" s="5" t="inlineStr">
        <is>
          <t>label vote</t>
        </is>
      </c>
      <c r="H519" s="5" t="inlineStr">
        <is>
          <t>P1/125</t>
        </is>
      </c>
      <c r="I519" s="5" t="inlineStr">
        <is>
          <t>printed label</t>
        </is>
      </c>
      <c r="J519" s="5" t="inlineStr">
        <is>
          <t>P1/125/125</t>
        </is>
      </c>
      <c r="K519" s="5" t="n">
        <v>80</v>
      </c>
      <c r="L519" s="5" t="n">
        <v>30</v>
      </c>
      <c r="M519" s="10">
        <f>IF(AND(ISNUMBER(K519),L519&gt;0),K519/L519,"")</f>
        <v/>
      </c>
      <c r="N519" s="5" t="n">
        <v>0.24</v>
      </c>
      <c r="O519" s="5" t="n">
        <v>79.40000000000001</v>
      </c>
      <c r="P519" s="5" t="n">
        <v>0</v>
      </c>
      <c r="Q519" s="5" t="n">
        <v>0</v>
      </c>
      <c r="R519" s="5" t="n">
        <v>0</v>
      </c>
      <c r="S519" s="5" t="n">
        <v>1</v>
      </c>
      <c r="T519" s="5" t="n">
        <v>0</v>
      </c>
      <c r="U519" s="5" t="n">
        <v>1</v>
      </c>
      <c r="V519" s="5" t="n">
        <v>2</v>
      </c>
      <c r="W519" s="5" t="n"/>
      <c r="X519" s="5" t="inlineStr"/>
      <c r="Y519" s="5" t="n">
        <v>3226.5</v>
      </c>
      <c r="Z519" s="5" t="n">
        <v>3425.2</v>
      </c>
      <c r="AA519" s="5" t="n">
        <v>3239.6</v>
      </c>
      <c r="AB519" s="5" t="n">
        <v>3450.1</v>
      </c>
      <c r="AC519" s="5" t="inlineStr">
        <is>
          <t>column</t>
        </is>
      </c>
      <c r="AD519" s="5">
        <f>IF(AC519="","",IF(OR(AC519=F519,AND(AC519="crane_footing",F519="isolated_footing")),"yes","no"))</f>
        <v/>
      </c>
    </row>
    <row r="520">
      <c r="A520" s="5" t="n">
        <v>519</v>
      </c>
      <c r="B520" s="5" t="inlineStr">
        <is>
          <t>125</t>
        </is>
      </c>
      <c r="C520" s="5" t="inlineStr">
        <is>
          <t>own label</t>
        </is>
      </c>
      <c r="D520" s="5" t="inlineStr">
        <is>
          <t>solid</t>
        </is>
      </c>
      <c r="E520" s="5" t="n">
        <v>29</v>
      </c>
      <c r="F520" s="5" t="inlineStr">
        <is>
          <t>column</t>
        </is>
      </c>
      <c r="G520" s="5" t="inlineStr">
        <is>
          <t>label vote</t>
        </is>
      </c>
      <c r="H520" s="5" t="inlineStr">
        <is>
          <t>P1/125</t>
        </is>
      </c>
      <c r="I520" s="5" t="inlineStr">
        <is>
          <t>printed label</t>
        </is>
      </c>
      <c r="J520" s="5" t="inlineStr">
        <is>
          <t>P1/125/125</t>
        </is>
      </c>
      <c r="K520" s="5" t="n">
        <v>80</v>
      </c>
      <c r="L520" s="5" t="n">
        <v>30</v>
      </c>
      <c r="M520" s="10">
        <f>IF(AND(ISNUMBER(K520),L520&gt;0),K520/L520,"")</f>
        <v/>
      </c>
      <c r="N520" s="5" t="n">
        <v>0.24</v>
      </c>
      <c r="O520" s="5" t="n">
        <v>79.5</v>
      </c>
      <c r="P520" s="5" t="n">
        <v>0</v>
      </c>
      <c r="Q520" s="5" t="n">
        <v>0</v>
      </c>
      <c r="R520" s="5" t="n">
        <v>0</v>
      </c>
      <c r="S520" s="5" t="n">
        <v>1</v>
      </c>
      <c r="T520" s="5" t="n">
        <v>0</v>
      </c>
      <c r="U520" s="5" t="n">
        <v>1</v>
      </c>
      <c r="V520" s="5" t="n">
        <v>2</v>
      </c>
      <c r="W520" s="5" t="n"/>
      <c r="X520" s="5" t="inlineStr"/>
      <c r="Y520" s="5" t="n">
        <v>3159.7</v>
      </c>
      <c r="Z520" s="5" t="n">
        <v>3437.7</v>
      </c>
      <c r="AA520" s="5" t="n">
        <v>3172.8</v>
      </c>
      <c r="AB520" s="5" t="n">
        <v>3462.5</v>
      </c>
      <c r="AC520" s="5" t="inlineStr">
        <is>
          <t>column</t>
        </is>
      </c>
      <c r="AD520" s="5">
        <f>IF(AC520="","",IF(OR(AC520=F520,AND(AC520="crane_footing",F520="isolated_footing")),"yes","no"))</f>
        <v/>
      </c>
    </row>
    <row r="521">
      <c r="A521" s="5" t="n">
        <v>520</v>
      </c>
      <c r="B521" s="5" t="inlineStr">
        <is>
          <t>125</t>
        </is>
      </c>
      <c r="C521" s="5" t="inlineStr">
        <is>
          <t>region between joints</t>
        </is>
      </c>
      <c r="D521" s="5" t="inlineStr">
        <is>
          <t>solid</t>
        </is>
      </c>
      <c r="E521" s="5" t="n">
        <v>32</v>
      </c>
      <c r="F521" s="5" t="inlineStr">
        <is>
          <t>shear_wall</t>
        </is>
      </c>
      <c r="G521" s="5" t="inlineStr">
        <is>
          <t>label vote</t>
        </is>
      </c>
      <c r="H521" s="5" t="inlineStr">
        <is>
          <t>(none)</t>
        </is>
      </c>
      <c r="I521" s="5" t="inlineStr">
        <is>
          <t>no shear_wall type in its building has this size</t>
        </is>
      </c>
      <c r="J521" s="5" t="inlineStr"/>
      <c r="K521" s="5" t="n">
        <v>500</v>
      </c>
      <c r="L521" s="5" t="n">
        <v>25</v>
      </c>
      <c r="M521" s="10">
        <f>IF(AND(ISNUMBER(K521),L521&gt;0),K521/L521,"")</f>
        <v/>
      </c>
      <c r="N521" s="5" t="n">
        <v>1.254</v>
      </c>
      <c r="O521" s="5" t="n">
        <v>116.6</v>
      </c>
      <c r="P521" s="5" t="n">
        <v>1</v>
      </c>
      <c r="Q521" s="5" t="n">
        <v>0</v>
      </c>
      <c r="R521" s="5" t="n">
        <v>0</v>
      </c>
      <c r="S521" s="5" t="n">
        <v>1</v>
      </c>
      <c r="T521" s="5" t="n">
        <v>0</v>
      </c>
      <c r="U521" s="5" t="n">
        <v>5</v>
      </c>
      <c r="V521" s="5" t="n">
        <v>0</v>
      </c>
      <c r="W521" s="5" t="n"/>
      <c r="X521" s="5" t="inlineStr"/>
      <c r="Y521" s="5" t="n">
        <v>2629.6</v>
      </c>
      <c r="Z521" s="5" t="n">
        <v>3553.2</v>
      </c>
      <c r="AA521" s="5" t="n">
        <v>2702.4</v>
      </c>
      <c r="AB521" s="5" t="n">
        <v>3688.4</v>
      </c>
      <c r="AC521" s="5" t="inlineStr"/>
      <c r="AD521" s="5">
        <f>IF(AC521="","",IF(OR(AC521=F521,AND(AC521="crane_footing",F521="isolated_footing")),"yes","no"))</f>
        <v/>
      </c>
    </row>
    <row r="522">
      <c r="A522" s="5" t="n">
        <v>521</v>
      </c>
      <c r="B522" s="5" t="inlineStr">
        <is>
          <t>125</t>
        </is>
      </c>
      <c r="C522" s="5" t="inlineStr">
        <is>
          <t>region between joints</t>
        </is>
      </c>
      <c r="D522" s="5" t="inlineStr">
        <is>
          <t>solid</t>
        </is>
      </c>
      <c r="E522" s="5" t="n">
        <v>30</v>
      </c>
      <c r="F522" s="5" t="inlineStr">
        <is>
          <t>shear_wall</t>
        </is>
      </c>
      <c r="G522" s="5" t="inlineStr">
        <is>
          <t>label vote</t>
        </is>
      </c>
      <c r="H522" s="5" t="inlineStr">
        <is>
          <t>(none)</t>
        </is>
      </c>
      <c r="I522" s="5" t="inlineStr">
        <is>
          <t>no shear_wall type in its building has this size</t>
        </is>
      </c>
      <c r="J522" s="5" t="inlineStr"/>
      <c r="K522" s="5" t="n">
        <v>500</v>
      </c>
      <c r="L522" s="5" t="n">
        <v>25</v>
      </c>
      <c r="M522" s="10">
        <f>IF(AND(ISNUMBER(K522),L522&gt;0),K522/L522,"")</f>
        <v/>
      </c>
      <c r="N522" s="5" t="n">
        <v>1.245</v>
      </c>
      <c r="O522" s="5" t="n">
        <v>116.6</v>
      </c>
      <c r="P522" s="5" t="n">
        <v>2</v>
      </c>
      <c r="Q522" s="5" t="n">
        <v>0</v>
      </c>
      <c r="R522" s="5" t="n">
        <v>0</v>
      </c>
      <c r="S522" s="5" t="n">
        <v>1</v>
      </c>
      <c r="T522" s="5" t="n">
        <v>0</v>
      </c>
      <c r="U522" s="5" t="n">
        <v>3</v>
      </c>
      <c r="V522" s="5" t="n">
        <v>0</v>
      </c>
      <c r="W522" s="5" t="n"/>
      <c r="X522" s="5" t="inlineStr"/>
      <c r="Y522" s="5" t="n">
        <v>2707.4</v>
      </c>
      <c r="Z522" s="5" t="n">
        <v>3592.2</v>
      </c>
      <c r="AA522" s="5" t="n">
        <v>2780.2</v>
      </c>
      <c r="AB522" s="5" t="n">
        <v>3727.5</v>
      </c>
      <c r="AC522" s="5" t="inlineStr"/>
      <c r="AD522" s="5">
        <f>IF(AC522="","",IF(OR(AC522=F522,AND(AC522="crane_footing",F522="isolated_footing")),"yes","no"))</f>
        <v/>
      </c>
    </row>
    <row r="523">
      <c r="A523" s="5" t="n">
        <v>522</v>
      </c>
      <c r="B523" s="5" t="inlineStr">
        <is>
          <t>125</t>
        </is>
      </c>
      <c r="C523" s="5" t="inlineStr">
        <is>
          <t>region between joints</t>
        </is>
      </c>
      <c r="D523" s="5" t="inlineStr">
        <is>
          <t>solid</t>
        </is>
      </c>
      <c r="E523" s="5" t="n">
        <v>30</v>
      </c>
      <c r="F523" s="5" t="inlineStr">
        <is>
          <t>shear_wall</t>
        </is>
      </c>
      <c r="G523" s="5" t="inlineStr">
        <is>
          <t>label vote</t>
        </is>
      </c>
      <c r="H523" s="5" t="inlineStr">
        <is>
          <t>(none)</t>
        </is>
      </c>
      <c r="I523" s="5" t="inlineStr">
        <is>
          <t>no shear_wall type in its building has this size</t>
        </is>
      </c>
      <c r="J523" s="5" t="inlineStr"/>
      <c r="K523" s="5" t="n">
        <v>270</v>
      </c>
      <c r="L523" s="5" t="n">
        <v>25</v>
      </c>
      <c r="M523" s="10">
        <f>IF(AND(ISNUMBER(K523),L523&gt;0),K523/L523,"")</f>
        <v/>
      </c>
      <c r="N523" s="5" t="n">
        <v>0.672</v>
      </c>
      <c r="O523" s="5" t="n">
        <v>26.6</v>
      </c>
      <c r="P523" s="5" t="n">
        <v>2</v>
      </c>
      <c r="Q523" s="5" t="n">
        <v>0</v>
      </c>
      <c r="R523" s="5" t="n">
        <v>0</v>
      </c>
      <c r="S523" s="5" t="n">
        <v>1</v>
      </c>
      <c r="T523" s="5" t="n">
        <v>0</v>
      </c>
      <c r="U523" s="5" t="n">
        <v>2</v>
      </c>
      <c r="V523" s="5" t="n">
        <v>1</v>
      </c>
      <c r="W523" s="5" t="n"/>
      <c r="X523" s="5" t="inlineStr"/>
      <c r="Y523" s="5" t="n">
        <v>2636.2</v>
      </c>
      <c r="Z523" s="5" t="n">
        <v>3681.9</v>
      </c>
      <c r="AA523" s="5" t="n">
        <v>2710.7</v>
      </c>
      <c r="AB523" s="5" t="n">
        <v>3724.2</v>
      </c>
      <c r="AC523" s="5" t="inlineStr"/>
      <c r="AD523" s="5">
        <f>IF(AC523="","",IF(OR(AC523=F523,AND(AC523="crane_footing",F523="isolated_footing")),"yes","no"))</f>
        <v/>
      </c>
    </row>
    <row r="524">
      <c r="A524" s="5" t="n">
        <v>523</v>
      </c>
      <c r="B524" s="5" t="inlineStr">
        <is>
          <t>125</t>
        </is>
      </c>
      <c r="C524" s="5" t="inlineStr">
        <is>
          <t>region between joints</t>
        </is>
      </c>
      <c r="D524" s="5" t="inlineStr">
        <is>
          <t>solid</t>
        </is>
      </c>
      <c r="E524" s="5" t="n">
        <v>30</v>
      </c>
      <c r="F524" s="5" t="inlineStr">
        <is>
          <t>shear_wall</t>
        </is>
      </c>
      <c r="G524" s="5" t="inlineStr">
        <is>
          <t>label vote</t>
        </is>
      </c>
      <c r="H524" s="5" t="inlineStr">
        <is>
          <t>(none)</t>
        </is>
      </c>
      <c r="I524" s="5" t="inlineStr">
        <is>
          <t>no shear_wall type in its building has this size</t>
        </is>
      </c>
      <c r="J524" s="5" t="inlineStr"/>
      <c r="K524" s="5" t="n">
        <v>235</v>
      </c>
      <c r="L524" s="5" t="n">
        <v>25</v>
      </c>
      <c r="M524" s="10">
        <f>IF(AND(ISNUMBER(K524),L524&gt;0),K524/L524,"")</f>
        <v/>
      </c>
      <c r="N524" s="5" t="n">
        <v>0.589</v>
      </c>
      <c r="O524" s="5" t="n">
        <v>79.3</v>
      </c>
      <c r="P524" s="5" t="n">
        <v>2</v>
      </c>
      <c r="Q524" s="5" t="n">
        <v>0</v>
      </c>
      <c r="R524" s="5" t="n">
        <v>0</v>
      </c>
      <c r="S524" s="5" t="n">
        <v>1</v>
      </c>
      <c r="T524" s="5" t="n">
        <v>0</v>
      </c>
      <c r="U524" s="5" t="n">
        <v>2</v>
      </c>
      <c r="V524" s="5" t="n">
        <v>0</v>
      </c>
      <c r="W524" s="5" t="n"/>
      <c r="X524" s="5" t="inlineStr"/>
      <c r="Y524" s="5" t="n">
        <v>3281.3</v>
      </c>
      <c r="Z524" s="5" t="n">
        <v>3711</v>
      </c>
      <c r="AA524" s="5" t="n">
        <v>3301.4</v>
      </c>
      <c r="AB524" s="5" t="n">
        <v>3780.7</v>
      </c>
      <c r="AC524" s="5" t="inlineStr"/>
      <c r="AD524" s="5">
        <f>IF(AC524="","",IF(OR(AC524=F524,AND(AC524="crane_footing",F524="isolated_footing")),"yes","no"))</f>
        <v/>
      </c>
    </row>
    <row r="525">
      <c r="A525" s="5" t="n">
        <v>524</v>
      </c>
      <c r="B525" s="5" t="inlineStr">
        <is>
          <t>125</t>
        </is>
      </c>
      <c r="C525" s="5" t="inlineStr">
        <is>
          <t>region between joints</t>
        </is>
      </c>
      <c r="D525" s="5" t="inlineStr">
        <is>
          <t>solid</t>
        </is>
      </c>
      <c r="E525" s="5" t="n">
        <v>30</v>
      </c>
      <c r="F525" s="5" t="inlineStr">
        <is>
          <t>shear_wall</t>
        </is>
      </c>
      <c r="G525" s="5" t="inlineStr">
        <is>
          <t>label vote</t>
        </is>
      </c>
      <c r="H525" s="5" t="inlineStr">
        <is>
          <t>(none)</t>
        </is>
      </c>
      <c r="I525" s="5" t="inlineStr">
        <is>
          <t>no shear_wall type in its building has this size</t>
        </is>
      </c>
      <c r="J525" s="5" t="inlineStr"/>
      <c r="K525" s="5" t="n">
        <v>200</v>
      </c>
      <c r="L525" s="5" t="n">
        <v>25</v>
      </c>
      <c r="M525" s="10">
        <f>IF(AND(ISNUMBER(K525),L525&gt;0),K525/L525,"")</f>
        <v/>
      </c>
      <c r="N525" s="5" t="n">
        <v>0.5</v>
      </c>
      <c r="O525" s="5" t="n">
        <v>26.7</v>
      </c>
      <c r="P525" s="5" t="n">
        <v>2</v>
      </c>
      <c r="Q525" s="5" t="n">
        <v>0</v>
      </c>
      <c r="R525" s="5" t="n">
        <v>0</v>
      </c>
      <c r="S525" s="5" t="n">
        <v>1</v>
      </c>
      <c r="T525" s="5" t="n">
        <v>0</v>
      </c>
      <c r="U525" s="5" t="n">
        <v>1</v>
      </c>
      <c r="V525" s="5" t="n">
        <v>1</v>
      </c>
      <c r="W525" s="5" t="n"/>
      <c r="X525" s="5" t="inlineStr"/>
      <c r="Y525" s="5" t="n">
        <v>2773.7</v>
      </c>
      <c r="Z525" s="5" t="n">
        <v>3546</v>
      </c>
      <c r="AA525" s="5" t="n">
        <v>2829.8</v>
      </c>
      <c r="AB525" s="5" t="n">
        <v>3579</v>
      </c>
      <c r="AC525" s="5" t="inlineStr"/>
      <c r="AD525" s="5">
        <f>IF(AC525="","",IF(OR(AC525=F525,AND(AC525="crane_footing",F525="isolated_footing")),"yes","no"))</f>
        <v/>
      </c>
    </row>
    <row r="526">
      <c r="A526" s="5" t="n">
        <v>525</v>
      </c>
      <c r="B526" s="5" t="inlineStr">
        <is>
          <t>125</t>
        </is>
      </c>
      <c r="C526" s="5" t="inlineStr">
        <is>
          <t>region between joints</t>
        </is>
      </c>
      <c r="D526" s="5" t="inlineStr">
        <is>
          <t>solid</t>
        </is>
      </c>
      <c r="E526" s="5" t="n">
        <v>30</v>
      </c>
      <c r="F526" s="5" t="inlineStr">
        <is>
          <t>shear_wall</t>
        </is>
      </c>
      <c r="G526" s="5" t="inlineStr">
        <is>
          <t>label vote</t>
        </is>
      </c>
      <c r="H526" s="5" t="inlineStr">
        <is>
          <t>(none)</t>
        </is>
      </c>
      <c r="I526" s="5" t="inlineStr">
        <is>
          <t>no shear_wall type in its building has this size</t>
        </is>
      </c>
      <c r="J526" s="5" t="inlineStr"/>
      <c r="K526" s="5" t="n">
        <v>154</v>
      </c>
      <c r="L526" s="5" t="n">
        <v>25</v>
      </c>
      <c r="M526" s="10">
        <f>IF(AND(ISNUMBER(K526),L526&gt;0),K526/L526,"")</f>
        <v/>
      </c>
      <c r="N526" s="5" t="n">
        <v>0.386</v>
      </c>
      <c r="O526" s="5" t="n">
        <v>79.3</v>
      </c>
      <c r="P526" s="5" t="n">
        <v>3</v>
      </c>
      <c r="Q526" s="5" t="n">
        <v>0</v>
      </c>
      <c r="R526" s="5" t="n">
        <v>0</v>
      </c>
      <c r="S526" s="5" t="n">
        <v>1</v>
      </c>
      <c r="T526" s="5" t="n">
        <v>0</v>
      </c>
      <c r="U526" s="5" t="n">
        <v>1</v>
      </c>
      <c r="V526" s="5" t="n">
        <v>2</v>
      </c>
      <c r="W526" s="5" t="n"/>
      <c r="X526" s="5" t="inlineStr"/>
      <c r="Y526" s="5" t="n">
        <v>3266.7</v>
      </c>
      <c r="Z526" s="5" t="n">
        <v>3634.2</v>
      </c>
      <c r="AA526" s="5" t="n">
        <v>3282.5</v>
      </c>
      <c r="AB526" s="5" t="n">
        <v>3680.4</v>
      </c>
      <c r="AC526" s="5" t="inlineStr"/>
      <c r="AD526" s="5">
        <f>IF(AC526="","",IF(OR(AC526=F526,AND(AC526="crane_footing",F526="isolated_footing")),"yes","no"))</f>
        <v/>
      </c>
    </row>
    <row r="527">
      <c r="A527" s="5" t="n">
        <v>526</v>
      </c>
      <c r="B527" s="5" t="inlineStr">
        <is>
          <t>125</t>
        </is>
      </c>
      <c r="C527" s="5" t="inlineStr">
        <is>
          <t>region between joints</t>
        </is>
      </c>
      <c r="D527" s="5" t="inlineStr">
        <is>
          <t>solid</t>
        </is>
      </c>
      <c r="E527" s="5" t="n">
        <v>30</v>
      </c>
      <c r="F527" s="5" t="inlineStr">
        <is>
          <t>shear_wall</t>
        </is>
      </c>
      <c r="G527" s="5" t="inlineStr">
        <is>
          <t>label vote</t>
        </is>
      </c>
      <c r="H527" s="5" t="inlineStr">
        <is>
          <t>(none)</t>
        </is>
      </c>
      <c r="I527" s="5" t="inlineStr">
        <is>
          <t>no shear_wall type in its building has this size</t>
        </is>
      </c>
      <c r="J527" s="5" t="inlineStr"/>
      <c r="K527" s="5" t="n">
        <v>111</v>
      </c>
      <c r="L527" s="5" t="n">
        <v>25</v>
      </c>
      <c r="M527" s="10">
        <f>IF(AND(ISNUMBER(K527),L527&gt;0),K527/L527,"")</f>
        <v/>
      </c>
      <c r="N527" s="5" t="n">
        <v>0.277</v>
      </c>
      <c r="O527" s="5" t="n">
        <v>79.40000000000001</v>
      </c>
      <c r="P527" s="5" t="n">
        <v>3</v>
      </c>
      <c r="Q527" s="5" t="n">
        <v>0</v>
      </c>
      <c r="R527" s="5" t="n">
        <v>0</v>
      </c>
      <c r="S527" s="5" t="n">
        <v>1</v>
      </c>
      <c r="T527" s="5" t="n">
        <v>0</v>
      </c>
      <c r="U527" s="5" t="n">
        <v>0</v>
      </c>
      <c r="V527" s="5" t="n">
        <v>0</v>
      </c>
      <c r="W527" s="5" t="n"/>
      <c r="X527" s="5" t="inlineStr"/>
      <c r="Y527" s="5" t="n">
        <v>3275.2</v>
      </c>
      <c r="Z527" s="5" t="n">
        <v>3679</v>
      </c>
      <c r="AA527" s="5" t="n">
        <v>3288.5</v>
      </c>
      <c r="AB527" s="5" t="n">
        <v>3712.4</v>
      </c>
      <c r="AC527" s="5" t="inlineStr"/>
      <c r="AD527" s="5">
        <f>IF(AC527="","",IF(OR(AC527=F527,AND(AC527="crane_footing",F527="isolated_footing")),"yes","no"))</f>
        <v/>
      </c>
    </row>
    <row r="528">
      <c r="A528" s="5" t="n">
        <v>527</v>
      </c>
      <c r="B528" s="5" t="inlineStr">
        <is>
          <t>125</t>
        </is>
      </c>
      <c r="C528" s="5" t="inlineStr">
        <is>
          <t>region between joints</t>
        </is>
      </c>
      <c r="D528" s="5" t="inlineStr">
        <is>
          <t>solid</t>
        </is>
      </c>
      <c r="E528" s="5" t="n">
        <v>30</v>
      </c>
      <c r="F528" s="5" t="inlineStr">
        <is>
          <t>shear_wall</t>
        </is>
      </c>
      <c r="G528" s="5" t="inlineStr">
        <is>
          <t>label vote</t>
        </is>
      </c>
      <c r="H528" s="5" t="inlineStr">
        <is>
          <t>(none)</t>
        </is>
      </c>
      <c r="I528" s="5" t="inlineStr">
        <is>
          <t>no shear_wall type in its building has this size</t>
        </is>
      </c>
      <c r="J528" s="5" t="inlineStr"/>
      <c r="K528" s="5" t="n">
        <v>337</v>
      </c>
      <c r="L528" s="5" t="n">
        <v>25</v>
      </c>
      <c r="M528" s="10">
        <f>IF(AND(ISNUMBER(K528),L528&gt;0),K528/L528,"")</f>
        <v/>
      </c>
      <c r="N528" s="5" t="n">
        <v>0.84</v>
      </c>
      <c r="O528" s="5" t="n">
        <v>116.6</v>
      </c>
      <c r="P528" s="5" t="n">
        <v>4</v>
      </c>
      <c r="Q528" s="5" t="n">
        <v>0</v>
      </c>
      <c r="R528" s="5" t="n">
        <v>0</v>
      </c>
      <c r="S528" s="5" t="n">
        <v>1</v>
      </c>
      <c r="T528" s="5" t="n">
        <v>1</v>
      </c>
      <c r="U528" s="5" t="n">
        <v>3</v>
      </c>
      <c r="V528" s="5" t="n">
        <v>1</v>
      </c>
      <c r="W528" s="5" t="n"/>
      <c r="X528" s="5" t="inlineStr"/>
      <c r="Y528" s="5" t="n">
        <v>2823.2</v>
      </c>
      <c r="Z528" s="5" t="n">
        <v>3480.1</v>
      </c>
      <c r="AA528" s="5" t="n">
        <v>2874.4</v>
      </c>
      <c r="AB528" s="5" t="n">
        <v>3572.5</v>
      </c>
      <c r="AC528" s="5" t="inlineStr"/>
      <c r="AD528" s="5">
        <f>IF(AC528="","",IF(OR(AC528=F528,AND(AC528="crane_footing",F528="isolated_footing")),"yes","no"))</f>
        <v/>
      </c>
    </row>
    <row r="529">
      <c r="A529" s="5" t="n">
        <v>528</v>
      </c>
      <c r="B529" s="5" t="inlineStr">
        <is>
          <t>125</t>
        </is>
      </c>
      <c r="C529" s="5" t="inlineStr">
        <is>
          <t>region between joints</t>
        </is>
      </c>
      <c r="D529" s="5" t="inlineStr">
        <is>
          <t>solid</t>
        </is>
      </c>
      <c r="E529" s="5" t="n">
        <v>32</v>
      </c>
      <c r="F529" s="5" t="inlineStr">
        <is>
          <t>shear_wall</t>
        </is>
      </c>
      <c r="G529" s="5" t="inlineStr">
        <is>
          <t>label vote</t>
        </is>
      </c>
      <c r="H529" s="5" t="inlineStr">
        <is>
          <t>(none)</t>
        </is>
      </c>
      <c r="I529" s="5" t="inlineStr">
        <is>
          <t>no shear_wall type in its building has this size</t>
        </is>
      </c>
      <c r="J529" s="5" t="inlineStr"/>
      <c r="K529" s="5" t="n">
        <v>175</v>
      </c>
      <c r="L529" s="5" t="n">
        <v>25</v>
      </c>
      <c r="M529" s="10">
        <f>IF(AND(ISNUMBER(K529),L529&gt;0),K529/L529,"")</f>
        <v/>
      </c>
      <c r="N529" s="5" t="n">
        <v>0.439</v>
      </c>
      <c r="O529" s="5" t="n">
        <v>26.7</v>
      </c>
      <c r="P529" s="5" t="n">
        <v>1</v>
      </c>
      <c r="Q529" s="5" t="n">
        <v>0</v>
      </c>
      <c r="R529" s="5" t="n">
        <v>0</v>
      </c>
      <c r="S529" s="5" t="n">
        <v>1</v>
      </c>
      <c r="T529" s="5" t="n">
        <v>0</v>
      </c>
      <c r="U529" s="5" t="n">
        <v>1</v>
      </c>
      <c r="V529" s="5" t="n">
        <v>1</v>
      </c>
      <c r="W529" s="5" t="n"/>
      <c r="X529" s="5" t="inlineStr"/>
      <c r="Y529" s="5" t="n">
        <v>2821.7</v>
      </c>
      <c r="Z529" s="5" t="n">
        <v>3450.3</v>
      </c>
      <c r="AA529" s="5" t="n">
        <v>2871.2</v>
      </c>
      <c r="AB529" s="5" t="n">
        <v>3480.1</v>
      </c>
      <c r="AC529" s="5" t="inlineStr"/>
      <c r="AD529" s="5">
        <f>IF(AC529="","",IF(OR(AC529=F529,AND(AC529="crane_footing",F529="isolated_footing")),"yes","no"))</f>
        <v/>
      </c>
    </row>
    <row r="530">
      <c r="A530" s="5" t="n">
        <v>529</v>
      </c>
      <c r="B530" s="5" t="inlineStr">
        <is>
          <t>125</t>
        </is>
      </c>
      <c r="C530" s="5" t="inlineStr">
        <is>
          <t>region between joints</t>
        </is>
      </c>
      <c r="D530" s="5" t="inlineStr">
        <is>
          <t>solid</t>
        </is>
      </c>
      <c r="E530" s="5" t="n">
        <v>32</v>
      </c>
      <c r="F530" s="5" t="inlineStr">
        <is>
          <t>shear_wall</t>
        </is>
      </c>
      <c r="G530" s="5" t="inlineStr">
        <is>
          <t>label vote</t>
        </is>
      </c>
      <c r="H530" s="5" t="inlineStr">
        <is>
          <t>(none)</t>
        </is>
      </c>
      <c r="I530" s="5" t="inlineStr">
        <is>
          <t>no shear_wall type in its building has this size</t>
        </is>
      </c>
      <c r="J530" s="5" t="inlineStr"/>
      <c r="K530" s="5" t="n">
        <v>175</v>
      </c>
      <c r="L530" s="5" t="n">
        <v>25</v>
      </c>
      <c r="M530" s="10">
        <f>IF(AND(ISNUMBER(K530),L530&gt;0),K530/L530,"")</f>
        <v/>
      </c>
      <c r="N530" s="5" t="n">
        <v>0.442</v>
      </c>
      <c r="O530" s="5" t="n">
        <v>169.3</v>
      </c>
      <c r="P530" s="5" t="n">
        <v>1</v>
      </c>
      <c r="Q530" s="5" t="n">
        <v>0</v>
      </c>
      <c r="R530" s="5" t="n">
        <v>0</v>
      </c>
      <c r="S530" s="5" t="n">
        <v>1</v>
      </c>
      <c r="T530" s="5" t="n">
        <v>0</v>
      </c>
      <c r="U530" s="5" t="n">
        <v>1</v>
      </c>
      <c r="V530" s="5" t="n">
        <v>2</v>
      </c>
      <c r="W530" s="5" t="n"/>
      <c r="X530" s="5" t="inlineStr"/>
      <c r="Y530" s="5" t="n">
        <v>3127.3</v>
      </c>
      <c r="Z530" s="5" t="n">
        <v>3499.7</v>
      </c>
      <c r="AA530" s="5" t="n">
        <v>3179.4</v>
      </c>
      <c r="AB530" s="5" t="n">
        <v>3516.6</v>
      </c>
      <c r="AC530" s="5" t="inlineStr"/>
      <c r="AD530" s="5">
        <f>IF(AC530="","",IF(OR(AC530=F530,AND(AC530="crane_footing",F530="isolated_footing")),"yes","no"))</f>
        <v/>
      </c>
    </row>
    <row r="531">
      <c r="A531" s="5" t="n">
        <v>530</v>
      </c>
      <c r="B531" s="5" t="inlineStr">
        <is>
          <t>125</t>
        </is>
      </c>
      <c r="C531" s="5" t="inlineStr">
        <is>
          <t>region between joints</t>
        </is>
      </c>
      <c r="D531" s="5" t="inlineStr">
        <is>
          <t>solid</t>
        </is>
      </c>
      <c r="E531" s="5" t="n">
        <v>32</v>
      </c>
      <c r="F531" s="5" t="inlineStr">
        <is>
          <t>shear_wall</t>
        </is>
      </c>
      <c r="G531" s="5" t="inlineStr">
        <is>
          <t>label vote</t>
        </is>
      </c>
      <c r="H531" s="5" t="inlineStr">
        <is>
          <t>(none)</t>
        </is>
      </c>
      <c r="I531" s="5" t="inlineStr">
        <is>
          <t>no shear_wall type in its building has this size</t>
        </is>
      </c>
      <c r="J531" s="5" t="inlineStr"/>
      <c r="K531" s="5" t="n">
        <v>157</v>
      </c>
      <c r="L531" s="5" t="n">
        <v>25</v>
      </c>
      <c r="M531" s="10">
        <f>IF(AND(ISNUMBER(K531),L531&gt;0),K531/L531,"")</f>
        <v/>
      </c>
      <c r="N531" s="5" t="n">
        <v>0.393</v>
      </c>
      <c r="O531" s="5" t="n">
        <v>79.40000000000001</v>
      </c>
      <c r="P531" s="5" t="n">
        <v>1</v>
      </c>
      <c r="Q531" s="5" t="n">
        <v>0</v>
      </c>
      <c r="R531" s="5" t="n">
        <v>0</v>
      </c>
      <c r="S531" s="5" t="n">
        <v>1</v>
      </c>
      <c r="T531" s="5" t="n">
        <v>0</v>
      </c>
      <c r="U531" s="5" t="n">
        <v>1</v>
      </c>
      <c r="V531" s="5" t="n">
        <v>0</v>
      </c>
      <c r="W531" s="5" t="n"/>
      <c r="X531" s="5" t="inlineStr"/>
      <c r="Y531" s="5" t="n">
        <v>3121.4</v>
      </c>
      <c r="Z531" s="5" t="n">
        <v>3516.6</v>
      </c>
      <c r="AA531" s="5" t="n">
        <v>3137.3</v>
      </c>
      <c r="AB531" s="5" t="n">
        <v>3563.5</v>
      </c>
      <c r="AC531" s="5" t="inlineStr"/>
      <c r="AD531" s="5">
        <f>IF(AC531="","",IF(OR(AC531=F531,AND(AC531="crane_footing",F531="isolated_footing")),"yes","no"))</f>
        <v/>
      </c>
    </row>
    <row r="532">
      <c r="A532" s="5" t="n">
        <v>531</v>
      </c>
      <c r="B532" s="5" t="inlineStr">
        <is>
          <t>125</t>
        </is>
      </c>
      <c r="C532" s="5" t="inlineStr">
        <is>
          <t>region between joints</t>
        </is>
      </c>
      <c r="D532" s="5" t="inlineStr">
        <is>
          <t>solid</t>
        </is>
      </c>
      <c r="E532" s="5" t="n">
        <v>32</v>
      </c>
      <c r="F532" s="5" t="inlineStr">
        <is>
          <t>shear_wall</t>
        </is>
      </c>
      <c r="G532" s="5" t="inlineStr">
        <is>
          <t>label vote</t>
        </is>
      </c>
      <c r="H532" s="5" t="inlineStr">
        <is>
          <t>(none)</t>
        </is>
      </c>
      <c r="I532" s="5" t="inlineStr">
        <is>
          <t>no shear_wall type in its building has this size</t>
        </is>
      </c>
      <c r="J532" s="5" t="inlineStr"/>
      <c r="K532" s="5" t="n">
        <v>142</v>
      </c>
      <c r="L532" s="5" t="n">
        <v>25</v>
      </c>
      <c r="M532" s="10">
        <f>IF(AND(ISNUMBER(K532),L532&gt;0),K532/L532,"")</f>
        <v/>
      </c>
      <c r="N532" s="5" t="n">
        <v>0.355</v>
      </c>
      <c r="O532" s="5" t="n">
        <v>169.3</v>
      </c>
      <c r="P532" s="5" t="n">
        <v>1</v>
      </c>
      <c r="Q532" s="5" t="n">
        <v>0</v>
      </c>
      <c r="R532" s="5" t="n">
        <v>0</v>
      </c>
      <c r="S532" s="5" t="n">
        <v>1</v>
      </c>
      <c r="T532" s="5" t="n">
        <v>1</v>
      </c>
      <c r="U532" s="5" t="n">
        <v>1</v>
      </c>
      <c r="V532" s="5" t="n">
        <v>1</v>
      </c>
      <c r="W532" s="5" t="n"/>
      <c r="X532" s="5" t="inlineStr"/>
      <c r="Y532" s="5" t="n">
        <v>3147.2</v>
      </c>
      <c r="Z532" s="5" t="n">
        <v>3606.8</v>
      </c>
      <c r="AA532" s="5" t="n">
        <v>3189.8</v>
      </c>
      <c r="AB532" s="5" t="n">
        <v>3621.8</v>
      </c>
      <c r="AC532" s="5" t="inlineStr"/>
      <c r="AD532" s="5">
        <f>IF(AC532="","",IF(OR(AC532=F532,AND(AC532="crane_footing",F532="isolated_footing")),"yes","no"))</f>
        <v/>
      </c>
    </row>
    <row r="533">
      <c r="A533" s="5" t="n">
        <v>532</v>
      </c>
      <c r="B533" s="5" t="inlineStr">
        <is>
          <t>125</t>
        </is>
      </c>
      <c r="C533" s="5" t="inlineStr">
        <is>
          <t>own label</t>
        </is>
      </c>
      <c r="D533" s="5" t="inlineStr">
        <is>
          <t>solid</t>
        </is>
      </c>
      <c r="E533" s="5" t="n">
        <v>37</v>
      </c>
      <c r="F533" s="5" t="inlineStr">
        <is>
          <t>shear_wall</t>
        </is>
      </c>
      <c r="G533" s="5" t="inlineStr">
        <is>
          <t>label vote</t>
        </is>
      </c>
      <c r="H533" s="5" t="inlineStr">
        <is>
          <t>V1/125</t>
        </is>
      </c>
      <c r="I533" s="5" t="inlineStr">
        <is>
          <t>printed label</t>
        </is>
      </c>
      <c r="J533" s="5" t="inlineStr">
        <is>
          <t>V1/125/125</t>
        </is>
      </c>
      <c r="K533" s="5" t="n">
        <v>125</v>
      </c>
      <c r="L533" s="5" t="n">
        <v>30</v>
      </c>
      <c r="M533" s="10">
        <f>IF(AND(ISNUMBER(K533),L533&gt;0),K533/L533,"")</f>
        <v/>
      </c>
      <c r="N533" s="5" t="n">
        <v>0.375</v>
      </c>
      <c r="O533" s="5" t="n">
        <v>79.3</v>
      </c>
      <c r="P533" s="5" t="n">
        <v>1</v>
      </c>
      <c r="Q533" s="5" t="n">
        <v>1</v>
      </c>
      <c r="R533" s="5" t="n">
        <v>0</v>
      </c>
      <c r="S533" s="5" t="n">
        <v>0</v>
      </c>
      <c r="T533" s="5" t="n">
        <v>0</v>
      </c>
      <c r="U533" s="5" t="n">
        <v>2</v>
      </c>
      <c r="V533" s="5" t="n">
        <v>3</v>
      </c>
      <c r="W533" s="5" t="n"/>
      <c r="X533" s="5" t="inlineStr"/>
      <c r="Y533" s="5" t="n">
        <v>3605.8</v>
      </c>
      <c r="Z533" s="5" t="n">
        <v>3460.4</v>
      </c>
      <c r="AA533" s="5" t="n">
        <v>3621.4</v>
      </c>
      <c r="AB533" s="5" t="n">
        <v>3498.3</v>
      </c>
      <c r="AC533" s="5" t="inlineStr"/>
      <c r="AD533" s="5">
        <f>IF(AC533="","",IF(OR(AC533=F533,AND(AC533="crane_footing",F533="isolated_footing")),"yes","no"))</f>
        <v/>
      </c>
    </row>
    <row r="534">
      <c r="A534" s="5" t="n">
        <v>533</v>
      </c>
      <c r="B534" s="5" t="inlineStr">
        <is>
          <t>125</t>
        </is>
      </c>
      <c r="C534" s="5" t="inlineStr">
        <is>
          <t>own label</t>
        </is>
      </c>
      <c r="D534" s="5" t="inlineStr">
        <is>
          <t>solid</t>
        </is>
      </c>
      <c r="E534" s="5" t="n">
        <v>35</v>
      </c>
      <c r="F534" s="5" t="inlineStr">
        <is>
          <t>shear_wall</t>
        </is>
      </c>
      <c r="G534" s="5" t="inlineStr">
        <is>
          <t>label vote</t>
        </is>
      </c>
      <c r="H534" s="5" t="inlineStr">
        <is>
          <t>V1/125</t>
        </is>
      </c>
      <c r="I534" s="5" t="inlineStr">
        <is>
          <t>printed label</t>
        </is>
      </c>
      <c r="J534" s="5" t="inlineStr">
        <is>
          <t>V1/125/125</t>
        </is>
      </c>
      <c r="K534" s="5" t="n">
        <v>125</v>
      </c>
      <c r="L534" s="5" t="n">
        <v>30</v>
      </c>
      <c r="M534" s="10">
        <f>IF(AND(ISNUMBER(K534),L534&gt;0),K534/L534,"")</f>
        <v/>
      </c>
      <c r="N534" s="5" t="n">
        <v>0.375</v>
      </c>
      <c r="O534" s="5" t="n">
        <v>79.3</v>
      </c>
      <c r="P534" s="5" t="n">
        <v>0</v>
      </c>
      <c r="Q534" s="5" t="n">
        <v>1</v>
      </c>
      <c r="R534" s="5" t="n">
        <v>0</v>
      </c>
      <c r="S534" s="5" t="n">
        <v>0</v>
      </c>
      <c r="T534" s="5" t="n">
        <v>0</v>
      </c>
      <c r="U534" s="5" t="n">
        <v>1</v>
      </c>
      <c r="V534" s="5" t="n">
        <v>0</v>
      </c>
      <c r="W534" s="5" t="n"/>
      <c r="X534" s="5" t="inlineStr"/>
      <c r="Y534" s="5" t="n">
        <v>3646.2</v>
      </c>
      <c r="Z534" s="5" t="n">
        <v>3675</v>
      </c>
      <c r="AA534" s="5" t="n">
        <v>3661.8</v>
      </c>
      <c r="AB534" s="5" t="n">
        <v>3712.9</v>
      </c>
      <c r="AC534" s="5" t="inlineStr">
        <is>
          <t>shear_wall</t>
        </is>
      </c>
      <c r="AD534" s="5">
        <f>IF(AC534="","",IF(OR(AC534=F534,AND(AC534="crane_footing",F534="isolated_footing")),"yes","no"))</f>
        <v/>
      </c>
    </row>
    <row r="535">
      <c r="A535" s="5" t="n">
        <v>534</v>
      </c>
      <c r="B535" s="5" t="inlineStr">
        <is>
          <t>125</t>
        </is>
      </c>
      <c r="C535" s="5" t="inlineStr">
        <is>
          <t>own label</t>
        </is>
      </c>
      <c r="D535" s="5" t="inlineStr">
        <is>
          <t>solid</t>
        </is>
      </c>
      <c r="E535" s="5" t="n">
        <v>35</v>
      </c>
      <c r="F535" s="5" t="inlineStr">
        <is>
          <t>shear_wall</t>
        </is>
      </c>
      <c r="G535" s="5" t="inlineStr">
        <is>
          <t>label vote</t>
        </is>
      </c>
      <c r="H535" s="5" t="inlineStr">
        <is>
          <t>V1/125</t>
        </is>
      </c>
      <c r="I535" s="5" t="inlineStr">
        <is>
          <t>printed label</t>
        </is>
      </c>
      <c r="J535" s="5" t="inlineStr">
        <is>
          <t>V1/125/125</t>
        </is>
      </c>
      <c r="K535" s="5" t="n">
        <v>125</v>
      </c>
      <c r="L535" s="5" t="n">
        <v>30</v>
      </c>
      <c r="M535" s="10">
        <f>IF(AND(ISNUMBER(K535),L535&gt;0),K535/L535,"")</f>
        <v/>
      </c>
      <c r="N535" s="5" t="n">
        <v>0.374</v>
      </c>
      <c r="O535" s="5" t="n">
        <v>79.40000000000001</v>
      </c>
      <c r="P535" s="5" t="n">
        <v>0</v>
      </c>
      <c r="Q535" s="5" t="n">
        <v>1</v>
      </c>
      <c r="R535" s="5" t="n">
        <v>0</v>
      </c>
      <c r="S535" s="5" t="n">
        <v>0</v>
      </c>
      <c r="T535" s="5" t="n">
        <v>0</v>
      </c>
      <c r="U535" s="5" t="n">
        <v>1</v>
      </c>
      <c r="V535" s="5" t="n">
        <v>4</v>
      </c>
      <c r="W535" s="5" t="n"/>
      <c r="X535" s="5" t="inlineStr"/>
      <c r="Y535" s="5" t="n">
        <v>3560.2</v>
      </c>
      <c r="Z535" s="5" t="n">
        <v>3218</v>
      </c>
      <c r="AA535" s="5" t="n">
        <v>3575.7</v>
      </c>
      <c r="AB535" s="5" t="n">
        <v>3256</v>
      </c>
      <c r="AC535" s="5" t="inlineStr">
        <is>
          <t>shear_wall</t>
        </is>
      </c>
      <c r="AD535" s="5">
        <f>IF(AC535="","",IF(OR(AC535=F535,AND(AC535="crane_footing",F535="isolated_footing")),"yes","no"))</f>
        <v/>
      </c>
    </row>
    <row r="536">
      <c r="A536" s="5" t="n">
        <v>535</v>
      </c>
      <c r="B536" s="5" t="inlineStr">
        <is>
          <t>125</t>
        </is>
      </c>
      <c r="C536" s="5" t="inlineStr">
        <is>
          <t>own label</t>
        </is>
      </c>
      <c r="D536" s="5" t="inlineStr">
        <is>
          <t>solid</t>
        </is>
      </c>
      <c r="E536" s="5" t="n">
        <v>35</v>
      </c>
      <c r="F536" s="5" t="inlineStr">
        <is>
          <t>shear_wall</t>
        </is>
      </c>
      <c r="G536" s="5" t="inlineStr">
        <is>
          <t>label vote</t>
        </is>
      </c>
      <c r="H536" s="5" t="inlineStr">
        <is>
          <t>V3/125</t>
        </is>
      </c>
      <c r="I536" s="5" t="inlineStr">
        <is>
          <t>printed label</t>
        </is>
      </c>
      <c r="J536" s="5" t="inlineStr">
        <is>
          <t>V3/125/125</t>
        </is>
      </c>
      <c r="K536" s="5" t="n">
        <v>200</v>
      </c>
      <c r="L536" s="5" t="n">
        <v>30</v>
      </c>
      <c r="M536" s="10">
        <f>IF(AND(ISNUMBER(K536),L536&gt;0),K536/L536,"")</f>
        <v/>
      </c>
      <c r="N536" s="5" t="n">
        <v>0.6</v>
      </c>
      <c r="O536" s="5" t="n">
        <v>79.5</v>
      </c>
      <c r="P536" s="5" t="n">
        <v>0</v>
      </c>
      <c r="Q536" s="5" t="n">
        <v>1</v>
      </c>
      <c r="R536" s="5" t="n">
        <v>0</v>
      </c>
      <c r="S536" s="5" t="n">
        <v>0</v>
      </c>
      <c r="T536" s="5" t="n">
        <v>0</v>
      </c>
      <c r="U536" s="5" t="n">
        <v>2</v>
      </c>
      <c r="V536" s="5" t="n">
        <v>2</v>
      </c>
      <c r="W536" s="5" t="n"/>
      <c r="X536" s="5" t="inlineStr"/>
      <c r="Y536" s="5" t="n">
        <v>3380.6</v>
      </c>
      <c r="Z536" s="5" t="n">
        <v>3259.4</v>
      </c>
      <c r="AA536" s="5" t="n">
        <v>3400.1</v>
      </c>
      <c r="AB536" s="5" t="n">
        <v>3319</v>
      </c>
      <c r="AC536" s="5" t="inlineStr">
        <is>
          <t>shear_wall</t>
        </is>
      </c>
      <c r="AD536" s="5">
        <f>IF(AC536="","",IF(OR(AC536=F536,AND(AC536="crane_footing",F536="isolated_footing")),"yes","no"))</f>
        <v/>
      </c>
    </row>
    <row r="537">
      <c r="A537" s="5" t="n">
        <v>536</v>
      </c>
      <c r="B537" s="5" t="inlineStr">
        <is>
          <t>125</t>
        </is>
      </c>
      <c r="C537" s="5" t="inlineStr">
        <is>
          <t>own label</t>
        </is>
      </c>
      <c r="D537" s="5" t="inlineStr">
        <is>
          <t>solid</t>
        </is>
      </c>
      <c r="E537" s="5" t="n">
        <v>35</v>
      </c>
      <c r="F537" s="5" t="inlineStr">
        <is>
          <t>shear_wall</t>
        </is>
      </c>
      <c r="G537" s="5" t="inlineStr">
        <is>
          <t>label vote</t>
        </is>
      </c>
      <c r="H537" s="5" t="inlineStr">
        <is>
          <t>V4/125</t>
        </is>
      </c>
      <c r="I537" s="5" t="inlineStr">
        <is>
          <t>printed label</t>
        </is>
      </c>
      <c r="J537" s="5" t="inlineStr">
        <is>
          <t>V4/125/125</t>
        </is>
      </c>
      <c r="K537" s="5" t="n">
        <v>200</v>
      </c>
      <c r="L537" s="5" t="n">
        <v>30</v>
      </c>
      <c r="M537" s="10">
        <f>IF(AND(ISNUMBER(K537),L537&gt;0),K537/L537,"")</f>
        <v/>
      </c>
      <c r="N537" s="5" t="n">
        <v>0.599</v>
      </c>
      <c r="O537" s="5" t="n">
        <v>79.40000000000001</v>
      </c>
      <c r="P537" s="5" t="n">
        <v>0</v>
      </c>
      <c r="Q537" s="5" t="n">
        <v>1</v>
      </c>
      <c r="R537" s="5" t="n">
        <v>0</v>
      </c>
      <c r="S537" s="5" t="n">
        <v>0</v>
      </c>
      <c r="T537" s="5" t="n">
        <v>0</v>
      </c>
      <c r="U537" s="5" t="n">
        <v>1</v>
      </c>
      <c r="V537" s="5" t="n">
        <v>2</v>
      </c>
      <c r="W537" s="5" t="n"/>
      <c r="X537" s="5" t="inlineStr"/>
      <c r="Y537" s="5" t="n">
        <v>3199.8</v>
      </c>
      <c r="Z537" s="5" t="n">
        <v>3286</v>
      </c>
      <c r="AA537" s="5" t="n">
        <v>3219.3</v>
      </c>
      <c r="AB537" s="5" t="n">
        <v>3345.7</v>
      </c>
      <c r="AC537" s="5" t="inlineStr">
        <is>
          <t>shear_wall</t>
        </is>
      </c>
      <c r="AD537" s="5">
        <f>IF(AC537="","",IF(OR(AC537=F537,AND(AC537="crane_footing",F537="isolated_footing")),"yes","no"))</f>
        <v/>
      </c>
    </row>
    <row r="538">
      <c r="A538" s="5" t="n">
        <v>537</v>
      </c>
      <c r="B538" s="5" t="inlineStr">
        <is>
          <t>125</t>
        </is>
      </c>
      <c r="C538" s="5" t="inlineStr">
        <is>
          <t>own label</t>
        </is>
      </c>
      <c r="D538" s="5" t="inlineStr">
        <is>
          <t>solid</t>
        </is>
      </c>
      <c r="E538" s="5" t="n">
        <v>35</v>
      </c>
      <c r="F538" s="5" t="inlineStr">
        <is>
          <t>shear_wall</t>
        </is>
      </c>
      <c r="G538" s="5" t="inlineStr">
        <is>
          <t>label vote</t>
        </is>
      </c>
      <c r="H538" s="5" t="inlineStr">
        <is>
          <t>V4/125</t>
        </is>
      </c>
      <c r="I538" s="5" t="inlineStr">
        <is>
          <t>printed label</t>
        </is>
      </c>
      <c r="J538" s="5" t="inlineStr">
        <is>
          <t>V4/125/125</t>
        </is>
      </c>
      <c r="K538" s="5" t="n">
        <v>200</v>
      </c>
      <c r="L538" s="5" t="n">
        <v>30</v>
      </c>
      <c r="M538" s="10">
        <f>IF(AND(ISNUMBER(K538),L538&gt;0),K538/L538,"")</f>
        <v/>
      </c>
      <c r="N538" s="5" t="n">
        <v>0.599</v>
      </c>
      <c r="O538" s="5" t="n">
        <v>98</v>
      </c>
      <c r="P538" s="5" t="n">
        <v>0</v>
      </c>
      <c r="Q538" s="5" t="n">
        <v>1</v>
      </c>
      <c r="R538" s="5" t="n">
        <v>0</v>
      </c>
      <c r="S538" s="5" t="n">
        <v>0</v>
      </c>
      <c r="T538" s="5" t="n">
        <v>0</v>
      </c>
      <c r="U538" s="5" t="n">
        <v>7</v>
      </c>
      <c r="V538" s="5" t="n">
        <v>3</v>
      </c>
      <c r="W538" s="5" t="n"/>
      <c r="X538" s="5" t="inlineStr"/>
      <c r="Y538" s="5" t="n">
        <v>3010.5</v>
      </c>
      <c r="Z538" s="5" t="n">
        <v>3320.8</v>
      </c>
      <c r="AA538" s="5" t="n">
        <v>3027.5</v>
      </c>
      <c r="AB538" s="5" t="n">
        <v>3380.5</v>
      </c>
      <c r="AC538" s="5" t="inlineStr">
        <is>
          <t>shear_wall</t>
        </is>
      </c>
      <c r="AD538" s="5">
        <f>IF(AC538="","",IF(OR(AC538=F538,AND(AC538="crane_footing",F538="isolated_footing")),"yes","no"))</f>
        <v/>
      </c>
    </row>
    <row r="539">
      <c r="A539" s="5" t="n">
        <v>538</v>
      </c>
      <c r="B539" s="5" t="inlineStr">
        <is>
          <t>125</t>
        </is>
      </c>
      <c r="C539" s="5" t="inlineStr">
        <is>
          <t>own label</t>
        </is>
      </c>
      <c r="D539" s="5" t="inlineStr">
        <is>
          <t>solid</t>
        </is>
      </c>
      <c r="E539" s="5" t="n">
        <v>35</v>
      </c>
      <c r="F539" s="5" t="inlineStr">
        <is>
          <t>shear_wall</t>
        </is>
      </c>
      <c r="G539" s="5" t="inlineStr">
        <is>
          <t>label vote</t>
        </is>
      </c>
      <c r="H539" s="5" t="inlineStr">
        <is>
          <t>V4/125</t>
        </is>
      </c>
      <c r="I539" s="5" t="inlineStr">
        <is>
          <t>printed label</t>
        </is>
      </c>
      <c r="J539" s="5" t="inlineStr">
        <is>
          <t>V4/125/125</t>
        </is>
      </c>
      <c r="K539" s="5" t="n">
        <v>200</v>
      </c>
      <c r="L539" s="5" t="n">
        <v>30</v>
      </c>
      <c r="M539" s="10">
        <f>IF(AND(ISNUMBER(K539),L539&gt;0),K539/L539,"")</f>
        <v/>
      </c>
      <c r="N539" s="5" t="n">
        <v>0.599</v>
      </c>
      <c r="O539" s="5" t="n">
        <v>98</v>
      </c>
      <c r="P539" s="5" t="n">
        <v>0</v>
      </c>
      <c r="Q539" s="5" t="n">
        <v>1</v>
      </c>
      <c r="R539" s="5" t="n">
        <v>0</v>
      </c>
      <c r="S539" s="5" t="n">
        <v>0</v>
      </c>
      <c r="T539" s="5" t="n">
        <v>0</v>
      </c>
      <c r="U539" s="5" t="n">
        <v>9</v>
      </c>
      <c r="V539" s="5" t="n">
        <v>3</v>
      </c>
      <c r="W539" s="5" t="n"/>
      <c r="X539" s="5" t="inlineStr"/>
      <c r="Y539" s="5" t="n">
        <v>2986</v>
      </c>
      <c r="Z539" s="5" t="n">
        <v>3494.5</v>
      </c>
      <c r="AA539" s="5" t="n">
        <v>3003</v>
      </c>
      <c r="AB539" s="5" t="n">
        <v>3554.2</v>
      </c>
      <c r="AC539" s="5" t="inlineStr">
        <is>
          <t>shear_wall</t>
        </is>
      </c>
      <c r="AD539" s="5">
        <f>IF(AC539="","",IF(OR(AC539=F539,AND(AC539="crane_footing",F539="isolated_footing")),"yes","no"))</f>
        <v/>
      </c>
    </row>
    <row r="540">
      <c r="A540" s="5" t="n">
        <v>539</v>
      </c>
      <c r="B540" s="5" t="inlineStr">
        <is>
          <t>125</t>
        </is>
      </c>
      <c r="C540" s="5" t="inlineStr">
        <is>
          <t>own label</t>
        </is>
      </c>
      <c r="D540" s="5" t="inlineStr">
        <is>
          <t>solid</t>
        </is>
      </c>
      <c r="E540" s="5" t="n">
        <v>37</v>
      </c>
      <c r="F540" s="5" t="inlineStr">
        <is>
          <t>shear_wall</t>
        </is>
      </c>
      <c r="G540" s="5" t="inlineStr">
        <is>
          <t>label vote</t>
        </is>
      </c>
      <c r="H540" s="5" t="inlineStr">
        <is>
          <t>V5/125</t>
        </is>
      </c>
      <c r="I540" s="5" t="inlineStr">
        <is>
          <t>printed label</t>
        </is>
      </c>
      <c r="J540" s="5" t="inlineStr">
        <is>
          <t>V5/125/125</t>
        </is>
      </c>
      <c r="K540" s="5" t="n">
        <v>250</v>
      </c>
      <c r="L540" s="5" t="n">
        <v>30</v>
      </c>
      <c r="M540" s="10">
        <f>IF(AND(ISNUMBER(K540),L540&gt;0),K540/L540,"")</f>
        <v/>
      </c>
      <c r="N540" s="5" t="n">
        <v>0.752</v>
      </c>
      <c r="O540" s="5" t="n">
        <v>169.5</v>
      </c>
      <c r="P540" s="5" t="n">
        <v>1</v>
      </c>
      <c r="Q540" s="5" t="n">
        <v>1</v>
      </c>
      <c r="R540" s="5" t="n">
        <v>0</v>
      </c>
      <c r="S540" s="5" t="n">
        <v>0</v>
      </c>
      <c r="T540" s="5" t="n">
        <v>0</v>
      </c>
      <c r="U540" s="5" t="n">
        <v>2</v>
      </c>
      <c r="V540" s="5" t="n">
        <v>2</v>
      </c>
      <c r="W540" s="5" t="n"/>
      <c r="X540" s="5" t="inlineStr"/>
      <c r="Y540" s="5" t="n">
        <v>3435.8</v>
      </c>
      <c r="Z540" s="5" t="n">
        <v>3479.7</v>
      </c>
      <c r="AA540" s="5" t="n">
        <v>3510</v>
      </c>
      <c r="AB540" s="5" t="n">
        <v>3502</v>
      </c>
      <c r="AC540" s="5" t="inlineStr"/>
      <c r="AD540" s="5">
        <f>IF(AC540="","",IF(OR(AC540=F540,AND(AC540="crane_footing",F540="isolated_footing")),"yes","no"))</f>
        <v/>
      </c>
    </row>
    <row r="541">
      <c r="A541" s="5" t="n">
        <v>540</v>
      </c>
      <c r="B541" s="5" t="inlineStr">
        <is>
          <t>125</t>
        </is>
      </c>
      <c r="C541" s="5" t="inlineStr">
        <is>
          <t>own label</t>
        </is>
      </c>
      <c r="D541" s="5" t="inlineStr">
        <is>
          <t>solid</t>
        </is>
      </c>
      <c r="E541" s="5" t="n">
        <v>36</v>
      </c>
      <c r="F541" s="5" t="inlineStr">
        <is>
          <t>shear_wall</t>
        </is>
      </c>
      <c r="G541" s="5" t="inlineStr">
        <is>
          <t>label vote</t>
        </is>
      </c>
      <c r="H541" s="5" t="inlineStr">
        <is>
          <t>V8/125</t>
        </is>
      </c>
      <c r="I541" s="5" t="inlineStr">
        <is>
          <t>printed label</t>
        </is>
      </c>
      <c r="J541" s="5" t="inlineStr">
        <is>
          <t>V8/125/125</t>
        </is>
      </c>
      <c r="K541" s="5" t="n">
        <v>125</v>
      </c>
      <c r="L541" s="5" t="n">
        <v>25</v>
      </c>
      <c r="M541" s="10">
        <f>IF(AND(ISNUMBER(K541),L541&gt;0),K541/L541,"")</f>
        <v/>
      </c>
      <c r="N541" s="5" t="n">
        <v>0.313</v>
      </c>
      <c r="O541" s="5" t="n">
        <v>79.40000000000001</v>
      </c>
      <c r="P541" s="5" t="n">
        <v>0</v>
      </c>
      <c r="Q541" s="5" t="n">
        <v>1</v>
      </c>
      <c r="R541" s="5" t="n">
        <v>0</v>
      </c>
      <c r="S541" s="5" t="n">
        <v>0</v>
      </c>
      <c r="T541" s="5" t="n">
        <v>0</v>
      </c>
      <c r="U541" s="5" t="n">
        <v>0</v>
      </c>
      <c r="V541" s="5" t="n">
        <v>4</v>
      </c>
      <c r="W541" s="5" t="n"/>
      <c r="X541" s="5" t="inlineStr"/>
      <c r="Y541" s="5" t="n">
        <v>3515.7</v>
      </c>
      <c r="Z541" s="5" t="n">
        <v>2974.7</v>
      </c>
      <c r="AA541" s="5" t="n">
        <v>3529.9</v>
      </c>
      <c r="AB541" s="5" t="n">
        <v>3012.4</v>
      </c>
      <c r="AC541" s="5" t="inlineStr">
        <is>
          <t>shear_wall</t>
        </is>
      </c>
      <c r="AD541" s="5">
        <f>IF(AC541="","",IF(OR(AC541=F541,AND(AC541="crane_footing",F541="isolated_footing")),"yes","no"))</f>
        <v/>
      </c>
    </row>
    <row r="542">
      <c r="A542" s="5" t="n">
        <v>541</v>
      </c>
      <c r="B542" s="5" t="inlineStr">
        <is>
          <t>125</t>
        </is>
      </c>
      <c r="C542" s="5" t="inlineStr">
        <is>
          <t>own label</t>
        </is>
      </c>
      <c r="D542" s="5" t="inlineStr">
        <is>
          <t>solid</t>
        </is>
      </c>
      <c r="E542" s="5" t="n">
        <v>36</v>
      </c>
      <c r="F542" s="5" t="inlineStr">
        <is>
          <t>shear_wall</t>
        </is>
      </c>
      <c r="G542" s="5" t="inlineStr">
        <is>
          <t>label vote</t>
        </is>
      </c>
      <c r="H542" s="5" t="inlineStr">
        <is>
          <t>V8/125</t>
        </is>
      </c>
      <c r="I542" s="5" t="inlineStr">
        <is>
          <t>printed label</t>
        </is>
      </c>
      <c r="J542" s="5" t="inlineStr">
        <is>
          <t>V8/125/125</t>
        </is>
      </c>
      <c r="K542" s="5" t="n">
        <v>125</v>
      </c>
      <c r="L542" s="5" t="n">
        <v>25</v>
      </c>
      <c r="M542" s="10">
        <f>IF(AND(ISNUMBER(K542),L542&gt;0),K542/L542,"")</f>
        <v/>
      </c>
      <c r="N542" s="5" t="n">
        <v>0.313</v>
      </c>
      <c r="O542" s="5" t="n">
        <v>79.3</v>
      </c>
      <c r="P542" s="5" t="n">
        <v>0</v>
      </c>
      <c r="Q542" s="5" t="n">
        <v>1</v>
      </c>
      <c r="R542" s="5" t="n">
        <v>0</v>
      </c>
      <c r="S542" s="5" t="n">
        <v>0</v>
      </c>
      <c r="T542" s="5" t="n">
        <v>0</v>
      </c>
      <c r="U542" s="5" t="n">
        <v>0</v>
      </c>
      <c r="V542" s="5" t="n">
        <v>3</v>
      </c>
      <c r="W542" s="5" t="n"/>
      <c r="X542" s="5" t="inlineStr"/>
      <c r="Y542" s="5" t="n">
        <v>3291.1</v>
      </c>
      <c r="Z542" s="5" t="n">
        <v>3027.7</v>
      </c>
      <c r="AA542" s="5" t="n">
        <v>3305.3</v>
      </c>
      <c r="AB542" s="5" t="n">
        <v>3065.4</v>
      </c>
      <c r="AC542" s="5" t="inlineStr">
        <is>
          <t>shear_wall</t>
        </is>
      </c>
      <c r="AD542" s="5">
        <f>IF(AC542="","",IF(OR(AC542=F542,AND(AC542="crane_footing",F542="isolated_footing")),"yes","no"))</f>
        <v/>
      </c>
    </row>
    <row r="543">
      <c r="A543" s="5" t="n">
        <v>542</v>
      </c>
      <c r="B543" s="5" t="inlineStr">
        <is>
          <t>125</t>
        </is>
      </c>
      <c r="C543" s="5" t="inlineStr">
        <is>
          <t>own label</t>
        </is>
      </c>
      <c r="D543" s="5" t="inlineStr">
        <is>
          <t>solid</t>
        </is>
      </c>
      <c r="E543" s="5" t="n">
        <v>36</v>
      </c>
      <c r="F543" s="5" t="inlineStr">
        <is>
          <t>shear_wall</t>
        </is>
      </c>
      <c r="G543" s="5" t="inlineStr">
        <is>
          <t>label vote</t>
        </is>
      </c>
      <c r="H543" s="5" t="inlineStr">
        <is>
          <t>V8/125</t>
        </is>
      </c>
      <c r="I543" s="5" t="inlineStr">
        <is>
          <t>printed label</t>
        </is>
      </c>
      <c r="J543" s="5" t="inlineStr">
        <is>
          <t>V8/125/125</t>
        </is>
      </c>
      <c r="K543" s="5" t="n">
        <v>125</v>
      </c>
      <c r="L543" s="5" t="n">
        <v>25</v>
      </c>
      <c r="M543" s="10">
        <f>IF(AND(ISNUMBER(K543),L543&gt;0),K543/L543,"")</f>
        <v/>
      </c>
      <c r="N543" s="5" t="n">
        <v>0.312</v>
      </c>
      <c r="O543" s="5" t="n">
        <v>98.09999999999999</v>
      </c>
      <c r="P543" s="5" t="n">
        <v>0</v>
      </c>
      <c r="Q543" s="5" t="n">
        <v>1</v>
      </c>
      <c r="R543" s="5" t="n">
        <v>0</v>
      </c>
      <c r="S543" s="5" t="n">
        <v>0</v>
      </c>
      <c r="T543" s="5" t="n">
        <v>0</v>
      </c>
      <c r="U543" s="5" t="n">
        <v>1</v>
      </c>
      <c r="V543" s="5" t="n">
        <v>3</v>
      </c>
      <c r="W543" s="5" t="n"/>
      <c r="X543" s="5" t="inlineStr"/>
      <c r="Y543" s="5" t="n">
        <v>3049.9</v>
      </c>
      <c r="Z543" s="5" t="n">
        <v>3058.9</v>
      </c>
      <c r="AA543" s="5" t="n">
        <v>3062.4</v>
      </c>
      <c r="AB543" s="5" t="n">
        <v>3096.5</v>
      </c>
      <c r="AC543" s="5" t="inlineStr">
        <is>
          <t>shear_wall</t>
        </is>
      </c>
      <c r="AD543" s="5">
        <f>IF(AC543="","",IF(OR(AC543=F543,AND(AC543="crane_footing",F543="isolated_footing")),"yes","no"))</f>
        <v/>
      </c>
    </row>
    <row r="544">
      <c r="A544" s="5" t="n">
        <v>543</v>
      </c>
      <c r="B544" s="5" t="inlineStr">
        <is>
          <t>125</t>
        </is>
      </c>
      <c r="C544" s="5" t="inlineStr">
        <is>
          <t>region between joints</t>
        </is>
      </c>
      <c r="D544" s="5" t="inlineStr">
        <is>
          <t>solid</t>
        </is>
      </c>
      <c r="E544" s="5" t="n">
        <v>32</v>
      </c>
      <c r="F544" s="5" t="inlineStr">
        <is>
          <t>shear_wall</t>
        </is>
      </c>
      <c r="G544" s="5" t="inlineStr">
        <is>
          <t>label vote</t>
        </is>
      </c>
      <c r="H544" s="5" t="inlineStr">
        <is>
          <t>V8/125</t>
        </is>
      </c>
      <c r="I544" s="5" t="inlineStr">
        <is>
          <t>inferred: the only shear_wall type in its building with this size</t>
        </is>
      </c>
      <c r="J544" s="5" t="inlineStr"/>
      <c r="K544" s="5" t="n">
        <v>124</v>
      </c>
      <c r="L544" s="5" t="n">
        <v>25</v>
      </c>
      <c r="M544" s="10">
        <f>IF(AND(ISNUMBER(K544),L544&gt;0),K544/L544,"")</f>
        <v/>
      </c>
      <c r="N544" s="5" t="n">
        <v>0.31</v>
      </c>
      <c r="O544" s="5" t="n">
        <v>26.7</v>
      </c>
      <c r="P544" s="5" t="n">
        <v>1</v>
      </c>
      <c r="Q544" s="5" t="n">
        <v>0</v>
      </c>
      <c r="R544" s="5" t="n">
        <v>0</v>
      </c>
      <c r="S544" s="5" t="n">
        <v>1</v>
      </c>
      <c r="T544" s="5" t="n">
        <v>0</v>
      </c>
      <c r="U544" s="5" t="n">
        <v>2</v>
      </c>
      <c r="V544" s="5" t="n">
        <v>1</v>
      </c>
      <c r="W544" s="5" t="n"/>
      <c r="X544" s="5" t="inlineStr"/>
      <c r="Y544" s="5" t="n">
        <v>2737.6</v>
      </c>
      <c r="Z544" s="5" t="n">
        <v>3575.8</v>
      </c>
      <c r="AA544" s="5" t="n">
        <v>2773.6</v>
      </c>
      <c r="AB544" s="5" t="n">
        <v>3598.8</v>
      </c>
      <c r="AC544" s="5" t="inlineStr"/>
      <c r="AD544" s="5">
        <f>IF(AC544="","",IF(OR(AC544=F544,AND(AC544="crane_footing",F544="isolated_footing")),"yes","no"))</f>
        <v/>
      </c>
    </row>
    <row r="545">
      <c r="A545" s="5" t="n">
        <v>544</v>
      </c>
      <c r="B545" s="5" t="inlineStr">
        <is>
          <t>125</t>
        </is>
      </c>
      <c r="C545" s="5" t="inlineStr">
        <is>
          <t>region between joints</t>
        </is>
      </c>
      <c r="D545" s="5" t="inlineStr">
        <is>
          <t>solid</t>
        </is>
      </c>
      <c r="E545" s="5" t="n">
        <v>28</v>
      </c>
      <c r="F545" s="5" t="inlineStr">
        <is>
          <t>retaining_wall</t>
        </is>
      </c>
      <c r="G545" s="5" t="inlineStr">
        <is>
          <t>label vote</t>
        </is>
      </c>
      <c r="H545" s="5" t="inlineStr">
        <is>
          <t>VP20</t>
        </is>
      </c>
      <c r="I545" s="5" t="inlineStr">
        <is>
          <t>printed label</t>
        </is>
      </c>
      <c r="J545" s="5" t="inlineStr">
        <is>
          <t>VP20-SF1 80x25</t>
        </is>
      </c>
      <c r="K545" s="5" t="n">
        <v>1114</v>
      </c>
      <c r="L545" s="5" t="n">
        <v>20</v>
      </c>
      <c r="M545" s="10">
        <f>IF(AND(ISNUMBER(K545),L545&gt;0),K545/L545,"")</f>
        <v/>
      </c>
      <c r="N545" s="5" t="n">
        <v>2.236</v>
      </c>
      <c r="O545" s="5" t="n">
        <v>169.4</v>
      </c>
      <c r="P545" s="5" t="n">
        <v>3</v>
      </c>
      <c r="Q545" s="5" t="n">
        <v>0</v>
      </c>
      <c r="R545" s="5" t="n">
        <v>0</v>
      </c>
      <c r="S545" s="5" t="n">
        <v>0</v>
      </c>
      <c r="T545" s="5" t="n">
        <v>1</v>
      </c>
      <c r="U545" s="5" t="n">
        <v>15</v>
      </c>
      <c r="V545" s="5" t="n">
        <v>4</v>
      </c>
      <c r="W545" s="5" t="n"/>
      <c r="X545" s="5" t="inlineStr"/>
      <c r="Y545" s="5" t="n">
        <v>3289.9</v>
      </c>
      <c r="Z545" s="5" t="n">
        <v>3463.2</v>
      </c>
      <c r="AA545" s="5" t="n">
        <v>3614.3</v>
      </c>
      <c r="AB545" s="5" t="n">
        <v>3529.4</v>
      </c>
      <c r="AC545" s="5" t="inlineStr"/>
      <c r="AD545" s="5">
        <f>IF(AC545="","",IF(OR(AC545=F545,AND(AC545="crane_footing",F545="isolated_footing")),"yes","no"))</f>
        <v/>
      </c>
    </row>
    <row r="546">
      <c r="A546" s="5" t="n">
        <v>545</v>
      </c>
      <c r="B546" s="5" t="inlineStr">
        <is>
          <t>125</t>
        </is>
      </c>
      <c r="C546" s="5" t="inlineStr">
        <is>
          <t>region between joints</t>
        </is>
      </c>
      <c r="D546" s="5" t="inlineStr">
        <is>
          <t>solid</t>
        </is>
      </c>
      <c r="E546" s="5" t="n">
        <v>28</v>
      </c>
      <c r="F546" s="5" t="inlineStr">
        <is>
          <t>retaining_wall</t>
        </is>
      </c>
      <c r="G546" s="5" t="inlineStr">
        <is>
          <t>label vote</t>
        </is>
      </c>
      <c r="H546" s="5" t="inlineStr">
        <is>
          <t>VP20</t>
        </is>
      </c>
      <c r="I546" s="5" t="inlineStr">
        <is>
          <t>inferred: the only retaining_wall type with this size</t>
        </is>
      </c>
      <c r="J546" s="5" t="inlineStr"/>
      <c r="K546" s="5" t="n">
        <v>338</v>
      </c>
      <c r="L546" s="5" t="n">
        <v>20</v>
      </c>
      <c r="M546" s="10">
        <f>IF(AND(ISNUMBER(K546),L546&gt;0),K546/L546,"")</f>
        <v/>
      </c>
      <c r="N546" s="5" t="n">
        <v>0.6820000000000001</v>
      </c>
      <c r="O546" s="5" t="n">
        <v>79.40000000000001</v>
      </c>
      <c r="P546" s="5" t="n">
        <v>2</v>
      </c>
      <c r="Q546" s="5" t="n">
        <v>0</v>
      </c>
      <c r="R546" s="5" t="n">
        <v>0</v>
      </c>
      <c r="S546" s="5" t="n">
        <v>1</v>
      </c>
      <c r="T546" s="5" t="n">
        <v>0</v>
      </c>
      <c r="U546" s="5" t="n">
        <v>0</v>
      </c>
      <c r="V546" s="5" t="n">
        <v>2</v>
      </c>
      <c r="W546" s="5" t="n"/>
      <c r="X546" s="5" t="inlineStr"/>
      <c r="Y546" s="5" t="n">
        <v>3285.1</v>
      </c>
      <c r="Z546" s="5" t="n">
        <v>3529.4</v>
      </c>
      <c r="AA546" s="5" t="n">
        <v>3309.3</v>
      </c>
      <c r="AB546" s="5" t="n">
        <v>3628.7</v>
      </c>
      <c r="AC546" s="5" t="inlineStr"/>
      <c r="AD546" s="5">
        <f>IF(AC546="","",IF(OR(AC546=F546,AND(AC546="crane_footing",F546="isolated_footing")),"yes","no"))</f>
        <v/>
      </c>
    </row>
    <row r="547">
      <c r="A547" s="5" t="n">
        <v>546</v>
      </c>
      <c r="B547" s="5" t="inlineStr">
        <is>
          <t>125</t>
        </is>
      </c>
      <c r="C547" s="5" t="inlineStr">
        <is>
          <t>region between joints</t>
        </is>
      </c>
      <c r="D547" s="5" t="inlineStr">
        <is>
          <t>solid</t>
        </is>
      </c>
      <c r="E547" s="5" t="n">
        <v>28</v>
      </c>
      <c r="F547" s="5" t="inlineStr">
        <is>
          <t>retaining_wall</t>
        </is>
      </c>
      <c r="G547" s="5" t="inlineStr">
        <is>
          <t>label vote</t>
        </is>
      </c>
      <c r="H547" s="5" t="inlineStr">
        <is>
          <t>VP20</t>
        </is>
      </c>
      <c r="I547" s="5" t="inlineStr">
        <is>
          <t>printed label</t>
        </is>
      </c>
      <c r="J547" s="5" t="inlineStr">
        <is>
          <t>VP20-SF1 80x25</t>
        </is>
      </c>
      <c r="K547" s="5" t="n">
        <v>541</v>
      </c>
      <c r="L547" s="5" t="n">
        <v>20</v>
      </c>
      <c r="M547" s="10">
        <f>IF(AND(ISNUMBER(K547),L547&gt;0),K547/L547,"")</f>
        <v/>
      </c>
      <c r="N547" s="5" t="n">
        <v>1.083</v>
      </c>
      <c r="O547" s="5" t="n">
        <v>26.6</v>
      </c>
      <c r="P547" s="5" t="n">
        <v>3</v>
      </c>
      <c r="Q547" s="5" t="n">
        <v>0</v>
      </c>
      <c r="R547" s="5" t="n">
        <v>0</v>
      </c>
      <c r="S547" s="5" t="n">
        <v>0</v>
      </c>
      <c r="T547" s="5" t="n">
        <v>0</v>
      </c>
      <c r="U547" s="5" t="n">
        <v>2</v>
      </c>
      <c r="V547" s="5" t="n">
        <v>1</v>
      </c>
      <c r="W547" s="5" t="n"/>
      <c r="X547" s="5" t="inlineStr"/>
      <c r="Y547" s="5" t="n">
        <v>2849.8</v>
      </c>
      <c r="Z547" s="5" t="n">
        <v>3513.1</v>
      </c>
      <c r="AA547" s="5" t="n">
        <v>2995.2</v>
      </c>
      <c r="AB547" s="5" t="n">
        <v>3590</v>
      </c>
      <c r="AC547" s="5" t="inlineStr"/>
      <c r="AD547" s="5">
        <f>IF(AC547="","",IF(OR(AC547=F547,AND(AC547="crane_footing",F547="isolated_footing")),"yes","no"))</f>
        <v/>
      </c>
    </row>
    <row r="548">
      <c r="A548" s="5" t="n">
        <v>547</v>
      </c>
      <c r="B548" s="5" t="inlineStr">
        <is>
          <t>125</t>
        </is>
      </c>
      <c r="C548" s="5" t="inlineStr">
        <is>
          <t>region between joints</t>
        </is>
      </c>
      <c r="D548" s="5" t="inlineStr">
        <is>
          <t>solid</t>
        </is>
      </c>
      <c r="E548" s="5" t="n">
        <v>28</v>
      </c>
      <c r="F548" s="5" t="inlineStr">
        <is>
          <t>retaining_wall</t>
        </is>
      </c>
      <c r="G548" s="5" t="inlineStr">
        <is>
          <t>label vote</t>
        </is>
      </c>
      <c r="H548" s="5" t="inlineStr">
        <is>
          <t>VP20</t>
        </is>
      </c>
      <c r="I548" s="5" t="inlineStr">
        <is>
          <t>inferred: the only retaining_wall type with this size</t>
        </is>
      </c>
      <c r="J548" s="5" t="inlineStr"/>
      <c r="K548" s="5" t="n">
        <v>457</v>
      </c>
      <c r="L548" s="5" t="n">
        <v>20</v>
      </c>
      <c r="M548" s="10">
        <f>IF(AND(ISNUMBER(K548),L548&gt;0),K548/L548,"")</f>
        <v/>
      </c>
      <c r="N548" s="5" t="n">
        <v>0.911</v>
      </c>
      <c r="O548" s="5" t="n">
        <v>79.3</v>
      </c>
      <c r="P548" s="5" t="n">
        <v>4</v>
      </c>
      <c r="Q548" s="5" t="n">
        <v>0</v>
      </c>
      <c r="R548" s="5" t="n">
        <v>0</v>
      </c>
      <c r="S548" s="5" t="n">
        <v>1</v>
      </c>
      <c r="T548" s="5" t="n">
        <v>3</v>
      </c>
      <c r="U548" s="5" t="n">
        <v>2</v>
      </c>
      <c r="V548" s="5" t="n">
        <v>1</v>
      </c>
      <c r="W548" s="5" t="n"/>
      <c r="X548" s="5" t="inlineStr"/>
      <c r="Y548" s="5" t="n">
        <v>3269</v>
      </c>
      <c r="Z548" s="5" t="n">
        <v>3640.1</v>
      </c>
      <c r="AA548" s="5" t="n">
        <v>3299.8</v>
      </c>
      <c r="AB548" s="5" t="n">
        <v>3773.8</v>
      </c>
      <c r="AC548" s="5" t="inlineStr"/>
      <c r="AD548" s="5">
        <f>IF(AC548="","",IF(OR(AC548=F548,AND(AC548="crane_footing",F548="isolated_footing")),"yes","no"))</f>
        <v/>
      </c>
    </row>
    <row r="549">
      <c r="A549" s="5" t="n">
        <v>548</v>
      </c>
      <c r="B549" s="5" t="inlineStr">
        <is>
          <t>125</t>
        </is>
      </c>
      <c r="C549" s="5" t="inlineStr">
        <is>
          <t>nearest labels in its region</t>
        </is>
      </c>
      <c r="D549" s="5" t="inlineStr">
        <is>
          <t>solid</t>
        </is>
      </c>
      <c r="E549" s="5" t="n">
        <v>33</v>
      </c>
      <c r="F549" s="5" t="inlineStr">
        <is>
          <t>retaining_wall</t>
        </is>
      </c>
      <c r="G549" s="5" t="inlineStr">
        <is>
          <t>label vote</t>
        </is>
      </c>
      <c r="H549" s="5" t="inlineStr">
        <is>
          <t>VP20</t>
        </is>
      </c>
      <c r="I549" s="5" t="inlineStr">
        <is>
          <t>printed label</t>
        </is>
      </c>
      <c r="J549" s="5" t="inlineStr">
        <is>
          <t>VP20/SF1- 80x25</t>
        </is>
      </c>
      <c r="K549" s="5" t="n">
        <v>1477</v>
      </c>
      <c r="L549" s="5" t="n">
        <v>20</v>
      </c>
      <c r="M549" s="10">
        <f>IF(AND(ISNUMBER(K549),L549&gt;0),K549/L549,"")</f>
        <v/>
      </c>
      <c r="N549" s="5" t="n">
        <v>3.028</v>
      </c>
      <c r="O549" s="5" t="n">
        <v>169.4</v>
      </c>
      <c r="P549" s="5" t="n">
        <v>1</v>
      </c>
      <c r="Q549" s="5" t="n">
        <v>0</v>
      </c>
      <c r="R549" s="5" t="n">
        <v>1</v>
      </c>
      <c r="S549" s="5" t="n">
        <v>0</v>
      </c>
      <c r="T549" s="5" t="n">
        <v>0</v>
      </c>
      <c r="U549" s="5" t="n">
        <v>8</v>
      </c>
      <c r="V549" s="5" t="n">
        <v>4</v>
      </c>
      <c r="W549" s="5" t="n"/>
      <c r="X549" s="5" t="inlineStr"/>
      <c r="Y549" s="5" t="n">
        <v>3072.4</v>
      </c>
      <c r="Z549" s="5" t="n">
        <v>2858.3</v>
      </c>
      <c r="AA549" s="5" t="n">
        <v>3502.2</v>
      </c>
      <c r="AB549" s="5" t="n">
        <v>2944.8</v>
      </c>
      <c r="AC549" s="5" t="inlineStr"/>
      <c r="AD549" s="5">
        <f>IF(AC549="","",IF(OR(AC549=F549,AND(AC549="crane_footing",F549="isolated_footing")),"yes","no"))</f>
        <v/>
      </c>
    </row>
    <row r="550">
      <c r="A550" s="5" t="n">
        <v>549</v>
      </c>
      <c r="B550" s="5" t="inlineStr">
        <is>
          <t>125</t>
        </is>
      </c>
      <c r="C550" s="5" t="inlineStr">
        <is>
          <t>region between joints</t>
        </is>
      </c>
      <c r="D550" s="5" t="inlineStr">
        <is>
          <t>outline</t>
        </is>
      </c>
      <c r="E550" s="5" t="n">
        <v>16</v>
      </c>
      <c r="F550" s="5" t="inlineStr">
        <is>
          <t>isolated_footing</t>
        </is>
      </c>
      <c r="G550" s="5" t="inlineStr">
        <is>
          <t>label vote</t>
        </is>
      </c>
      <c r="H550" s="5" t="inlineStr">
        <is>
          <t>S10</t>
        </is>
      </c>
      <c r="I550" s="5" t="inlineStr">
        <is>
          <t>printed label</t>
        </is>
      </c>
      <c r="J550" s="5" t="inlineStr">
        <is>
          <t>S10-</t>
        </is>
      </c>
      <c r="K550" s="5" t="n">
        <v>450</v>
      </c>
      <c r="L550" s="5" t="n">
        <v>300</v>
      </c>
      <c r="M550" s="10">
        <f>IF(AND(ISNUMBER(K550),L550&gt;0),K550/L550,"")</f>
        <v/>
      </c>
      <c r="N550" s="5" t="n">
        <v>13.5</v>
      </c>
      <c r="O550" s="5" t="n">
        <v>97.7</v>
      </c>
      <c r="P550" s="5" t="n">
        <v>1</v>
      </c>
      <c r="Q550" s="5" t="n">
        <v>0</v>
      </c>
      <c r="R550" s="5" t="n">
        <v>0</v>
      </c>
      <c r="S550" s="5" t="n">
        <v>0</v>
      </c>
      <c r="T550" s="5" t="n">
        <v>1</v>
      </c>
      <c r="U550" s="5" t="n">
        <v>13</v>
      </c>
      <c r="V550" s="5" t="n">
        <v>3</v>
      </c>
      <c r="W550" s="5" t="n"/>
      <c r="X550" s="5" t="inlineStr"/>
      <c r="Y550" s="5" t="n">
        <v>2965.9</v>
      </c>
      <c r="Z550" s="5" t="n">
        <v>3278.7</v>
      </c>
      <c r="AA550" s="5" t="n">
        <v>3071.4</v>
      </c>
      <c r="AB550" s="5" t="n">
        <v>3422.2</v>
      </c>
      <c r="AC550" s="5" t="inlineStr">
        <is>
          <t>isolated_footing</t>
        </is>
      </c>
      <c r="AD550" s="5">
        <f>IF(AC550="","",IF(OR(AC550=F550,AND(AC550="crane_footing",F550="isolated_footing")),"yes","no"))</f>
        <v/>
      </c>
    </row>
    <row r="551">
      <c r="A551" s="5" t="n">
        <v>550</v>
      </c>
      <c r="B551" s="5" t="inlineStr">
        <is>
          <t>125</t>
        </is>
      </c>
      <c r="C551" s="5" t="inlineStr">
        <is>
          <t>own label</t>
        </is>
      </c>
      <c r="D551" s="5" t="inlineStr">
        <is>
          <t>outline</t>
        </is>
      </c>
      <c r="E551" s="5" t="n">
        <v>16</v>
      </c>
      <c r="F551" s="5" t="inlineStr">
        <is>
          <t>isolated_footing</t>
        </is>
      </c>
      <c r="G551" s="5" t="inlineStr">
        <is>
          <t>label vote</t>
        </is>
      </c>
      <c r="H551" s="5" t="inlineStr">
        <is>
          <t>S10</t>
        </is>
      </c>
      <c r="I551" s="5" t="inlineStr">
        <is>
          <t>printed label</t>
        </is>
      </c>
      <c r="J551" s="5" t="inlineStr">
        <is>
          <t>S10-125125</t>
        </is>
      </c>
      <c r="K551" s="5" t="n">
        <v>450</v>
      </c>
      <c r="L551" s="5" t="n">
        <v>300</v>
      </c>
      <c r="M551" s="10">
        <f>IF(AND(ISNUMBER(K551),L551&gt;0),K551/L551,"")</f>
        <v/>
      </c>
      <c r="N551" s="5" t="n">
        <v>13.499</v>
      </c>
      <c r="O551" s="5" t="n">
        <v>79.59999999999999</v>
      </c>
      <c r="P551" s="5" t="n">
        <v>1</v>
      </c>
      <c r="Q551" s="5" t="n">
        <v>0</v>
      </c>
      <c r="R551" s="5" t="n">
        <v>0</v>
      </c>
      <c r="S551" s="5" t="n">
        <v>0</v>
      </c>
      <c r="T551" s="5" t="n">
        <v>1</v>
      </c>
      <c r="U551" s="5" t="n">
        <v>20</v>
      </c>
      <c r="V551" s="5" t="n">
        <v>2</v>
      </c>
      <c r="W551" s="5" t="n"/>
      <c r="X551" s="5" t="inlineStr"/>
      <c r="Y551" s="5" t="n">
        <v>3152.8</v>
      </c>
      <c r="Z551" s="5" t="n">
        <v>3242.6</v>
      </c>
      <c r="AA551" s="5" t="n">
        <v>3263.9</v>
      </c>
      <c r="AB551" s="5" t="n">
        <v>3389.2</v>
      </c>
      <c r="AC551" s="5" t="inlineStr">
        <is>
          <t>isolated_footing</t>
        </is>
      </c>
      <c r="AD551" s="5">
        <f>IF(AC551="","",IF(OR(AC551=F551,AND(AC551="crane_footing",F551="isolated_footing")),"yes","no"))</f>
        <v/>
      </c>
    </row>
    <row r="552">
      <c r="A552" s="5" t="n">
        <v>551</v>
      </c>
      <c r="B552" s="5" t="inlineStr">
        <is>
          <t>125</t>
        </is>
      </c>
      <c r="C552" s="5" t="inlineStr">
        <is>
          <t>own label</t>
        </is>
      </c>
      <c r="D552" s="5" t="inlineStr">
        <is>
          <t>outline</t>
        </is>
      </c>
      <c r="E552" s="5" t="n">
        <v>16</v>
      </c>
      <c r="F552" s="5" t="inlineStr">
        <is>
          <t>isolated_footing</t>
        </is>
      </c>
      <c r="G552" s="5" t="inlineStr">
        <is>
          <t>label vote</t>
        </is>
      </c>
      <c r="H552" s="5" t="inlineStr">
        <is>
          <t>S11</t>
        </is>
      </c>
      <c r="I552" s="5" t="inlineStr">
        <is>
          <t>printed label</t>
        </is>
      </c>
      <c r="J552" s="5" t="inlineStr">
        <is>
          <t>S11-125125</t>
        </is>
      </c>
      <c r="K552" s="5" t="n">
        <v>500</v>
      </c>
      <c r="L552" s="5" t="n">
        <v>400</v>
      </c>
      <c r="M552" s="10">
        <f>IF(AND(ISNUMBER(K552),L552&gt;0),K552/L552,"")</f>
        <v/>
      </c>
      <c r="N552" s="5" t="n">
        <v>19.998</v>
      </c>
      <c r="O552" s="5" t="n">
        <v>79.3</v>
      </c>
      <c r="P552" s="5" t="n">
        <v>1</v>
      </c>
      <c r="Q552" s="5" t="n">
        <v>0</v>
      </c>
      <c r="R552" s="5" t="n">
        <v>0</v>
      </c>
      <c r="S552" s="5" t="n">
        <v>0</v>
      </c>
      <c r="T552" s="5" t="n">
        <v>1</v>
      </c>
      <c r="U552" s="5" t="n">
        <v>27</v>
      </c>
      <c r="V552" s="5" t="n">
        <v>2</v>
      </c>
      <c r="W552" s="5" t="n"/>
      <c r="X552" s="5" t="inlineStr"/>
      <c r="Y552" s="5" t="n">
        <v>3318.7</v>
      </c>
      <c r="Z552" s="5" t="n">
        <v>3205.7</v>
      </c>
      <c r="AA552" s="5" t="n">
        <v>3462.1</v>
      </c>
      <c r="AB552" s="5" t="n">
        <v>3372.7</v>
      </c>
      <c r="AC552" s="5" t="inlineStr">
        <is>
          <t>isolated_footing</t>
        </is>
      </c>
      <c r="AD552" s="5">
        <f>IF(AC552="","",IF(OR(AC552=F552,AND(AC552="crane_footing",F552="isolated_footing")),"yes","no"))</f>
        <v/>
      </c>
    </row>
    <row r="553">
      <c r="A553" s="5" t="n">
        <v>552</v>
      </c>
      <c r="B553" s="5" t="inlineStr">
        <is>
          <t>125</t>
        </is>
      </c>
      <c r="C553" s="5" t="inlineStr">
        <is>
          <t>nearest labels in its region</t>
        </is>
      </c>
      <c r="D553" s="5" t="inlineStr">
        <is>
          <t>outline</t>
        </is>
      </c>
      <c r="E553" s="5" t="n">
        <v>17</v>
      </c>
      <c r="F553" s="5" t="inlineStr">
        <is>
          <t>isolated_footing</t>
        </is>
      </c>
      <c r="G553" s="5" t="inlineStr">
        <is>
          <t>label vote</t>
        </is>
      </c>
      <c r="H553" s="5" t="inlineStr">
        <is>
          <t>S2</t>
        </is>
      </c>
      <c r="I553" s="5" t="inlineStr">
        <is>
          <t>printed label</t>
        </is>
      </c>
      <c r="J553" s="5" t="inlineStr">
        <is>
          <t>S2-</t>
        </is>
      </c>
      <c r="K553" s="5" t="n">
        <v>350</v>
      </c>
      <c r="L553" s="5" t="n">
        <v>200</v>
      </c>
      <c r="M553" s="10">
        <f>IF(AND(ISNUMBER(K553),L553&gt;0),K553/L553,"")</f>
        <v/>
      </c>
      <c r="N553" s="5" t="n">
        <v>7.002</v>
      </c>
      <c r="O553" s="5" t="n">
        <v>98</v>
      </c>
      <c r="P553" s="5" t="n">
        <v>1</v>
      </c>
      <c r="Q553" s="5" t="n">
        <v>0</v>
      </c>
      <c r="R553" s="5" t="n">
        <v>0</v>
      </c>
      <c r="S553" s="5" t="n">
        <v>0</v>
      </c>
      <c r="T553" s="5" t="n">
        <v>1</v>
      </c>
      <c r="U553" s="5" t="n">
        <v>21</v>
      </c>
      <c r="V553" s="5" t="n">
        <v>3</v>
      </c>
      <c r="W553" s="5" t="n"/>
      <c r="X553" s="5" t="inlineStr"/>
      <c r="Y553" s="5" t="n">
        <v>3019.9</v>
      </c>
      <c r="Z553" s="5" t="n">
        <v>3021.2</v>
      </c>
      <c r="AA553" s="5" t="n">
        <v>3092.8</v>
      </c>
      <c r="AB553" s="5" t="n">
        <v>3131.7</v>
      </c>
      <c r="AC553" s="5" t="inlineStr">
        <is>
          <t>isolated_footing</t>
        </is>
      </c>
      <c r="AD553" s="5">
        <f>IF(AC553="","",IF(OR(AC553=F553,AND(AC553="crane_footing",F553="isolated_footing")),"yes","no"))</f>
        <v/>
      </c>
    </row>
    <row r="554">
      <c r="A554" s="5" t="n">
        <v>553</v>
      </c>
      <c r="B554" s="5" t="inlineStr">
        <is>
          <t>125</t>
        </is>
      </c>
      <c r="C554" s="5" t="inlineStr">
        <is>
          <t>own label</t>
        </is>
      </c>
      <c r="D554" s="5" t="inlineStr">
        <is>
          <t>outline</t>
        </is>
      </c>
      <c r="E554" s="5" t="n">
        <v>17</v>
      </c>
      <c r="F554" s="5" t="inlineStr">
        <is>
          <t>isolated_footing</t>
        </is>
      </c>
      <c r="G554" s="5" t="inlineStr">
        <is>
          <t>label vote</t>
        </is>
      </c>
      <c r="H554" s="5" t="inlineStr">
        <is>
          <t>S2</t>
        </is>
      </c>
      <c r="I554" s="5" t="inlineStr">
        <is>
          <t>printed label</t>
        </is>
      </c>
      <c r="J554" s="5" t="inlineStr">
        <is>
          <t>S2-125125</t>
        </is>
      </c>
      <c r="K554" s="5" t="n">
        <v>350</v>
      </c>
      <c r="L554" s="5" t="n">
        <v>200</v>
      </c>
      <c r="M554" s="10">
        <f>IF(AND(ISNUMBER(K554),L554&gt;0),K554/L554,"")</f>
        <v/>
      </c>
      <c r="N554" s="5" t="n">
        <v>6.997</v>
      </c>
      <c r="O554" s="5" t="n">
        <v>79.3</v>
      </c>
      <c r="P554" s="5" t="n">
        <v>1</v>
      </c>
      <c r="Q554" s="5" t="n">
        <v>0</v>
      </c>
      <c r="R554" s="5" t="n">
        <v>0</v>
      </c>
      <c r="S554" s="5" t="n">
        <v>0</v>
      </c>
      <c r="T554" s="5" t="n">
        <v>1</v>
      </c>
      <c r="U554" s="5" t="n">
        <v>19</v>
      </c>
      <c r="V554" s="5" t="n">
        <v>4</v>
      </c>
      <c r="W554" s="5" t="n"/>
      <c r="X554" s="5" t="inlineStr"/>
      <c r="Y554" s="5" t="n">
        <v>3259.6</v>
      </c>
      <c r="Z554" s="5" t="n">
        <v>2990.3</v>
      </c>
      <c r="AA554" s="5" t="n">
        <v>3336.8</v>
      </c>
      <c r="AB554" s="5" t="n">
        <v>3102.8</v>
      </c>
      <c r="AC554" s="5" t="inlineStr">
        <is>
          <t>isolated_footing</t>
        </is>
      </c>
      <c r="AD554" s="5">
        <f>IF(AC554="","",IF(OR(AC554=F554,AND(AC554="crane_footing",F554="isolated_footing")),"yes","no"))</f>
        <v/>
      </c>
    </row>
    <row r="555">
      <c r="A555" s="5" t="n">
        <v>554</v>
      </c>
      <c r="B555" s="5" t="inlineStr">
        <is>
          <t>125</t>
        </is>
      </c>
      <c r="C555" s="5" t="inlineStr">
        <is>
          <t>own label</t>
        </is>
      </c>
      <c r="D555" s="5" t="inlineStr">
        <is>
          <t>outline</t>
        </is>
      </c>
      <c r="E555" s="5" t="n">
        <v>16</v>
      </c>
      <c r="F555" s="5" t="inlineStr">
        <is>
          <t>isolated_footing</t>
        </is>
      </c>
      <c r="G555" s="5" t="inlineStr">
        <is>
          <t>label vote</t>
        </is>
      </c>
      <c r="H555" s="5" t="inlineStr">
        <is>
          <t>S7</t>
        </is>
      </c>
      <c r="I555" s="5" t="inlineStr">
        <is>
          <t>printed label</t>
        </is>
      </c>
      <c r="J555" s="5" t="inlineStr">
        <is>
          <t>S7-125125</t>
        </is>
      </c>
      <c r="K555" s="5" t="n">
        <v>450</v>
      </c>
      <c r="L555" s="5" t="n">
        <v>350</v>
      </c>
      <c r="M555" s="10">
        <f>IF(AND(ISNUMBER(K555),L555&gt;0),K555/L555,"")</f>
        <v/>
      </c>
      <c r="N555" s="5" t="n">
        <v>15.75</v>
      </c>
      <c r="O555" s="5" t="n">
        <v>169.4</v>
      </c>
      <c r="P555" s="5" t="n">
        <v>2</v>
      </c>
      <c r="Q555" s="5" t="n">
        <v>0</v>
      </c>
      <c r="R555" s="5" t="n">
        <v>0</v>
      </c>
      <c r="S555" s="5" t="n">
        <v>0</v>
      </c>
      <c r="T555" s="5" t="n">
        <v>1</v>
      </c>
      <c r="U555" s="5" t="n">
        <v>9</v>
      </c>
      <c r="V555" s="5" t="n">
        <v>4</v>
      </c>
      <c r="W555" s="5" t="n"/>
      <c r="X555" s="5" t="inlineStr"/>
      <c r="Y555" s="5" t="n">
        <v>3398.2</v>
      </c>
      <c r="Z555" s="5" t="n">
        <v>3428.6</v>
      </c>
      <c r="AA555" s="5" t="n">
        <v>3547.8</v>
      </c>
      <c r="AB555" s="5" t="n">
        <v>3554.6</v>
      </c>
      <c r="AC555" s="5" t="inlineStr">
        <is>
          <t>isolated_footing</t>
        </is>
      </c>
      <c r="AD555" s="5">
        <f>IF(AC555="","",IF(OR(AC555=F555,AND(AC555="crane_footing",F555="isolated_footing")),"yes","no"))</f>
        <v/>
      </c>
    </row>
    <row r="556">
      <c r="A556" s="5" t="n">
        <v>555</v>
      </c>
      <c r="B556" s="5" t="inlineStr">
        <is>
          <t>125</t>
        </is>
      </c>
      <c r="C556" s="5" t="inlineStr">
        <is>
          <t>region between joints</t>
        </is>
      </c>
      <c r="D556" s="5" t="inlineStr">
        <is>
          <t>outline</t>
        </is>
      </c>
      <c r="E556" s="5" t="n">
        <v>16</v>
      </c>
      <c r="F556" s="5" t="inlineStr">
        <is>
          <t>isolated_footing</t>
        </is>
      </c>
      <c r="G556" s="5" t="inlineStr">
        <is>
          <t>label vote</t>
        </is>
      </c>
      <c r="H556" s="5" t="inlineStr">
        <is>
          <t>S7</t>
        </is>
      </c>
      <c r="I556" s="5" t="inlineStr">
        <is>
          <t>printed label</t>
        </is>
      </c>
      <c r="J556" s="5" t="inlineStr">
        <is>
          <t>S7-</t>
        </is>
      </c>
      <c r="K556" s="5" t="n">
        <v>450</v>
      </c>
      <c r="L556" s="5" t="n">
        <v>350</v>
      </c>
      <c r="M556" s="10">
        <f>IF(AND(ISNUMBER(K556),L556&gt;0),K556/L556,"")</f>
        <v/>
      </c>
      <c r="N556" s="5" t="n">
        <v>15.746</v>
      </c>
      <c r="O556" s="5" t="n">
        <v>96.7</v>
      </c>
      <c r="P556" s="5" t="n">
        <v>3</v>
      </c>
      <c r="Q556" s="5" t="n">
        <v>0</v>
      </c>
      <c r="R556" s="5" t="n">
        <v>0</v>
      </c>
      <c r="S556" s="5" t="n">
        <v>0</v>
      </c>
      <c r="T556" s="5" t="n">
        <v>1</v>
      </c>
      <c r="U556" s="5" t="n">
        <v>33</v>
      </c>
      <c r="V556" s="5" t="n">
        <v>3</v>
      </c>
      <c r="W556" s="5" t="n"/>
      <c r="X556" s="5" t="inlineStr"/>
      <c r="Y556" s="5" t="n">
        <v>2939.1</v>
      </c>
      <c r="Z556" s="5" t="n">
        <v>3452.9</v>
      </c>
      <c r="AA556" s="5" t="n">
        <v>3057.2</v>
      </c>
      <c r="AB556" s="5" t="n">
        <v>3596.9</v>
      </c>
      <c r="AC556" s="5" t="inlineStr">
        <is>
          <t>isolated_footing</t>
        </is>
      </c>
      <c r="AD556" s="5">
        <f>IF(AC556="","",IF(OR(AC556=F556,AND(AC556="crane_footing",F556="isolated_footing")),"yes","no"))</f>
        <v/>
      </c>
    </row>
    <row r="557">
      <c r="A557" s="5" t="n">
        <v>556</v>
      </c>
      <c r="B557" s="5" t="inlineStr">
        <is>
          <t>125</t>
        </is>
      </c>
      <c r="C557" s="5" t="inlineStr">
        <is>
          <t>nearest labels</t>
        </is>
      </c>
      <c r="D557" s="5" t="inlineStr">
        <is>
          <t>outline</t>
        </is>
      </c>
      <c r="E557" s="5" t="n">
        <v>15</v>
      </c>
      <c r="F557" s="5" t="inlineStr">
        <is>
          <t>combined_footing</t>
        </is>
      </c>
      <c r="G557" s="5" t="inlineStr">
        <is>
          <t>label vote</t>
        </is>
      </c>
      <c r="H557" s="5" t="inlineStr">
        <is>
          <t>SC1</t>
        </is>
      </c>
      <c r="I557" s="5" t="inlineStr">
        <is>
          <t>printed label</t>
        </is>
      </c>
      <c r="J557" s="5" t="inlineStr">
        <is>
          <t>SC1-</t>
        </is>
      </c>
      <c r="K557" s="5" t="n">
        <v>500</v>
      </c>
      <c r="L557" s="5" t="n">
        <v>350</v>
      </c>
      <c r="M557" s="10">
        <f>IF(AND(ISNUMBER(K557),L557&gt;0),K557/L557,"")</f>
        <v/>
      </c>
      <c r="N557" s="5" t="n">
        <v>17.505</v>
      </c>
      <c r="O557" s="5" t="n">
        <v>79.3</v>
      </c>
      <c r="P557" s="5" t="n">
        <v>4</v>
      </c>
      <c r="Q557" s="5" t="n">
        <v>0</v>
      </c>
      <c r="R557" s="5" t="n">
        <v>0</v>
      </c>
      <c r="S557" s="5" t="n">
        <v>0</v>
      </c>
      <c r="T557" s="5" t="n">
        <v>2</v>
      </c>
      <c r="U557" s="5" t="n">
        <v>44</v>
      </c>
      <c r="V557" s="5" t="n">
        <v>4</v>
      </c>
      <c r="W557" s="5" t="n"/>
      <c r="X557" s="5" t="inlineStr"/>
      <c r="Y557" s="5" t="n">
        <v>3551.6</v>
      </c>
      <c r="Z557" s="5" t="n">
        <v>3385.9</v>
      </c>
      <c r="AA557" s="5" t="n">
        <v>3680.5</v>
      </c>
      <c r="AB557" s="5" t="n">
        <v>3550.2</v>
      </c>
      <c r="AC557" s="5" t="inlineStr">
        <is>
          <t>combined_footing</t>
        </is>
      </c>
      <c r="AD557" s="5">
        <f>IF(AC557="","",IF(OR(AC557=F557,AND(AC557="crane_footing",F557="isolated_footing")),"yes","no"))</f>
        <v/>
      </c>
    </row>
    <row r="558">
      <c r="A558" s="5" t="n">
        <v>557</v>
      </c>
      <c r="B558" s="5" t="inlineStr">
        <is>
          <t>125</t>
        </is>
      </c>
      <c r="C558" s="5" t="inlineStr">
        <is>
          <t>region between joints</t>
        </is>
      </c>
      <c r="D558" s="5" t="inlineStr">
        <is>
          <t>outline</t>
        </is>
      </c>
      <c r="E558" s="5" t="n">
        <v>15</v>
      </c>
      <c r="F558" s="5" t="inlineStr">
        <is>
          <t>combined_footing</t>
        </is>
      </c>
      <c r="G558" s="5" t="inlineStr">
        <is>
          <t>label vote</t>
        </is>
      </c>
      <c r="H558" s="5" t="inlineStr">
        <is>
          <t>SC5</t>
        </is>
      </c>
      <c r="I558" s="5" t="inlineStr">
        <is>
          <t>printed label</t>
        </is>
      </c>
      <c r="J558" s="5" t="inlineStr">
        <is>
          <t>SC5-</t>
        </is>
      </c>
      <c r="K558" s="5" t="n">
        <v>500</v>
      </c>
      <c r="L558" s="5" t="n">
        <v>400</v>
      </c>
      <c r="M558" s="10">
        <f>IF(AND(ISNUMBER(K558),L558&gt;0),K558/L558,"")</f>
        <v/>
      </c>
      <c r="N558" s="5" t="n">
        <v>19.999</v>
      </c>
      <c r="O558" s="5" t="n">
        <v>79.3</v>
      </c>
      <c r="P558" s="5" t="n">
        <v>4</v>
      </c>
      <c r="Q558" s="5" t="n">
        <v>0</v>
      </c>
      <c r="R558" s="5" t="n">
        <v>0</v>
      </c>
      <c r="S558" s="5" t="n">
        <v>0</v>
      </c>
      <c r="T558" s="5" t="n">
        <v>2</v>
      </c>
      <c r="U558" s="5" t="n">
        <v>27</v>
      </c>
      <c r="V558" s="5" t="n">
        <v>2</v>
      </c>
      <c r="W558" s="5" t="n"/>
      <c r="X558" s="5" t="inlineStr"/>
      <c r="Y558" s="5" t="n">
        <v>3578.9</v>
      </c>
      <c r="Z558" s="5" t="n">
        <v>3604.5</v>
      </c>
      <c r="AA558" s="5" t="n">
        <v>3722.4</v>
      </c>
      <c r="AB558" s="5" t="n">
        <v>3771.4</v>
      </c>
      <c r="AC558" s="5" t="inlineStr">
        <is>
          <t>combined_footing</t>
        </is>
      </c>
      <c r="AD558" s="5">
        <f>IF(AC558="","",IF(OR(AC558=F558,AND(AC558="crane_footing",F558="isolated_footing")),"yes","no"))</f>
        <v/>
      </c>
    </row>
    <row r="559">
      <c r="A559" s="5" t="n">
        <v>558</v>
      </c>
      <c r="B559" s="5" t="inlineStr">
        <is>
          <t>125</t>
        </is>
      </c>
      <c r="C559" s="5" t="inlineStr">
        <is>
          <t>region between joints</t>
        </is>
      </c>
      <c r="D559" s="5" t="inlineStr">
        <is>
          <t>band</t>
        </is>
      </c>
      <c r="E559" s="5" t="n">
        <v>6</v>
      </c>
      <c r="F559" s="5" t="inlineStr">
        <is>
          <t>strip_footing</t>
        </is>
      </c>
      <c r="G559" s="5" t="inlineStr">
        <is>
          <t>label vote</t>
        </is>
      </c>
      <c r="H559" s="5" t="inlineStr">
        <is>
          <t>SF1</t>
        </is>
      </c>
      <c r="I559" s="5" t="inlineStr">
        <is>
          <t>printed label</t>
        </is>
      </c>
      <c r="J559" s="5" t="inlineStr">
        <is>
          <t>VP20-SF1 80x25</t>
        </is>
      </c>
      <c r="K559" s="5" t="n">
        <v>337</v>
      </c>
      <c r="L559" s="5" t="n">
        <v>80</v>
      </c>
      <c r="M559" s="10">
        <f>IF(AND(ISNUMBER(K559),L559&gt;0),K559/L559,"")</f>
        <v/>
      </c>
      <c r="N559" s="5" t="n">
        <v>2.692</v>
      </c>
      <c r="O559" s="5" t="n">
        <v>169.4</v>
      </c>
      <c r="P559" s="5" t="n">
        <v>1</v>
      </c>
      <c r="Q559" s="5" t="n">
        <v>0</v>
      </c>
      <c r="R559" s="5" t="n">
        <v>0</v>
      </c>
      <c r="S559" s="5" t="n">
        <v>0</v>
      </c>
      <c r="T559" s="5" t="n">
        <v>0</v>
      </c>
      <c r="U559" s="5" t="n">
        <v>2</v>
      </c>
      <c r="V559" s="5" t="n">
        <v>1</v>
      </c>
      <c r="W559" s="5" t="n">
        <v>3.37</v>
      </c>
      <c r="X559" s="5" t="inlineStr"/>
      <c r="Y559" s="5" t="n">
        <v>3308</v>
      </c>
      <c r="Z559" s="5" t="n">
        <v>3492.9</v>
      </c>
      <c r="AA559" s="5" t="n">
        <v>3410</v>
      </c>
      <c r="AB559" s="5" t="n">
        <v>3534.4</v>
      </c>
      <c r="AC559" s="5" t="inlineStr"/>
      <c r="AD559" s="5">
        <f>IF(AC559="","",IF(OR(AC559=F559,AND(AC559="crane_footing",F559="isolated_footing")),"yes","no"))</f>
        <v/>
      </c>
    </row>
    <row r="560">
      <c r="A560" s="5" t="n">
        <v>559</v>
      </c>
      <c r="B560" s="5" t="inlineStr">
        <is>
          <t>125</t>
        </is>
      </c>
      <c r="C560" s="5" t="inlineStr">
        <is>
          <t>nearest labels in its region</t>
        </is>
      </c>
      <c r="D560" s="5" t="inlineStr">
        <is>
          <t>band</t>
        </is>
      </c>
      <c r="E560" s="5" t="n">
        <v>4</v>
      </c>
      <c r="F560" s="5" t="inlineStr">
        <is>
          <t>grade_beam</t>
        </is>
      </c>
      <c r="G560" s="5" t="inlineStr">
        <is>
          <t>label vote</t>
        </is>
      </c>
      <c r="H560" s="5" t="inlineStr">
        <is>
          <t>LG40x15</t>
        </is>
      </c>
      <c r="I560" s="5" t="inlineStr">
        <is>
          <t>printed label</t>
        </is>
      </c>
      <c r="J560" s="5" t="inlineStr">
        <is>
          <t>LG-40x15</t>
        </is>
      </c>
      <c r="K560" s="5" t="n">
        <v>2084</v>
      </c>
      <c r="L560" s="5" t="n">
        <v>41</v>
      </c>
      <c r="M560" s="10">
        <f>IF(AND(ISNUMBER(K560),L560&gt;0),K560/L560,"")</f>
        <v/>
      </c>
      <c r="N560" s="5" t="n">
        <v>8.542</v>
      </c>
      <c r="O560" s="5" t="n">
        <v>79.3</v>
      </c>
      <c r="P560" s="5" t="n">
        <v>5</v>
      </c>
      <c r="Q560" s="5" t="n">
        <v>0</v>
      </c>
      <c r="R560" s="5" t="n">
        <v>0</v>
      </c>
      <c r="S560" s="5" t="n">
        <v>0</v>
      </c>
      <c r="T560" s="5" t="n">
        <v>2</v>
      </c>
      <c r="U560" s="5" t="n">
        <v>13</v>
      </c>
      <c r="V560" s="5" t="n">
        <v>6</v>
      </c>
      <c r="W560" s="5" t="n">
        <v>9.800000000000001</v>
      </c>
      <c r="X560" s="5" t="inlineStr"/>
      <c r="Y560" s="5" t="n">
        <v>3490.5</v>
      </c>
      <c r="Z560" s="5" t="n">
        <v>2864.5</v>
      </c>
      <c r="AA560" s="5" t="n">
        <v>3616.3</v>
      </c>
      <c r="AB560" s="5" t="n">
        <v>3471.2</v>
      </c>
      <c r="AC560" s="5" t="inlineStr"/>
      <c r="AD560" s="5">
        <f>IF(AC560="","",IF(OR(AC560=F560,AND(AC560="crane_footing",F560="isolated_footing")),"yes","no"))</f>
        <v/>
      </c>
    </row>
    <row r="561">
      <c r="A561" s="5" t="n">
        <v>560</v>
      </c>
      <c r="B561" s="5" t="inlineStr">
        <is>
          <t>125</t>
        </is>
      </c>
      <c r="C561" s="5" t="inlineStr">
        <is>
          <t>region between joints</t>
        </is>
      </c>
      <c r="D561" s="5" t="inlineStr">
        <is>
          <t>band</t>
        </is>
      </c>
      <c r="E561" s="5" t="n">
        <v>4</v>
      </c>
      <c r="F561" s="5" t="inlineStr">
        <is>
          <t>grade_beam</t>
        </is>
      </c>
      <c r="G561" s="5" t="inlineStr">
        <is>
          <t>label vote</t>
        </is>
      </c>
      <c r="H561" s="5" t="inlineStr">
        <is>
          <t>LG40x15</t>
        </is>
      </c>
      <c r="I561" s="5" t="inlineStr">
        <is>
          <t>printed label</t>
        </is>
      </c>
      <c r="J561" s="5" t="inlineStr">
        <is>
          <t>LG-40x15</t>
        </is>
      </c>
      <c r="K561" s="5" t="n">
        <v>1848</v>
      </c>
      <c r="L561" s="5" t="n">
        <v>41</v>
      </c>
      <c r="M561" s="10">
        <f>IF(AND(ISNUMBER(K561),L561&gt;0),K561/L561,"")</f>
        <v/>
      </c>
      <c r="N561" s="5" t="n">
        <v>7.575</v>
      </c>
      <c r="O561" s="5" t="n">
        <v>169.3</v>
      </c>
      <c r="P561" s="5" t="n">
        <v>3</v>
      </c>
      <c r="Q561" s="5" t="n">
        <v>0</v>
      </c>
      <c r="R561" s="5" t="n">
        <v>0</v>
      </c>
      <c r="S561" s="5" t="n">
        <v>0</v>
      </c>
      <c r="T561" s="5" t="n">
        <v>0</v>
      </c>
      <c r="U561" s="5" t="n">
        <v>39</v>
      </c>
      <c r="V561" s="5" t="n">
        <v>6</v>
      </c>
      <c r="W561" s="5" t="n">
        <v>8.27</v>
      </c>
      <c r="X561" s="5" t="inlineStr"/>
      <c r="Y561" s="5" t="n">
        <v>3027.2</v>
      </c>
      <c r="Z561" s="5" t="n">
        <v>3228.4</v>
      </c>
      <c r="AA561" s="5" t="n">
        <v>3565.5</v>
      </c>
      <c r="AB561" s="5" t="n">
        <v>3341.3</v>
      </c>
      <c r="AC561" s="5" t="inlineStr"/>
      <c r="AD561" s="5">
        <f>IF(AC561="","",IF(OR(AC561=F561,AND(AC561="crane_footing",F561="isolated_footing")),"yes","no"))</f>
        <v/>
      </c>
    </row>
    <row r="562">
      <c r="A562" s="5" t="n">
        <v>561</v>
      </c>
      <c r="B562" s="5" t="inlineStr">
        <is>
          <t>125</t>
        </is>
      </c>
      <c r="C562" s="5" t="inlineStr">
        <is>
          <t>region between joints</t>
        </is>
      </c>
      <c r="D562" s="5" t="inlineStr">
        <is>
          <t>band</t>
        </is>
      </c>
      <c r="E562" s="5" t="n">
        <v>4</v>
      </c>
      <c r="F562" s="5" t="inlineStr">
        <is>
          <t>grade_beam</t>
        </is>
      </c>
      <c r="G562" s="5" t="inlineStr">
        <is>
          <t>label vote</t>
        </is>
      </c>
      <c r="H562" s="5" t="inlineStr">
        <is>
          <t>LG40x15</t>
        </is>
      </c>
      <c r="I562" s="5" t="inlineStr">
        <is>
          <t>printed label</t>
        </is>
      </c>
      <c r="J562" s="5" t="inlineStr">
        <is>
          <t>LG-40x15</t>
        </is>
      </c>
      <c r="K562" s="5" t="n">
        <v>1608</v>
      </c>
      <c r="L562" s="5" t="n">
        <v>41</v>
      </c>
      <c r="M562" s="10">
        <f>IF(AND(ISNUMBER(K562),L562&gt;0),K562/L562,"")</f>
        <v/>
      </c>
      <c r="N562" s="5" t="n">
        <v>6.593</v>
      </c>
      <c r="O562" s="5" t="n">
        <v>79.40000000000001</v>
      </c>
      <c r="P562" s="5" t="n">
        <v>2</v>
      </c>
      <c r="Q562" s="5" t="n">
        <v>0</v>
      </c>
      <c r="R562" s="5" t="n">
        <v>0</v>
      </c>
      <c r="S562" s="5" t="n">
        <v>0</v>
      </c>
      <c r="T562" s="5" t="n">
        <v>1</v>
      </c>
      <c r="U562" s="5" t="n">
        <v>13</v>
      </c>
      <c r="V562" s="5" t="n">
        <v>2</v>
      </c>
      <c r="W562" s="5" t="n">
        <v>9.199999999999999</v>
      </c>
      <c r="X562" s="5" t="inlineStr"/>
      <c r="Y562" s="5" t="n">
        <v>3336.9</v>
      </c>
      <c r="Z562" s="5" t="n">
        <v>3035.8</v>
      </c>
      <c r="AA562" s="5" t="n">
        <v>3436</v>
      </c>
      <c r="AB562" s="5" t="n">
        <v>3504.8</v>
      </c>
      <c r="AC562" s="5" t="inlineStr"/>
      <c r="AD562" s="5">
        <f>IF(AC562="","",IF(OR(AC562=F562,AND(AC562="crane_footing",F562="isolated_footing")),"yes","no"))</f>
        <v/>
      </c>
    </row>
    <row r="563">
      <c r="A563" s="5" t="n">
        <v>562</v>
      </c>
      <c r="B563" s="5" t="inlineStr">
        <is>
          <t>125</t>
        </is>
      </c>
      <c r="C563" s="5" t="inlineStr">
        <is>
          <t>nearest labels in its region</t>
        </is>
      </c>
      <c r="D563" s="5" t="inlineStr">
        <is>
          <t>band</t>
        </is>
      </c>
      <c r="E563" s="5" t="n">
        <v>4</v>
      </c>
      <c r="F563" s="5" t="inlineStr">
        <is>
          <t>grade_beam</t>
        </is>
      </c>
      <c r="G563" s="5" t="inlineStr">
        <is>
          <t>label vote</t>
        </is>
      </c>
      <c r="H563" s="5" t="inlineStr">
        <is>
          <t>LG40x15</t>
        </is>
      </c>
      <c r="I563" s="5" t="inlineStr">
        <is>
          <t>printed label</t>
        </is>
      </c>
      <c r="J563" s="5" t="inlineStr">
        <is>
          <t>LG-40x15</t>
        </is>
      </c>
      <c r="K563" s="5" t="n">
        <v>834</v>
      </c>
      <c r="L563" s="5" t="n">
        <v>41</v>
      </c>
      <c r="M563" s="10">
        <f>IF(AND(ISNUMBER(K563),L563&gt;0),K563/L563,"")</f>
        <v/>
      </c>
      <c r="N563" s="5" t="n">
        <v>3.42</v>
      </c>
      <c r="O563" s="5" t="n">
        <v>168.7</v>
      </c>
      <c r="P563" s="5" t="n">
        <v>2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12</v>
      </c>
      <c r="V563" s="5" t="n">
        <v>4</v>
      </c>
      <c r="W563" s="5" t="n">
        <v>6.3</v>
      </c>
      <c r="X563" s="5" t="inlineStr"/>
      <c r="Y563" s="5" t="n">
        <v>3057.1</v>
      </c>
      <c r="Z563" s="5" t="n">
        <v>3033.1</v>
      </c>
      <c r="AA563" s="5" t="n">
        <v>3301</v>
      </c>
      <c r="AB563" s="5" t="n">
        <v>3093.1</v>
      </c>
      <c r="AC563" s="5" t="inlineStr"/>
      <c r="AD563" s="5">
        <f>IF(AC563="","",IF(OR(AC563=F563,AND(AC563="crane_footing",F563="isolated_footing")),"yes","no"))</f>
        <v/>
      </c>
    </row>
    <row r="564">
      <c r="A564" s="5" t="n">
        <v>563</v>
      </c>
      <c r="B564" s="5" t="inlineStr">
        <is>
          <t>125</t>
        </is>
      </c>
      <c r="C564" s="5" t="inlineStr">
        <is>
          <t>nearest labels in its region</t>
        </is>
      </c>
      <c r="D564" s="5" t="inlineStr">
        <is>
          <t>band</t>
        </is>
      </c>
      <c r="E564" s="5" t="n">
        <v>4</v>
      </c>
      <c r="F564" s="5" t="inlineStr">
        <is>
          <t>grade_beam</t>
        </is>
      </c>
      <c r="G564" s="5" t="inlineStr">
        <is>
          <t>label vote</t>
        </is>
      </c>
      <c r="H564" s="5" t="inlineStr">
        <is>
          <t>LG40x15</t>
        </is>
      </c>
      <c r="I564" s="5" t="inlineStr">
        <is>
          <t>printed label</t>
        </is>
      </c>
      <c r="J564" s="5" t="inlineStr">
        <is>
          <t>LG-40x15</t>
        </is>
      </c>
      <c r="K564" s="5" t="n">
        <v>770</v>
      </c>
      <c r="L564" s="5" t="n">
        <v>41</v>
      </c>
      <c r="M564" s="10">
        <f>IF(AND(ISNUMBER(K564),L564&gt;0),K564/L564,"")</f>
        <v/>
      </c>
      <c r="N564" s="5" t="n">
        <v>3.157</v>
      </c>
      <c r="O564" s="5" t="n">
        <v>81.09999999999999</v>
      </c>
      <c r="P564" s="5" t="n">
        <v>1</v>
      </c>
      <c r="Q564" s="5" t="n">
        <v>0</v>
      </c>
      <c r="R564" s="5" t="n">
        <v>0</v>
      </c>
      <c r="S564" s="5" t="n">
        <v>0</v>
      </c>
      <c r="T564" s="5" t="n">
        <v>0</v>
      </c>
      <c r="U564" s="5" t="n">
        <v>4</v>
      </c>
      <c r="V564" s="5" t="n">
        <v>2</v>
      </c>
      <c r="W564" s="5" t="n">
        <v>6.14</v>
      </c>
      <c r="X564" s="5" t="inlineStr"/>
      <c r="Y564" s="5" t="n">
        <v>3163</v>
      </c>
      <c r="Z564" s="5" t="n">
        <v>3070.4</v>
      </c>
      <c r="AA564" s="5" t="n">
        <v>3210.1</v>
      </c>
      <c r="AB564" s="5" t="n">
        <v>3297</v>
      </c>
      <c r="AC564" s="5" t="inlineStr"/>
      <c r="AD564" s="5">
        <f>IF(AC564="","",IF(OR(AC564=F564,AND(AC564="crane_footing",F564="isolated_footing")),"yes","no"))</f>
        <v/>
      </c>
    </row>
    <row r="565">
      <c r="A565" s="5" t="n">
        <v>564</v>
      </c>
      <c r="B565" s="5" t="inlineStr">
        <is>
          <t>125</t>
        </is>
      </c>
      <c r="C565" s="5" t="inlineStr">
        <is>
          <t>nearest labels in its region</t>
        </is>
      </c>
      <c r="D565" s="5" t="inlineStr">
        <is>
          <t>band</t>
        </is>
      </c>
      <c r="E565" s="5" t="n">
        <v>4</v>
      </c>
      <c r="F565" s="5" t="inlineStr">
        <is>
          <t>grade_beam</t>
        </is>
      </c>
      <c r="G565" s="5" t="inlineStr">
        <is>
          <t>label vote</t>
        </is>
      </c>
      <c r="H565" s="5" t="inlineStr">
        <is>
          <t>LG40x15</t>
        </is>
      </c>
      <c r="I565" s="5" t="inlineStr">
        <is>
          <t>printed label</t>
        </is>
      </c>
      <c r="J565" s="5" t="inlineStr">
        <is>
          <t>LG-40x15</t>
        </is>
      </c>
      <c r="K565" s="5" t="n">
        <v>754</v>
      </c>
      <c r="L565" s="5" t="n">
        <v>41</v>
      </c>
      <c r="M565" s="10">
        <f>IF(AND(ISNUMBER(K565),L565&gt;0),K565/L565,"")</f>
        <v/>
      </c>
      <c r="N565" s="5" t="n">
        <v>3.092</v>
      </c>
      <c r="O565" s="5" t="n">
        <v>169.4</v>
      </c>
      <c r="P565" s="5" t="n">
        <v>1</v>
      </c>
      <c r="Q565" s="5" t="n">
        <v>0</v>
      </c>
      <c r="R565" s="5" t="n">
        <v>0</v>
      </c>
      <c r="S565" s="5" t="n">
        <v>0</v>
      </c>
      <c r="T565" s="5" t="n">
        <v>0</v>
      </c>
      <c r="U565" s="5" t="n">
        <v>18</v>
      </c>
      <c r="V565" s="5" t="n">
        <v>6</v>
      </c>
      <c r="W565" s="5" t="n">
        <v>5.96</v>
      </c>
      <c r="X565" s="5" t="inlineStr"/>
      <c r="Y565" s="5" t="n">
        <v>3300.9</v>
      </c>
      <c r="Z565" s="5" t="n">
        <v>2991.8</v>
      </c>
      <c r="AA565" s="5" t="n">
        <v>3522</v>
      </c>
      <c r="AB565" s="5" t="n">
        <v>3044.5</v>
      </c>
      <c r="AC565" s="5" t="inlineStr"/>
      <c r="AD565" s="5">
        <f>IF(AC565="","",IF(OR(AC565=F565,AND(AC565="crane_footing",F565="isolated_footing")),"yes","no"))</f>
        <v/>
      </c>
    </row>
    <row r="566">
      <c r="A566" s="5" t="n">
        <v>565</v>
      </c>
      <c r="B566" s="5" t="inlineStr">
        <is>
          <t>125</t>
        </is>
      </c>
      <c r="C566" s="5" t="inlineStr">
        <is>
          <t>nearest labels in its region</t>
        </is>
      </c>
      <c r="D566" s="5" t="inlineStr">
        <is>
          <t>band</t>
        </is>
      </c>
      <c r="E566" s="5" t="n">
        <v>4</v>
      </c>
      <c r="F566" s="5" t="inlineStr">
        <is>
          <t>grade_beam</t>
        </is>
      </c>
      <c r="G566" s="5" t="inlineStr">
        <is>
          <t>label vote</t>
        </is>
      </c>
      <c r="H566" s="5" t="inlineStr">
        <is>
          <t>LG40x15</t>
        </is>
      </c>
      <c r="I566" s="5" t="inlineStr">
        <is>
          <t>printed label</t>
        </is>
      </c>
      <c r="J566" s="5" t="inlineStr">
        <is>
          <t>LG-40x15</t>
        </is>
      </c>
      <c r="K566" s="5" t="n">
        <v>475</v>
      </c>
      <c r="L566" s="5" t="n">
        <v>41</v>
      </c>
      <c r="M566" s="10">
        <f>IF(AND(ISNUMBER(K566),L566&gt;0),K566/L566,"")</f>
        <v/>
      </c>
      <c r="N566" s="5" t="n">
        <v>1.947</v>
      </c>
      <c r="O566" s="5" t="n">
        <v>79.40000000000001</v>
      </c>
      <c r="P566" s="5" t="n">
        <v>2</v>
      </c>
      <c r="Q566" s="5" t="n">
        <v>0</v>
      </c>
      <c r="R566" s="5" t="n">
        <v>0</v>
      </c>
      <c r="S566" s="5" t="n">
        <v>0</v>
      </c>
      <c r="T566" s="5" t="n">
        <v>0</v>
      </c>
      <c r="U566" s="5" t="n">
        <v>3</v>
      </c>
      <c r="V566" s="5" t="n">
        <v>2</v>
      </c>
      <c r="W566" s="5" t="n">
        <v>3.04</v>
      </c>
      <c r="X566" s="5" t="inlineStr"/>
      <c r="Y566" s="5" t="n">
        <v>3266.2</v>
      </c>
      <c r="Z566" s="5" t="n">
        <v>2906.4</v>
      </c>
      <c r="AA566" s="5" t="n">
        <v>3303.9</v>
      </c>
      <c r="AB566" s="5" t="n">
        <v>3046.4</v>
      </c>
      <c r="AC566" s="5" t="inlineStr"/>
      <c r="AD566" s="5">
        <f>IF(AC566="","",IF(OR(AC566=F566,AND(AC566="crane_footing",F566="isolated_footing")),"yes","no"))</f>
        <v/>
      </c>
    </row>
    <row r="567">
      <c r="A567" s="5" t="n">
        <v>566</v>
      </c>
      <c r="B567" s="5" t="inlineStr">
        <is>
          <t>125</t>
        </is>
      </c>
      <c r="C567" s="5" t="inlineStr">
        <is>
          <t>region between joints</t>
        </is>
      </c>
      <c r="D567" s="5" t="inlineStr">
        <is>
          <t>band</t>
        </is>
      </c>
      <c r="E567" s="5" t="n">
        <v>4</v>
      </c>
      <c r="F567" s="5" t="inlineStr">
        <is>
          <t>grade_beam</t>
        </is>
      </c>
      <c r="G567" s="5" t="inlineStr">
        <is>
          <t>label vote</t>
        </is>
      </c>
      <c r="H567" s="5" t="inlineStr">
        <is>
          <t>LG40x15</t>
        </is>
      </c>
      <c r="I567" s="5" t="inlineStr">
        <is>
          <t>printed label</t>
        </is>
      </c>
      <c r="J567" s="5" t="inlineStr">
        <is>
          <t>LG-40x15</t>
        </is>
      </c>
      <c r="K567" s="5" t="n">
        <v>395</v>
      </c>
      <c r="L567" s="5" t="n">
        <v>41</v>
      </c>
      <c r="M567" s="10">
        <f>IF(AND(ISNUMBER(K567),L567&gt;0),K567/L567,"")</f>
        <v/>
      </c>
      <c r="N567" s="5" t="n">
        <v>1.618</v>
      </c>
      <c r="O567" s="5" t="n">
        <v>8.6</v>
      </c>
      <c r="P567" s="5" t="n">
        <v>0</v>
      </c>
      <c r="Q567" s="5" t="n">
        <v>0</v>
      </c>
      <c r="R567" s="5" t="n">
        <v>0</v>
      </c>
      <c r="S567" s="5" t="n">
        <v>0</v>
      </c>
      <c r="T567" s="5" t="n">
        <v>0</v>
      </c>
      <c r="U567" s="5" t="n">
        <v>3</v>
      </c>
      <c r="V567" s="5" t="n">
        <v>1</v>
      </c>
      <c r="W567" s="5" t="n">
        <v>2.5</v>
      </c>
      <c r="X567" s="5" t="inlineStr"/>
      <c r="Y567" s="5" t="n">
        <v>2876</v>
      </c>
      <c r="Z567" s="5" t="n">
        <v>3476.6</v>
      </c>
      <c r="AA567" s="5" t="n">
        <v>2993</v>
      </c>
      <c r="AB567" s="5" t="n">
        <v>3506.1</v>
      </c>
      <c r="AC567" s="5" t="inlineStr"/>
      <c r="AD567" s="5">
        <f>IF(AC567="","",IF(OR(AC567=F567,AND(AC567="crane_footing",F567="isolated_footing")),"yes","no"))</f>
        <v/>
      </c>
    </row>
    <row r="568">
      <c r="A568" s="5" t="n">
        <v>567</v>
      </c>
      <c r="B568" s="5" t="inlineStr">
        <is>
          <t>125</t>
        </is>
      </c>
      <c r="C568" s="5" t="inlineStr">
        <is>
          <t>region between joints</t>
        </is>
      </c>
      <c r="D568" s="5" t="inlineStr">
        <is>
          <t>band</t>
        </is>
      </c>
      <c r="E568" s="5" t="n">
        <v>4</v>
      </c>
      <c r="F568" s="5" t="inlineStr">
        <is>
          <t>grade_beam</t>
        </is>
      </c>
      <c r="G568" s="5" t="inlineStr">
        <is>
          <t>label vote</t>
        </is>
      </c>
      <c r="H568" s="5" t="inlineStr">
        <is>
          <t>LG40x15</t>
        </is>
      </c>
      <c r="I568" s="5" t="inlineStr">
        <is>
          <t>printed label</t>
        </is>
      </c>
      <c r="J568" s="5" t="inlineStr">
        <is>
          <t>LG-40x15</t>
        </is>
      </c>
      <c r="K568" s="5" t="n">
        <v>393</v>
      </c>
      <c r="L568" s="5" t="n">
        <v>41</v>
      </c>
      <c r="M568" s="10">
        <f>IF(AND(ISNUMBER(K568),L568&gt;0),K568/L568,"")</f>
        <v/>
      </c>
      <c r="N568" s="5" t="n">
        <v>1.611</v>
      </c>
      <c r="O568" s="5" t="n">
        <v>8.699999999999999</v>
      </c>
      <c r="P568" s="5" t="n">
        <v>0</v>
      </c>
      <c r="Q568" s="5" t="n">
        <v>0</v>
      </c>
      <c r="R568" s="5" t="n">
        <v>0</v>
      </c>
      <c r="S568" s="5" t="n">
        <v>0</v>
      </c>
      <c r="T568" s="5" t="n">
        <v>0</v>
      </c>
      <c r="U568" s="5" t="n">
        <v>2</v>
      </c>
      <c r="V568" s="5" t="n">
        <v>1</v>
      </c>
      <c r="W568" s="5" t="n">
        <v>2.28</v>
      </c>
      <c r="X568" s="5" t="inlineStr"/>
      <c r="Y568" s="5" t="n">
        <v>3003</v>
      </c>
      <c r="Z568" s="5" t="n">
        <v>3495.8</v>
      </c>
      <c r="AA568" s="5" t="n">
        <v>3119.5</v>
      </c>
      <c r="AB568" s="5" t="n">
        <v>3525.2</v>
      </c>
      <c r="AC568" s="5" t="inlineStr"/>
      <c r="AD568" s="5">
        <f>IF(AC568="","",IF(OR(AC568=F568,AND(AC568="crane_footing",F568="isolated_footing")),"yes","no"))</f>
        <v/>
      </c>
    </row>
    <row r="569">
      <c r="A569" s="5" t="n">
        <v>568</v>
      </c>
      <c r="B569" s="5" t="inlineStr">
        <is>
          <t>125</t>
        </is>
      </c>
      <c r="C569" s="5" t="inlineStr">
        <is>
          <t>region between joints</t>
        </is>
      </c>
      <c r="D569" s="5" t="inlineStr">
        <is>
          <t>band</t>
        </is>
      </c>
      <c r="E569" s="5" t="n">
        <v>2</v>
      </c>
      <c r="F569" s="5" t="inlineStr">
        <is>
          <t>grade_beam</t>
        </is>
      </c>
      <c r="G569" s="5" t="inlineStr">
        <is>
          <t>label vote</t>
        </is>
      </c>
      <c r="H569" s="5" t="inlineStr">
        <is>
          <t>(none)</t>
        </is>
      </c>
      <c r="I569" s="5" t="inlineStr"/>
      <c r="J569" s="5" t="inlineStr"/>
      <c r="K569" s="5" t="n">
        <v>190</v>
      </c>
      <c r="L569" s="5" t="n">
        <v>26</v>
      </c>
      <c r="M569" s="10">
        <f>IF(AND(ISNUMBER(K569),L569&gt;0),K569/L569,"")</f>
        <v/>
      </c>
      <c r="N569" s="5" t="n">
        <v>0.494</v>
      </c>
      <c r="O569" s="5" t="n">
        <v>116.6</v>
      </c>
      <c r="P569" s="5" t="n">
        <v>1</v>
      </c>
      <c r="Q569" s="5" t="n">
        <v>1</v>
      </c>
      <c r="R569" s="5" t="n">
        <v>0</v>
      </c>
      <c r="S569" s="5" t="n">
        <v>0</v>
      </c>
      <c r="T569" s="5" t="n">
        <v>0</v>
      </c>
      <c r="U569" s="5" t="n">
        <v>8</v>
      </c>
      <c r="V569" s="5" t="n">
        <v>2</v>
      </c>
      <c r="W569" s="5" t="n">
        <v>0</v>
      </c>
      <c r="X569" s="5" t="inlineStr"/>
      <c r="Y569" s="5" t="n">
        <v>2661.2</v>
      </c>
      <c r="Z569" s="5" t="n">
        <v>3374.1</v>
      </c>
      <c r="AA569" s="5" t="n">
        <v>2693.2</v>
      </c>
      <c r="AB569" s="5" t="n">
        <v>3427.7</v>
      </c>
      <c r="AC569" s="5" t="inlineStr"/>
      <c r="AD569" s="5">
        <f>IF(AC569="","",IF(OR(AC569=F569,AND(AC569="crane_footing",F569="isolated_footing")),"yes","no"))</f>
        <v/>
      </c>
    </row>
    <row r="570">
      <c r="A570" s="5" t="n">
        <v>569</v>
      </c>
      <c r="B570" s="5" t="inlineStr">
        <is>
          <t>125</t>
        </is>
      </c>
      <c r="C570" s="5" t="inlineStr">
        <is>
          <t>region between joints</t>
        </is>
      </c>
      <c r="D570" s="5" t="inlineStr">
        <is>
          <t>stamped_region</t>
        </is>
      </c>
      <c r="E570" s="5" t="n">
        <v>39</v>
      </c>
      <c r="F570" s="5" t="inlineStr">
        <is>
          <t>raft</t>
        </is>
      </c>
      <c r="G570" s="5" t="inlineStr">
        <is>
          <t>label vote</t>
        </is>
      </c>
      <c r="H570" s="5" t="inlineStr">
        <is>
          <t>Radier 90</t>
        </is>
      </c>
      <c r="I570" s="5" t="inlineStr">
        <is>
          <t>printed label</t>
        </is>
      </c>
      <c r="J570" s="5" t="inlineStr">
        <is>
          <t>Radier</t>
        </is>
      </c>
      <c r="K570" s="5" t="n">
        <v>1402</v>
      </c>
      <c r="L570" s="5" t="n">
        <v>687</v>
      </c>
      <c r="M570" s="10">
        <f>IF(AND(ISNUMBER(K570),L570&gt;0),K570/L570,"")</f>
        <v/>
      </c>
      <c r="N570" s="5" t="n">
        <v>96.009</v>
      </c>
      <c r="O570" s="5" t="n">
        <v>79.40000000000001</v>
      </c>
      <c r="P570" s="5" t="n">
        <v>18</v>
      </c>
      <c r="Q570" s="5" t="n">
        <v>0</v>
      </c>
      <c r="R570" s="5" t="n">
        <v>0</v>
      </c>
      <c r="S570" s="5" t="n">
        <v>0</v>
      </c>
      <c r="T570" s="5" t="n">
        <v>16</v>
      </c>
      <c r="U570" s="5" t="n">
        <v>87</v>
      </c>
      <c r="V570" s="5" t="n">
        <v>10</v>
      </c>
      <c r="W570" s="5" t="n"/>
      <c r="X570" s="5" t="inlineStr">
        <is>
          <t>traced outline</t>
        </is>
      </c>
      <c r="Y570" s="5" t="n">
        <v>3086.2</v>
      </c>
      <c r="Z570" s="5" t="n">
        <v>3388.9</v>
      </c>
      <c r="AA570" s="5" t="n">
        <v>3360.8</v>
      </c>
      <c r="AB570" s="5" t="n">
        <v>3832.5</v>
      </c>
      <c r="AC570" s="5" t="inlineStr"/>
      <c r="AD570" s="5">
        <f>IF(AC570="","",IF(OR(AC570=F570,AND(AC570="crane_footing",F570="isolated_footing")),"yes","no"))</f>
        <v/>
      </c>
    </row>
    <row r="571">
      <c r="A571" s="5" t="n">
        <v>570</v>
      </c>
      <c r="B571" s="5" t="inlineStr">
        <is>
          <t>125</t>
        </is>
      </c>
      <c r="C571" s="5" t="inlineStr">
        <is>
          <t>region between joints</t>
        </is>
      </c>
      <c r="D571" s="5" t="inlineStr">
        <is>
          <t>stamped_region</t>
        </is>
      </c>
      <c r="E571" s="5" t="n">
        <v>39</v>
      </c>
      <c r="F571" s="5" t="inlineStr">
        <is>
          <t>raft</t>
        </is>
      </c>
      <c r="G571" s="5" t="inlineStr">
        <is>
          <t>label vote</t>
        </is>
      </c>
      <c r="H571" s="5" t="inlineStr">
        <is>
          <t>Radier 90</t>
        </is>
      </c>
      <c r="I571" s="5" t="inlineStr">
        <is>
          <t>printed label</t>
        </is>
      </c>
      <c r="J571" s="5" t="inlineStr">
        <is>
          <t>Radier</t>
        </is>
      </c>
      <c r="K571" s="5" t="n">
        <v>1400</v>
      </c>
      <c r="L571" s="5" t="n">
        <v>650</v>
      </c>
      <c r="M571" s="10">
        <f>IF(AND(ISNUMBER(K571),L571&gt;0),K571/L571,"")</f>
        <v/>
      </c>
      <c r="N571" s="5" t="n">
        <v>91.026</v>
      </c>
      <c r="O571" s="5" t="n">
        <v>116.6</v>
      </c>
      <c r="P571" s="5" t="n">
        <v>12</v>
      </c>
      <c r="Q571" s="5" t="n">
        <v>0</v>
      </c>
      <c r="R571" s="5" t="n">
        <v>0</v>
      </c>
      <c r="S571" s="5" t="n">
        <v>0</v>
      </c>
      <c r="T571" s="5" t="n">
        <v>10</v>
      </c>
      <c r="U571" s="5" t="n">
        <v>117</v>
      </c>
      <c r="V571" s="5" t="n">
        <v>13</v>
      </c>
      <c r="W571" s="5" t="n"/>
      <c r="X571" s="5" t="inlineStr">
        <is>
          <t>rays' extent (approximate)</t>
        </is>
      </c>
      <c r="Y571" s="5" t="n">
        <v>2589.9</v>
      </c>
      <c r="Z571" s="5" t="n">
        <v>3325.5</v>
      </c>
      <c r="AA571" s="5" t="n">
        <v>2946.9</v>
      </c>
      <c r="AB571" s="5" t="n">
        <v>3781</v>
      </c>
      <c r="AC571" s="5" t="inlineStr"/>
      <c r="AD571" s="5">
        <f>IF(AC571="","",IF(OR(AC571=F571,AND(AC571="crane_footing",F571="isolated_footing")),"yes","no"))</f>
        <v/>
      </c>
    </row>
    <row r="572">
      <c r="A572" s="5" t="n">
        <v>571</v>
      </c>
      <c r="B572" s="5" t="inlineStr">
        <is>
          <t>125</t>
        </is>
      </c>
      <c r="C572" s="5" t="inlineStr">
        <is>
          <t>region between joints</t>
        </is>
      </c>
      <c r="D572" s="5" t="inlineStr">
        <is>
          <t>band</t>
        </is>
      </c>
      <c r="E572" s="5" t="n">
        <v>10</v>
      </c>
      <c r="F572" s="5" t="inlineStr">
        <is>
          <t>unnamed</t>
        </is>
      </c>
      <c r="G572" s="5" t="inlineStr">
        <is>
          <t>no label votes</t>
        </is>
      </c>
      <c r="H572" s="5" t="inlineStr">
        <is>
          <t>Fosse</t>
        </is>
      </c>
      <c r="I572" s="5" t="inlineStr">
        <is>
          <t>printed label</t>
        </is>
      </c>
      <c r="J572" s="5" t="inlineStr">
        <is>
          <t>FOSSE DE RELEVAGE2.00x1.50x1.50</t>
        </is>
      </c>
      <c r="K572" s="5" t="n">
        <v>147</v>
      </c>
      <c r="L572" s="5" t="n">
        <v>121</v>
      </c>
      <c r="M572" s="10">
        <f>IF(AND(ISNUMBER(K572),L572&gt;0),K572/L572,"")</f>
        <v/>
      </c>
      <c r="N572" s="5" t="n">
        <v>1.784</v>
      </c>
      <c r="O572" s="5" t="n">
        <v>116.6</v>
      </c>
      <c r="P572" s="5" t="n">
        <v>0</v>
      </c>
      <c r="Q572" s="5" t="n">
        <v>0</v>
      </c>
      <c r="R572" s="5" t="n">
        <v>0</v>
      </c>
      <c r="S572" s="5" t="n">
        <v>0</v>
      </c>
      <c r="T572" s="5" t="n">
        <v>0</v>
      </c>
      <c r="U572" s="5" t="n">
        <v>26</v>
      </c>
      <c r="V572" s="5" t="n">
        <v>3</v>
      </c>
      <c r="W572" s="5" t="n">
        <v>1.47</v>
      </c>
      <c r="X572" s="5" t="inlineStr"/>
      <c r="Y572" s="5" t="n">
        <v>2658.9</v>
      </c>
      <c r="Z572" s="5" t="n">
        <v>3376.7</v>
      </c>
      <c r="AA572" s="5" t="n">
        <v>2710.3</v>
      </c>
      <c r="AB572" s="5" t="n">
        <v>3431.7</v>
      </c>
      <c r="AC572" s="5" t="inlineStr"/>
      <c r="AD572" s="5">
        <f>IF(AC572="","",IF(OR(AC572=F572,AND(AC572="crane_footing",F572="isolated_footing")),"yes","no"))</f>
        <v/>
      </c>
    </row>
    <row r="573">
      <c r="A573" s="5" t="n">
        <v>572</v>
      </c>
      <c r="B573" s="5" t="inlineStr">
        <is>
          <t>125</t>
        </is>
      </c>
      <c r="C573" s="5" t="inlineStr">
        <is>
          <t>region between joints</t>
        </is>
      </c>
      <c r="D573" s="5" t="inlineStr">
        <is>
          <t>solid</t>
        </is>
      </c>
      <c r="E573" s="5" t="n">
        <v>38</v>
      </c>
      <c r="F573" s="5" t="inlineStr">
        <is>
          <t>unnamed</t>
        </is>
      </c>
      <c r="G573" s="5" t="inlineStr">
        <is>
          <t>no label votes</t>
        </is>
      </c>
      <c r="H573" s="5" t="inlineStr">
        <is>
          <t>(none)</t>
        </is>
      </c>
      <c r="I573" s="5" t="inlineStr"/>
      <c r="J573" s="5" t="inlineStr"/>
      <c r="K573" s="5" t="n">
        <v>121</v>
      </c>
      <c r="L573" s="5" t="n">
        <v>20</v>
      </c>
      <c r="M573" s="10">
        <f>IF(AND(ISNUMBER(K573),L573&gt;0),K573/L573,"")</f>
        <v/>
      </c>
      <c r="N573" s="5" t="n">
        <v>0.24</v>
      </c>
      <c r="O573" s="5" t="n">
        <v>169.5</v>
      </c>
      <c r="P573" s="5" t="n">
        <v>3</v>
      </c>
      <c r="Q573" s="5" t="n">
        <v>0</v>
      </c>
      <c r="R573" s="5" t="n">
        <v>0</v>
      </c>
      <c r="S573" s="5" t="n">
        <v>1</v>
      </c>
      <c r="T573" s="5" t="n">
        <v>0</v>
      </c>
      <c r="U573" s="5" t="n">
        <v>0</v>
      </c>
      <c r="V573" s="5" t="n">
        <v>0</v>
      </c>
      <c r="W573" s="5" t="n"/>
      <c r="X573" s="5" t="inlineStr"/>
      <c r="Y573" s="5" t="n">
        <v>3274.1</v>
      </c>
      <c r="Z573" s="5" t="n">
        <v>3627.7</v>
      </c>
      <c r="AA573" s="5" t="n">
        <v>3310.3</v>
      </c>
      <c r="AB573" s="5" t="n">
        <v>3640</v>
      </c>
      <c r="AC573" s="5" t="inlineStr"/>
      <c r="AD573" s="5">
        <f>IF(AC573="","",IF(OR(AC573=F573,AND(AC573="crane_footing",F573="isolated_footing")),"yes","no"))</f>
        <v/>
      </c>
    </row>
    <row r="574">
      <c r="A574" s="5" t="n">
        <v>573</v>
      </c>
      <c r="B574" s="5" t="inlineStr">
        <is>
          <t>125</t>
        </is>
      </c>
      <c r="C574" s="5" t="inlineStr">
        <is>
          <t>region between joints</t>
        </is>
      </c>
      <c r="D574" s="5" t="inlineStr">
        <is>
          <t>solid</t>
        </is>
      </c>
      <c r="E574" s="5" t="n">
        <v>34</v>
      </c>
      <c r="F574" s="5" t="inlineStr">
        <is>
          <t>unnamed</t>
        </is>
      </c>
      <c r="G574" s="5" t="inlineStr">
        <is>
          <t>no label votes</t>
        </is>
      </c>
      <c r="H574" s="5" t="inlineStr">
        <is>
          <t>(none)</t>
        </is>
      </c>
      <c r="I574" s="5" t="inlineStr"/>
      <c r="J574" s="5" t="inlineStr"/>
      <c r="K574" s="5" t="n">
        <v>141</v>
      </c>
      <c r="L574" s="5" t="n">
        <v>20</v>
      </c>
      <c r="M574" s="10">
        <f>IF(AND(ISNUMBER(K574),L574&gt;0),K574/L574,"")</f>
        <v/>
      </c>
      <c r="N574" s="5" t="n">
        <v>0.282</v>
      </c>
      <c r="O574" s="5" t="n">
        <v>79.3</v>
      </c>
      <c r="P574" s="5" t="n">
        <v>0</v>
      </c>
      <c r="Q574" s="5" t="n">
        <v>0</v>
      </c>
      <c r="R574" s="5" t="n">
        <v>0</v>
      </c>
      <c r="S574" s="5" t="n">
        <v>1</v>
      </c>
      <c r="T574" s="5" t="n">
        <v>0</v>
      </c>
      <c r="U574" s="5" t="n">
        <v>1</v>
      </c>
      <c r="V574" s="5" t="n">
        <v>0</v>
      </c>
      <c r="W574" s="5" t="n"/>
      <c r="X574" s="5" t="inlineStr"/>
      <c r="Y574" s="5" t="n">
        <v>3132.7</v>
      </c>
      <c r="Z574" s="5" t="n">
        <v>3570.5</v>
      </c>
      <c r="AA574" s="5" t="n">
        <v>3146.2</v>
      </c>
      <c r="AB574" s="5" t="n">
        <v>3612.5</v>
      </c>
      <c r="AC574" s="5" t="inlineStr"/>
      <c r="AD574" s="5">
        <f>IF(AC574="","",IF(OR(AC574=F574,AND(AC574="crane_footing",F574="isolated_footing")),"yes","no"))</f>
        <v/>
      </c>
    </row>
    <row r="575">
      <c r="A575" s="5" t="n">
        <v>574</v>
      </c>
      <c r="B575" s="5" t="inlineStr">
        <is>
          <t>125</t>
        </is>
      </c>
      <c r="C575" s="5" t="inlineStr">
        <is>
          <t>region between joints</t>
        </is>
      </c>
      <c r="D575" s="5" t="inlineStr">
        <is>
          <t>solid</t>
        </is>
      </c>
      <c r="E575" s="5" t="n">
        <v>38</v>
      </c>
      <c r="F575" s="5" t="inlineStr">
        <is>
          <t>unnamed</t>
        </is>
      </c>
      <c r="G575" s="5" t="inlineStr">
        <is>
          <t>no label votes</t>
        </is>
      </c>
      <c r="H575" s="5" t="inlineStr">
        <is>
          <t>(none)</t>
        </is>
      </c>
      <c r="I575" s="5" t="inlineStr"/>
      <c r="J575" s="5" t="inlineStr"/>
      <c r="K575" s="5" t="n">
        <v>87</v>
      </c>
      <c r="L575" s="5" t="n">
        <v>20</v>
      </c>
      <c r="M575" s="10">
        <f>IF(AND(ISNUMBER(K575),L575&gt;0),K575/L575,"")</f>
        <v/>
      </c>
      <c r="N575" s="5" t="n">
        <v>0.176</v>
      </c>
      <c r="O575" s="5" t="n">
        <v>116.6</v>
      </c>
      <c r="P575" s="5" t="n">
        <v>2</v>
      </c>
      <c r="Q575" s="5" t="n">
        <v>0</v>
      </c>
      <c r="R575" s="5" t="n">
        <v>0</v>
      </c>
      <c r="S575" s="5" t="n">
        <v>0</v>
      </c>
      <c r="T575" s="5" t="n">
        <v>0</v>
      </c>
      <c r="U575" s="5" t="n">
        <v>0</v>
      </c>
      <c r="V575" s="5" t="n">
        <v>2</v>
      </c>
      <c r="W575" s="5" t="n"/>
      <c r="X575" s="5" t="inlineStr"/>
      <c r="Y575" s="5" t="n">
        <v>2657.6</v>
      </c>
      <c r="Z575" s="5" t="n">
        <v>3428.2</v>
      </c>
      <c r="AA575" s="5" t="n">
        <v>2674.4</v>
      </c>
      <c r="AB575" s="5" t="n">
        <v>3454</v>
      </c>
      <c r="AC575" s="5" t="inlineStr"/>
      <c r="AD575" s="5">
        <f>IF(AC575="","",IF(OR(AC575=F575,AND(AC575="crane_footing",F575="isolated_footing")),"yes","no"))</f>
        <v/>
      </c>
    </row>
    <row r="576">
      <c r="A576" s="5" t="n">
        <v>575</v>
      </c>
      <c r="B576" s="5" t="inlineStr">
        <is>
          <t>125</t>
        </is>
      </c>
      <c r="C576" s="5" t="inlineStr">
        <is>
          <t>region between joints</t>
        </is>
      </c>
      <c r="D576" s="5" t="inlineStr">
        <is>
          <t>solid</t>
        </is>
      </c>
      <c r="E576" s="5" t="n">
        <v>38</v>
      </c>
      <c r="F576" s="5" t="inlineStr">
        <is>
          <t>unnamed</t>
        </is>
      </c>
      <c r="G576" s="5" t="inlineStr">
        <is>
          <t>no label votes</t>
        </is>
      </c>
      <c r="H576" s="5" t="inlineStr">
        <is>
          <t>(none)</t>
        </is>
      </c>
      <c r="I576" s="5" t="inlineStr"/>
      <c r="J576" s="5" t="inlineStr"/>
      <c r="K576" s="5" t="n">
        <v>199</v>
      </c>
      <c r="L576" s="5" t="n">
        <v>20</v>
      </c>
      <c r="M576" s="10">
        <f>IF(AND(ISNUMBER(K576),L576&gt;0),K576/L576,"")</f>
        <v/>
      </c>
      <c r="N576" s="5" t="n">
        <v>0.401</v>
      </c>
      <c r="O576" s="5" t="n">
        <v>116.7</v>
      </c>
      <c r="P576" s="5" t="n">
        <v>3</v>
      </c>
      <c r="Q576" s="5" t="n">
        <v>0</v>
      </c>
      <c r="R576" s="5" t="n">
        <v>0</v>
      </c>
      <c r="S576" s="5" t="n">
        <v>1</v>
      </c>
      <c r="T576" s="5" t="n">
        <v>1</v>
      </c>
      <c r="U576" s="5" t="n">
        <v>1</v>
      </c>
      <c r="V576" s="5" t="n">
        <v>1</v>
      </c>
      <c r="W576" s="5" t="n"/>
      <c r="X576" s="5" t="inlineStr"/>
      <c r="Y576" s="5" t="n">
        <v>2823.4</v>
      </c>
      <c r="Z576" s="5" t="n">
        <v>3518.4</v>
      </c>
      <c r="AA576" s="5" t="n">
        <v>2855.1</v>
      </c>
      <c r="AB576" s="5" t="n">
        <v>3573.5</v>
      </c>
      <c r="AC576" s="5" t="inlineStr"/>
      <c r="AD576" s="5">
        <f>IF(AC576="","",IF(OR(AC576=F576,AND(AC576="crane_footing",F576="isolated_footing")),"yes","no"))</f>
        <v/>
      </c>
    </row>
    <row r="577">
      <c r="A577" s="5" t="n">
        <v>576</v>
      </c>
      <c r="B577" s="5" t="inlineStr">
        <is>
          <t>125</t>
        </is>
      </c>
      <c r="C577" s="5" t="inlineStr">
        <is>
          <t>region between joints</t>
        </is>
      </c>
      <c r="D577" s="5" t="inlineStr">
        <is>
          <t>solid</t>
        </is>
      </c>
      <c r="E577" s="5" t="n">
        <v>34</v>
      </c>
      <c r="F577" s="5" t="inlineStr">
        <is>
          <t>unnamed</t>
        </is>
      </c>
      <c r="G577" s="5" t="inlineStr">
        <is>
          <t>no label votes</t>
        </is>
      </c>
      <c r="H577" s="5" t="inlineStr">
        <is>
          <t>(none)</t>
        </is>
      </c>
      <c r="I577" s="5" t="inlineStr"/>
      <c r="J577" s="5" t="inlineStr"/>
      <c r="K577" s="5" t="n">
        <v>532</v>
      </c>
      <c r="L577" s="5" t="n">
        <v>20</v>
      </c>
      <c r="M577" s="10">
        <f>IF(AND(ISNUMBER(K577),L577&gt;0),K577/L577,"")</f>
        <v/>
      </c>
      <c r="N577" s="5" t="n">
        <v>1.068</v>
      </c>
      <c r="O577" s="5" t="n">
        <v>79.40000000000001</v>
      </c>
      <c r="P577" s="5" t="n">
        <v>1</v>
      </c>
      <c r="Q577" s="5" t="n">
        <v>0</v>
      </c>
      <c r="R577" s="5" t="n">
        <v>0</v>
      </c>
      <c r="S577" s="5" t="n">
        <v>1</v>
      </c>
      <c r="T577" s="5" t="n">
        <v>0</v>
      </c>
      <c r="U577" s="5" t="n">
        <v>1</v>
      </c>
      <c r="V577" s="5" t="n">
        <v>0</v>
      </c>
      <c r="W577" s="5" t="n"/>
      <c r="X577" s="5" t="inlineStr"/>
      <c r="Y577" s="5" t="n">
        <v>3178.3</v>
      </c>
      <c r="Z577" s="5" t="n">
        <v>3634.4</v>
      </c>
      <c r="AA577" s="5" t="n">
        <v>3213</v>
      </c>
      <c r="AB577" s="5" t="n">
        <v>3789.9</v>
      </c>
      <c r="AC577" s="5" t="inlineStr"/>
      <c r="AD577" s="5">
        <f>IF(AC577="","",IF(OR(AC577=F577,AND(AC577="crane_footing",F577="isolated_footing")),"yes","no"))</f>
        <v/>
      </c>
    </row>
    <row r="578">
      <c r="A578" s="5" t="n">
        <v>577</v>
      </c>
      <c r="B578" s="5" t="inlineStr">
        <is>
          <t>125</t>
        </is>
      </c>
      <c r="C578" s="5" t="inlineStr">
        <is>
          <t>region between joints</t>
        </is>
      </c>
      <c r="D578" s="5" t="inlineStr">
        <is>
          <t>solid</t>
        </is>
      </c>
      <c r="E578" s="5" t="n">
        <v>34</v>
      </c>
      <c r="F578" s="5" t="inlineStr">
        <is>
          <t>unnamed</t>
        </is>
      </c>
      <c r="G578" s="5" t="inlineStr">
        <is>
          <t>no label votes</t>
        </is>
      </c>
      <c r="H578" s="5" t="inlineStr">
        <is>
          <t>(none)</t>
        </is>
      </c>
      <c r="I578" s="5" t="inlineStr"/>
      <c r="J578" s="5" t="inlineStr"/>
      <c r="K578" s="5" t="n">
        <v>273</v>
      </c>
      <c r="L578" s="5" t="n">
        <v>20</v>
      </c>
      <c r="M578" s="10">
        <f>IF(AND(ISNUMBER(K578),L578&gt;0),K578/L578,"")</f>
        <v/>
      </c>
      <c r="N578" s="5" t="n">
        <v>0.551</v>
      </c>
      <c r="O578" s="5" t="n">
        <v>169.5</v>
      </c>
      <c r="P578" s="5" t="n">
        <v>1</v>
      </c>
      <c r="Q578" s="5" t="n">
        <v>0</v>
      </c>
      <c r="R578" s="5" t="n">
        <v>0</v>
      </c>
      <c r="S578" s="5" t="n">
        <v>1</v>
      </c>
      <c r="T578" s="5" t="n">
        <v>0</v>
      </c>
      <c r="U578" s="5" t="n">
        <v>2</v>
      </c>
      <c r="V578" s="5" t="n">
        <v>0</v>
      </c>
      <c r="W578" s="5" t="n"/>
      <c r="X578" s="5" t="inlineStr"/>
      <c r="Y578" s="5" t="n">
        <v>3213</v>
      </c>
      <c r="Z578" s="5" t="n">
        <v>3774.1</v>
      </c>
      <c r="AA578" s="5" t="n">
        <v>3293.3</v>
      </c>
      <c r="AB578" s="5" t="n">
        <v>3794.7</v>
      </c>
      <c r="AC578" s="5" t="inlineStr"/>
      <c r="AD578" s="5">
        <f>IF(AC578="","",IF(OR(AC578=F578,AND(AC578="crane_footing",F578="isolated_footing")),"yes","no"))</f>
        <v/>
      </c>
    </row>
    <row r="579">
      <c r="A579" s="5" t="n">
        <v>578</v>
      </c>
      <c r="B579" s="5" t="inlineStr">
        <is>
          <t>125</t>
        </is>
      </c>
      <c r="C579" s="5" t="inlineStr">
        <is>
          <t>region between joints</t>
        </is>
      </c>
      <c r="D579" s="5" t="inlineStr">
        <is>
          <t>cross_hatch</t>
        </is>
      </c>
      <c r="E579" s="5" t="n">
        <v>14</v>
      </c>
      <c r="F579" s="5" t="inlineStr">
        <is>
          <t>unnamed</t>
        </is>
      </c>
      <c r="G579" s="5" t="inlineStr">
        <is>
          <t>no label votes</t>
        </is>
      </c>
      <c r="H579" s="5" t="inlineStr">
        <is>
          <t>(none)</t>
        </is>
      </c>
      <c r="I579" s="5" t="inlineStr"/>
      <c r="J579" s="5" t="inlineStr"/>
      <c r="K579" s="5" t="n">
        <v>303</v>
      </c>
      <c r="L579" s="5" t="n">
        <v>20</v>
      </c>
      <c r="M579" s="10">
        <f>IF(AND(ISNUMBER(K579),L579&gt;0),K579/L579,"")</f>
        <v/>
      </c>
      <c r="N579" s="5" t="n">
        <v>0.613</v>
      </c>
      <c r="O579" s="5" t="n">
        <v>26.8</v>
      </c>
      <c r="P579" s="5" t="n">
        <v>1</v>
      </c>
      <c r="Q579" s="5" t="n">
        <v>0</v>
      </c>
      <c r="R579" s="5" t="n">
        <v>0</v>
      </c>
      <c r="S579" s="5" t="n">
        <v>1</v>
      </c>
      <c r="T579" s="5" t="n">
        <v>0</v>
      </c>
      <c r="U579" s="5" t="n">
        <v>1</v>
      </c>
      <c r="V579" s="5" t="n">
        <v>2</v>
      </c>
      <c r="W579" s="5" t="n"/>
      <c r="X579" s="5" t="inlineStr"/>
      <c r="Y579" s="5" t="n">
        <v>2799.6</v>
      </c>
      <c r="Z579" s="5" t="n">
        <v>3370.5</v>
      </c>
      <c r="AA579" s="5" t="n">
        <v>2853.6</v>
      </c>
      <c r="AB579" s="5" t="n">
        <v>3416.4</v>
      </c>
      <c r="AC579" s="5" t="inlineStr"/>
      <c r="AD579" s="5">
        <f>IF(AC579="","",IF(OR(AC579=F579,AND(AC579="crane_footing",F579="isolated_footing")),"yes","no"))</f>
        <v/>
      </c>
    </row>
    <row r="580">
      <c r="A580" s="5" t="n">
        <v>579</v>
      </c>
      <c r="B580" s="5" t="inlineStr">
        <is>
          <t>125</t>
        </is>
      </c>
      <c r="C580" s="5" t="inlineStr">
        <is>
          <t>region between joints</t>
        </is>
      </c>
      <c r="D580" s="5" t="inlineStr">
        <is>
          <t>cross_hatch</t>
        </is>
      </c>
      <c r="E580" s="5" t="n">
        <v>14</v>
      </c>
      <c r="F580" s="5" t="inlineStr">
        <is>
          <t>unnamed</t>
        </is>
      </c>
      <c r="G580" s="5" t="inlineStr">
        <is>
          <t>no label votes</t>
        </is>
      </c>
      <c r="H580" s="5" t="inlineStr">
        <is>
          <t>(none)</t>
        </is>
      </c>
      <c r="I580" s="5" t="inlineStr"/>
      <c r="J580" s="5" t="inlineStr"/>
      <c r="K580" s="5" t="n">
        <v>229</v>
      </c>
      <c r="L580" s="5" t="n">
        <v>20</v>
      </c>
      <c r="M580" s="10">
        <f>IF(AND(ISNUMBER(K580),L580&gt;0),K580/L580,"")</f>
        <v/>
      </c>
      <c r="N580" s="5" t="n">
        <v>0.463</v>
      </c>
      <c r="O580" s="5" t="n">
        <v>116.6</v>
      </c>
      <c r="P580" s="5" t="n">
        <v>0</v>
      </c>
      <c r="Q580" s="5" t="n">
        <v>0</v>
      </c>
      <c r="R580" s="5" t="n">
        <v>0</v>
      </c>
      <c r="S580" s="5" t="n">
        <v>1</v>
      </c>
      <c r="T580" s="5" t="n">
        <v>0</v>
      </c>
      <c r="U580" s="5" t="n">
        <v>2</v>
      </c>
      <c r="V580" s="5" t="n">
        <v>2</v>
      </c>
      <c r="W580" s="5" t="n"/>
      <c r="X580" s="5" t="inlineStr"/>
      <c r="Y580" s="5" t="n">
        <v>2778.2</v>
      </c>
      <c r="Z580" s="5" t="n">
        <v>3457.6</v>
      </c>
      <c r="AA580" s="5" t="n">
        <v>2824.7</v>
      </c>
      <c r="AB580" s="5" t="n">
        <v>3547.3</v>
      </c>
      <c r="AC580" s="5" t="inlineStr"/>
      <c r="AD580" s="5">
        <f>IF(AC580="","",IF(OR(AC580=F580,AND(AC580="crane_footing",F580="isolated_footing")),"yes","no"))</f>
        <v/>
      </c>
    </row>
    <row r="581">
      <c r="A581" s="5" t="n">
        <v>580</v>
      </c>
      <c r="B581" s="5" t="inlineStr">
        <is>
          <t>125</t>
        </is>
      </c>
      <c r="C581" s="5" t="inlineStr">
        <is>
          <t>region between joints</t>
        </is>
      </c>
      <c r="D581" s="5" t="inlineStr">
        <is>
          <t>cross_hatch</t>
        </is>
      </c>
      <c r="E581" s="5" t="n">
        <v>14</v>
      </c>
      <c r="F581" s="5" t="inlineStr">
        <is>
          <t>unnamed</t>
        </is>
      </c>
      <c r="G581" s="5" t="inlineStr">
        <is>
          <t>no label votes</t>
        </is>
      </c>
      <c r="H581" s="5" t="inlineStr">
        <is>
          <t>(none)</t>
        </is>
      </c>
      <c r="I581" s="5" t="inlineStr"/>
      <c r="J581" s="5" t="inlineStr"/>
      <c r="K581" s="5" t="n">
        <v>94</v>
      </c>
      <c r="L581" s="5" t="n">
        <v>20</v>
      </c>
      <c r="M581" s="10">
        <f>IF(AND(ISNUMBER(K581),L581&gt;0),K581/L581,"")</f>
        <v/>
      </c>
      <c r="N581" s="5" t="n">
        <v>0.19</v>
      </c>
      <c r="O581" s="5" t="n">
        <v>26.7</v>
      </c>
      <c r="P581" s="5" t="n">
        <v>2</v>
      </c>
      <c r="Q581" s="5" t="n">
        <v>0</v>
      </c>
      <c r="R581" s="5" t="n">
        <v>0</v>
      </c>
      <c r="S581" s="5" t="n">
        <v>1</v>
      </c>
      <c r="T581" s="5" t="n">
        <v>0</v>
      </c>
      <c r="U581" s="5" t="n">
        <v>0</v>
      </c>
      <c r="V581" s="5" t="n">
        <v>0</v>
      </c>
      <c r="W581" s="5" t="n"/>
      <c r="X581" s="5" t="inlineStr"/>
      <c r="Y581" s="5" t="n">
        <v>2701</v>
      </c>
      <c r="Z581" s="5" t="n">
        <v>3555.8</v>
      </c>
      <c r="AA581" s="5" t="n">
        <v>2740.8</v>
      </c>
      <c r="AB581" s="5" t="n">
        <v>3579.3</v>
      </c>
      <c r="AC581" s="5" t="inlineStr"/>
      <c r="AD581" s="5">
        <f>IF(AC581="","",IF(OR(AC581=F581,AND(AC581="crane_footing",F581="isolated_footing")),"yes","no"))</f>
        <v/>
      </c>
    </row>
    <row r="582">
      <c r="A582" s="5" t="n">
        <v>581</v>
      </c>
      <c r="B582" s="5" t="inlineStr">
        <is>
          <t>125</t>
        </is>
      </c>
      <c r="C582" s="5" t="inlineStr">
        <is>
          <t>region between joints</t>
        </is>
      </c>
      <c r="D582" s="5" t="inlineStr">
        <is>
          <t>cross_hatch</t>
        </is>
      </c>
      <c r="E582" s="5" t="n">
        <v>14</v>
      </c>
      <c r="F582" s="5" t="inlineStr">
        <is>
          <t>unnamed</t>
        </is>
      </c>
      <c r="G582" s="5" t="inlineStr">
        <is>
          <t>no label votes</t>
        </is>
      </c>
      <c r="H582" s="5" t="inlineStr">
        <is>
          <t>(none)</t>
        </is>
      </c>
      <c r="I582" s="5" t="inlineStr"/>
      <c r="J582" s="5" t="inlineStr"/>
      <c r="K582" s="5" t="n">
        <v>137</v>
      </c>
      <c r="L582" s="5" t="n">
        <v>20</v>
      </c>
      <c r="M582" s="10">
        <f>IF(AND(ISNUMBER(K582),L582&gt;0),K582/L582,"")</f>
        <v/>
      </c>
      <c r="N582" s="5" t="n">
        <v>0.277</v>
      </c>
      <c r="O582" s="5" t="n">
        <v>169.4</v>
      </c>
      <c r="P582" s="5" t="n">
        <v>2</v>
      </c>
      <c r="Q582" s="5" t="n">
        <v>0</v>
      </c>
      <c r="R582" s="5" t="n">
        <v>0</v>
      </c>
      <c r="S582" s="5" t="n">
        <v>1</v>
      </c>
      <c r="T582" s="5" t="n">
        <v>0</v>
      </c>
      <c r="U582" s="5" t="n">
        <v>0</v>
      </c>
      <c r="V582" s="5" t="n">
        <v>1</v>
      </c>
      <c r="W582" s="5" t="n"/>
      <c r="X582" s="5" t="inlineStr"/>
      <c r="Y582" s="5" t="n">
        <v>3169.1</v>
      </c>
      <c r="Z582" s="5" t="n">
        <v>3427.6</v>
      </c>
      <c r="AA582" s="5" t="n">
        <v>3228.5</v>
      </c>
      <c r="AB582" s="5" t="n">
        <v>3442.7</v>
      </c>
      <c r="AC582" s="5" t="inlineStr"/>
      <c r="AD582" s="5">
        <f>IF(AC582="","",IF(OR(AC582=F582,AND(AC582="crane_footing",F582="isolated_footing")),"yes","no"))</f>
        <v/>
      </c>
    </row>
    <row r="583">
      <c r="A583" s="5" t="n">
        <v>582</v>
      </c>
      <c r="B583" s="5" t="inlineStr">
        <is>
          <t>125</t>
        </is>
      </c>
      <c r="C583" s="5" t="inlineStr">
        <is>
          <t>region between joints</t>
        </is>
      </c>
      <c r="D583" s="5" t="inlineStr">
        <is>
          <t>cross_hatch</t>
        </is>
      </c>
      <c r="E583" s="5" t="n">
        <v>14</v>
      </c>
      <c r="F583" s="5" t="inlineStr">
        <is>
          <t>unnamed</t>
        </is>
      </c>
      <c r="G583" s="5" t="inlineStr">
        <is>
          <t>no label votes</t>
        </is>
      </c>
      <c r="H583" s="5" t="inlineStr">
        <is>
          <t>(none)</t>
        </is>
      </c>
      <c r="I583" s="5" t="inlineStr"/>
      <c r="J583" s="5" t="inlineStr"/>
      <c r="K583" s="5" t="n">
        <v>451</v>
      </c>
      <c r="L583" s="5" t="n">
        <v>20</v>
      </c>
      <c r="M583" s="10">
        <f>IF(AND(ISNUMBER(K583),L583&gt;0),K583/L583,"")</f>
        <v/>
      </c>
      <c r="N583" s="5" t="n">
        <v>0.91</v>
      </c>
      <c r="O583" s="5" t="n">
        <v>79.40000000000001</v>
      </c>
      <c r="P583" s="5" t="n">
        <v>2</v>
      </c>
      <c r="Q583" s="5" t="n">
        <v>0</v>
      </c>
      <c r="R583" s="5" t="n">
        <v>0</v>
      </c>
      <c r="S583" s="5" t="n">
        <v>1</v>
      </c>
      <c r="T583" s="5" t="n">
        <v>0</v>
      </c>
      <c r="U583" s="5" t="n">
        <v>4</v>
      </c>
      <c r="V583" s="5" t="n">
        <v>3</v>
      </c>
      <c r="W583" s="5" t="n"/>
      <c r="X583" s="5" t="inlineStr"/>
      <c r="Y583" s="5" t="n">
        <v>3234.4</v>
      </c>
      <c r="Z583" s="5" t="n">
        <v>3450.9</v>
      </c>
      <c r="AA583" s="5" t="n">
        <v>3290.9</v>
      </c>
      <c r="AB583" s="5" t="n">
        <v>3592.9</v>
      </c>
      <c r="AC583" s="5" t="inlineStr"/>
      <c r="AD583" s="5">
        <f>IF(AC583="","",IF(OR(AC583=F583,AND(AC583="crane_footing",F583="isolated_footing")),"yes","no"))</f>
        <v/>
      </c>
    </row>
    <row r="584">
      <c r="A584" s="5" t="n">
        <v>583</v>
      </c>
      <c r="B584" s="5" t="inlineStr">
        <is>
          <t>125</t>
        </is>
      </c>
      <c r="C584" s="5" t="inlineStr">
        <is>
          <t>region between joints</t>
        </is>
      </c>
      <c r="D584" s="5" t="inlineStr">
        <is>
          <t>cross_hatch</t>
        </is>
      </c>
      <c r="E584" s="5" t="n">
        <v>14</v>
      </c>
      <c r="F584" s="5" t="inlineStr">
        <is>
          <t>unnamed</t>
        </is>
      </c>
      <c r="G584" s="5" t="inlineStr">
        <is>
          <t>no label votes</t>
        </is>
      </c>
      <c r="H584" s="5" t="inlineStr">
        <is>
          <t>(none)</t>
        </is>
      </c>
      <c r="I584" s="5" t="inlineStr"/>
      <c r="J584" s="5" t="inlineStr"/>
      <c r="K584" s="5" t="n">
        <v>132</v>
      </c>
      <c r="L584" s="5" t="n">
        <v>20</v>
      </c>
      <c r="M584" s="10">
        <f>IF(AND(ISNUMBER(K584),L584&gt;0),K584/L584,"")</f>
        <v/>
      </c>
      <c r="N584" s="5" t="n">
        <v>0.266</v>
      </c>
      <c r="O584" s="5" t="n">
        <v>169.4</v>
      </c>
      <c r="P584" s="5" t="n">
        <v>3</v>
      </c>
      <c r="Q584" s="5" t="n">
        <v>0</v>
      </c>
      <c r="R584" s="5" t="n">
        <v>0</v>
      </c>
      <c r="S584" s="5" t="n">
        <v>1</v>
      </c>
      <c r="T584" s="5" t="n">
        <v>0</v>
      </c>
      <c r="U584" s="5" t="n">
        <v>2</v>
      </c>
      <c r="V584" s="5" t="n">
        <v>2</v>
      </c>
      <c r="W584" s="5" t="n"/>
      <c r="X584" s="5" t="inlineStr"/>
      <c r="Y584" s="5" t="n">
        <v>3223.4</v>
      </c>
      <c r="Z584" s="5" t="n">
        <v>3634.2</v>
      </c>
      <c r="AA584" s="5" t="n">
        <v>3277.4</v>
      </c>
      <c r="AB584" s="5" t="n">
        <v>3648.7</v>
      </c>
      <c r="AC584" s="5" t="inlineStr"/>
      <c r="AD584" s="5">
        <f>IF(AC584="","",IF(OR(AC584=F584,AND(AC584="crane_footing",F584="isolated_footing")),"yes","no"))</f>
        <v/>
      </c>
    </row>
    <row r="585">
      <c r="A585" s="5" t="n">
        <v>584</v>
      </c>
      <c r="B585" s="5" t="inlineStr">
        <is>
          <t>125</t>
        </is>
      </c>
      <c r="C585" s="5" t="inlineStr">
        <is>
          <t>region between joints</t>
        </is>
      </c>
      <c r="D585" s="5" t="inlineStr">
        <is>
          <t>outline</t>
        </is>
      </c>
      <c r="E585" s="5" t="n">
        <v>21</v>
      </c>
      <c r="F585" s="5" t="inlineStr">
        <is>
          <t>unnamed</t>
        </is>
      </c>
      <c r="G585" s="5" t="inlineStr">
        <is>
          <t>no label votes</t>
        </is>
      </c>
      <c r="H585" s="5" t="inlineStr">
        <is>
          <t>(none)</t>
        </is>
      </c>
      <c r="I585" s="5" t="inlineStr"/>
      <c r="J585" s="5" t="inlineStr"/>
      <c r="K585" s="5" t="n">
        <v>390</v>
      </c>
      <c r="L585" s="5" t="n">
        <v>20</v>
      </c>
      <c r="M585" s="10">
        <f>IF(AND(ISNUMBER(K585),L585&gt;0),K585/L585,"")</f>
        <v/>
      </c>
      <c r="N585" s="5" t="n">
        <v>0.776</v>
      </c>
      <c r="O585" s="5" t="n">
        <v>116.6</v>
      </c>
      <c r="P585" s="5" t="n">
        <v>2</v>
      </c>
      <c r="Q585" s="5" t="n">
        <v>0</v>
      </c>
      <c r="R585" s="5" t="n">
        <v>0</v>
      </c>
      <c r="S585" s="5" t="n">
        <v>1</v>
      </c>
      <c r="T585" s="5" t="n">
        <v>0</v>
      </c>
      <c r="U585" s="5" t="n">
        <v>4</v>
      </c>
      <c r="V585" s="5" t="n">
        <v>3</v>
      </c>
      <c r="W585" s="5" t="n"/>
      <c r="X585" s="5" t="inlineStr"/>
      <c r="Y585" s="5" t="n">
        <v>2728.9</v>
      </c>
      <c r="Z585" s="5" t="n">
        <v>3384.2</v>
      </c>
      <c r="AA585" s="5" t="n">
        <v>2785.7</v>
      </c>
      <c r="AB585" s="5" t="n">
        <v>3489.7</v>
      </c>
      <c r="AC585" s="5" t="inlineStr"/>
      <c r="AD585" s="5">
        <f>IF(AC585="","",IF(OR(AC585=F585,AND(AC585="crane_footing",F585="isolated_footing")),"yes","no"))</f>
        <v/>
      </c>
    </row>
    <row r="586">
      <c r="A586" s="5" t="n">
        <v>585</v>
      </c>
      <c r="B586" s="5" t="inlineStr">
        <is>
          <t>125</t>
        </is>
      </c>
      <c r="C586" s="5" t="inlineStr">
        <is>
          <t>region between joints</t>
        </is>
      </c>
      <c r="D586" s="5" t="inlineStr">
        <is>
          <t>outline</t>
        </is>
      </c>
      <c r="E586" s="5" t="n">
        <v>21</v>
      </c>
      <c r="F586" s="5" t="inlineStr">
        <is>
          <t>unnamed</t>
        </is>
      </c>
      <c r="G586" s="5" t="inlineStr">
        <is>
          <t>no label votes</t>
        </is>
      </c>
      <c r="H586" s="5" t="inlineStr">
        <is>
          <t>(none)</t>
        </is>
      </c>
      <c r="I586" s="5" t="inlineStr"/>
      <c r="J586" s="5" t="inlineStr"/>
      <c r="K586" s="5" t="n">
        <v>337</v>
      </c>
      <c r="L586" s="5" t="n">
        <v>20</v>
      </c>
      <c r="M586" s="10">
        <f>IF(AND(ISNUMBER(K586),L586&gt;0),K586/L586,"")</f>
        <v/>
      </c>
      <c r="N586" s="5" t="n">
        <v>0.675</v>
      </c>
      <c r="O586" s="5" t="n">
        <v>169.4</v>
      </c>
      <c r="P586" s="5" t="n">
        <v>1</v>
      </c>
      <c r="Q586" s="5" t="n">
        <v>0</v>
      </c>
      <c r="R586" s="5" t="n">
        <v>0</v>
      </c>
      <c r="S586" s="5" t="n">
        <v>1</v>
      </c>
      <c r="T586" s="5" t="n">
        <v>0</v>
      </c>
      <c r="U586" s="5" t="n">
        <v>4</v>
      </c>
      <c r="V586" s="5" t="n">
        <v>4</v>
      </c>
      <c r="W586" s="5" t="n"/>
      <c r="X586" s="5" t="inlineStr"/>
      <c r="Y586" s="5" t="n">
        <v>3198.2</v>
      </c>
      <c r="Z586" s="5" t="n">
        <v>3588.2</v>
      </c>
      <c r="AA586" s="5" t="n">
        <v>3297</v>
      </c>
      <c r="AB586" s="5" t="n">
        <v>3612.2</v>
      </c>
      <c r="AC586" s="5" t="inlineStr"/>
      <c r="AD586" s="5">
        <f>IF(AC586="","",IF(OR(AC586=F586,AND(AC586="crane_footing",F586="isolated_footing")),"yes","no"))</f>
        <v/>
      </c>
    </row>
    <row r="587">
      <c r="A587" s="5" t="n">
        <v>586</v>
      </c>
      <c r="B587" s="5" t="inlineStr">
        <is>
          <t>125</t>
        </is>
      </c>
      <c r="C587" s="5" t="inlineStr">
        <is>
          <t>region between joints</t>
        </is>
      </c>
      <c r="D587" s="5" t="inlineStr">
        <is>
          <t>outline</t>
        </is>
      </c>
      <c r="E587" s="5" t="n">
        <v>21</v>
      </c>
      <c r="F587" s="5" t="inlineStr">
        <is>
          <t>unnamed</t>
        </is>
      </c>
      <c r="G587" s="5" t="inlineStr">
        <is>
          <t>no label votes</t>
        </is>
      </c>
      <c r="H587" s="5" t="inlineStr">
        <is>
          <t>(none)</t>
        </is>
      </c>
      <c r="I587" s="5" t="inlineStr"/>
      <c r="J587" s="5" t="inlineStr"/>
      <c r="K587" s="5" t="n">
        <v>338</v>
      </c>
      <c r="L587" s="5" t="n">
        <v>20</v>
      </c>
      <c r="M587" s="10">
        <f>IF(AND(ISNUMBER(K587),L587&gt;0),K587/L587,"")</f>
        <v/>
      </c>
      <c r="N587" s="5" t="n">
        <v>0.672</v>
      </c>
      <c r="O587" s="5" t="n">
        <v>79.3</v>
      </c>
      <c r="P587" s="5" t="n">
        <v>1</v>
      </c>
      <c r="Q587" s="5" t="n">
        <v>0</v>
      </c>
      <c r="R587" s="5" t="n">
        <v>0</v>
      </c>
      <c r="S587" s="5" t="n">
        <v>1</v>
      </c>
      <c r="T587" s="5" t="n">
        <v>0</v>
      </c>
      <c r="U587" s="5" t="n">
        <v>4</v>
      </c>
      <c r="V587" s="5" t="n">
        <v>2</v>
      </c>
      <c r="W587" s="5" t="n"/>
      <c r="X587" s="5" t="inlineStr"/>
      <c r="Y587" s="5" t="n">
        <v>3173.7</v>
      </c>
      <c r="Z587" s="5" t="n">
        <v>3507</v>
      </c>
      <c r="AA587" s="5" t="n">
        <v>3197.9</v>
      </c>
      <c r="AB587" s="5" t="n">
        <v>3606</v>
      </c>
      <c r="AC587" s="5" t="inlineStr"/>
      <c r="AD587" s="5">
        <f>IF(AC587="","",IF(OR(AC587=F587,AND(AC587="crane_footing",F587="isolated_footing")),"yes","no"))</f>
        <v/>
      </c>
    </row>
    <row r="588">
      <c r="A588" s="5" t="n">
        <v>587</v>
      </c>
      <c r="B588" s="5" t="inlineStr">
        <is>
          <t>125</t>
        </is>
      </c>
      <c r="C588" s="5" t="inlineStr">
        <is>
          <t>region between joints</t>
        </is>
      </c>
      <c r="D588" s="5" t="inlineStr">
        <is>
          <t>outline</t>
        </is>
      </c>
      <c r="E588" s="5" t="n">
        <v>22</v>
      </c>
      <c r="F588" s="5" t="inlineStr">
        <is>
          <t>unnamed</t>
        </is>
      </c>
      <c r="G588" s="5" t="inlineStr">
        <is>
          <t>no label votes</t>
        </is>
      </c>
      <c r="H588" s="5" t="inlineStr">
        <is>
          <t>(none)</t>
        </is>
      </c>
      <c r="I588" s="5" t="inlineStr"/>
      <c r="J588" s="5" t="inlineStr"/>
      <c r="K588" s="5" t="n">
        <v>132</v>
      </c>
      <c r="L588" s="5" t="n">
        <v>20</v>
      </c>
      <c r="M588" s="10">
        <f>IF(AND(ISNUMBER(K588),L588&gt;0),K588/L588,"")</f>
        <v/>
      </c>
      <c r="N588" s="5" t="n">
        <v>0.264</v>
      </c>
      <c r="O588" s="5" t="n">
        <v>116.6</v>
      </c>
      <c r="P588" s="5" t="n">
        <v>2</v>
      </c>
      <c r="Q588" s="5" t="n">
        <v>0</v>
      </c>
      <c r="R588" s="5" t="n">
        <v>0</v>
      </c>
      <c r="S588" s="5" t="n">
        <v>1</v>
      </c>
      <c r="T588" s="5" t="n">
        <v>0</v>
      </c>
      <c r="U588" s="5" t="n">
        <v>3</v>
      </c>
      <c r="V588" s="5" t="n">
        <v>1</v>
      </c>
      <c r="W588" s="5" t="n"/>
      <c r="X588" s="5" t="inlineStr"/>
      <c r="Y588" s="5" t="n">
        <v>2825</v>
      </c>
      <c r="Z588" s="5" t="n">
        <v>3415.4</v>
      </c>
      <c r="AA588" s="5" t="n">
        <v>2847.8</v>
      </c>
      <c r="AB588" s="5" t="n">
        <v>3452.9</v>
      </c>
      <c r="AC588" s="5" t="inlineStr"/>
      <c r="AD588" s="5">
        <f>IF(AC588="","",IF(OR(AC588=F588,AND(AC588="crane_footing",F588="isolated_footing")),"yes","no"))</f>
        <v/>
      </c>
    </row>
    <row r="589">
      <c r="A589" s="5" t="n">
        <v>588</v>
      </c>
      <c r="B589" s="5" t="inlineStr">
        <is>
          <t>125</t>
        </is>
      </c>
      <c r="C589" s="5" t="inlineStr">
        <is>
          <t>region between joints</t>
        </is>
      </c>
      <c r="D589" s="5" t="inlineStr">
        <is>
          <t>outline</t>
        </is>
      </c>
      <c r="E589" s="5" t="n">
        <v>22</v>
      </c>
      <c r="F589" s="5" t="inlineStr">
        <is>
          <t>unnamed</t>
        </is>
      </c>
      <c r="G589" s="5" t="inlineStr">
        <is>
          <t>no label votes</t>
        </is>
      </c>
      <c r="H589" s="5" t="inlineStr">
        <is>
          <t>(none)</t>
        </is>
      </c>
      <c r="I589" s="5" t="inlineStr"/>
      <c r="J589" s="5" t="inlineStr"/>
      <c r="K589" s="5" t="n">
        <v>133</v>
      </c>
      <c r="L589" s="5" t="n">
        <v>20</v>
      </c>
      <c r="M589" s="10">
        <f>IF(AND(ISNUMBER(K589),L589&gt;0),K589/L589,"")</f>
        <v/>
      </c>
      <c r="N589" s="5" t="n">
        <v>0.264</v>
      </c>
      <c r="O589" s="5" t="n">
        <v>79.09999999999999</v>
      </c>
      <c r="P589" s="5" t="n">
        <v>2</v>
      </c>
      <c r="Q589" s="5" t="n">
        <v>0</v>
      </c>
      <c r="R589" s="5" t="n">
        <v>0</v>
      </c>
      <c r="S589" s="5" t="n">
        <v>1</v>
      </c>
      <c r="T589" s="5" t="n">
        <v>0</v>
      </c>
      <c r="U589" s="5" t="n">
        <v>3</v>
      </c>
      <c r="V589" s="5" t="n">
        <v>1</v>
      </c>
      <c r="W589" s="5" t="n"/>
      <c r="X589" s="5" t="inlineStr"/>
      <c r="Y589" s="5" t="n">
        <v>3164.9</v>
      </c>
      <c r="Z589" s="5" t="n">
        <v>3461.4</v>
      </c>
      <c r="AA589" s="5" t="n">
        <v>3178.1</v>
      </c>
      <c r="AB589" s="5" t="n">
        <v>3500.9</v>
      </c>
      <c r="AC589" s="5" t="inlineStr"/>
      <c r="AD589" s="5">
        <f>IF(AC589="","",IF(OR(AC589=F589,AND(AC589="crane_footing",F589="isolated_footing")),"yes","no"))</f>
        <v/>
      </c>
    </row>
    <row r="590">
      <c r="A590" s="5" t="n">
        <v>589</v>
      </c>
      <c r="B590" s="5" t="inlineStr">
        <is>
          <t>125</t>
        </is>
      </c>
      <c r="C590" s="5" t="inlineStr">
        <is>
          <t>region between joints</t>
        </is>
      </c>
      <c r="D590" s="5" t="inlineStr">
        <is>
          <t>outline</t>
        </is>
      </c>
      <c r="E590" s="5" t="n">
        <v>22</v>
      </c>
      <c r="F590" s="5" t="inlineStr">
        <is>
          <t>unnamed</t>
        </is>
      </c>
      <c r="G590" s="5" t="inlineStr">
        <is>
          <t>no label votes</t>
        </is>
      </c>
      <c r="H590" s="5" t="inlineStr">
        <is>
          <t>(none)</t>
        </is>
      </c>
      <c r="I590" s="5" t="inlineStr"/>
      <c r="J590" s="5" t="inlineStr"/>
      <c r="K590" s="5" t="n">
        <v>120</v>
      </c>
      <c r="L590" s="5" t="n">
        <v>20</v>
      </c>
      <c r="M590" s="10">
        <f>IF(AND(ISNUMBER(K590),L590&gt;0),K590/L590,"")</f>
        <v/>
      </c>
      <c r="N590" s="5" t="n">
        <v>0.239</v>
      </c>
      <c r="O590" s="5" t="n">
        <v>116.6</v>
      </c>
      <c r="P590" s="5" t="n">
        <v>2</v>
      </c>
      <c r="Q590" s="5" t="n">
        <v>0</v>
      </c>
      <c r="R590" s="5" t="n">
        <v>0</v>
      </c>
      <c r="S590" s="5" t="n">
        <v>1</v>
      </c>
      <c r="T590" s="5" t="n">
        <v>0</v>
      </c>
      <c r="U590" s="5" t="n">
        <v>3</v>
      </c>
      <c r="V590" s="5" t="n">
        <v>1</v>
      </c>
      <c r="W590" s="5" t="n"/>
      <c r="X590" s="5" t="inlineStr"/>
      <c r="Y590" s="5" t="n">
        <v>2757.8</v>
      </c>
      <c r="Z590" s="5" t="n">
        <v>3552.6</v>
      </c>
      <c r="AA590" s="5" t="n">
        <v>2778.9</v>
      </c>
      <c r="AB590" s="5" t="n">
        <v>3586.9</v>
      </c>
      <c r="AC590" s="5" t="inlineStr"/>
      <c r="AD590" s="5">
        <f>IF(AC590="","",IF(OR(AC590=F590,AND(AC590="crane_footing",F590="isolated_footing")),"yes","no"))</f>
        <v/>
      </c>
    </row>
    <row r="591">
      <c r="A591" s="5" t="n">
        <v>590</v>
      </c>
      <c r="B591" s="5" t="inlineStr">
        <is>
          <t>125</t>
        </is>
      </c>
      <c r="C591" s="5" t="inlineStr">
        <is>
          <t>region between joints</t>
        </is>
      </c>
      <c r="D591" s="5" t="inlineStr">
        <is>
          <t>band</t>
        </is>
      </c>
      <c r="E591" s="5" t="n">
        <v>1</v>
      </c>
      <c r="F591" s="5" t="inlineStr">
        <is>
          <t>unnamed</t>
        </is>
      </c>
      <c r="G591" s="5" t="inlineStr">
        <is>
          <t>no label votes</t>
        </is>
      </c>
      <c r="H591" s="5" t="inlineStr">
        <is>
          <t>(none)</t>
        </is>
      </c>
      <c r="I591" s="5" t="inlineStr"/>
      <c r="J591" s="5" t="inlineStr"/>
      <c r="K591" s="5" t="n">
        <v>639</v>
      </c>
      <c r="L591" s="5" t="n">
        <v>20</v>
      </c>
      <c r="M591" s="10">
        <f>IF(AND(ISNUMBER(K591),L591&gt;0),K591/L591,"")</f>
        <v/>
      </c>
      <c r="N591" s="5" t="n">
        <v>1.278</v>
      </c>
      <c r="O591" s="5" t="n">
        <v>116.6</v>
      </c>
      <c r="P591" s="5" t="n">
        <v>4</v>
      </c>
      <c r="Q591" s="5" t="n">
        <v>0</v>
      </c>
      <c r="R591" s="5" t="n">
        <v>0</v>
      </c>
      <c r="S591" s="5" t="n">
        <v>1</v>
      </c>
      <c r="T591" s="5" t="n">
        <v>0</v>
      </c>
      <c r="U591" s="5" t="n">
        <v>11</v>
      </c>
      <c r="V591" s="5" t="n">
        <v>2</v>
      </c>
      <c r="W591" s="5" t="n">
        <v>3.88</v>
      </c>
      <c r="X591" s="5" t="inlineStr"/>
      <c r="Y591" s="5" t="n">
        <v>2758</v>
      </c>
      <c r="Z591" s="5" t="n">
        <v>3415.4</v>
      </c>
      <c r="AA591" s="5" t="n">
        <v>2847.8</v>
      </c>
      <c r="AB591" s="5" t="n">
        <v>3586.7</v>
      </c>
      <c r="AC591" s="5" t="inlineStr"/>
      <c r="AD591" s="5">
        <f>IF(AC591="","",IF(OR(AC591=F591,AND(AC591="crane_footing",F591="isolated_footing")),"yes","no"))</f>
        <v/>
      </c>
    </row>
    <row r="592">
      <c r="A592" s="5" t="n">
        <v>591</v>
      </c>
      <c r="B592" s="5" t="inlineStr">
        <is>
          <t>125</t>
        </is>
      </c>
      <c r="C592" s="5" t="inlineStr">
        <is>
          <t>region between joints</t>
        </is>
      </c>
      <c r="D592" s="5" t="inlineStr">
        <is>
          <t>band</t>
        </is>
      </c>
      <c r="E592" s="5" t="n">
        <v>1</v>
      </c>
      <c r="F592" s="5" t="inlineStr">
        <is>
          <t>unnamed</t>
        </is>
      </c>
      <c r="G592" s="5" t="inlineStr">
        <is>
          <t>no label votes</t>
        </is>
      </c>
      <c r="H592" s="5" t="inlineStr">
        <is>
          <t>(none)</t>
        </is>
      </c>
      <c r="I592" s="5" t="inlineStr"/>
      <c r="J592" s="5" t="inlineStr"/>
      <c r="K592" s="5" t="n">
        <v>500</v>
      </c>
      <c r="L592" s="5" t="n">
        <v>20</v>
      </c>
      <c r="M592" s="10">
        <f>IF(AND(ISNUMBER(K592),L592&gt;0),K592/L592,"")</f>
        <v/>
      </c>
      <c r="N592" s="5" t="n">
        <v>1</v>
      </c>
      <c r="O592" s="5" t="n">
        <v>79.40000000000001</v>
      </c>
      <c r="P592" s="5" t="n">
        <v>1</v>
      </c>
      <c r="Q592" s="5" t="n">
        <v>0</v>
      </c>
      <c r="R592" s="5" t="n">
        <v>0</v>
      </c>
      <c r="S592" s="5" t="n">
        <v>1</v>
      </c>
      <c r="T592" s="5" t="n">
        <v>0</v>
      </c>
      <c r="U592" s="5" t="n">
        <v>6</v>
      </c>
      <c r="V592" s="5" t="n">
        <v>2</v>
      </c>
      <c r="W592" s="5" t="n">
        <v>5</v>
      </c>
      <c r="X592" s="5" t="inlineStr"/>
      <c r="Y592" s="5" t="n">
        <v>3233.8</v>
      </c>
      <c r="Z592" s="5" t="n">
        <v>3448.5</v>
      </c>
      <c r="AA592" s="5" t="n">
        <v>3266.8</v>
      </c>
      <c r="AB592" s="5" t="n">
        <v>3594.7</v>
      </c>
      <c r="AC592" s="5" t="inlineStr"/>
      <c r="AD592" s="5">
        <f>IF(AC592="","",IF(OR(AC592=F592,AND(AC592="crane_footing",F592="isolated_footing")),"yes","no"))</f>
        <v/>
      </c>
    </row>
    <row r="593">
      <c r="A593" s="5" t="n">
        <v>592</v>
      </c>
      <c r="B593" s="5" t="inlineStr">
        <is>
          <t>125</t>
        </is>
      </c>
      <c r="C593" s="5" t="inlineStr">
        <is>
          <t>region between joints</t>
        </is>
      </c>
      <c r="D593" s="5" t="inlineStr">
        <is>
          <t>band</t>
        </is>
      </c>
      <c r="E593" s="5" t="n">
        <v>1</v>
      </c>
      <c r="F593" s="5" t="inlineStr">
        <is>
          <t>unnamed</t>
        </is>
      </c>
      <c r="G593" s="5" t="inlineStr">
        <is>
          <t>no label votes</t>
        </is>
      </c>
      <c r="H593" s="5" t="inlineStr">
        <is>
          <t>(none)</t>
        </is>
      </c>
      <c r="I593" s="5" t="inlineStr"/>
      <c r="J593" s="5" t="inlineStr"/>
      <c r="K593" s="5" t="n">
        <v>390</v>
      </c>
      <c r="L593" s="5" t="n">
        <v>20</v>
      </c>
      <c r="M593" s="10">
        <f>IF(AND(ISNUMBER(K593),L593&gt;0),K593/L593,"")</f>
        <v/>
      </c>
      <c r="N593" s="5" t="n">
        <v>0.779</v>
      </c>
      <c r="O593" s="5" t="n">
        <v>116.6</v>
      </c>
      <c r="P593" s="5" t="n">
        <v>2</v>
      </c>
      <c r="Q593" s="5" t="n">
        <v>1</v>
      </c>
      <c r="R593" s="5" t="n">
        <v>0</v>
      </c>
      <c r="S593" s="5" t="n">
        <v>1</v>
      </c>
      <c r="T593" s="5" t="n">
        <v>0</v>
      </c>
      <c r="U593" s="5" t="n">
        <v>4</v>
      </c>
      <c r="V593" s="5" t="n">
        <v>2</v>
      </c>
      <c r="W593" s="5" t="n">
        <v>0</v>
      </c>
      <c r="X593" s="5" t="inlineStr"/>
      <c r="Y593" s="5" t="n">
        <v>2728.9</v>
      </c>
      <c r="Z593" s="5" t="n">
        <v>3384.2</v>
      </c>
      <c r="AA593" s="5" t="n">
        <v>2785.8</v>
      </c>
      <c r="AB593" s="5" t="n">
        <v>3489.7</v>
      </c>
      <c r="AC593" s="5" t="inlineStr"/>
      <c r="AD593" s="5">
        <f>IF(AC593="","",IF(OR(AC593=F593,AND(AC593="crane_footing",F593="isolated_footing")),"yes","no"))</f>
        <v/>
      </c>
    </row>
    <row r="594">
      <c r="A594" s="5" t="n">
        <v>593</v>
      </c>
      <c r="B594" s="5" t="inlineStr">
        <is>
          <t>125</t>
        </is>
      </c>
      <c r="C594" s="5" t="inlineStr">
        <is>
          <t>region between joints</t>
        </is>
      </c>
      <c r="D594" s="5" t="inlineStr">
        <is>
          <t>band</t>
        </is>
      </c>
      <c r="E594" s="5" t="n">
        <v>1</v>
      </c>
      <c r="F594" s="5" t="inlineStr">
        <is>
          <t>unnamed</t>
        </is>
      </c>
      <c r="G594" s="5" t="inlineStr">
        <is>
          <t>no label votes</t>
        </is>
      </c>
      <c r="H594" s="5" t="inlineStr">
        <is>
          <t>(none)</t>
        </is>
      </c>
      <c r="I594" s="5" t="inlineStr"/>
      <c r="J594" s="5" t="inlineStr"/>
      <c r="K594" s="5" t="n">
        <v>337</v>
      </c>
      <c r="L594" s="5" t="n">
        <v>20</v>
      </c>
      <c r="M594" s="10">
        <f>IF(AND(ISNUMBER(K594),L594&gt;0),K594/L594,"")</f>
        <v/>
      </c>
      <c r="N594" s="5" t="n">
        <v>0.675</v>
      </c>
      <c r="O594" s="5" t="n">
        <v>79.3</v>
      </c>
      <c r="P594" s="5" t="n">
        <v>1</v>
      </c>
      <c r="Q594" s="5" t="n">
        <v>1</v>
      </c>
      <c r="R594" s="5" t="n">
        <v>0</v>
      </c>
      <c r="S594" s="5" t="n">
        <v>1</v>
      </c>
      <c r="T594" s="5" t="n">
        <v>0</v>
      </c>
      <c r="U594" s="5" t="n">
        <v>4</v>
      </c>
      <c r="V594" s="5" t="n">
        <v>1</v>
      </c>
      <c r="W594" s="5" t="n">
        <v>0</v>
      </c>
      <c r="X594" s="5" t="inlineStr"/>
      <c r="Y594" s="5" t="n">
        <v>3173.6</v>
      </c>
      <c r="Z594" s="5" t="n">
        <v>3507</v>
      </c>
      <c r="AA594" s="5" t="n">
        <v>3197.9</v>
      </c>
      <c r="AB594" s="5" t="n">
        <v>3606</v>
      </c>
      <c r="AC594" s="5" t="inlineStr"/>
      <c r="AD594" s="5">
        <f>IF(AC594="","",IF(OR(AC594=F594,AND(AC594="crane_footing",F594="isolated_footing")),"yes","no"))</f>
        <v/>
      </c>
    </row>
    <row r="595">
      <c r="A595" s="5" t="n">
        <v>594</v>
      </c>
      <c r="B595" s="5" t="inlineStr">
        <is>
          <t>125</t>
        </is>
      </c>
      <c r="C595" s="5" t="inlineStr">
        <is>
          <t>region between joints</t>
        </is>
      </c>
      <c r="D595" s="5" t="inlineStr">
        <is>
          <t>band</t>
        </is>
      </c>
      <c r="E595" s="5" t="n">
        <v>1</v>
      </c>
      <c r="F595" s="5" t="inlineStr">
        <is>
          <t>unnamed</t>
        </is>
      </c>
      <c r="G595" s="5" t="inlineStr">
        <is>
          <t>no label votes</t>
        </is>
      </c>
      <c r="H595" s="5" t="inlineStr">
        <is>
          <t>(none)</t>
        </is>
      </c>
      <c r="I595" s="5" t="inlineStr"/>
      <c r="J595" s="5" t="inlineStr"/>
      <c r="K595" s="5" t="n">
        <v>336</v>
      </c>
      <c r="L595" s="5" t="n">
        <v>20</v>
      </c>
      <c r="M595" s="10">
        <f>IF(AND(ISNUMBER(K595),L595&gt;0),K595/L595,"")</f>
        <v/>
      </c>
      <c r="N595" s="5" t="n">
        <v>0.673</v>
      </c>
      <c r="O595" s="5" t="n">
        <v>169.4</v>
      </c>
      <c r="P595" s="5" t="n">
        <v>1</v>
      </c>
      <c r="Q595" s="5" t="n">
        <v>1</v>
      </c>
      <c r="R595" s="5" t="n">
        <v>0</v>
      </c>
      <c r="S595" s="5" t="n">
        <v>1</v>
      </c>
      <c r="T595" s="5" t="n">
        <v>0</v>
      </c>
      <c r="U595" s="5" t="n">
        <v>4</v>
      </c>
      <c r="V595" s="5" t="n">
        <v>3</v>
      </c>
      <c r="W595" s="5" t="n">
        <v>0</v>
      </c>
      <c r="X595" s="5" t="inlineStr"/>
      <c r="Y595" s="5" t="n">
        <v>3198.2</v>
      </c>
      <c r="Z595" s="5" t="n">
        <v>3588.2</v>
      </c>
      <c r="AA595" s="5" t="n">
        <v>3297</v>
      </c>
      <c r="AB595" s="5" t="n">
        <v>3612.2</v>
      </c>
      <c r="AC595" s="5" t="inlineStr"/>
      <c r="AD595" s="5">
        <f>IF(AC595="","",IF(OR(AC595=F595,AND(AC595="crane_footing",F595="isolated_footing")),"yes","no"))</f>
        <v/>
      </c>
    </row>
    <row r="596">
      <c r="A596" s="5" t="n">
        <v>595</v>
      </c>
      <c r="B596" s="5" t="inlineStr">
        <is>
          <t>125</t>
        </is>
      </c>
      <c r="C596" s="5" t="inlineStr">
        <is>
          <t>region between joints</t>
        </is>
      </c>
      <c r="D596" s="5" t="inlineStr">
        <is>
          <t>band</t>
        </is>
      </c>
      <c r="E596" s="5" t="n">
        <v>1</v>
      </c>
      <c r="F596" s="5" t="inlineStr">
        <is>
          <t>unnamed</t>
        </is>
      </c>
      <c r="G596" s="5" t="inlineStr">
        <is>
          <t>no label votes</t>
        </is>
      </c>
      <c r="H596" s="5" t="inlineStr">
        <is>
          <t>(none)</t>
        </is>
      </c>
      <c r="I596" s="5" t="inlineStr"/>
      <c r="J596" s="5" t="inlineStr"/>
      <c r="K596" s="5" t="n">
        <v>210</v>
      </c>
      <c r="L596" s="5" t="n">
        <v>20</v>
      </c>
      <c r="M596" s="10">
        <f>IF(AND(ISNUMBER(K596),L596&gt;0),K596/L596,"")</f>
        <v/>
      </c>
      <c r="N596" s="5" t="n">
        <v>0.42</v>
      </c>
      <c r="O596" s="5" t="n">
        <v>169.4</v>
      </c>
      <c r="P596" s="5" t="n">
        <v>2</v>
      </c>
      <c r="Q596" s="5" t="n">
        <v>0</v>
      </c>
      <c r="R596" s="5" t="n">
        <v>0</v>
      </c>
      <c r="S596" s="5" t="n">
        <v>1</v>
      </c>
      <c r="T596" s="5" t="n">
        <v>0</v>
      </c>
      <c r="U596" s="5" t="n">
        <v>2</v>
      </c>
      <c r="V596" s="5" t="n">
        <v>0</v>
      </c>
      <c r="W596" s="5" t="n">
        <v>2.1</v>
      </c>
      <c r="X596" s="5" t="inlineStr"/>
      <c r="Y596" s="5" t="n">
        <v>3167</v>
      </c>
      <c r="Z596" s="5" t="n">
        <v>3426.6</v>
      </c>
      <c r="AA596" s="5" t="n">
        <v>3229</v>
      </c>
      <c r="AB596" s="5" t="n">
        <v>3443.8</v>
      </c>
      <c r="AC596" s="5" t="inlineStr"/>
      <c r="AD596" s="5">
        <f>IF(AC596="","",IF(OR(AC596=F596,AND(AC596="crane_footing",F596="isolated_footing")),"yes","no"))</f>
        <v/>
      </c>
    </row>
    <row r="597">
      <c r="A597" s="5" t="n">
        <v>596</v>
      </c>
      <c r="B597" s="5" t="inlineStr">
        <is>
          <t>125</t>
        </is>
      </c>
      <c r="C597" s="5" t="inlineStr">
        <is>
          <t>region between joints</t>
        </is>
      </c>
      <c r="D597" s="5" t="inlineStr">
        <is>
          <t>band</t>
        </is>
      </c>
      <c r="E597" s="5" t="n">
        <v>1</v>
      </c>
      <c r="F597" s="5" t="inlineStr">
        <is>
          <t>unnamed</t>
        </is>
      </c>
      <c r="G597" s="5" t="inlineStr">
        <is>
          <t>no label votes</t>
        </is>
      </c>
      <c r="H597" s="5" t="inlineStr">
        <is>
          <t>(none)</t>
        </is>
      </c>
      <c r="I597" s="5" t="inlineStr"/>
      <c r="J597" s="5" t="inlineStr"/>
      <c r="K597" s="5" t="n">
        <v>200</v>
      </c>
      <c r="L597" s="5" t="n">
        <v>20</v>
      </c>
      <c r="M597" s="10">
        <f>IF(AND(ISNUMBER(K597),L597&gt;0),K597/L597,"")</f>
        <v/>
      </c>
      <c r="N597" s="5" t="n">
        <v>0.4</v>
      </c>
      <c r="O597" s="5" t="n">
        <v>26.6</v>
      </c>
      <c r="P597" s="5" t="n">
        <v>2</v>
      </c>
      <c r="Q597" s="5" t="n">
        <v>0</v>
      </c>
      <c r="R597" s="5" t="n">
        <v>0</v>
      </c>
      <c r="S597" s="5" t="n">
        <v>1</v>
      </c>
      <c r="T597" s="5" t="n">
        <v>0</v>
      </c>
      <c r="U597" s="5" t="n">
        <v>2</v>
      </c>
      <c r="V597" s="5" t="n">
        <v>0</v>
      </c>
      <c r="W597" s="5" t="n">
        <v>2</v>
      </c>
      <c r="X597" s="5" t="inlineStr"/>
      <c r="Y597" s="5" t="n">
        <v>2796.4</v>
      </c>
      <c r="Z597" s="5" t="n">
        <v>3367.1</v>
      </c>
      <c r="AA597" s="5" t="n">
        <v>2851.8</v>
      </c>
      <c r="AB597" s="5" t="n">
        <v>3398.9</v>
      </c>
      <c r="AC597" s="5" t="inlineStr"/>
      <c r="AD597" s="5">
        <f>IF(AC597="","",IF(OR(AC597=F597,AND(AC597="crane_footing",F597="isolated_footing")),"yes","no"))</f>
        <v/>
      </c>
    </row>
    <row r="598">
      <c r="A598" s="5" t="n">
        <v>597</v>
      </c>
      <c r="B598" s="5" t="inlineStr">
        <is>
          <t>125</t>
        </is>
      </c>
      <c r="C598" s="5" t="inlineStr">
        <is>
          <t>region between joints</t>
        </is>
      </c>
      <c r="D598" s="5" t="inlineStr">
        <is>
          <t>band</t>
        </is>
      </c>
      <c r="E598" s="5" t="n">
        <v>1</v>
      </c>
      <c r="F598" s="5" t="inlineStr">
        <is>
          <t>unnamed</t>
        </is>
      </c>
      <c r="G598" s="5" t="inlineStr">
        <is>
          <t>no label votes</t>
        </is>
      </c>
      <c r="H598" s="5" t="inlineStr">
        <is>
          <t>(none)</t>
        </is>
      </c>
      <c r="I598" s="5" t="inlineStr"/>
      <c r="J598" s="5" t="inlineStr"/>
      <c r="K598" s="5" t="n">
        <v>150</v>
      </c>
      <c r="L598" s="5" t="n">
        <v>20</v>
      </c>
      <c r="M598" s="10">
        <f>IF(AND(ISNUMBER(K598),L598&gt;0),K598/L598,"")</f>
        <v/>
      </c>
      <c r="N598" s="5" t="n">
        <v>0.3</v>
      </c>
      <c r="O598" s="5" t="n">
        <v>169.4</v>
      </c>
      <c r="P598" s="5" t="n">
        <v>1</v>
      </c>
      <c r="Q598" s="5" t="n">
        <v>0</v>
      </c>
      <c r="R598" s="5" t="n">
        <v>0</v>
      </c>
      <c r="S598" s="5" t="n">
        <v>1</v>
      </c>
      <c r="T598" s="5" t="n">
        <v>0</v>
      </c>
      <c r="U598" s="5" t="n">
        <v>4</v>
      </c>
      <c r="V598" s="5" t="n">
        <v>1</v>
      </c>
      <c r="W598" s="5" t="n">
        <v>1.5</v>
      </c>
      <c r="X598" s="5" t="inlineStr"/>
      <c r="Y598" s="5" t="n">
        <v>3223.2</v>
      </c>
      <c r="Z598" s="5" t="n">
        <v>3635.6</v>
      </c>
      <c r="AA598" s="5" t="n">
        <v>3267.8</v>
      </c>
      <c r="AB598" s="5" t="n">
        <v>3649.5</v>
      </c>
      <c r="AC598" s="5" t="inlineStr"/>
      <c r="AD598" s="5">
        <f>IF(AC598="","",IF(OR(AC598=F598,AND(AC598="crane_footing",F598="isolated_footing")),"yes","no"))</f>
        <v/>
      </c>
    </row>
    <row r="599">
      <c r="A599" s="5" t="n">
        <v>598</v>
      </c>
      <c r="B599" s="5" t="inlineStr">
        <is>
          <t>125</t>
        </is>
      </c>
      <c r="C599" s="5" t="inlineStr">
        <is>
          <t>region between joints</t>
        </is>
      </c>
      <c r="D599" s="5" t="inlineStr">
        <is>
          <t>band</t>
        </is>
      </c>
      <c r="E599" s="5" t="n">
        <v>1</v>
      </c>
      <c r="F599" s="5" t="inlineStr">
        <is>
          <t>unnamed</t>
        </is>
      </c>
      <c r="G599" s="5" t="inlineStr">
        <is>
          <t>no label votes</t>
        </is>
      </c>
      <c r="H599" s="5" t="inlineStr">
        <is>
          <t>(none)</t>
        </is>
      </c>
      <c r="I599" s="5" t="inlineStr"/>
      <c r="J599" s="5" t="inlineStr"/>
      <c r="K599" s="5" t="n">
        <v>132</v>
      </c>
      <c r="L599" s="5" t="n">
        <v>20</v>
      </c>
      <c r="M599" s="10">
        <f>IF(AND(ISNUMBER(K599),L599&gt;0),K599/L599,"")</f>
        <v/>
      </c>
      <c r="N599" s="5" t="n">
        <v>0.265</v>
      </c>
      <c r="O599" s="5" t="n">
        <v>79.2</v>
      </c>
      <c r="P599" s="5" t="n">
        <v>2</v>
      </c>
      <c r="Q599" s="5" t="n">
        <v>1</v>
      </c>
      <c r="R599" s="5" t="n">
        <v>0</v>
      </c>
      <c r="S599" s="5" t="n">
        <v>1</v>
      </c>
      <c r="T599" s="5" t="n">
        <v>0</v>
      </c>
      <c r="U599" s="5" t="n">
        <v>3</v>
      </c>
      <c r="V599" s="5" t="n">
        <v>0</v>
      </c>
      <c r="W599" s="5" t="n">
        <v>0</v>
      </c>
      <c r="X599" s="5" t="inlineStr"/>
      <c r="Y599" s="5" t="n">
        <v>3165</v>
      </c>
      <c r="Z599" s="5" t="n">
        <v>3461.4</v>
      </c>
      <c r="AA599" s="5" t="n">
        <v>3178.1</v>
      </c>
      <c r="AB599" s="5" t="n">
        <v>3500.8</v>
      </c>
      <c r="AC599" s="5" t="inlineStr"/>
      <c r="AD599" s="5">
        <f>IF(AC599="","",IF(OR(AC599=F599,AND(AC599="crane_footing",F599="isolated_footing")),"yes","no"))</f>
        <v/>
      </c>
    </row>
    <row r="600">
      <c r="A600" s="5" t="n">
        <v>599</v>
      </c>
      <c r="B600" s="5" t="inlineStr">
        <is>
          <t>125</t>
        </is>
      </c>
      <c r="C600" s="5" t="inlineStr">
        <is>
          <t>region between joints</t>
        </is>
      </c>
      <c r="D600" s="5" t="inlineStr">
        <is>
          <t>band</t>
        </is>
      </c>
      <c r="E600" s="5" t="n">
        <v>1</v>
      </c>
      <c r="F600" s="5" t="inlineStr">
        <is>
          <t>unnamed</t>
        </is>
      </c>
      <c r="G600" s="5" t="inlineStr">
        <is>
          <t>no label votes</t>
        </is>
      </c>
      <c r="H600" s="5" t="inlineStr">
        <is>
          <t>(none)</t>
        </is>
      </c>
      <c r="I600" s="5" t="inlineStr"/>
      <c r="J600" s="5" t="inlineStr"/>
      <c r="K600" s="5" t="n">
        <v>100</v>
      </c>
      <c r="L600" s="5" t="n">
        <v>20</v>
      </c>
      <c r="M600" s="10">
        <f>IF(AND(ISNUMBER(K600),L600&gt;0),K600/L600,"")</f>
        <v/>
      </c>
      <c r="N600" s="5" t="n">
        <v>0.201</v>
      </c>
      <c r="O600" s="5" t="n">
        <v>169.6</v>
      </c>
      <c r="P600" s="5" t="n">
        <v>1</v>
      </c>
      <c r="Q600" s="5" t="n">
        <v>0</v>
      </c>
      <c r="R600" s="5" t="n">
        <v>0</v>
      </c>
      <c r="S600" s="5" t="n">
        <v>1</v>
      </c>
      <c r="T600" s="5" t="n">
        <v>0</v>
      </c>
      <c r="U600" s="5" t="n">
        <v>3</v>
      </c>
      <c r="V600" s="5" t="n">
        <v>1</v>
      </c>
      <c r="W600" s="5" t="n">
        <v>1</v>
      </c>
      <c r="X600" s="5" t="inlineStr"/>
      <c r="Y600" s="5" t="n">
        <v>3254.9</v>
      </c>
      <c r="Z600" s="5" t="n">
        <v>3524.6</v>
      </c>
      <c r="AA600" s="5" t="n">
        <v>3285.1</v>
      </c>
      <c r="AB600" s="5" t="n">
        <v>3535.8</v>
      </c>
      <c r="AC600" s="5" t="inlineStr"/>
      <c r="AD600" s="5">
        <f>IF(AC600="","",IF(OR(AC600=F600,AND(AC600="crane_footing",F600="isolated_footing")),"yes","no"))</f>
        <v/>
      </c>
    </row>
    <row r="601">
      <c r="A601" s="5" t="n">
        <v>600</v>
      </c>
      <c r="B601" s="5" t="inlineStr">
        <is>
          <t>125</t>
        </is>
      </c>
      <c r="C601" s="5" t="inlineStr">
        <is>
          <t>region between joints</t>
        </is>
      </c>
      <c r="D601" s="5" t="inlineStr">
        <is>
          <t>band</t>
        </is>
      </c>
      <c r="E601" s="5" t="n">
        <v>8</v>
      </c>
      <c r="F601" s="5" t="inlineStr">
        <is>
          <t>unnamed</t>
        </is>
      </c>
      <c r="G601" s="5" t="inlineStr">
        <is>
          <t>no label votes</t>
        </is>
      </c>
      <c r="H601" s="5" t="inlineStr">
        <is>
          <t>(none)</t>
        </is>
      </c>
      <c r="I601" s="5" t="inlineStr"/>
      <c r="J601" s="5" t="inlineStr"/>
      <c r="K601" s="5" t="n">
        <v>345</v>
      </c>
      <c r="L601" s="5" t="n">
        <v>94</v>
      </c>
      <c r="M601" s="10">
        <f>IF(AND(ISNUMBER(K601),L601&gt;0),K601/L601,"")</f>
        <v/>
      </c>
      <c r="N601" s="5" t="n">
        <v>3.238</v>
      </c>
      <c r="O601" s="5" t="n">
        <v>26.6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8</v>
      </c>
      <c r="V601" s="5" t="n">
        <v>0</v>
      </c>
      <c r="W601" s="5" t="n">
        <v>3.45</v>
      </c>
      <c r="X601" s="5" t="inlineStr"/>
      <c r="Y601" s="5" t="n">
        <v>2577.5</v>
      </c>
      <c r="Z601" s="5" t="n">
        <v>3695</v>
      </c>
      <c r="AA601" s="5" t="n">
        <v>2680.8</v>
      </c>
      <c r="AB601" s="5" t="n">
        <v>3765.4</v>
      </c>
      <c r="AC601" s="5" t="inlineStr"/>
      <c r="AD601" s="5">
        <f>IF(AC601="","",IF(OR(AC601=F601,AND(AC601="crane_footing",F601="isolated_footing")),"yes","no"))</f>
        <v/>
      </c>
    </row>
    <row r="602">
      <c r="A602" s="5" t="n">
        <v>601</v>
      </c>
      <c r="B602" s="5" t="inlineStr">
        <is>
          <t>125</t>
        </is>
      </c>
      <c r="C602" s="5" t="inlineStr">
        <is>
          <t>region between joints</t>
        </is>
      </c>
      <c r="D602" s="5" t="inlineStr">
        <is>
          <t>band</t>
        </is>
      </c>
      <c r="E602" s="5" t="n">
        <v>8</v>
      </c>
      <c r="F602" s="5" t="inlineStr">
        <is>
          <t>unnamed</t>
        </is>
      </c>
      <c r="G602" s="5" t="inlineStr">
        <is>
          <t>no label votes</t>
        </is>
      </c>
      <c r="H602" s="5" t="inlineStr">
        <is>
          <t>(none)</t>
        </is>
      </c>
      <c r="I602" s="5" t="inlineStr"/>
      <c r="J602" s="5" t="inlineStr"/>
      <c r="K602" s="5" t="n">
        <v>279</v>
      </c>
      <c r="L602" s="5" t="n">
        <v>94</v>
      </c>
      <c r="M602" s="10">
        <f>IF(AND(ISNUMBER(K602),L602&gt;0),K602/L602,"")</f>
        <v/>
      </c>
      <c r="N602" s="5" t="n">
        <v>2.623</v>
      </c>
      <c r="O602" s="5" t="n">
        <v>116.6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8</v>
      </c>
      <c r="V602" s="5" t="n">
        <v>5</v>
      </c>
      <c r="W602" s="5" t="n">
        <v>2.79</v>
      </c>
      <c r="X602" s="5" t="inlineStr"/>
      <c r="Y602" s="5" t="n">
        <v>2696.5</v>
      </c>
      <c r="Z602" s="5" t="n">
        <v>3346.8</v>
      </c>
      <c r="AA602" s="5" t="n">
        <v>2758.2</v>
      </c>
      <c r="AB602" s="5" t="n">
        <v>3432.9</v>
      </c>
      <c r="AC602" s="5" t="inlineStr"/>
      <c r="AD602" s="5">
        <f>IF(AC602="","",IF(OR(AC602=F602,AND(AC602="crane_footing",F602="isolated_footing")),"yes","no"))</f>
        <v/>
      </c>
    </row>
    <row r="603">
      <c r="A603" s="5" t="n">
        <v>602</v>
      </c>
      <c r="B603" s="5" t="inlineStr">
        <is>
          <t>125</t>
        </is>
      </c>
      <c r="C603" s="5" t="inlineStr">
        <is>
          <t>region between joints</t>
        </is>
      </c>
      <c r="D603" s="5" t="inlineStr">
        <is>
          <t>band</t>
        </is>
      </c>
      <c r="E603" s="5" t="n">
        <v>8</v>
      </c>
      <c r="F603" s="5" t="inlineStr">
        <is>
          <t>unnamed</t>
        </is>
      </c>
      <c r="G603" s="5" t="inlineStr">
        <is>
          <t>no label votes</t>
        </is>
      </c>
      <c r="H603" s="5" t="inlineStr">
        <is>
          <t>(none)</t>
        </is>
      </c>
      <c r="I603" s="5" t="inlineStr"/>
      <c r="J603" s="5" t="inlineStr"/>
      <c r="K603" s="5" t="n">
        <v>115</v>
      </c>
      <c r="L603" s="5" t="n">
        <v>94</v>
      </c>
      <c r="M603" s="10">
        <f>IF(AND(ISNUMBER(K603),L603&gt;0),K603/L603,"")</f>
        <v/>
      </c>
      <c r="N603" s="5" t="n">
        <v>1.076</v>
      </c>
      <c r="O603" s="5" t="n">
        <v>26.6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1.15</v>
      </c>
      <c r="X603" s="5" t="inlineStr"/>
      <c r="Y603" s="5" t="n">
        <v>2718.8</v>
      </c>
      <c r="Z603" s="5" t="n">
        <v>3765.9</v>
      </c>
      <c r="AA603" s="5" t="n">
        <v>2761.5</v>
      </c>
      <c r="AB603" s="5" t="n">
        <v>3805.9</v>
      </c>
      <c r="AC603" s="5" t="inlineStr"/>
      <c r="AD603" s="5">
        <f>IF(AC603="","",IF(OR(AC603=F603,AND(AC603="crane_footing",F603="isolated_footing")),"yes","no"))</f>
        <v/>
      </c>
    </row>
    <row r="604">
      <c r="A604" s="5" t="n">
        <v>603</v>
      </c>
      <c r="B604" s="5" t="inlineStr">
        <is>
          <t>125</t>
        </is>
      </c>
      <c r="C604" s="5" t="inlineStr">
        <is>
          <t>region between joints</t>
        </is>
      </c>
      <c r="D604" s="5" t="inlineStr">
        <is>
          <t>band</t>
        </is>
      </c>
      <c r="E604" s="5" t="n">
        <v>10</v>
      </c>
      <c r="F604" s="5" t="inlineStr">
        <is>
          <t>unnamed</t>
        </is>
      </c>
      <c r="G604" s="5" t="inlineStr">
        <is>
          <t>no label votes</t>
        </is>
      </c>
      <c r="H604" s="5" t="inlineStr">
        <is>
          <t>(none)</t>
        </is>
      </c>
      <c r="I604" s="5" t="inlineStr"/>
      <c r="J604" s="5" t="inlineStr"/>
      <c r="K604" s="5" t="n">
        <v>150</v>
      </c>
      <c r="L604" s="5" t="n">
        <v>121</v>
      </c>
      <c r="M604" s="10">
        <f>IF(AND(ISNUMBER(K604),L604&gt;0),K604/L604,"")</f>
        <v/>
      </c>
      <c r="N604" s="5" t="n">
        <v>1.813</v>
      </c>
      <c r="O604" s="5" t="n">
        <v>169.4</v>
      </c>
      <c r="P604" s="5" t="n">
        <v>1</v>
      </c>
      <c r="Q604" s="5" t="n">
        <v>0</v>
      </c>
      <c r="R604" s="5" t="n">
        <v>0</v>
      </c>
      <c r="S604" s="5" t="n">
        <v>1</v>
      </c>
      <c r="T604" s="5" t="n">
        <v>0</v>
      </c>
      <c r="U604" s="5" t="n">
        <v>0</v>
      </c>
      <c r="V604" s="5" t="n">
        <v>2</v>
      </c>
      <c r="W604" s="5" t="n">
        <v>1.5</v>
      </c>
      <c r="X604" s="5" t="inlineStr"/>
      <c r="Y604" s="5" t="n">
        <v>3216.7</v>
      </c>
      <c r="Z604" s="5" t="n">
        <v>3600.6</v>
      </c>
      <c r="AA604" s="5" t="n">
        <v>3266.8</v>
      </c>
      <c r="AB604" s="5" t="n">
        <v>3643.9</v>
      </c>
      <c r="AC604" s="5" t="inlineStr"/>
      <c r="AD604" s="5">
        <f>IF(AC604="","",IF(OR(AC604=F604,AND(AC604="crane_footing",F604="isolated_footing")),"yes","no"))</f>
        <v/>
      </c>
    </row>
    <row r="605">
      <c r="A605" s="5" t="n">
        <v>604</v>
      </c>
      <c r="B605" s="5" t="inlineStr">
        <is>
          <t>125</t>
        </is>
      </c>
      <c r="C605" s="5" t="inlineStr">
        <is>
          <t>region between joints</t>
        </is>
      </c>
      <c r="D605" s="5" t="inlineStr">
        <is>
          <t>solid</t>
        </is>
      </c>
      <c r="E605" s="5" t="n">
        <v>34</v>
      </c>
      <c r="F605" s="5" t="inlineStr">
        <is>
          <t>unnamed</t>
        </is>
      </c>
      <c r="G605" s="5" t="inlineStr">
        <is>
          <t>no label votes</t>
        </is>
      </c>
      <c r="H605" s="5" t="inlineStr">
        <is>
          <t>VP20</t>
        </is>
      </c>
      <c r="I605" s="5" t="inlineStr">
        <is>
          <t>printed label</t>
        </is>
      </c>
      <c r="J605" s="5" t="inlineStr">
        <is>
          <t>VP20-SF1 80x25</t>
        </is>
      </c>
      <c r="K605" s="5" t="n">
        <v>290</v>
      </c>
      <c r="L605" s="5" t="n">
        <v>20</v>
      </c>
      <c r="M605" s="10">
        <f>IF(AND(ISNUMBER(K605),L605&gt;0),K605/L605,"")</f>
        <v/>
      </c>
      <c r="N605" s="5" t="n">
        <v>0.581</v>
      </c>
      <c r="O605" s="5" t="n">
        <v>26.6</v>
      </c>
      <c r="P605" s="5" t="n">
        <v>1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1</v>
      </c>
      <c r="W605" s="5" t="n"/>
      <c r="X605" s="5" t="inlineStr"/>
      <c r="Y605" s="5" t="n">
        <v>2654.9</v>
      </c>
      <c r="Z605" s="5" t="n">
        <v>3451.3</v>
      </c>
      <c r="AA605" s="5" t="n">
        <v>2734.2</v>
      </c>
      <c r="AB605" s="5" t="n">
        <v>3495</v>
      </c>
      <c r="AC605" s="5" t="inlineStr"/>
      <c r="AD605" s="5">
        <f>IF(AC605="","",IF(OR(AC605=F605,AND(AC605="crane_footing",F605="isolated_footing")),"yes","no"))</f>
        <v/>
      </c>
    </row>
    <row r="606">
      <c r="A606" s="5" t="n">
        <v>605</v>
      </c>
      <c r="B606" s="5" t="inlineStr">
        <is>
          <t>125</t>
        </is>
      </c>
      <c r="C606" s="5" t="inlineStr">
        <is>
          <t>region between joints</t>
        </is>
      </c>
      <c r="D606" s="5" t="inlineStr">
        <is>
          <t>solid</t>
        </is>
      </c>
      <c r="E606" s="5" t="n">
        <v>34</v>
      </c>
      <c r="F606" s="5" t="inlineStr">
        <is>
          <t>unnamed</t>
        </is>
      </c>
      <c r="G606" s="5" t="inlineStr">
        <is>
          <t>no label votes</t>
        </is>
      </c>
      <c r="H606" s="5" t="inlineStr">
        <is>
          <t>VP20</t>
        </is>
      </c>
      <c r="I606" s="5" t="inlineStr">
        <is>
          <t>printed label</t>
        </is>
      </c>
      <c r="J606" s="5" t="inlineStr">
        <is>
          <t>VP20-SF1 80x25</t>
        </is>
      </c>
      <c r="K606" s="5" t="n">
        <v>431</v>
      </c>
      <c r="L606" s="5" t="n">
        <v>20</v>
      </c>
      <c r="M606" s="10">
        <f>IF(AND(ISNUMBER(K606),L606&gt;0),K606/L606,"")</f>
        <v/>
      </c>
      <c r="N606" s="5" t="n">
        <v>0.868</v>
      </c>
      <c r="O606" s="5" t="n">
        <v>169.4</v>
      </c>
      <c r="P606" s="5" t="n">
        <v>1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1</v>
      </c>
      <c r="W606" s="5" t="n"/>
      <c r="X606" s="5" t="inlineStr"/>
      <c r="Y606" s="5" t="n">
        <v>2995.2</v>
      </c>
      <c r="Z606" s="5" t="n">
        <v>3561.3</v>
      </c>
      <c r="AA606" s="5" t="n">
        <v>3121.3</v>
      </c>
      <c r="AB606" s="5" t="n">
        <v>3590.5</v>
      </c>
      <c r="AC606" s="5" t="inlineStr"/>
      <c r="AD606" s="5">
        <f>IF(AC606="","",IF(OR(AC606=F606,AND(AC606="crane_footing",F606="isolated_footing")),"yes","no"))</f>
        <v/>
      </c>
    </row>
    <row r="607">
      <c r="A607" s="5" t="n">
        <v>606</v>
      </c>
      <c r="B607" s="5" t="inlineStr">
        <is>
          <t>126</t>
        </is>
      </c>
      <c r="C607" s="5" t="inlineStr">
        <is>
          <t>own label (region says 125)</t>
        </is>
      </c>
      <c r="D607" s="5" t="inlineStr">
        <is>
          <t>solid</t>
        </is>
      </c>
      <c r="E607" s="5" t="n">
        <v>29</v>
      </c>
      <c r="F607" s="5" t="inlineStr">
        <is>
          <t>column</t>
        </is>
      </c>
      <c r="G607" s="5" t="inlineStr">
        <is>
          <t>label vote</t>
        </is>
      </c>
      <c r="H607" s="5" t="inlineStr">
        <is>
          <t>P1/126</t>
        </is>
      </c>
      <c r="I607" s="5" t="inlineStr">
        <is>
          <t>printed label</t>
        </is>
      </c>
      <c r="J607" s="5" t="inlineStr">
        <is>
          <t>P1/126/126</t>
        </is>
      </c>
      <c r="K607" s="5" t="n">
        <v>80</v>
      </c>
      <c r="L607" s="5" t="n">
        <v>30</v>
      </c>
      <c r="M607" s="10">
        <f>IF(AND(ISNUMBER(K607),L607&gt;0),K607/L607,"")</f>
        <v/>
      </c>
      <c r="N607" s="5" t="n">
        <v>0.24</v>
      </c>
      <c r="O607" s="5" t="n">
        <v>116.7</v>
      </c>
      <c r="P607" s="5" t="n">
        <v>0</v>
      </c>
      <c r="Q607" s="5" t="n">
        <v>0</v>
      </c>
      <c r="R607" s="5" t="n">
        <v>0</v>
      </c>
      <c r="S607" s="5" t="n">
        <v>1</v>
      </c>
      <c r="T607" s="5" t="n">
        <v>0</v>
      </c>
      <c r="U607" s="5" t="n">
        <v>0</v>
      </c>
      <c r="V607" s="5" t="n">
        <v>2</v>
      </c>
      <c r="W607" s="5" t="n"/>
      <c r="X607" s="5" t="inlineStr"/>
      <c r="Y607" s="5" t="n">
        <v>2841.2</v>
      </c>
      <c r="Z607" s="5" t="n">
        <v>3393.6</v>
      </c>
      <c r="AA607" s="5" t="n">
        <v>2859.7</v>
      </c>
      <c r="AB607" s="5" t="n">
        <v>3418.7</v>
      </c>
      <c r="AC607" s="5" t="inlineStr">
        <is>
          <t>column</t>
        </is>
      </c>
      <c r="AD607" s="5">
        <f>IF(AC607="","",IF(OR(AC607=F607,AND(AC607="crane_footing",F607="isolated_footing")),"yes","no"))</f>
        <v/>
      </c>
    </row>
    <row r="608">
      <c r="A608" s="5" t="n">
        <v>607</v>
      </c>
      <c r="B608" s="5" t="inlineStr">
        <is>
          <t>126</t>
        </is>
      </c>
      <c r="C608" s="5" t="inlineStr">
        <is>
          <t>own label (region says 125)</t>
        </is>
      </c>
      <c r="D608" s="5" t="inlineStr">
        <is>
          <t>solid</t>
        </is>
      </c>
      <c r="E608" s="5" t="n">
        <v>29</v>
      </c>
      <c r="F608" s="5" t="inlineStr">
        <is>
          <t>column</t>
        </is>
      </c>
      <c r="G608" s="5" t="inlineStr">
        <is>
          <t>label vote</t>
        </is>
      </c>
      <c r="H608" s="5" t="inlineStr">
        <is>
          <t>P1/126</t>
        </is>
      </c>
      <c r="I608" s="5" t="inlineStr">
        <is>
          <t>printed label</t>
        </is>
      </c>
      <c r="J608" s="5" t="inlineStr">
        <is>
          <t>P1/126/126</t>
        </is>
      </c>
      <c r="K608" s="5" t="n">
        <v>80</v>
      </c>
      <c r="L608" s="5" t="n">
        <v>30</v>
      </c>
      <c r="M608" s="10">
        <f>IF(AND(ISNUMBER(K608),L608&gt;0),K608/L608,"")</f>
        <v/>
      </c>
      <c r="N608" s="5" t="n">
        <v>0.24</v>
      </c>
      <c r="O608" s="5" t="n">
        <v>116.7</v>
      </c>
      <c r="P608" s="5" t="n">
        <v>0</v>
      </c>
      <c r="Q608" s="5" t="n">
        <v>0</v>
      </c>
      <c r="R608" s="5" t="n">
        <v>0</v>
      </c>
      <c r="S608" s="5" t="n">
        <v>1</v>
      </c>
      <c r="T608" s="5" t="n">
        <v>0</v>
      </c>
      <c r="U608" s="5" t="n">
        <v>0</v>
      </c>
      <c r="V608" s="5" t="n">
        <v>3</v>
      </c>
      <c r="W608" s="5" t="n"/>
      <c r="X608" s="5" t="inlineStr"/>
      <c r="Y608" s="5" t="n">
        <v>2780.5</v>
      </c>
      <c r="Z608" s="5" t="n">
        <v>3363.1</v>
      </c>
      <c r="AA608" s="5" t="n">
        <v>2799</v>
      </c>
      <c r="AB608" s="5" t="n">
        <v>3388.2</v>
      </c>
      <c r="AC608" s="5" t="inlineStr">
        <is>
          <t>column</t>
        </is>
      </c>
      <c r="AD608" s="5">
        <f>IF(AC608="","",IF(OR(AC608=F608,AND(AC608="crane_footing",F608="isolated_footing")),"yes","no"))</f>
        <v/>
      </c>
    </row>
    <row r="609">
      <c r="A609" s="5" t="n">
        <v>608</v>
      </c>
      <c r="B609" s="5" t="inlineStr">
        <is>
          <t>126</t>
        </is>
      </c>
      <c r="C609" s="5" t="inlineStr">
        <is>
          <t>own label</t>
        </is>
      </c>
      <c r="D609" s="5" t="inlineStr">
        <is>
          <t>solid</t>
        </is>
      </c>
      <c r="E609" s="5" t="n">
        <v>35</v>
      </c>
      <c r="F609" s="5" t="inlineStr">
        <is>
          <t>shear_wall</t>
        </is>
      </c>
      <c r="G609" s="5" t="inlineStr">
        <is>
          <t>label vote</t>
        </is>
      </c>
      <c r="H609" s="5" t="inlineStr">
        <is>
          <t>V1/126</t>
        </is>
      </c>
      <c r="I609" s="5" t="inlineStr">
        <is>
          <t>printed label</t>
        </is>
      </c>
      <c r="J609" s="5" t="inlineStr">
        <is>
          <t>V1/126/126</t>
        </is>
      </c>
      <c r="K609" s="5" t="n">
        <v>125</v>
      </c>
      <c r="L609" s="5" t="n">
        <v>30</v>
      </c>
      <c r="M609" s="10">
        <f>IF(AND(ISNUMBER(K609),L609&gt;0),K609/L609,"")</f>
        <v/>
      </c>
      <c r="N609" s="5" t="n">
        <v>0.375</v>
      </c>
      <c r="O609" s="5" t="n">
        <v>116.7</v>
      </c>
      <c r="P609" s="5" t="n">
        <v>0</v>
      </c>
      <c r="Q609" s="5" t="n">
        <v>1</v>
      </c>
      <c r="R609" s="5" t="n">
        <v>0</v>
      </c>
      <c r="S609" s="5" t="n">
        <v>0</v>
      </c>
      <c r="T609" s="5" t="n">
        <v>0</v>
      </c>
      <c r="U609" s="5" t="n">
        <v>2</v>
      </c>
      <c r="V609" s="5" t="n">
        <v>3</v>
      </c>
      <c r="W609" s="5" t="n"/>
      <c r="X609" s="5" t="inlineStr"/>
      <c r="Y609" s="5" t="n">
        <v>2507.6</v>
      </c>
      <c r="Z609" s="5" t="n">
        <v>3073.9</v>
      </c>
      <c r="AA609" s="5" t="n">
        <v>2532.1</v>
      </c>
      <c r="AB609" s="5" t="n">
        <v>3110.9</v>
      </c>
      <c r="AC609" s="5" t="inlineStr">
        <is>
          <t>shear_wall</t>
        </is>
      </c>
      <c r="AD609" s="5">
        <f>IF(AC609="","",IF(OR(AC609=F609,AND(AC609="crane_footing",F609="isolated_footing")),"yes","no"))</f>
        <v/>
      </c>
    </row>
    <row r="610">
      <c r="A610" s="5" t="n">
        <v>609</v>
      </c>
      <c r="B610" s="5" t="inlineStr">
        <is>
          <t>126</t>
        </is>
      </c>
      <c r="C610" s="5" t="inlineStr">
        <is>
          <t>own label</t>
        </is>
      </c>
      <c r="D610" s="5" t="inlineStr">
        <is>
          <t>solid</t>
        </is>
      </c>
      <c r="E610" s="5" t="n">
        <v>37</v>
      </c>
      <c r="F610" s="5" t="inlineStr">
        <is>
          <t>shear_wall</t>
        </is>
      </c>
      <c r="G610" s="5" t="inlineStr">
        <is>
          <t>label vote</t>
        </is>
      </c>
      <c r="H610" s="5" t="inlineStr">
        <is>
          <t>V1/126</t>
        </is>
      </c>
      <c r="I610" s="5" t="inlineStr">
        <is>
          <t>printed label</t>
        </is>
      </c>
      <c r="J610" s="5" t="inlineStr">
        <is>
          <t>V1/126/126</t>
        </is>
      </c>
      <c r="K610" s="5" t="n">
        <v>125</v>
      </c>
      <c r="L610" s="5" t="n">
        <v>30</v>
      </c>
      <c r="M610" s="10">
        <f>IF(AND(ISNUMBER(K610),L610&gt;0),K610/L610,"")</f>
        <v/>
      </c>
      <c r="N610" s="5" t="n">
        <v>0.374</v>
      </c>
      <c r="O610" s="5" t="n">
        <v>116.7</v>
      </c>
      <c r="P610" s="5" t="n">
        <v>1</v>
      </c>
      <c r="Q610" s="5" t="n">
        <v>1</v>
      </c>
      <c r="R610" s="5" t="n">
        <v>0</v>
      </c>
      <c r="S610" s="5" t="n">
        <v>0</v>
      </c>
      <c r="T610" s="5" t="n">
        <v>0</v>
      </c>
      <c r="U610" s="5" t="n">
        <v>2</v>
      </c>
      <c r="V610" s="5" t="n">
        <v>2</v>
      </c>
      <c r="W610" s="5" t="n"/>
      <c r="X610" s="5" t="inlineStr"/>
      <c r="Y610" s="5" t="n">
        <v>2399.4</v>
      </c>
      <c r="Z610" s="5" t="n">
        <v>3289.7</v>
      </c>
      <c r="AA610" s="5" t="n">
        <v>2423.8</v>
      </c>
      <c r="AB610" s="5" t="n">
        <v>3326.7</v>
      </c>
      <c r="AC610" s="5" t="inlineStr"/>
      <c r="AD610" s="5">
        <f>IF(AC610="","",IF(OR(AC610=F610,AND(AC610="crane_footing",F610="isolated_footing")),"yes","no"))</f>
        <v/>
      </c>
    </row>
    <row r="611">
      <c r="A611" s="5" t="n">
        <v>610</v>
      </c>
      <c r="B611" s="5" t="inlineStr">
        <is>
          <t>126</t>
        </is>
      </c>
      <c r="C611" s="5" t="inlineStr">
        <is>
          <t>own label</t>
        </is>
      </c>
      <c r="D611" s="5" t="inlineStr">
        <is>
          <t>solid</t>
        </is>
      </c>
      <c r="E611" s="5" t="n">
        <v>35</v>
      </c>
      <c r="F611" s="5" t="inlineStr">
        <is>
          <t>shear_wall</t>
        </is>
      </c>
      <c r="G611" s="5" t="inlineStr">
        <is>
          <t>label vote</t>
        </is>
      </c>
      <c r="H611" s="5" t="inlineStr">
        <is>
          <t>V3/126</t>
        </is>
      </c>
      <c r="I611" s="5" t="inlineStr">
        <is>
          <t>printed label</t>
        </is>
      </c>
      <c r="J611" s="5" t="inlineStr">
        <is>
          <t>V3/126/126</t>
        </is>
      </c>
      <c r="K611" s="5" t="n">
        <v>200</v>
      </c>
      <c r="L611" s="5" t="n">
        <v>30</v>
      </c>
      <c r="M611" s="10">
        <f>IF(AND(ISNUMBER(K611),L611&gt;0),K611/L611,"")</f>
        <v/>
      </c>
      <c r="N611" s="5" t="n">
        <v>0.6</v>
      </c>
      <c r="O611" s="5" t="n">
        <v>116.6</v>
      </c>
      <c r="P611" s="5" t="n">
        <v>0</v>
      </c>
      <c r="Q611" s="5" t="n">
        <v>1</v>
      </c>
      <c r="R611" s="5" t="n">
        <v>0</v>
      </c>
      <c r="S611" s="5" t="n">
        <v>0</v>
      </c>
      <c r="T611" s="5" t="n">
        <v>0</v>
      </c>
      <c r="U611" s="5" t="n">
        <v>1</v>
      </c>
      <c r="V611" s="5" t="n">
        <v>4</v>
      </c>
      <c r="W611" s="5" t="n"/>
      <c r="X611" s="5" t="inlineStr"/>
      <c r="Y611" s="5" t="n">
        <v>2661.4</v>
      </c>
      <c r="Z611" s="5" t="n">
        <v>3160.5</v>
      </c>
      <c r="AA611" s="5" t="n">
        <v>2695.8</v>
      </c>
      <c r="AB611" s="5" t="n">
        <v>3217.4</v>
      </c>
      <c r="AC611" s="5" t="inlineStr">
        <is>
          <t>shear_wall</t>
        </is>
      </c>
      <c r="AD611" s="5">
        <f>IF(AC611="","",IF(OR(AC611=F611,AND(AC611="crane_footing",F611="isolated_footing")),"yes","no"))</f>
        <v/>
      </c>
    </row>
    <row r="612">
      <c r="A612" s="5" t="n">
        <v>611</v>
      </c>
      <c r="B612" s="5" t="inlineStr">
        <is>
          <t>126</t>
        </is>
      </c>
      <c r="C612" s="5" t="inlineStr">
        <is>
          <t>own label</t>
        </is>
      </c>
      <c r="D612" s="5" t="inlineStr">
        <is>
          <t>solid</t>
        </is>
      </c>
      <c r="E612" s="5" t="n">
        <v>35</v>
      </c>
      <c r="F612" s="5" t="inlineStr">
        <is>
          <t>shear_wall</t>
        </is>
      </c>
      <c r="G612" s="5" t="inlineStr">
        <is>
          <t>label vote</t>
        </is>
      </c>
      <c r="H612" s="5" t="inlineStr">
        <is>
          <t>V4/126</t>
        </is>
      </c>
      <c r="I612" s="5" t="inlineStr">
        <is>
          <t>printed label</t>
        </is>
      </c>
      <c r="J612" s="5" t="inlineStr">
        <is>
          <t>V4/126/126</t>
        </is>
      </c>
      <c r="K612" s="5" t="n">
        <v>200</v>
      </c>
      <c r="L612" s="5" t="n">
        <v>30</v>
      </c>
      <c r="M612" s="10">
        <f>IF(AND(ISNUMBER(K612),L612&gt;0),K612/L612,"")</f>
        <v/>
      </c>
      <c r="N612" s="5" t="n">
        <v>0.601</v>
      </c>
      <c r="O612" s="5" t="n">
        <v>116.6</v>
      </c>
      <c r="P612" s="5" t="n">
        <v>0</v>
      </c>
      <c r="Q612" s="5" t="n">
        <v>1</v>
      </c>
      <c r="R612" s="5" t="n">
        <v>0</v>
      </c>
      <c r="S612" s="5" t="n">
        <v>0</v>
      </c>
      <c r="T612" s="5" t="n">
        <v>0</v>
      </c>
      <c r="U612" s="5" t="n">
        <v>9</v>
      </c>
      <c r="V612" s="5" t="n">
        <v>2</v>
      </c>
      <c r="W612" s="5" t="n"/>
      <c r="X612" s="5" t="inlineStr"/>
      <c r="Y612" s="5" t="n">
        <v>2828.1</v>
      </c>
      <c r="Z612" s="5" t="n">
        <v>3236.4</v>
      </c>
      <c r="AA612" s="5" t="n">
        <v>2862.6</v>
      </c>
      <c r="AB612" s="5" t="n">
        <v>3293.2</v>
      </c>
      <c r="AC612" s="5" t="inlineStr">
        <is>
          <t>shear_wall</t>
        </is>
      </c>
      <c r="AD612" s="5">
        <f>IF(AC612="","",IF(OR(AC612=F612,AND(AC612="crane_footing",F612="isolated_footing")),"yes","no"))</f>
        <v/>
      </c>
    </row>
    <row r="613">
      <c r="A613" s="5" t="n">
        <v>612</v>
      </c>
      <c r="B613" s="5" t="inlineStr">
        <is>
          <t>126</t>
        </is>
      </c>
      <c r="C613" s="5" t="inlineStr">
        <is>
          <t>own label</t>
        </is>
      </c>
      <c r="D613" s="5" t="inlineStr">
        <is>
          <t>solid</t>
        </is>
      </c>
      <c r="E613" s="5" t="n">
        <v>37</v>
      </c>
      <c r="F613" s="5" t="inlineStr">
        <is>
          <t>shear_wall</t>
        </is>
      </c>
      <c r="G613" s="5" t="inlineStr">
        <is>
          <t>label vote</t>
        </is>
      </c>
      <c r="H613" s="5" t="inlineStr">
        <is>
          <t>V5/126</t>
        </is>
      </c>
      <c r="I613" s="5" t="inlineStr">
        <is>
          <t>printed label</t>
        </is>
      </c>
      <c r="J613" s="5" t="inlineStr">
        <is>
          <t>V5/126/126</t>
        </is>
      </c>
      <c r="K613" s="5" t="n">
        <v>250</v>
      </c>
      <c r="L613" s="5" t="n">
        <v>30</v>
      </c>
      <c r="M613" s="10">
        <f>IF(AND(ISNUMBER(K613),L613&gt;0),K613/L613,"")</f>
        <v/>
      </c>
      <c r="N613" s="5" t="n">
        <v>0.749</v>
      </c>
      <c r="O613" s="5" t="n">
        <v>26.6</v>
      </c>
      <c r="P613" s="5" t="n">
        <v>1</v>
      </c>
      <c r="Q613" s="5" t="n">
        <v>1</v>
      </c>
      <c r="R613" s="5" t="n">
        <v>0</v>
      </c>
      <c r="S613" s="5" t="n">
        <v>0</v>
      </c>
      <c r="T613" s="5" t="n">
        <v>0</v>
      </c>
      <c r="U613" s="5" t="n">
        <v>3</v>
      </c>
      <c r="V613" s="5" t="n">
        <v>1</v>
      </c>
      <c r="W613" s="5" t="n"/>
      <c r="X613" s="5" t="inlineStr"/>
      <c r="Y613" s="5" t="n">
        <v>2505.6</v>
      </c>
      <c r="Z613" s="5" t="n">
        <v>3338.3</v>
      </c>
      <c r="AA613" s="5" t="n">
        <v>2575.5</v>
      </c>
      <c r="AB613" s="5" t="n">
        <v>3379.3</v>
      </c>
      <c r="AC613" s="5" t="inlineStr"/>
      <c r="AD613" s="5">
        <f>IF(AC613="","",IF(OR(AC613=F613,AND(AC613="crane_footing",F613="isolated_footing")),"yes","no"))</f>
        <v/>
      </c>
    </row>
    <row r="614">
      <c r="A614" s="5" t="n">
        <v>613</v>
      </c>
      <c r="B614" s="5" t="inlineStr">
        <is>
          <t>126</t>
        </is>
      </c>
      <c r="C614" s="5" t="inlineStr">
        <is>
          <t>own label</t>
        </is>
      </c>
      <c r="D614" s="5" t="inlineStr">
        <is>
          <t>solid</t>
        </is>
      </c>
      <c r="E614" s="5" t="n">
        <v>36</v>
      </c>
      <c r="F614" s="5" t="inlineStr">
        <is>
          <t>shear_wall</t>
        </is>
      </c>
      <c r="G614" s="5" t="inlineStr">
        <is>
          <t>label vote</t>
        </is>
      </c>
      <c r="H614" s="5" t="inlineStr">
        <is>
          <t>V8/126</t>
        </is>
      </c>
      <c r="I614" s="5" t="inlineStr">
        <is>
          <t>printed label</t>
        </is>
      </c>
      <c r="J614" s="5" t="inlineStr">
        <is>
          <t>V8/126/126</t>
        </is>
      </c>
      <c r="K614" s="5" t="n">
        <v>125</v>
      </c>
      <c r="L614" s="5" t="n">
        <v>25</v>
      </c>
      <c r="M614" s="10">
        <f>IF(AND(ISNUMBER(K614),L614&gt;0),K614/L614,"")</f>
        <v/>
      </c>
      <c r="N614" s="5" t="n">
        <v>0.314</v>
      </c>
      <c r="O614" s="5" t="n">
        <v>116.7</v>
      </c>
      <c r="P614" s="5" t="n">
        <v>0</v>
      </c>
      <c r="Q614" s="5" t="n">
        <v>1</v>
      </c>
      <c r="R614" s="5" t="n">
        <v>0</v>
      </c>
      <c r="S614" s="5" t="n">
        <v>0</v>
      </c>
      <c r="T614" s="5" t="n">
        <v>0</v>
      </c>
      <c r="U614" s="5" t="n">
        <v>1</v>
      </c>
      <c r="V614" s="5" t="n">
        <v>3</v>
      </c>
      <c r="W614" s="5" t="n"/>
      <c r="X614" s="5" t="inlineStr"/>
      <c r="Y614" s="5" t="n">
        <v>2820.6</v>
      </c>
      <c r="Z614" s="5" t="n">
        <v>2972.2</v>
      </c>
      <c r="AA614" s="5" t="n">
        <v>2843.8</v>
      </c>
      <c r="AB614" s="5" t="n">
        <v>3008.5</v>
      </c>
      <c r="AC614" s="5" t="inlineStr">
        <is>
          <t>shear_wall</t>
        </is>
      </c>
      <c r="AD614" s="5">
        <f>IF(AC614="","",IF(OR(AC614=F614,AND(AC614="crane_footing",F614="isolated_footing")),"yes","no"))</f>
        <v/>
      </c>
    </row>
    <row r="615">
      <c r="A615" s="5" t="n">
        <v>614</v>
      </c>
      <c r="B615" s="5" t="inlineStr">
        <is>
          <t>126</t>
        </is>
      </c>
      <c r="C615" s="5" t="inlineStr">
        <is>
          <t>own label</t>
        </is>
      </c>
      <c r="D615" s="5" t="inlineStr">
        <is>
          <t>solid</t>
        </is>
      </c>
      <c r="E615" s="5" t="n">
        <v>36</v>
      </c>
      <c r="F615" s="5" t="inlineStr">
        <is>
          <t>shear_wall</t>
        </is>
      </c>
      <c r="G615" s="5" t="inlineStr">
        <is>
          <t>label vote</t>
        </is>
      </c>
      <c r="H615" s="5" t="inlineStr">
        <is>
          <t>V8/126</t>
        </is>
      </c>
      <c r="I615" s="5" t="inlineStr">
        <is>
          <t>printed label</t>
        </is>
      </c>
      <c r="J615" s="5" t="inlineStr">
        <is>
          <t>V8/126/126</t>
        </is>
      </c>
      <c r="K615" s="5" t="n">
        <v>125</v>
      </c>
      <c r="L615" s="5" t="n">
        <v>25</v>
      </c>
      <c r="M615" s="10">
        <f>IF(AND(ISNUMBER(K615),L615&gt;0),K615/L615,"")</f>
        <v/>
      </c>
      <c r="N615" s="5" t="n">
        <v>0.311</v>
      </c>
      <c r="O615" s="5" t="n">
        <v>116.6</v>
      </c>
      <c r="P615" s="5" t="n">
        <v>0</v>
      </c>
      <c r="Q615" s="5" t="n">
        <v>1</v>
      </c>
      <c r="R615" s="5" t="n">
        <v>0</v>
      </c>
      <c r="S615" s="5" t="n">
        <v>0</v>
      </c>
      <c r="T615" s="5" t="n">
        <v>0</v>
      </c>
      <c r="U615" s="5" t="n">
        <v>1</v>
      </c>
      <c r="V615" s="5" t="n">
        <v>5</v>
      </c>
      <c r="W615" s="5" t="n"/>
      <c r="X615" s="5" t="inlineStr"/>
      <c r="Y615" s="5" t="n">
        <v>2618.1</v>
      </c>
      <c r="Z615" s="5" t="n">
        <v>2853.8</v>
      </c>
      <c r="AA615" s="5" t="n">
        <v>2641.1</v>
      </c>
      <c r="AB615" s="5" t="n">
        <v>2890.1</v>
      </c>
      <c r="AC615" s="5" t="inlineStr">
        <is>
          <t>shear_wall</t>
        </is>
      </c>
      <c r="AD615" s="5">
        <f>IF(AC615="","",IF(OR(AC615=F615,AND(AC615="crane_footing",F615="isolated_footing")),"yes","no"))</f>
        <v/>
      </c>
    </row>
    <row r="616">
      <c r="A616" s="5" t="n">
        <v>615</v>
      </c>
      <c r="B616" s="5" t="inlineStr">
        <is>
          <t>126</t>
        </is>
      </c>
      <c r="C616" s="5" t="inlineStr">
        <is>
          <t>nearest labels in its region</t>
        </is>
      </c>
      <c r="D616" s="5" t="inlineStr">
        <is>
          <t>solid</t>
        </is>
      </c>
      <c r="E616" s="5" t="n">
        <v>28</v>
      </c>
      <c r="F616" s="5" t="inlineStr">
        <is>
          <t>retaining_wall</t>
        </is>
      </c>
      <c r="G616" s="5" t="inlineStr">
        <is>
          <t>label vote</t>
        </is>
      </c>
      <c r="H616" s="5" t="inlineStr">
        <is>
          <t>VP20</t>
        </is>
      </c>
      <c r="I616" s="5" t="inlineStr">
        <is>
          <t>inferred: the only retaining_wall type with this size</t>
        </is>
      </c>
      <c r="J616" s="5" t="inlineStr"/>
      <c r="K616" s="5" t="n">
        <v>977</v>
      </c>
      <c r="L616" s="5" t="n">
        <v>20</v>
      </c>
      <c r="M616" s="10">
        <f>IF(AND(ISNUMBER(K616),L616&gt;0),K616/L616,"")</f>
        <v/>
      </c>
      <c r="N616" s="5" t="n">
        <v>1.951</v>
      </c>
      <c r="O616" s="5" t="n">
        <v>26.6</v>
      </c>
      <c r="P616" s="5" t="n">
        <v>3</v>
      </c>
      <c r="Q616" s="5" t="n">
        <v>0</v>
      </c>
      <c r="R616" s="5" t="n">
        <v>0</v>
      </c>
      <c r="S616" s="5" t="n">
        <v>0</v>
      </c>
      <c r="T616" s="5" t="n">
        <v>1</v>
      </c>
      <c r="U616" s="5" t="n">
        <v>10</v>
      </c>
      <c r="V616" s="5" t="n">
        <v>7</v>
      </c>
      <c r="W616" s="5" t="n"/>
      <c r="X616" s="5" t="inlineStr"/>
      <c r="Y616" s="5" t="n">
        <v>2411.3</v>
      </c>
      <c r="Z616" s="5" t="n">
        <v>3293.6</v>
      </c>
      <c r="AA616" s="5" t="n">
        <v>2671.8</v>
      </c>
      <c r="AB616" s="5" t="n">
        <v>3428.2</v>
      </c>
      <c r="AC616" s="5" t="inlineStr"/>
      <c r="AD616" s="5">
        <f>IF(AC616="","",IF(OR(AC616=F616,AND(AC616="crane_footing",F616="isolated_footing")),"yes","no"))</f>
        <v/>
      </c>
    </row>
    <row r="617">
      <c r="A617" s="5" t="n">
        <v>616</v>
      </c>
      <c r="B617" s="5" t="inlineStr">
        <is>
          <t>126</t>
        </is>
      </c>
      <c r="C617" s="5" t="inlineStr">
        <is>
          <t>nearest labels in its region</t>
        </is>
      </c>
      <c r="D617" s="5" t="inlineStr">
        <is>
          <t>solid</t>
        </is>
      </c>
      <c r="E617" s="5" t="n">
        <v>33</v>
      </c>
      <c r="F617" s="5" t="inlineStr">
        <is>
          <t>retaining_wall</t>
        </is>
      </c>
      <c r="G617" s="5" t="inlineStr">
        <is>
          <t>label vote</t>
        </is>
      </c>
      <c r="H617" s="5" t="inlineStr">
        <is>
          <t>VP20</t>
        </is>
      </c>
      <c r="I617" s="5" t="inlineStr">
        <is>
          <t>printed label</t>
        </is>
      </c>
      <c r="J617" s="5" t="inlineStr">
        <is>
          <t>VP20/SF1-80x25</t>
        </is>
      </c>
      <c r="K617" s="5" t="n">
        <v>1454</v>
      </c>
      <c r="L617" s="5" t="n">
        <v>20</v>
      </c>
      <c r="M617" s="10">
        <f>IF(AND(ISNUMBER(K617),L617&gt;0),K617/L617,"")</f>
        <v/>
      </c>
      <c r="N617" s="5" t="n">
        <v>2.918</v>
      </c>
      <c r="O617" s="5" t="n">
        <v>26.6</v>
      </c>
      <c r="P617" s="5" t="n">
        <v>1</v>
      </c>
      <c r="Q617" s="5" t="n">
        <v>0</v>
      </c>
      <c r="R617" s="5" t="n">
        <v>1</v>
      </c>
      <c r="S617" s="5" t="n">
        <v>0</v>
      </c>
      <c r="T617" s="5" t="n">
        <v>0</v>
      </c>
      <c r="U617" s="5" t="n">
        <v>9</v>
      </c>
      <c r="V617" s="5" t="n">
        <v>5</v>
      </c>
      <c r="W617" s="5" t="n"/>
      <c r="X617" s="5" t="inlineStr"/>
      <c r="Y617" s="5" t="n">
        <v>2685.7</v>
      </c>
      <c r="Z617" s="5" t="n">
        <v>2746.6</v>
      </c>
      <c r="AA617" s="5" t="n">
        <v>3072.4</v>
      </c>
      <c r="AB617" s="5" t="n">
        <v>2944</v>
      </c>
      <c r="AC617" s="5" t="inlineStr"/>
      <c r="AD617" s="5">
        <f>IF(AC617="","",IF(OR(AC617=F617,AND(AC617="crane_footing",F617="isolated_footing")),"yes","no"))</f>
        <v/>
      </c>
    </row>
    <row r="618">
      <c r="A618" s="5" t="n">
        <v>617</v>
      </c>
      <c r="B618" s="5" t="inlineStr">
        <is>
          <t>126</t>
        </is>
      </c>
      <c r="C618" s="5" t="inlineStr">
        <is>
          <t>nearest labels in its region</t>
        </is>
      </c>
      <c r="D618" s="5" t="inlineStr">
        <is>
          <t>outline</t>
        </is>
      </c>
      <c r="E618" s="5" t="n">
        <v>18</v>
      </c>
      <c r="F618" s="5" t="inlineStr">
        <is>
          <t>isolated_footing</t>
        </is>
      </c>
      <c r="G618" s="5" t="inlineStr">
        <is>
          <t>label vote</t>
        </is>
      </c>
      <c r="H618" s="5" t="inlineStr">
        <is>
          <t>(none)</t>
        </is>
      </c>
      <c r="I618" s="5" t="inlineStr">
        <is>
          <t>no isolated_footing type has this size</t>
        </is>
      </c>
      <c r="J618" s="5" t="inlineStr"/>
      <c r="K618" s="5" t="n">
        <v>290</v>
      </c>
      <c r="L618" s="5" t="n">
        <v>240</v>
      </c>
      <c r="M618" s="10">
        <f>IF(AND(ISNUMBER(K618),L618&gt;0),K618/L618,"")</f>
        <v/>
      </c>
      <c r="N618" s="5" t="n">
        <v>6.962</v>
      </c>
      <c r="O618" s="5" t="n">
        <v>26.6</v>
      </c>
      <c r="P618" s="5" t="n">
        <v>1</v>
      </c>
      <c r="Q618" s="5" t="n">
        <v>1</v>
      </c>
      <c r="R618" s="5" t="n">
        <v>0</v>
      </c>
      <c r="S618" s="5" t="n">
        <v>0</v>
      </c>
      <c r="T618" s="5" t="n">
        <v>0</v>
      </c>
      <c r="U618" s="5" t="n">
        <v>45</v>
      </c>
      <c r="V618" s="5" t="n">
        <v>7</v>
      </c>
      <c r="W618" s="5" t="n"/>
      <c r="X618" s="5" t="inlineStr"/>
      <c r="Y618" s="5" t="n">
        <v>2588.1</v>
      </c>
      <c r="Z618" s="5" t="n">
        <v>3332.5</v>
      </c>
      <c r="AA618" s="5" t="n">
        <v>2696.4</v>
      </c>
      <c r="AB618" s="5" t="n">
        <v>3434.2</v>
      </c>
      <c r="AC618" s="5" t="inlineStr"/>
      <c r="AD618" s="5">
        <f>IF(AC618="","",IF(OR(AC618=F618,AND(AC618="crane_footing",F618="isolated_footing")),"yes","no"))</f>
        <v/>
      </c>
    </row>
    <row r="619">
      <c r="A619" s="5" t="n">
        <v>618</v>
      </c>
      <c r="B619" s="5" t="inlineStr">
        <is>
          <t>126</t>
        </is>
      </c>
      <c r="C619" s="5" t="inlineStr">
        <is>
          <t>nearest labels in its region</t>
        </is>
      </c>
      <c r="D619" s="5" t="inlineStr">
        <is>
          <t>outline</t>
        </is>
      </c>
      <c r="E619" s="5" t="n">
        <v>18</v>
      </c>
      <c r="F619" s="5" t="inlineStr">
        <is>
          <t>isolated_footing</t>
        </is>
      </c>
      <c r="G619" s="5" t="inlineStr">
        <is>
          <t>label vote</t>
        </is>
      </c>
      <c r="H619" s="5" t="inlineStr">
        <is>
          <t>(none)</t>
        </is>
      </c>
      <c r="I619" s="5" t="inlineStr">
        <is>
          <t>no isolated_footing type has this size</t>
        </is>
      </c>
      <c r="J619" s="5" t="inlineStr"/>
      <c r="K619" s="5" t="n">
        <v>240</v>
      </c>
      <c r="L619" s="5" t="n">
        <v>190</v>
      </c>
      <c r="M619" s="10">
        <f>IF(AND(ISNUMBER(K619),L619&gt;0),K619/L619,"")</f>
        <v/>
      </c>
      <c r="N619" s="5" t="n">
        <v>4.559</v>
      </c>
      <c r="O619" s="5" t="n">
        <v>26.6</v>
      </c>
      <c r="P619" s="5" t="n">
        <v>1</v>
      </c>
      <c r="Q619" s="5" t="n">
        <v>1</v>
      </c>
      <c r="R619" s="5" t="n">
        <v>0</v>
      </c>
      <c r="S619" s="5" t="n">
        <v>0</v>
      </c>
      <c r="T619" s="5" t="n">
        <v>0</v>
      </c>
      <c r="U619" s="5" t="n">
        <v>35</v>
      </c>
      <c r="V619" s="5" t="n">
        <v>6</v>
      </c>
      <c r="W619" s="5" t="n"/>
      <c r="X619" s="5" t="inlineStr"/>
      <c r="Y619" s="5" t="n">
        <v>2597.9</v>
      </c>
      <c r="Z619" s="5" t="n">
        <v>3342.4</v>
      </c>
      <c r="AA619" s="5" t="n">
        <v>2686.4</v>
      </c>
      <c r="AB619" s="5" t="n">
        <v>3424.3</v>
      </c>
      <c r="AC619" s="5" t="inlineStr"/>
      <c r="AD619" s="5">
        <f>IF(AC619="","",IF(OR(AC619=F619,AND(AC619="crane_footing",F619="isolated_footing")),"yes","no"))</f>
        <v/>
      </c>
    </row>
    <row r="620">
      <c r="A620" s="5" t="n">
        <v>619</v>
      </c>
      <c r="B620" s="5" t="inlineStr">
        <is>
          <t>126</t>
        </is>
      </c>
      <c r="C620" s="5" t="inlineStr">
        <is>
          <t>nearest labels in its region</t>
        </is>
      </c>
      <c r="D620" s="5" t="inlineStr">
        <is>
          <t>outline</t>
        </is>
      </c>
      <c r="E620" s="5" t="n">
        <v>18</v>
      </c>
      <c r="F620" s="5" t="inlineStr">
        <is>
          <t>isolated_footing</t>
        </is>
      </c>
      <c r="G620" s="5" t="inlineStr">
        <is>
          <t>label vote</t>
        </is>
      </c>
      <c r="H620" s="5" t="inlineStr">
        <is>
          <t>(none)</t>
        </is>
      </c>
      <c r="I620" s="5" t="inlineStr">
        <is>
          <t>no isolated_footing type has this size</t>
        </is>
      </c>
      <c r="J620" s="5" t="inlineStr"/>
      <c r="K620" s="5" t="n">
        <v>200</v>
      </c>
      <c r="L620" s="5" t="n">
        <v>150</v>
      </c>
      <c r="M620" s="10">
        <f>IF(AND(ISNUMBER(K620),L620&gt;0),K620/L620,"")</f>
        <v/>
      </c>
      <c r="N620" s="5" t="n">
        <v>3</v>
      </c>
      <c r="O620" s="5" t="n">
        <v>26.6</v>
      </c>
      <c r="P620" s="5" t="n">
        <v>1</v>
      </c>
      <c r="Q620" s="5" t="n">
        <v>1</v>
      </c>
      <c r="R620" s="5" t="n">
        <v>0</v>
      </c>
      <c r="S620" s="5" t="n">
        <v>0</v>
      </c>
      <c r="T620" s="5" t="n">
        <v>0</v>
      </c>
      <c r="U620" s="5" t="n">
        <v>16</v>
      </c>
      <c r="V620" s="5" t="n">
        <v>6</v>
      </c>
      <c r="W620" s="5" t="n"/>
      <c r="X620" s="5" t="inlineStr"/>
      <c r="Y620" s="5" t="n">
        <v>2605.9</v>
      </c>
      <c r="Z620" s="5" t="n">
        <v>3350.4</v>
      </c>
      <c r="AA620" s="5" t="n">
        <v>2678.5</v>
      </c>
      <c r="AB620" s="5" t="n">
        <v>3416.4</v>
      </c>
      <c r="AC620" s="5" t="inlineStr"/>
      <c r="AD620" s="5">
        <f>IF(AC620="","",IF(OR(AC620=F620,AND(AC620="crane_footing",F620="isolated_footing")),"yes","no"))</f>
        <v/>
      </c>
    </row>
    <row r="621">
      <c r="A621" s="5" t="n">
        <v>620</v>
      </c>
      <c r="B621" s="5" t="inlineStr">
        <is>
          <t>126</t>
        </is>
      </c>
      <c r="C621" s="5" t="inlineStr">
        <is>
          <t>own label</t>
        </is>
      </c>
      <c r="D621" s="5" t="inlineStr">
        <is>
          <t>outline</t>
        </is>
      </c>
      <c r="E621" s="5" t="n">
        <v>16</v>
      </c>
      <c r="F621" s="5" t="inlineStr">
        <is>
          <t>isolated_footing</t>
        </is>
      </c>
      <c r="G621" s="5" t="inlineStr">
        <is>
          <t>label vote</t>
        </is>
      </c>
      <c r="H621" s="5" t="inlineStr">
        <is>
          <t>S10</t>
        </is>
      </c>
      <c r="I621" s="5" t="inlineStr">
        <is>
          <t>printed label</t>
        </is>
      </c>
      <c r="J621" s="5" t="inlineStr">
        <is>
          <t>S10-126126</t>
        </is>
      </c>
      <c r="K621" s="5" t="n">
        <v>450</v>
      </c>
      <c r="L621" s="5" t="n">
        <v>300</v>
      </c>
      <c r="M621" s="10">
        <f>IF(AND(ISNUMBER(K621),L621&gt;0),K621/L621,"")</f>
        <v/>
      </c>
      <c r="N621" s="5" t="n">
        <v>13.5</v>
      </c>
      <c r="O621" s="5" t="n">
        <v>116.8</v>
      </c>
      <c r="P621" s="5" t="n">
        <v>1</v>
      </c>
      <c r="Q621" s="5" t="n">
        <v>0</v>
      </c>
      <c r="R621" s="5" t="n">
        <v>0</v>
      </c>
      <c r="S621" s="5" t="n">
        <v>0</v>
      </c>
      <c r="T621" s="5" t="n">
        <v>1</v>
      </c>
      <c r="U621" s="5" t="n">
        <v>28</v>
      </c>
      <c r="V621" s="5" t="n">
        <v>3</v>
      </c>
      <c r="W621" s="5" t="n"/>
      <c r="X621" s="5" t="inlineStr"/>
      <c r="Y621" s="5" t="n">
        <v>2774.8</v>
      </c>
      <c r="Z621" s="5" t="n">
        <v>3185</v>
      </c>
      <c r="AA621" s="5" t="n">
        <v>2913.8</v>
      </c>
      <c r="AB621" s="5" t="n">
        <v>3343.5</v>
      </c>
      <c r="AC621" s="5" t="inlineStr">
        <is>
          <t>isolated_footing</t>
        </is>
      </c>
      <c r="AD621" s="5">
        <f>IF(AC621="","",IF(OR(AC621=F621,AND(AC621="crane_footing",F621="isolated_footing")),"yes","no"))</f>
        <v/>
      </c>
    </row>
    <row r="622">
      <c r="A622" s="5" t="n">
        <v>621</v>
      </c>
      <c r="B622" s="5" t="inlineStr">
        <is>
          <t>126</t>
        </is>
      </c>
      <c r="C622" s="5" t="inlineStr">
        <is>
          <t>own label</t>
        </is>
      </c>
      <c r="D622" s="5" t="inlineStr">
        <is>
          <t>outline</t>
        </is>
      </c>
      <c r="E622" s="5" t="n">
        <v>16</v>
      </c>
      <c r="F622" s="5" t="inlineStr">
        <is>
          <t>isolated_footing</t>
        </is>
      </c>
      <c r="G622" s="5" t="inlineStr">
        <is>
          <t>label vote</t>
        </is>
      </c>
      <c r="H622" s="5" t="inlineStr">
        <is>
          <t>S11</t>
        </is>
      </c>
      <c r="I622" s="5" t="inlineStr">
        <is>
          <t>printed label</t>
        </is>
      </c>
      <c r="J622" s="5" t="inlineStr">
        <is>
          <t>S11-126126</t>
        </is>
      </c>
      <c r="K622" s="5" t="n">
        <v>500</v>
      </c>
      <c r="L622" s="5" t="n">
        <v>400</v>
      </c>
      <c r="M622" s="10">
        <f>IF(AND(ISNUMBER(K622),L622&gt;0),K622/L622,"")</f>
        <v/>
      </c>
      <c r="N622" s="5" t="n">
        <v>20.003</v>
      </c>
      <c r="O622" s="5" t="n">
        <v>116.6</v>
      </c>
      <c r="P622" s="5" t="n">
        <v>1</v>
      </c>
      <c r="Q622" s="5" t="n">
        <v>0</v>
      </c>
      <c r="R622" s="5" t="n">
        <v>0</v>
      </c>
      <c r="S622" s="5" t="n">
        <v>0</v>
      </c>
      <c r="T622" s="5" t="n">
        <v>1</v>
      </c>
      <c r="U622" s="5" t="n">
        <v>44</v>
      </c>
      <c r="V622" s="5" t="n">
        <v>4</v>
      </c>
      <c r="W622" s="5" t="n"/>
      <c r="X622" s="5" t="inlineStr"/>
      <c r="Y622" s="5" t="n">
        <v>2592.8</v>
      </c>
      <c r="Z622" s="5" t="n">
        <v>3096.5</v>
      </c>
      <c r="AA622" s="5" t="n">
        <v>2764.5</v>
      </c>
      <c r="AB622" s="5" t="n">
        <v>3281.4</v>
      </c>
      <c r="AC622" s="5" t="inlineStr">
        <is>
          <t>isolated_footing</t>
        </is>
      </c>
      <c r="AD622" s="5">
        <f>IF(AC622="","",IF(OR(AC622=F622,AND(AC622="crane_footing",F622="isolated_footing")),"yes","no"))</f>
        <v/>
      </c>
    </row>
    <row r="623">
      <c r="A623" s="5" t="n">
        <v>622</v>
      </c>
      <c r="B623" s="5" t="inlineStr">
        <is>
          <t>126</t>
        </is>
      </c>
      <c r="C623" s="5" t="inlineStr">
        <is>
          <t>own label</t>
        </is>
      </c>
      <c r="D623" s="5" t="inlineStr">
        <is>
          <t>outline</t>
        </is>
      </c>
      <c r="E623" s="5" t="n">
        <v>17</v>
      </c>
      <c r="F623" s="5" t="inlineStr">
        <is>
          <t>isolated_footing</t>
        </is>
      </c>
      <c r="G623" s="5" t="inlineStr">
        <is>
          <t>label vote</t>
        </is>
      </c>
      <c r="H623" s="5" t="inlineStr">
        <is>
          <t>S2</t>
        </is>
      </c>
      <c r="I623" s="5" t="inlineStr">
        <is>
          <t>printed label</t>
        </is>
      </c>
      <c r="J623" s="5" t="inlineStr">
        <is>
          <t>S2-126126</t>
        </is>
      </c>
      <c r="K623" s="5" t="n">
        <v>350</v>
      </c>
      <c r="L623" s="5" t="n">
        <v>200</v>
      </c>
      <c r="M623" s="10">
        <f>IF(AND(ISNUMBER(K623),L623&gt;0),K623/L623,"")</f>
        <v/>
      </c>
      <c r="N623" s="5" t="n">
        <v>6.997</v>
      </c>
      <c r="O623" s="5" t="n">
        <v>116.6</v>
      </c>
      <c r="P623" s="5" t="n">
        <v>1</v>
      </c>
      <c r="Q623" s="5" t="n">
        <v>0</v>
      </c>
      <c r="R623" s="5" t="n">
        <v>0</v>
      </c>
      <c r="S623" s="5" t="n">
        <v>0</v>
      </c>
      <c r="T623" s="5" t="n">
        <v>1</v>
      </c>
      <c r="U623" s="5" t="n">
        <v>37</v>
      </c>
      <c r="V623" s="5" t="n">
        <v>4</v>
      </c>
      <c r="W623" s="5" t="n"/>
      <c r="X623" s="5" t="inlineStr"/>
      <c r="Y623" s="5" t="n">
        <v>2782.7</v>
      </c>
      <c r="Z623" s="5" t="n">
        <v>2930.9</v>
      </c>
      <c r="AA623" s="5" t="n">
        <v>2881.7</v>
      </c>
      <c r="AB623" s="5" t="n">
        <v>3049.8</v>
      </c>
      <c r="AC623" s="5" t="inlineStr">
        <is>
          <t>isolated_footing</t>
        </is>
      </c>
      <c r="AD623" s="5">
        <f>IF(AC623="","",IF(OR(AC623=F623,AND(AC623="crane_footing",F623="isolated_footing")),"yes","no"))</f>
        <v/>
      </c>
    </row>
    <row r="624">
      <c r="A624" s="5" t="n">
        <v>623</v>
      </c>
      <c r="B624" s="5" t="inlineStr">
        <is>
          <t>126</t>
        </is>
      </c>
      <c r="C624" s="5" t="inlineStr">
        <is>
          <t>own label</t>
        </is>
      </c>
      <c r="D624" s="5" t="inlineStr">
        <is>
          <t>outline</t>
        </is>
      </c>
      <c r="E624" s="5" t="n">
        <v>16</v>
      </c>
      <c r="F624" s="5" t="inlineStr">
        <is>
          <t>isolated_footing</t>
        </is>
      </c>
      <c r="G624" s="5" t="inlineStr">
        <is>
          <t>label vote</t>
        </is>
      </c>
      <c r="H624" s="5" t="inlineStr">
        <is>
          <t>S7</t>
        </is>
      </c>
      <c r="I624" s="5" t="inlineStr">
        <is>
          <t>printed label</t>
        </is>
      </c>
      <c r="J624" s="5" t="inlineStr">
        <is>
          <t>S7-126126</t>
        </is>
      </c>
      <c r="K624" s="5" t="n">
        <v>450</v>
      </c>
      <c r="L624" s="5" t="n">
        <v>350</v>
      </c>
      <c r="M624" s="10">
        <f>IF(AND(ISNUMBER(K624),L624&gt;0),K624/L624,"")</f>
        <v/>
      </c>
      <c r="N624" s="5" t="n">
        <v>15.747</v>
      </c>
      <c r="O624" s="5" t="n">
        <v>26.6</v>
      </c>
      <c r="P624" s="5" t="n">
        <v>2</v>
      </c>
      <c r="Q624" s="5" t="n">
        <v>0</v>
      </c>
      <c r="R624" s="5" t="n">
        <v>0</v>
      </c>
      <c r="S624" s="5" t="n">
        <v>0</v>
      </c>
      <c r="T624" s="5" t="n">
        <v>1</v>
      </c>
      <c r="U624" s="5" t="n">
        <v>31</v>
      </c>
      <c r="V624" s="5" t="n">
        <v>6</v>
      </c>
      <c r="W624" s="5" t="n"/>
      <c r="X624" s="5" t="inlineStr"/>
      <c r="Y624" s="5" t="n">
        <v>2457.7</v>
      </c>
      <c r="Z624" s="5" t="n">
        <v>3283.5</v>
      </c>
      <c r="AA624" s="5" t="n">
        <v>2622.7</v>
      </c>
      <c r="AB624" s="5" t="n">
        <v>3435.4</v>
      </c>
      <c r="AC624" s="5" t="inlineStr">
        <is>
          <t>isolated_footing</t>
        </is>
      </c>
      <c r="AD624" s="5">
        <f>IF(AC624="","",IF(OR(AC624=F624,AND(AC624="crane_footing",F624="isolated_footing")),"yes","no"))</f>
        <v/>
      </c>
    </row>
    <row r="625">
      <c r="A625" s="5" t="n">
        <v>624</v>
      </c>
      <c r="B625" s="5" t="inlineStr">
        <is>
          <t>126</t>
        </is>
      </c>
      <c r="C625" s="5" t="inlineStr">
        <is>
          <t>nearest labels</t>
        </is>
      </c>
      <c r="D625" s="5" t="inlineStr">
        <is>
          <t>outline</t>
        </is>
      </c>
      <c r="E625" s="5" t="n">
        <v>15</v>
      </c>
      <c r="F625" s="5" t="inlineStr">
        <is>
          <t>combined_footing</t>
        </is>
      </c>
      <c r="G625" s="5" t="inlineStr">
        <is>
          <t>label vote</t>
        </is>
      </c>
      <c r="H625" s="5" t="inlineStr">
        <is>
          <t>SC1</t>
        </is>
      </c>
      <c r="I625" s="5" t="inlineStr">
        <is>
          <t>printed label</t>
        </is>
      </c>
      <c r="J625" s="5" t="inlineStr">
        <is>
          <t>SC1-</t>
        </is>
      </c>
      <c r="K625" s="5" t="n">
        <v>500</v>
      </c>
      <c r="L625" s="5" t="n">
        <v>350</v>
      </c>
      <c r="M625" s="10">
        <f>IF(AND(ISNUMBER(K625),L625&gt;0),K625/L625,"")</f>
        <v/>
      </c>
      <c r="N625" s="5" t="n">
        <v>17.502</v>
      </c>
      <c r="O625" s="5" t="n">
        <v>116.6</v>
      </c>
      <c r="P625" s="5" t="n">
        <v>4</v>
      </c>
      <c r="Q625" s="5" t="n">
        <v>0</v>
      </c>
      <c r="R625" s="5" t="n">
        <v>0</v>
      </c>
      <c r="S625" s="5" t="n">
        <v>0</v>
      </c>
      <c r="T625" s="5" t="n">
        <v>2</v>
      </c>
      <c r="U625" s="5" t="n">
        <v>30</v>
      </c>
      <c r="V625" s="5" t="n">
        <v>2</v>
      </c>
      <c r="W625" s="5" t="n"/>
      <c r="X625" s="5" t="inlineStr"/>
      <c r="Y625" s="5" t="n">
        <v>2325.7</v>
      </c>
      <c r="Z625" s="5" t="n">
        <v>3215.8</v>
      </c>
      <c r="AA625" s="5" t="n">
        <v>2484.3</v>
      </c>
      <c r="AB625" s="5" t="n">
        <v>3394.1</v>
      </c>
      <c r="AC625" s="5" t="inlineStr">
        <is>
          <t>combined_footing</t>
        </is>
      </c>
      <c r="AD625" s="5">
        <f>IF(AC625="","",IF(OR(AC625=F625,AND(AC625="crane_footing",F625="isolated_footing")),"yes","no"))</f>
        <v/>
      </c>
    </row>
    <row r="626">
      <c r="A626" s="5" t="n">
        <v>625</v>
      </c>
      <c r="B626" s="5" t="inlineStr">
        <is>
          <t>126</t>
        </is>
      </c>
      <c r="C626" s="5" t="inlineStr">
        <is>
          <t>nearest labels</t>
        </is>
      </c>
      <c r="D626" s="5" t="inlineStr">
        <is>
          <t>outline</t>
        </is>
      </c>
      <c r="E626" s="5" t="n">
        <v>23</v>
      </c>
      <c r="F626" s="5" t="inlineStr">
        <is>
          <t>combined_footing</t>
        </is>
      </c>
      <c r="G626" s="5" t="inlineStr">
        <is>
          <t>similar to cluster 15 (distance 0.87)</t>
        </is>
      </c>
      <c r="H626" s="5" t="inlineStr">
        <is>
          <t>SC2</t>
        </is>
      </c>
      <c r="I626" s="5" t="inlineStr">
        <is>
          <t>printed label</t>
        </is>
      </c>
      <c r="J626" s="5" t="inlineStr">
        <is>
          <t>SC2-</t>
        </is>
      </c>
      <c r="K626" s="5" t="n">
        <v>350</v>
      </c>
      <c r="L626" s="5" t="n">
        <v>200</v>
      </c>
      <c r="M626" s="10">
        <f>IF(AND(ISNUMBER(K626),L626&gt;0),K626/L626,"")</f>
        <v/>
      </c>
      <c r="N626" s="5" t="n">
        <v>7.004</v>
      </c>
      <c r="O626" s="5" t="n">
        <v>116.6</v>
      </c>
      <c r="P626" s="5" t="n">
        <v>2</v>
      </c>
      <c r="Q626" s="5" t="n">
        <v>0</v>
      </c>
      <c r="R626" s="5" t="n">
        <v>0</v>
      </c>
      <c r="S626" s="5" t="n">
        <v>0</v>
      </c>
      <c r="T626" s="5" t="n">
        <v>2</v>
      </c>
      <c r="U626" s="5" t="n">
        <v>20</v>
      </c>
      <c r="V626" s="5" t="n">
        <v>5</v>
      </c>
      <c r="W626" s="5" t="n"/>
      <c r="X626" s="5" t="inlineStr"/>
      <c r="Y626" s="5" t="n">
        <v>2575.5</v>
      </c>
      <c r="Z626" s="5" t="n">
        <v>2810.2</v>
      </c>
      <c r="AA626" s="5" t="n">
        <v>2674.6</v>
      </c>
      <c r="AB626" s="5" t="n">
        <v>2929.1</v>
      </c>
      <c r="AC626" s="5" t="inlineStr">
        <is>
          <t>combined_footing</t>
        </is>
      </c>
      <c r="AD626" s="5">
        <f>IF(AC626="","",IF(OR(AC626=F626,AND(AC626="crane_footing",F626="isolated_footing")),"yes","no"))</f>
        <v/>
      </c>
    </row>
    <row r="627">
      <c r="A627" s="5" t="n">
        <v>626</v>
      </c>
      <c r="B627" s="5" t="inlineStr">
        <is>
          <t>126</t>
        </is>
      </c>
      <c r="C627" s="5" t="inlineStr">
        <is>
          <t>nearest labels in its region</t>
        </is>
      </c>
      <c r="D627" s="5" t="inlineStr">
        <is>
          <t>band</t>
        </is>
      </c>
      <c r="E627" s="5" t="n">
        <v>6</v>
      </c>
      <c r="F627" s="5" t="inlineStr">
        <is>
          <t>strip_footing</t>
        </is>
      </c>
      <c r="G627" s="5" t="inlineStr">
        <is>
          <t>label vote</t>
        </is>
      </c>
      <c r="H627" s="5" t="inlineStr">
        <is>
          <t>SF1</t>
        </is>
      </c>
      <c r="I627" s="5" t="inlineStr">
        <is>
          <t>printed label</t>
        </is>
      </c>
      <c r="J627" s="5" t="inlineStr">
        <is>
          <t>VP20-SF1 80x25</t>
        </is>
      </c>
      <c r="K627" s="5" t="n">
        <v>232</v>
      </c>
      <c r="L627" s="5" t="n">
        <v>80</v>
      </c>
      <c r="M627" s="10">
        <f>IF(AND(ISNUMBER(K627),L627&gt;0),K627/L627,"")</f>
        <v/>
      </c>
      <c r="N627" s="5" t="n">
        <v>1.858</v>
      </c>
      <c r="O627" s="5" t="n">
        <v>26.6</v>
      </c>
      <c r="P627" s="5" t="n">
        <v>2</v>
      </c>
      <c r="Q627" s="5" t="n">
        <v>1</v>
      </c>
      <c r="R627" s="5" t="n">
        <v>0</v>
      </c>
      <c r="S627" s="5" t="n">
        <v>0</v>
      </c>
      <c r="T627" s="5" t="n">
        <v>0</v>
      </c>
      <c r="U627" s="5" t="n">
        <v>7</v>
      </c>
      <c r="V627" s="5" t="n">
        <v>2</v>
      </c>
      <c r="W627" s="5" t="n">
        <v>0.92</v>
      </c>
      <c r="X627" s="5" t="inlineStr"/>
      <c r="Y627" s="5" t="n">
        <v>2414.1</v>
      </c>
      <c r="Z627" s="5" t="n">
        <v>3288.6</v>
      </c>
      <c r="AA627" s="5" t="n">
        <v>2486</v>
      </c>
      <c r="AB627" s="5" t="n">
        <v>3340.5</v>
      </c>
      <c r="AC627" s="5" t="inlineStr"/>
      <c r="AD627" s="5">
        <f>IF(AC627="","",IF(OR(AC627=F627,AND(AC627="crane_footing",F627="isolated_footing")),"yes","no"))</f>
        <v/>
      </c>
    </row>
    <row r="628">
      <c r="A628" s="5" t="n">
        <v>627</v>
      </c>
      <c r="B628" s="5" t="inlineStr">
        <is>
          <t>126</t>
        </is>
      </c>
      <c r="C628" s="5" t="inlineStr">
        <is>
          <t>nearest labels in its region</t>
        </is>
      </c>
      <c r="D628" s="5" t="inlineStr">
        <is>
          <t>band</t>
        </is>
      </c>
      <c r="E628" s="5" t="n">
        <v>4</v>
      </c>
      <c r="F628" s="5" t="inlineStr">
        <is>
          <t>grade_beam</t>
        </is>
      </c>
      <c r="G628" s="5" t="inlineStr">
        <is>
          <t>label vote</t>
        </is>
      </c>
      <c r="H628" s="5" t="inlineStr">
        <is>
          <t>LG40x15</t>
        </is>
      </c>
      <c r="I628" s="5" t="inlineStr">
        <is>
          <t>printed label</t>
        </is>
      </c>
      <c r="J628" s="5" t="inlineStr">
        <is>
          <t>LG-40x15</t>
        </is>
      </c>
      <c r="K628" s="5" t="n">
        <v>2186</v>
      </c>
      <c r="L628" s="5" t="n">
        <v>41</v>
      </c>
      <c r="M628" s="10">
        <f>IF(AND(ISNUMBER(K628),L628&gt;0),K628/L628,"")</f>
        <v/>
      </c>
      <c r="N628" s="5" t="n">
        <v>8.961</v>
      </c>
      <c r="O628" s="5" t="n">
        <v>97.7</v>
      </c>
      <c r="P628" s="5" t="n">
        <v>6</v>
      </c>
      <c r="Q628" s="5" t="n">
        <v>0</v>
      </c>
      <c r="R628" s="5" t="n">
        <v>0</v>
      </c>
      <c r="S628" s="5" t="n">
        <v>0</v>
      </c>
      <c r="T628" s="5" t="n">
        <v>3</v>
      </c>
      <c r="U628" s="5" t="n">
        <v>37</v>
      </c>
      <c r="V628" s="5" t="n">
        <v>6</v>
      </c>
      <c r="W628" s="5" t="n">
        <v>9.75</v>
      </c>
      <c r="X628" s="5" t="inlineStr"/>
      <c r="Y628" s="5" t="n">
        <v>2981.4</v>
      </c>
      <c r="Z628" s="5" t="n">
        <v>2938.4</v>
      </c>
      <c r="AA628" s="5" t="n">
        <v>3080.4</v>
      </c>
      <c r="AB628" s="5" t="n">
        <v>3579.4</v>
      </c>
      <c r="AC628" s="5" t="inlineStr"/>
      <c r="AD628" s="5">
        <f>IF(AC628="","",IF(OR(AC628=F628,AND(AC628="crane_footing",F628="isolated_footing")),"yes","no"))</f>
        <v/>
      </c>
    </row>
    <row r="629">
      <c r="A629" s="5" t="n">
        <v>628</v>
      </c>
      <c r="B629" s="5" t="inlineStr">
        <is>
          <t>126</t>
        </is>
      </c>
      <c r="C629" s="5" t="inlineStr">
        <is>
          <t>nearest labels in its region</t>
        </is>
      </c>
      <c r="D629" s="5" t="inlineStr">
        <is>
          <t>band</t>
        </is>
      </c>
      <c r="E629" s="5" t="n">
        <v>4</v>
      </c>
      <c r="F629" s="5" t="inlineStr">
        <is>
          <t>grade_beam</t>
        </is>
      </c>
      <c r="G629" s="5" t="inlineStr">
        <is>
          <t>label vote</t>
        </is>
      </c>
      <c r="H629" s="5" t="inlineStr">
        <is>
          <t>LG40x15</t>
        </is>
      </c>
      <c r="I629" s="5" t="inlineStr">
        <is>
          <t>printed label</t>
        </is>
      </c>
      <c r="J629" s="5" t="inlineStr">
        <is>
          <t>LG-40x15</t>
        </is>
      </c>
      <c r="K629" s="5" t="n">
        <v>2047</v>
      </c>
      <c r="L629" s="5" t="n">
        <v>41</v>
      </c>
      <c r="M629" s="10">
        <f>IF(AND(ISNUMBER(K629),L629&gt;0),K629/L629,"")</f>
        <v/>
      </c>
      <c r="N629" s="5" t="n">
        <v>8.393000000000001</v>
      </c>
      <c r="O629" s="5" t="n">
        <v>116.6</v>
      </c>
      <c r="P629" s="5" t="n">
        <v>4</v>
      </c>
      <c r="Q629" s="5" t="n">
        <v>0</v>
      </c>
      <c r="R629" s="5" t="n">
        <v>0</v>
      </c>
      <c r="S629" s="5" t="n">
        <v>0</v>
      </c>
      <c r="T629" s="5" t="n">
        <v>2</v>
      </c>
      <c r="U629" s="5" t="n">
        <v>13</v>
      </c>
      <c r="V629" s="5" t="n">
        <v>9</v>
      </c>
      <c r="W629" s="5" t="n">
        <v>9.960000000000001</v>
      </c>
      <c r="X629" s="5" t="inlineStr"/>
      <c r="Y629" s="5" t="n">
        <v>2414</v>
      </c>
      <c r="Z629" s="5" t="n">
        <v>2752.9</v>
      </c>
      <c r="AA629" s="5" t="n">
        <v>2695.8</v>
      </c>
      <c r="AB629" s="5" t="n">
        <v>3298.6</v>
      </c>
      <c r="AC629" s="5" t="inlineStr"/>
      <c r="AD629" s="5">
        <f>IF(AC629="","",IF(OR(AC629=F629,AND(AC629="crane_footing",F629="isolated_footing")),"yes","no"))</f>
        <v/>
      </c>
    </row>
    <row r="630">
      <c r="A630" s="5" t="n">
        <v>629</v>
      </c>
      <c r="B630" s="5" t="inlineStr">
        <is>
          <t>126</t>
        </is>
      </c>
      <c r="C630" s="5" t="inlineStr">
        <is>
          <t>nearest labels in its region</t>
        </is>
      </c>
      <c r="D630" s="5" t="inlineStr">
        <is>
          <t>band</t>
        </is>
      </c>
      <c r="E630" s="5" t="n">
        <v>4</v>
      </c>
      <c r="F630" s="5" t="inlineStr">
        <is>
          <t>grade_beam</t>
        </is>
      </c>
      <c r="G630" s="5" t="inlineStr">
        <is>
          <t>label vote</t>
        </is>
      </c>
      <c r="H630" s="5" t="inlineStr">
        <is>
          <t>LG40x15</t>
        </is>
      </c>
      <c r="I630" s="5" t="inlineStr">
        <is>
          <t>printed label</t>
        </is>
      </c>
      <c r="J630" s="5" t="inlineStr">
        <is>
          <t>LG-40x15</t>
        </is>
      </c>
      <c r="K630" s="5" t="n">
        <v>1868</v>
      </c>
      <c r="L630" s="5" t="n">
        <v>41</v>
      </c>
      <c r="M630" s="10">
        <f>IF(AND(ISNUMBER(K630),L630&gt;0),K630/L630,"")</f>
        <v/>
      </c>
      <c r="N630" s="5" t="n">
        <v>7.658</v>
      </c>
      <c r="O630" s="5" t="n">
        <v>26.6</v>
      </c>
      <c r="P630" s="5" t="n">
        <v>3</v>
      </c>
      <c r="Q630" s="5" t="n">
        <v>0</v>
      </c>
      <c r="R630" s="5" t="n">
        <v>0</v>
      </c>
      <c r="S630" s="5" t="n">
        <v>0</v>
      </c>
      <c r="T630" s="5" t="n">
        <v>0</v>
      </c>
      <c r="U630" s="5" t="n">
        <v>5</v>
      </c>
      <c r="V630" s="5" t="n">
        <v>8</v>
      </c>
      <c r="W630" s="5" t="n">
        <v>8.43</v>
      </c>
      <c r="X630" s="5" t="inlineStr"/>
      <c r="Y630" s="5" t="n">
        <v>2514.8</v>
      </c>
      <c r="Z630" s="5" t="n">
        <v>3098.2</v>
      </c>
      <c r="AA630" s="5" t="n">
        <v>3013.2</v>
      </c>
      <c r="AB630" s="5" t="n">
        <v>3356.3</v>
      </c>
      <c r="AC630" s="5" t="inlineStr"/>
      <c r="AD630" s="5">
        <f>IF(AC630="","",IF(OR(AC630=F630,AND(AC630="crane_footing",F630="isolated_footing")),"yes","no"))</f>
        <v/>
      </c>
    </row>
    <row r="631">
      <c r="A631" s="5" t="n">
        <v>630</v>
      </c>
      <c r="B631" s="5" t="inlineStr">
        <is>
          <t>126</t>
        </is>
      </c>
      <c r="C631" s="5" t="inlineStr">
        <is>
          <t>nearest labels in its region</t>
        </is>
      </c>
      <c r="D631" s="5" t="inlineStr">
        <is>
          <t>band</t>
        </is>
      </c>
      <c r="E631" s="5" t="n">
        <v>4</v>
      </c>
      <c r="F631" s="5" t="inlineStr">
        <is>
          <t>grade_beam</t>
        </is>
      </c>
      <c r="G631" s="5" t="inlineStr">
        <is>
          <t>label vote</t>
        </is>
      </c>
      <c r="H631" s="5" t="inlineStr">
        <is>
          <t>LG40x15</t>
        </is>
      </c>
      <c r="I631" s="5" t="inlineStr">
        <is>
          <t>printed label</t>
        </is>
      </c>
      <c r="J631" s="5" t="inlineStr">
        <is>
          <t>LG-40x15</t>
        </is>
      </c>
      <c r="K631" s="5" t="n">
        <v>1540</v>
      </c>
      <c r="L631" s="5" t="n">
        <v>41</v>
      </c>
      <c r="M631" s="10">
        <f>IF(AND(ISNUMBER(K631),L631&gt;0),K631/L631,"")</f>
        <v/>
      </c>
      <c r="N631" s="5" t="n">
        <v>6.315</v>
      </c>
      <c r="O631" s="5" t="n">
        <v>116.6</v>
      </c>
      <c r="P631" s="5" t="n">
        <v>2</v>
      </c>
      <c r="Q631" s="5" t="n">
        <v>0</v>
      </c>
      <c r="R631" s="5" t="n">
        <v>0</v>
      </c>
      <c r="S631" s="5" t="n">
        <v>0</v>
      </c>
      <c r="T631" s="5" t="n">
        <v>1</v>
      </c>
      <c r="U631" s="5" t="n">
        <v>29</v>
      </c>
      <c r="V631" s="5" t="n">
        <v>9</v>
      </c>
      <c r="W631" s="5" t="n">
        <v>8.74</v>
      </c>
      <c r="X631" s="5" t="inlineStr"/>
      <c r="Y631" s="5" t="n">
        <v>2578.2</v>
      </c>
      <c r="Z631" s="5" t="n">
        <v>2969.1</v>
      </c>
      <c r="AA631" s="5" t="n">
        <v>2792.9</v>
      </c>
      <c r="AB631" s="5" t="n">
        <v>3381</v>
      </c>
      <c r="AC631" s="5" t="inlineStr"/>
      <c r="AD631" s="5">
        <f>IF(AC631="","",IF(OR(AC631=F631,AND(AC631="crane_footing",F631="isolated_footing")),"yes","no"))</f>
        <v/>
      </c>
    </row>
    <row r="632">
      <c r="A632" s="5" t="n">
        <v>631</v>
      </c>
      <c r="B632" s="5" t="inlineStr">
        <is>
          <t>126</t>
        </is>
      </c>
      <c r="C632" s="5" t="inlineStr">
        <is>
          <t>nearest labels in its region</t>
        </is>
      </c>
      <c r="D632" s="5" t="inlineStr">
        <is>
          <t>band</t>
        </is>
      </c>
      <c r="E632" s="5" t="n">
        <v>4</v>
      </c>
      <c r="F632" s="5" t="inlineStr">
        <is>
          <t>grade_beam</t>
        </is>
      </c>
      <c r="G632" s="5" t="inlineStr">
        <is>
          <t>label vote</t>
        </is>
      </c>
      <c r="H632" s="5" t="inlineStr">
        <is>
          <t>LG40x15</t>
        </is>
      </c>
      <c r="I632" s="5" t="inlineStr">
        <is>
          <t>printed label</t>
        </is>
      </c>
      <c r="J632" s="5" t="inlineStr">
        <is>
          <t>LG-40x15</t>
        </is>
      </c>
      <c r="K632" s="5" t="n">
        <v>793</v>
      </c>
      <c r="L632" s="5" t="n">
        <v>41</v>
      </c>
      <c r="M632" s="10">
        <f>IF(AND(ISNUMBER(K632),L632&gt;0),K632/L632,"")</f>
        <v/>
      </c>
      <c r="N632" s="5" t="n">
        <v>3.25</v>
      </c>
      <c r="O632" s="5" t="n">
        <v>21.5</v>
      </c>
      <c r="P632" s="5" t="n">
        <v>2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38</v>
      </c>
      <c r="V632" s="5" t="n">
        <v>5</v>
      </c>
      <c r="W632" s="5" t="n">
        <v>5.61</v>
      </c>
      <c r="X632" s="5" t="inlineStr"/>
      <c r="Y632" s="5" t="n">
        <v>2829.9</v>
      </c>
      <c r="Z632" s="5" t="n">
        <v>2994.3</v>
      </c>
      <c r="AA632" s="5" t="n">
        <v>3052.2</v>
      </c>
      <c r="AB632" s="5" t="n">
        <v>3091.2</v>
      </c>
      <c r="AC632" s="5" t="inlineStr"/>
      <c r="AD632" s="5">
        <f>IF(AC632="","",IF(OR(AC632=F632,AND(AC632="crane_footing",F632="isolated_footing")),"yes","no"))</f>
        <v/>
      </c>
    </row>
    <row r="633">
      <c r="A633" s="5" t="n">
        <v>632</v>
      </c>
      <c r="B633" s="5" t="inlineStr">
        <is>
          <t>126</t>
        </is>
      </c>
      <c r="C633" s="5" t="inlineStr">
        <is>
          <t>nearest labels in its region</t>
        </is>
      </c>
      <c r="D633" s="5" t="inlineStr">
        <is>
          <t>band</t>
        </is>
      </c>
      <c r="E633" s="5" t="n">
        <v>4</v>
      </c>
      <c r="F633" s="5" t="inlineStr">
        <is>
          <t>grade_beam</t>
        </is>
      </c>
      <c r="G633" s="5" t="inlineStr">
        <is>
          <t>label vote</t>
        </is>
      </c>
      <c r="H633" s="5" t="inlineStr">
        <is>
          <t>LG40x15</t>
        </is>
      </c>
      <c r="I633" s="5" t="inlineStr">
        <is>
          <t>printed label</t>
        </is>
      </c>
      <c r="J633" s="5" t="inlineStr">
        <is>
          <t>LG-40x15</t>
        </is>
      </c>
      <c r="K633" s="5" t="n">
        <v>787</v>
      </c>
      <c r="L633" s="5" t="n">
        <v>41</v>
      </c>
      <c r="M633" s="10">
        <f>IF(AND(ISNUMBER(K633),L633&gt;0),K633/L633,"")</f>
        <v/>
      </c>
      <c r="N633" s="5" t="n">
        <v>3.227</v>
      </c>
      <c r="O633" s="5" t="n">
        <v>116.6</v>
      </c>
      <c r="P633" s="5" t="n">
        <v>1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18</v>
      </c>
      <c r="V633" s="5" t="n">
        <v>3</v>
      </c>
      <c r="W633" s="5" t="n">
        <v>5.65</v>
      </c>
      <c r="X633" s="5" t="inlineStr"/>
      <c r="Y633" s="5" t="n">
        <v>2840.6</v>
      </c>
      <c r="Z633" s="5" t="n">
        <v>3051.3</v>
      </c>
      <c r="AA633" s="5" t="n">
        <v>2955.6</v>
      </c>
      <c r="AB633" s="5" t="n">
        <v>3264.5</v>
      </c>
      <c r="AC633" s="5" t="inlineStr"/>
      <c r="AD633" s="5">
        <f>IF(AC633="","",IF(OR(AC633=F633,AND(AC633="crane_footing",F633="isolated_footing")),"yes","no"))</f>
        <v/>
      </c>
    </row>
    <row r="634">
      <c r="A634" s="5" t="n">
        <v>633</v>
      </c>
      <c r="B634" s="5" t="inlineStr">
        <is>
          <t>126</t>
        </is>
      </c>
      <c r="C634" s="5" t="inlineStr">
        <is>
          <t>nearest labels in its region</t>
        </is>
      </c>
      <c r="D634" s="5" t="inlineStr">
        <is>
          <t>band</t>
        </is>
      </c>
      <c r="E634" s="5" t="n">
        <v>4</v>
      </c>
      <c r="F634" s="5" t="inlineStr">
        <is>
          <t>grade_beam</t>
        </is>
      </c>
      <c r="G634" s="5" t="inlineStr">
        <is>
          <t>label vote</t>
        </is>
      </c>
      <c r="H634" s="5" t="inlineStr">
        <is>
          <t>LG40x15</t>
        </is>
      </c>
      <c r="I634" s="5" t="inlineStr">
        <is>
          <t>printed label</t>
        </is>
      </c>
      <c r="J634" s="5" t="inlineStr">
        <is>
          <t>LG-40x15</t>
        </is>
      </c>
      <c r="K634" s="5" t="n">
        <v>781</v>
      </c>
      <c r="L634" s="5" t="n">
        <v>41</v>
      </c>
      <c r="M634" s="10">
        <f>IF(AND(ISNUMBER(K634),L634&gt;0),K634/L634,"")</f>
        <v/>
      </c>
      <c r="N634" s="5" t="n">
        <v>3.201</v>
      </c>
      <c r="O634" s="5" t="n">
        <v>26.6</v>
      </c>
      <c r="P634" s="5" t="n">
        <v>2</v>
      </c>
      <c r="Q634" s="5" t="n">
        <v>0</v>
      </c>
      <c r="R634" s="5" t="n">
        <v>0</v>
      </c>
      <c r="S634" s="5" t="n">
        <v>0</v>
      </c>
      <c r="T634" s="5" t="n">
        <v>0</v>
      </c>
      <c r="U634" s="5" t="n">
        <v>4</v>
      </c>
      <c r="V634" s="5" t="n">
        <v>6</v>
      </c>
      <c r="W634" s="5" t="n">
        <v>6.1</v>
      </c>
      <c r="X634" s="5" t="inlineStr"/>
      <c r="Y634" s="5" t="n">
        <v>2624.6</v>
      </c>
      <c r="Z634" s="5" t="n">
        <v>2879.4</v>
      </c>
      <c r="AA634" s="5" t="n">
        <v>2836</v>
      </c>
      <c r="AB634" s="5" t="n">
        <v>2993.5</v>
      </c>
      <c r="AC634" s="5" t="inlineStr"/>
      <c r="AD634" s="5">
        <f>IF(AC634="","",IF(OR(AC634=F634,AND(AC634="crane_footing",F634="isolated_footing")),"yes","no"))</f>
        <v/>
      </c>
    </row>
    <row r="635">
      <c r="A635" s="5" t="n">
        <v>634</v>
      </c>
      <c r="B635" s="5" t="inlineStr">
        <is>
          <t>126</t>
        </is>
      </c>
      <c r="C635" s="5" t="inlineStr">
        <is>
          <t>nearest labels in its region</t>
        </is>
      </c>
      <c r="D635" s="5" t="inlineStr">
        <is>
          <t>band</t>
        </is>
      </c>
      <c r="E635" s="5" t="n">
        <v>4</v>
      </c>
      <c r="F635" s="5" t="inlineStr">
        <is>
          <t>grade_beam</t>
        </is>
      </c>
      <c r="G635" s="5" t="inlineStr">
        <is>
          <t>label vote</t>
        </is>
      </c>
      <c r="H635" s="5" t="inlineStr">
        <is>
          <t>LG40x15</t>
        </is>
      </c>
      <c r="I635" s="5" t="inlineStr">
        <is>
          <t>printed label</t>
        </is>
      </c>
      <c r="J635" s="5" t="inlineStr">
        <is>
          <t>LG-40x15</t>
        </is>
      </c>
      <c r="K635" s="5" t="n">
        <v>503</v>
      </c>
      <c r="L635" s="5" t="n">
        <v>41</v>
      </c>
      <c r="M635" s="10">
        <f>IF(AND(ISNUMBER(K635),L635&gt;0),K635/L635,"")</f>
        <v/>
      </c>
      <c r="N635" s="5" t="n">
        <v>2.064</v>
      </c>
      <c r="O635" s="5" t="n">
        <v>116.6</v>
      </c>
      <c r="P635" s="5" t="n">
        <v>1</v>
      </c>
      <c r="Q635" s="5" t="n">
        <v>0</v>
      </c>
      <c r="R635" s="5" t="n">
        <v>0</v>
      </c>
      <c r="S635" s="5" t="n">
        <v>0</v>
      </c>
      <c r="T635" s="5" t="n">
        <v>1</v>
      </c>
      <c r="U635" s="5" t="n">
        <v>5</v>
      </c>
      <c r="V635" s="5" t="n">
        <v>2</v>
      </c>
      <c r="W635" s="5" t="n">
        <v>3.2</v>
      </c>
      <c r="X635" s="5" t="inlineStr"/>
      <c r="Y635" s="5" t="n">
        <v>2825.7</v>
      </c>
      <c r="Z635" s="5" t="n">
        <v>2857</v>
      </c>
      <c r="AA635" s="5" t="n">
        <v>2903.1</v>
      </c>
      <c r="AB635" s="5" t="n">
        <v>2995.3</v>
      </c>
      <c r="AC635" s="5" t="inlineStr"/>
      <c r="AD635" s="5">
        <f>IF(AC635="","",IF(OR(AC635=F635,AND(AC635="crane_footing",F635="isolated_footing")),"yes","no"))</f>
        <v/>
      </c>
    </row>
    <row r="636">
      <c r="A636" s="5" t="n">
        <v>635</v>
      </c>
      <c r="B636" s="5" t="inlineStr">
        <is>
          <t>126</t>
        </is>
      </c>
      <c r="C636" s="5" t="inlineStr">
        <is>
          <t>nearest labels in its region</t>
        </is>
      </c>
      <c r="D636" s="5" t="inlineStr">
        <is>
          <t>band</t>
        </is>
      </c>
      <c r="E636" s="5" t="n">
        <v>2</v>
      </c>
      <c r="F636" s="5" t="inlineStr">
        <is>
          <t>grade_beam</t>
        </is>
      </c>
      <c r="G636" s="5" t="inlineStr">
        <is>
          <t>label vote</t>
        </is>
      </c>
      <c r="H636" s="5" t="inlineStr">
        <is>
          <t>(none)</t>
        </is>
      </c>
      <c r="I636" s="5" t="inlineStr"/>
      <c r="J636" s="5" t="inlineStr"/>
      <c r="K636" s="5" t="n">
        <v>190</v>
      </c>
      <c r="L636" s="5" t="n">
        <v>26</v>
      </c>
      <c r="M636" s="10">
        <f>IF(AND(ISNUMBER(K636),L636&gt;0),K636/L636,"")</f>
        <v/>
      </c>
      <c r="N636" s="5" t="n">
        <v>0.494</v>
      </c>
      <c r="O636" s="5" t="n">
        <v>116.6</v>
      </c>
      <c r="P636" s="5" t="n">
        <v>1</v>
      </c>
      <c r="Q636" s="5" t="n">
        <v>1</v>
      </c>
      <c r="R636" s="5" t="n">
        <v>0</v>
      </c>
      <c r="S636" s="5" t="n">
        <v>0</v>
      </c>
      <c r="T636" s="5" t="n">
        <v>0</v>
      </c>
      <c r="U636" s="5" t="n">
        <v>0</v>
      </c>
      <c r="V636" s="5" t="n">
        <v>3</v>
      </c>
      <c r="W636" s="5" t="n">
        <v>0</v>
      </c>
      <c r="X636" s="5" t="inlineStr"/>
      <c r="Y636" s="5" t="n">
        <v>2591.2</v>
      </c>
      <c r="Z636" s="5" t="n">
        <v>3339</v>
      </c>
      <c r="AA636" s="5" t="n">
        <v>2623.2</v>
      </c>
      <c r="AB636" s="5" t="n">
        <v>3392.6</v>
      </c>
      <c r="AC636" s="5" t="inlineStr"/>
      <c r="AD636" s="5">
        <f>IF(AC636="","",IF(OR(AC636=F636,AND(AC636="crane_footing",F636="isolated_footing")),"yes","no"))</f>
        <v/>
      </c>
    </row>
    <row r="637">
      <c r="A637" s="5" t="n">
        <v>636</v>
      </c>
      <c r="B637" s="5" t="inlineStr">
        <is>
          <t>126</t>
        </is>
      </c>
      <c r="C637" s="5" t="inlineStr">
        <is>
          <t>nearest labels in its region</t>
        </is>
      </c>
      <c r="D637" s="5" t="inlineStr">
        <is>
          <t>outline</t>
        </is>
      </c>
      <c r="E637" s="5" t="n">
        <v>24</v>
      </c>
      <c r="F637" s="5" t="inlineStr">
        <is>
          <t>unnamed</t>
        </is>
      </c>
      <c r="G637" s="5" t="inlineStr">
        <is>
          <t>no label votes</t>
        </is>
      </c>
      <c r="H637" s="5" t="inlineStr">
        <is>
          <t>(none)</t>
        </is>
      </c>
      <c r="I637" s="5" t="inlineStr"/>
      <c r="J637" s="5" t="inlineStr"/>
      <c r="K637" s="5" t="n">
        <v>60</v>
      </c>
      <c r="L637" s="5" t="n">
        <v>60</v>
      </c>
      <c r="M637" s="10">
        <f>IF(AND(ISNUMBER(K637),L637&gt;0),K637/L637,"")</f>
        <v/>
      </c>
      <c r="N637" s="5" t="n">
        <v>0.361</v>
      </c>
      <c r="O637" s="5" t="n">
        <v>21.4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52</v>
      </c>
      <c r="V637" s="5" t="n">
        <v>3</v>
      </c>
      <c r="W637" s="5" t="n"/>
      <c r="X637" s="5" t="inlineStr"/>
      <c r="Y637" s="5" t="n">
        <v>2939.2</v>
      </c>
      <c r="Z637" s="5" t="n">
        <v>3035.6</v>
      </c>
      <c r="AA637" s="5" t="n">
        <v>2962.3</v>
      </c>
      <c r="AB637" s="5" t="n">
        <v>3058.6</v>
      </c>
      <c r="AC637" s="5" t="inlineStr">
        <is>
          <t>mass_concrete_pad</t>
        </is>
      </c>
      <c r="AD637" s="5">
        <f>IF(AC637="","",IF(OR(AC637=F637,AND(AC637="crane_footing",F637="isolated_footing")),"yes","no"))</f>
        <v/>
      </c>
    </row>
    <row r="638">
      <c r="A638" s="5" t="n">
        <v>637</v>
      </c>
      <c r="B638" s="5" t="inlineStr">
        <is>
          <t>126</t>
        </is>
      </c>
      <c r="C638" s="5" t="inlineStr">
        <is>
          <t>nearest labels in its region</t>
        </is>
      </c>
      <c r="D638" s="5" t="inlineStr">
        <is>
          <t>band</t>
        </is>
      </c>
      <c r="E638" s="5" t="n">
        <v>0</v>
      </c>
      <c r="F638" s="5" t="inlineStr">
        <is>
          <t>unnamed</t>
        </is>
      </c>
      <c r="G638" s="5" t="inlineStr">
        <is>
          <t>no label votes</t>
        </is>
      </c>
      <c r="H638" s="5" t="inlineStr">
        <is>
          <t>(none)</t>
        </is>
      </c>
      <c r="I638" s="5" t="inlineStr"/>
      <c r="J638" s="5" t="inlineStr"/>
      <c r="K638" s="5" t="n">
        <v>60</v>
      </c>
      <c r="L638" s="5" t="n">
        <v>11</v>
      </c>
      <c r="M638" s="10">
        <f>IF(AND(ISNUMBER(K638),L638&gt;0),K638/L638,"")</f>
        <v/>
      </c>
      <c r="N638" s="5" t="n">
        <v>0.066</v>
      </c>
      <c r="O638" s="5" t="n">
        <v>21.5</v>
      </c>
      <c r="P638" s="5" t="n">
        <v>0</v>
      </c>
      <c r="Q638" s="5" t="n">
        <v>1</v>
      </c>
      <c r="R638" s="5" t="n">
        <v>0</v>
      </c>
      <c r="S638" s="5" t="n">
        <v>0</v>
      </c>
      <c r="T638" s="5" t="n">
        <v>0</v>
      </c>
      <c r="U638" s="5" t="n">
        <v>9</v>
      </c>
      <c r="V638" s="5" t="n">
        <v>2</v>
      </c>
      <c r="W638" s="5" t="n">
        <v>0</v>
      </c>
      <c r="X638" s="5" t="inlineStr"/>
      <c r="Y638" s="5" t="n">
        <v>2939.3</v>
      </c>
      <c r="Z638" s="5" t="n">
        <v>3049</v>
      </c>
      <c r="AA638" s="5" t="n">
        <v>2957</v>
      </c>
      <c r="AB638" s="5" t="n">
        <v>3058.5</v>
      </c>
      <c r="AC638" s="5" t="inlineStr"/>
      <c r="AD638" s="5">
        <f>IF(AC638="","",IF(OR(AC638=F638,AND(AC638="crane_footing",F638="isolated_footing")),"yes","no"))</f>
        <v/>
      </c>
    </row>
    <row r="639">
      <c r="A639" s="5" t="n">
        <v>638</v>
      </c>
      <c r="B639" s="5" t="inlineStr">
        <is>
          <t>126</t>
        </is>
      </c>
      <c r="C639" s="5" t="inlineStr">
        <is>
          <t>nearest labels in its region</t>
        </is>
      </c>
      <c r="D639" s="5" t="inlineStr">
        <is>
          <t>band</t>
        </is>
      </c>
      <c r="E639" s="5" t="n">
        <v>1</v>
      </c>
      <c r="F639" s="5" t="inlineStr">
        <is>
          <t>unnamed</t>
        </is>
      </c>
      <c r="G639" s="5" t="inlineStr">
        <is>
          <t>no label votes</t>
        </is>
      </c>
      <c r="H639" s="5" t="inlineStr">
        <is>
          <t>(none)</t>
        </is>
      </c>
      <c r="I639" s="5" t="inlineStr"/>
      <c r="J639" s="5" t="inlineStr"/>
      <c r="K639" s="5" t="n">
        <v>194</v>
      </c>
      <c r="L639" s="5" t="n">
        <v>20</v>
      </c>
      <c r="M639" s="10">
        <f>IF(AND(ISNUMBER(K639),L639&gt;0),K639/L639,"")</f>
        <v/>
      </c>
      <c r="N639" s="5" t="n">
        <v>0.387</v>
      </c>
      <c r="O639" s="5" t="n">
        <v>116.6</v>
      </c>
      <c r="P639" s="5" t="n">
        <v>1</v>
      </c>
      <c r="Q639" s="5" t="n">
        <v>1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3</v>
      </c>
      <c r="W639" s="5" t="n">
        <v>0.28</v>
      </c>
      <c r="X639" s="5" t="inlineStr"/>
      <c r="Y639" s="5" t="n">
        <v>2588.9</v>
      </c>
      <c r="Z639" s="5" t="n">
        <v>3329.8</v>
      </c>
      <c r="AA639" s="5" t="n">
        <v>2619.8</v>
      </c>
      <c r="AB639" s="5" t="n">
        <v>3383.6</v>
      </c>
      <c r="AC639" s="5" t="inlineStr"/>
      <c r="AD639" s="5">
        <f>IF(AC639="","",IF(OR(AC639=F639,AND(AC639="crane_footing",F639="isolated_footing")),"yes","no"))</f>
        <v/>
      </c>
    </row>
    <row r="640">
      <c r="A640" s="5" t="n">
        <v>639</v>
      </c>
      <c r="B640" s="5" t="inlineStr">
        <is>
          <t>127</t>
        </is>
      </c>
      <c r="C640" s="5" t="inlineStr">
        <is>
          <t>own label</t>
        </is>
      </c>
      <c r="D640" s="5" t="inlineStr">
        <is>
          <t>solid</t>
        </is>
      </c>
      <c r="E640" s="5" t="n">
        <v>31</v>
      </c>
      <c r="F640" s="5" t="inlineStr">
        <is>
          <t>column</t>
        </is>
      </c>
      <c r="G640" s="5" t="inlineStr">
        <is>
          <t>label vote</t>
        </is>
      </c>
      <c r="H640" s="5" t="inlineStr">
        <is>
          <t>P1/127</t>
        </is>
      </c>
      <c r="I640" s="5" t="inlineStr">
        <is>
          <t>printed label</t>
        </is>
      </c>
      <c r="J640" s="5" t="inlineStr">
        <is>
          <t>P1/127/127</t>
        </is>
      </c>
      <c r="K640" s="5" t="n">
        <v>100</v>
      </c>
      <c r="L640" s="5" t="n">
        <v>25</v>
      </c>
      <c r="M640" s="10">
        <f>IF(AND(ISNUMBER(K640),L640&gt;0),K640/L640,"")</f>
        <v/>
      </c>
      <c r="N640" s="5" t="n">
        <v>0.251</v>
      </c>
      <c r="O640" s="5" t="n">
        <v>116.7</v>
      </c>
      <c r="P640" s="5" t="n">
        <v>0</v>
      </c>
      <c r="Q640" s="5" t="n">
        <v>1</v>
      </c>
      <c r="R640" s="5" t="n">
        <v>0</v>
      </c>
      <c r="S640" s="5" t="n">
        <v>0</v>
      </c>
      <c r="T640" s="5" t="n">
        <v>0</v>
      </c>
      <c r="U640" s="5" t="n">
        <v>1</v>
      </c>
      <c r="V640" s="5" t="n">
        <v>3</v>
      </c>
      <c r="W640" s="5" t="n"/>
      <c r="X640" s="5" t="inlineStr"/>
      <c r="Y640" s="5" t="n">
        <v>2286.8</v>
      </c>
      <c r="Z640" s="5" t="n">
        <v>3044.9</v>
      </c>
      <c r="AA640" s="5" t="n">
        <v>2306.7</v>
      </c>
      <c r="AB640" s="5" t="n">
        <v>3074.6</v>
      </c>
      <c r="AC640" s="5" t="inlineStr">
        <is>
          <t>column</t>
        </is>
      </c>
      <c r="AD640" s="5">
        <f>IF(AC640="","",IF(OR(AC640=F640,AND(AC640="crane_footing",F640="isolated_footing")),"yes","no"))</f>
        <v/>
      </c>
    </row>
    <row r="641">
      <c r="A641" s="5" t="n">
        <v>640</v>
      </c>
      <c r="B641" s="5" t="inlineStr">
        <is>
          <t>127</t>
        </is>
      </c>
      <c r="C641" s="5" t="inlineStr">
        <is>
          <t>own label</t>
        </is>
      </c>
      <c r="D641" s="5" t="inlineStr">
        <is>
          <t>solid</t>
        </is>
      </c>
      <c r="E641" s="5" t="n">
        <v>31</v>
      </c>
      <c r="F641" s="5" t="inlineStr">
        <is>
          <t>column</t>
        </is>
      </c>
      <c r="G641" s="5" t="inlineStr">
        <is>
          <t>label vote</t>
        </is>
      </c>
      <c r="H641" s="5" t="inlineStr">
        <is>
          <t>P1/127</t>
        </is>
      </c>
      <c r="I641" s="5" t="inlineStr">
        <is>
          <t>printed label</t>
        </is>
      </c>
      <c r="J641" s="5" t="inlineStr">
        <is>
          <t>P1/127/127</t>
        </is>
      </c>
      <c r="K641" s="5" t="n">
        <v>100</v>
      </c>
      <c r="L641" s="5" t="n">
        <v>25</v>
      </c>
      <c r="M641" s="10">
        <f>IF(AND(ISNUMBER(K641),L641&gt;0),K641/L641,"")</f>
        <v/>
      </c>
      <c r="N641" s="5" t="n">
        <v>0.25</v>
      </c>
      <c r="O641" s="5" t="n">
        <v>116.6</v>
      </c>
      <c r="P641" s="5" t="n">
        <v>0</v>
      </c>
      <c r="Q641" s="5" t="n">
        <v>0</v>
      </c>
      <c r="R641" s="5" t="n">
        <v>0</v>
      </c>
      <c r="S641" s="5" t="n">
        <v>1</v>
      </c>
      <c r="T641" s="5" t="n">
        <v>0</v>
      </c>
      <c r="U641" s="5" t="n">
        <v>5</v>
      </c>
      <c r="V641" s="5" t="n">
        <v>4</v>
      </c>
      <c r="W641" s="5" t="n"/>
      <c r="X641" s="5" t="inlineStr"/>
      <c r="Y641" s="5" t="n">
        <v>2239.9</v>
      </c>
      <c r="Z641" s="5" t="n">
        <v>3138.6</v>
      </c>
      <c r="AA641" s="5" t="n">
        <v>2259.7</v>
      </c>
      <c r="AB641" s="5" t="n">
        <v>3168.4</v>
      </c>
      <c r="AC641" s="5" t="inlineStr">
        <is>
          <t>column</t>
        </is>
      </c>
      <c r="AD641" s="5">
        <f>IF(AC641="","",IF(OR(AC641=F641,AND(AC641="crane_footing",F641="isolated_footing")),"yes","no"))</f>
        <v/>
      </c>
    </row>
    <row r="642">
      <c r="A642" s="5" t="n">
        <v>641</v>
      </c>
      <c r="B642" s="5" t="inlineStr">
        <is>
          <t>127</t>
        </is>
      </c>
      <c r="C642" s="5" t="inlineStr">
        <is>
          <t>own label</t>
        </is>
      </c>
      <c r="D642" s="5" t="inlineStr">
        <is>
          <t>solid</t>
        </is>
      </c>
      <c r="E642" s="5" t="n">
        <v>31</v>
      </c>
      <c r="F642" s="5" t="inlineStr">
        <is>
          <t>column</t>
        </is>
      </c>
      <c r="G642" s="5" t="inlineStr">
        <is>
          <t>label vote</t>
        </is>
      </c>
      <c r="H642" s="5" t="inlineStr">
        <is>
          <t>P1/127</t>
        </is>
      </c>
      <c r="I642" s="5" t="inlineStr">
        <is>
          <t>printed label</t>
        </is>
      </c>
      <c r="J642" s="5" t="inlineStr">
        <is>
          <t>P1/127/127</t>
        </is>
      </c>
      <c r="K642" s="5" t="n">
        <v>100</v>
      </c>
      <c r="L642" s="5" t="n">
        <v>25</v>
      </c>
      <c r="M642" s="10">
        <f>IF(AND(ISNUMBER(K642),L642&gt;0),K642/L642,"")</f>
        <v/>
      </c>
      <c r="N642" s="5" t="n">
        <v>0.249</v>
      </c>
      <c r="O642" s="5" t="n">
        <v>116.6</v>
      </c>
      <c r="P642" s="5" t="n">
        <v>0</v>
      </c>
      <c r="Q642" s="5" t="n">
        <v>0</v>
      </c>
      <c r="R642" s="5" t="n">
        <v>0</v>
      </c>
      <c r="S642" s="5" t="n">
        <v>1</v>
      </c>
      <c r="T642" s="5" t="n">
        <v>0</v>
      </c>
      <c r="U642" s="5" t="n">
        <v>4</v>
      </c>
      <c r="V642" s="5" t="n">
        <v>4</v>
      </c>
      <c r="W642" s="5" t="n"/>
      <c r="X642" s="5" t="inlineStr"/>
      <c r="Y642" s="5" t="n">
        <v>2162</v>
      </c>
      <c r="Z642" s="5" t="n">
        <v>3099.6</v>
      </c>
      <c r="AA642" s="5" t="n">
        <v>2181.8</v>
      </c>
      <c r="AB642" s="5" t="n">
        <v>3129.3</v>
      </c>
      <c r="AC642" s="5" t="inlineStr">
        <is>
          <t>column</t>
        </is>
      </c>
      <c r="AD642" s="5">
        <f>IF(AC642="","",IF(OR(AC642=F642,AND(AC642="crane_footing",F642="isolated_footing")),"yes","no"))</f>
        <v/>
      </c>
    </row>
    <row r="643">
      <c r="A643" s="5" t="n">
        <v>642</v>
      </c>
      <c r="B643" s="5" t="inlineStr">
        <is>
          <t>127</t>
        </is>
      </c>
      <c r="C643" s="5" t="inlineStr">
        <is>
          <t>region between joints</t>
        </is>
      </c>
      <c r="D643" s="5" t="inlineStr">
        <is>
          <t>solid</t>
        </is>
      </c>
      <c r="E643" s="5" t="n">
        <v>32</v>
      </c>
      <c r="F643" s="5" t="inlineStr">
        <is>
          <t>shear_wall</t>
        </is>
      </c>
      <c r="G643" s="5" t="inlineStr">
        <is>
          <t>label vote</t>
        </is>
      </c>
      <c r="H643" s="5" t="inlineStr">
        <is>
          <t>(none)</t>
        </is>
      </c>
      <c r="I643" s="5" t="inlineStr">
        <is>
          <t>no shear_wall type in its building has this size</t>
        </is>
      </c>
      <c r="J643" s="5" t="inlineStr"/>
      <c r="K643" s="5" t="n">
        <v>475</v>
      </c>
      <c r="L643" s="5" t="n">
        <v>25</v>
      </c>
      <c r="M643" s="10">
        <f>IF(AND(ISNUMBER(K643),L643&gt;0),K643/L643,"")</f>
        <v/>
      </c>
      <c r="N643" s="5" t="n">
        <v>1.192</v>
      </c>
      <c r="O643" s="5" t="n">
        <v>116.6</v>
      </c>
      <c r="P643" s="5" t="n">
        <v>1</v>
      </c>
      <c r="Q643" s="5" t="n">
        <v>0</v>
      </c>
      <c r="R643" s="5" t="n">
        <v>0</v>
      </c>
      <c r="S643" s="5" t="n">
        <v>1</v>
      </c>
      <c r="T643" s="5" t="n">
        <v>0</v>
      </c>
      <c r="U643" s="5" t="n">
        <v>6</v>
      </c>
      <c r="V643" s="5" t="n">
        <v>1</v>
      </c>
      <c r="W643" s="5" t="n"/>
      <c r="X643" s="5" t="inlineStr"/>
      <c r="Y643" s="5" t="n">
        <v>2109.7</v>
      </c>
      <c r="Z643" s="5" t="n">
        <v>3299</v>
      </c>
      <c r="AA643" s="5" t="n">
        <v>2179.2</v>
      </c>
      <c r="AB643" s="5" t="n">
        <v>3427.7</v>
      </c>
      <c r="AC643" s="5" t="inlineStr"/>
      <c r="AD643" s="5">
        <f>IF(AC643="","",IF(OR(AC643=F643,AND(AC643="crane_footing",F643="isolated_footing")),"yes","no"))</f>
        <v/>
      </c>
    </row>
    <row r="644">
      <c r="A644" s="5" t="n">
        <v>643</v>
      </c>
      <c r="B644" s="5" t="inlineStr">
        <is>
          <t>127</t>
        </is>
      </c>
      <c r="C644" s="5" t="inlineStr">
        <is>
          <t>region between joints</t>
        </is>
      </c>
      <c r="D644" s="5" t="inlineStr">
        <is>
          <t>solid</t>
        </is>
      </c>
      <c r="E644" s="5" t="n">
        <v>32</v>
      </c>
      <c r="F644" s="5" t="inlineStr">
        <is>
          <t>shear_wall</t>
        </is>
      </c>
      <c r="G644" s="5" t="inlineStr">
        <is>
          <t>label vote</t>
        </is>
      </c>
      <c r="H644" s="5" t="inlineStr">
        <is>
          <t>(none)</t>
        </is>
      </c>
      <c r="I644" s="5" t="inlineStr">
        <is>
          <t>no shear_wall type in its building has this size</t>
        </is>
      </c>
      <c r="J644" s="5" t="inlineStr"/>
      <c r="K644" s="5" t="n">
        <v>175</v>
      </c>
      <c r="L644" s="5" t="n">
        <v>25</v>
      </c>
      <c r="M644" s="10">
        <f>IF(AND(ISNUMBER(K644),L644&gt;0),K644/L644,"")</f>
        <v/>
      </c>
      <c r="N644" s="5" t="n">
        <v>0.437</v>
      </c>
      <c r="O644" s="5" t="n">
        <v>26.7</v>
      </c>
      <c r="P644" s="5" t="n">
        <v>1</v>
      </c>
      <c r="Q644" s="5" t="n">
        <v>0</v>
      </c>
      <c r="R644" s="5" t="n">
        <v>0</v>
      </c>
      <c r="S644" s="5" t="n">
        <v>1</v>
      </c>
      <c r="T644" s="5" t="n">
        <v>0</v>
      </c>
      <c r="U644" s="5" t="n">
        <v>1</v>
      </c>
      <c r="V644" s="5" t="n">
        <v>0</v>
      </c>
      <c r="W644" s="5" t="n"/>
      <c r="X644" s="5" t="inlineStr"/>
      <c r="Y644" s="5" t="n">
        <v>2031.9</v>
      </c>
      <c r="Z644" s="5" t="n">
        <v>3378.7</v>
      </c>
      <c r="AA644" s="5" t="n">
        <v>2081.4</v>
      </c>
      <c r="AB644" s="5" t="n">
        <v>3408.5</v>
      </c>
      <c r="AC644" s="5" t="inlineStr"/>
      <c r="AD644" s="5">
        <f>IF(AC644="","",IF(OR(AC644=F644,AND(AC644="crane_footing",F644="isolated_footing")),"yes","no"))</f>
        <v/>
      </c>
    </row>
    <row r="645">
      <c r="A645" s="5" t="n">
        <v>644</v>
      </c>
      <c r="B645" s="5" t="inlineStr">
        <is>
          <t>127</t>
        </is>
      </c>
      <c r="C645" s="5" t="inlineStr">
        <is>
          <t>region between joints</t>
        </is>
      </c>
      <c r="D645" s="5" t="inlineStr">
        <is>
          <t>solid</t>
        </is>
      </c>
      <c r="E645" s="5" t="n">
        <v>32</v>
      </c>
      <c r="F645" s="5" t="inlineStr">
        <is>
          <t>shear_wall</t>
        </is>
      </c>
      <c r="G645" s="5" t="inlineStr">
        <is>
          <t>label vote</t>
        </is>
      </c>
      <c r="H645" s="5" t="inlineStr">
        <is>
          <t>(none)</t>
        </is>
      </c>
      <c r="I645" s="5" t="inlineStr">
        <is>
          <t>no shear_wall type in its building has this size</t>
        </is>
      </c>
      <c r="J645" s="5" t="inlineStr"/>
      <c r="K645" s="5" t="n">
        <v>336</v>
      </c>
      <c r="L645" s="5" t="n">
        <v>25</v>
      </c>
      <c r="M645" s="10">
        <f>IF(AND(ISNUMBER(K645),L645&gt;0),K645/L645,"")</f>
        <v/>
      </c>
      <c r="N645" s="5" t="n">
        <v>0.842</v>
      </c>
      <c r="O645" s="5" t="n">
        <v>116.6</v>
      </c>
      <c r="P645" s="5" t="n">
        <v>1</v>
      </c>
      <c r="Q645" s="5" t="n">
        <v>0</v>
      </c>
      <c r="R645" s="5" t="n">
        <v>0</v>
      </c>
      <c r="S645" s="5" t="n">
        <v>1</v>
      </c>
      <c r="T645" s="5" t="n">
        <v>0</v>
      </c>
      <c r="U645" s="5" t="n">
        <v>3</v>
      </c>
      <c r="V645" s="5" t="n">
        <v>2</v>
      </c>
      <c r="W645" s="5" t="n"/>
      <c r="X645" s="5" t="inlineStr"/>
      <c r="Y645" s="5" t="n">
        <v>2183.9</v>
      </c>
      <c r="Z645" s="5" t="n">
        <v>3207.6</v>
      </c>
      <c r="AA645" s="5" t="n">
        <v>2235</v>
      </c>
      <c r="AB645" s="5" t="n">
        <v>3299.6</v>
      </c>
      <c r="AC645" s="5" t="inlineStr"/>
      <c r="AD645" s="5">
        <f>IF(AC645="","",IF(OR(AC645=F645,AND(AC645="crane_footing",F645="isolated_footing")),"yes","no"))</f>
        <v/>
      </c>
    </row>
    <row r="646">
      <c r="A646" s="5" t="n">
        <v>645</v>
      </c>
      <c r="B646" s="5" t="inlineStr">
        <is>
          <t>127</t>
        </is>
      </c>
      <c r="C646" s="5" t="inlineStr">
        <is>
          <t>region between joints</t>
        </is>
      </c>
      <c r="D646" s="5" t="inlineStr">
        <is>
          <t>solid</t>
        </is>
      </c>
      <c r="E646" s="5" t="n">
        <v>32</v>
      </c>
      <c r="F646" s="5" t="inlineStr">
        <is>
          <t>shear_wall</t>
        </is>
      </c>
      <c r="G646" s="5" t="inlineStr">
        <is>
          <t>label vote</t>
        </is>
      </c>
      <c r="H646" s="5" t="inlineStr">
        <is>
          <t>(none)</t>
        </is>
      </c>
      <c r="I646" s="5" t="inlineStr">
        <is>
          <t>no shear_wall type in its building has this size</t>
        </is>
      </c>
      <c r="J646" s="5" t="inlineStr"/>
      <c r="K646" s="5" t="n">
        <v>175</v>
      </c>
      <c r="L646" s="5" t="n">
        <v>25</v>
      </c>
      <c r="M646" s="10">
        <f>IF(AND(ISNUMBER(K646),L646&gt;0),K646/L646,"")</f>
        <v/>
      </c>
      <c r="N646" s="5" t="n">
        <v>0.444</v>
      </c>
      <c r="O646" s="5" t="n">
        <v>26.6</v>
      </c>
      <c r="P646" s="5" t="n">
        <v>1</v>
      </c>
      <c r="Q646" s="5" t="n">
        <v>0</v>
      </c>
      <c r="R646" s="5" t="n">
        <v>0</v>
      </c>
      <c r="S646" s="5" t="n">
        <v>1</v>
      </c>
      <c r="T646" s="5" t="n">
        <v>0</v>
      </c>
      <c r="U646" s="5" t="n">
        <v>2</v>
      </c>
      <c r="V646" s="5" t="n">
        <v>3</v>
      </c>
      <c r="W646" s="5" t="n"/>
      <c r="X646" s="5" t="inlineStr"/>
      <c r="Y646" s="5" t="n">
        <v>2182.3</v>
      </c>
      <c r="Z646" s="5" t="n">
        <v>3177.6</v>
      </c>
      <c r="AA646" s="5" t="n">
        <v>2231.8</v>
      </c>
      <c r="AB646" s="5" t="n">
        <v>3207.4</v>
      </c>
      <c r="AC646" s="5" t="inlineStr"/>
      <c r="AD646" s="5">
        <f>IF(AC646="","",IF(OR(AC646=F646,AND(AC646="crane_footing",F646="isolated_footing")),"yes","no"))</f>
        <v/>
      </c>
    </row>
    <row r="647">
      <c r="A647" s="5" t="n">
        <v>646</v>
      </c>
      <c r="B647" s="5" t="inlineStr">
        <is>
          <t>127</t>
        </is>
      </c>
      <c r="C647" s="5" t="inlineStr">
        <is>
          <t>region between joints</t>
        </is>
      </c>
      <c r="D647" s="5" t="inlineStr">
        <is>
          <t>solid</t>
        </is>
      </c>
      <c r="E647" s="5" t="n">
        <v>32</v>
      </c>
      <c r="F647" s="5" t="inlineStr">
        <is>
          <t>shear_wall</t>
        </is>
      </c>
      <c r="G647" s="5" t="inlineStr">
        <is>
          <t>label vote</t>
        </is>
      </c>
      <c r="H647" s="5" t="inlineStr">
        <is>
          <t>(none)</t>
        </is>
      </c>
      <c r="I647" s="5" t="inlineStr">
        <is>
          <t>no shear_wall type in its building has this size</t>
        </is>
      </c>
      <c r="J647" s="5" t="inlineStr"/>
      <c r="K647" s="5" t="n">
        <v>159</v>
      </c>
      <c r="L647" s="5" t="n">
        <v>26</v>
      </c>
      <c r="M647" s="10">
        <f>IF(AND(ISNUMBER(K647),L647&gt;0),K647/L647,"")</f>
        <v/>
      </c>
      <c r="N647" s="5" t="n">
        <v>0.407</v>
      </c>
      <c r="O647" s="5" t="n">
        <v>26.5</v>
      </c>
      <c r="P647" s="5" t="n">
        <v>1</v>
      </c>
      <c r="Q647" s="5" t="n">
        <v>0</v>
      </c>
      <c r="R647" s="5" t="n">
        <v>0</v>
      </c>
      <c r="S647" s="5" t="n">
        <v>1</v>
      </c>
      <c r="T647" s="5" t="n">
        <v>0</v>
      </c>
      <c r="U647" s="5" t="n">
        <v>1</v>
      </c>
      <c r="V647" s="5" t="n">
        <v>2</v>
      </c>
      <c r="W647" s="5" t="n"/>
      <c r="X647" s="5" t="inlineStr"/>
      <c r="Y647" s="5" t="n">
        <v>2130.5</v>
      </c>
      <c r="Z647" s="5" t="n">
        <v>3271.4</v>
      </c>
      <c r="AA647" s="5" t="n">
        <v>2176</v>
      </c>
      <c r="AB647" s="5" t="n">
        <v>3299.1</v>
      </c>
      <c r="AC647" s="5" t="inlineStr"/>
      <c r="AD647" s="5">
        <f>IF(AC647="","",IF(OR(AC647=F647,AND(AC647="crane_footing",F647="isolated_footing")),"yes","no"))</f>
        <v/>
      </c>
    </row>
    <row r="648">
      <c r="A648" s="5" t="n">
        <v>647</v>
      </c>
      <c r="B648" s="5" t="inlineStr">
        <is>
          <t>127</t>
        </is>
      </c>
      <c r="C648" s="5" t="inlineStr">
        <is>
          <t>region between joints</t>
        </is>
      </c>
      <c r="D648" s="5" t="inlineStr">
        <is>
          <t>solid</t>
        </is>
      </c>
      <c r="E648" s="5" t="n">
        <v>32</v>
      </c>
      <c r="F648" s="5" t="inlineStr">
        <is>
          <t>shear_wall</t>
        </is>
      </c>
      <c r="G648" s="5" t="inlineStr">
        <is>
          <t>label vote</t>
        </is>
      </c>
      <c r="H648" s="5" t="inlineStr">
        <is>
          <t>(none)</t>
        </is>
      </c>
      <c r="I648" s="5" t="inlineStr">
        <is>
          <t>no shear_wall type in its building has this size</t>
        </is>
      </c>
      <c r="J648" s="5" t="inlineStr"/>
      <c r="K648" s="5" t="n">
        <v>475</v>
      </c>
      <c r="L648" s="5" t="n">
        <v>25</v>
      </c>
      <c r="M648" s="10">
        <f>IF(AND(ISNUMBER(K648),L648&gt;0),K648/L648,"")</f>
        <v/>
      </c>
      <c r="N648" s="5" t="n">
        <v>1.195</v>
      </c>
      <c r="O648" s="5" t="n">
        <v>116.6</v>
      </c>
      <c r="P648" s="5" t="n">
        <v>1</v>
      </c>
      <c r="Q648" s="5" t="n">
        <v>0</v>
      </c>
      <c r="R648" s="5" t="n">
        <v>0</v>
      </c>
      <c r="S648" s="5" t="n">
        <v>1</v>
      </c>
      <c r="T648" s="5" t="n">
        <v>0</v>
      </c>
      <c r="U648" s="5" t="n">
        <v>4</v>
      </c>
      <c r="V648" s="5" t="n">
        <v>1</v>
      </c>
      <c r="W648" s="5" t="n"/>
      <c r="X648" s="5" t="inlineStr"/>
      <c r="Y648" s="5" t="n">
        <v>2035.3</v>
      </c>
      <c r="Z648" s="5" t="n">
        <v>3253.3</v>
      </c>
      <c r="AA648" s="5" t="n">
        <v>2104.7</v>
      </c>
      <c r="AB648" s="5" t="n">
        <v>3382</v>
      </c>
      <c r="AC648" s="5" t="inlineStr"/>
      <c r="AD648" s="5">
        <f>IF(AC648="","",IF(OR(AC648=F648,AND(AC648="crane_footing",F648="isolated_footing")),"yes","no"))</f>
        <v/>
      </c>
    </row>
    <row r="649">
      <c r="A649" s="5" t="n">
        <v>648</v>
      </c>
      <c r="B649" s="5" t="inlineStr">
        <is>
          <t>127</t>
        </is>
      </c>
      <c r="C649" s="5" t="inlineStr">
        <is>
          <t>own label</t>
        </is>
      </c>
      <c r="D649" s="5" t="inlineStr">
        <is>
          <t>solid</t>
        </is>
      </c>
      <c r="E649" s="5" t="n">
        <v>32</v>
      </c>
      <c r="F649" s="5" t="inlineStr">
        <is>
          <t>shear_wall</t>
        </is>
      </c>
      <c r="G649" s="5" t="inlineStr">
        <is>
          <t>label vote</t>
        </is>
      </c>
      <c r="H649" s="5" t="inlineStr">
        <is>
          <t>V1/127</t>
        </is>
      </c>
      <c r="I649" s="5" t="inlineStr">
        <is>
          <t>printed label</t>
        </is>
      </c>
      <c r="J649" s="5" t="inlineStr">
        <is>
          <t>V1/127/127</t>
        </is>
      </c>
      <c r="K649" s="5" t="n">
        <v>125</v>
      </c>
      <c r="L649" s="5" t="n">
        <v>25</v>
      </c>
      <c r="M649" s="10">
        <f>IF(AND(ISNUMBER(K649),L649&gt;0),K649/L649,"")</f>
        <v/>
      </c>
      <c r="N649" s="5" t="n">
        <v>0.311</v>
      </c>
      <c r="O649" s="5" t="n">
        <v>116.7</v>
      </c>
      <c r="P649" s="5" t="n">
        <v>1</v>
      </c>
      <c r="Q649" s="5" t="n">
        <v>1</v>
      </c>
      <c r="R649" s="5" t="n">
        <v>0</v>
      </c>
      <c r="S649" s="5" t="n">
        <v>0</v>
      </c>
      <c r="T649" s="5" t="n">
        <v>0</v>
      </c>
      <c r="U649" s="5" t="n">
        <v>1</v>
      </c>
      <c r="V649" s="5" t="n">
        <v>2</v>
      </c>
      <c r="W649" s="5" t="n"/>
      <c r="X649" s="5" t="inlineStr"/>
      <c r="Y649" s="5" t="n">
        <v>1735.6</v>
      </c>
      <c r="Z649" s="5" t="n">
        <v>2951.9</v>
      </c>
      <c r="AA649" s="5" t="n">
        <v>1758.7</v>
      </c>
      <c r="AB649" s="5" t="n">
        <v>2988.1</v>
      </c>
      <c r="AC649" s="5" t="inlineStr"/>
      <c r="AD649" s="5">
        <f>IF(AC649="","",IF(OR(AC649=F649,AND(AC649="crane_footing",F649="isolated_footing")),"yes","no"))</f>
        <v/>
      </c>
    </row>
    <row r="650">
      <c r="A650" s="5" t="n">
        <v>649</v>
      </c>
      <c r="B650" s="5" t="inlineStr">
        <is>
          <t>127</t>
        </is>
      </c>
      <c r="C650" s="5" t="inlineStr">
        <is>
          <t>own label</t>
        </is>
      </c>
      <c r="D650" s="5" t="inlineStr">
        <is>
          <t>solid</t>
        </is>
      </c>
      <c r="E650" s="5" t="n">
        <v>32</v>
      </c>
      <c r="F650" s="5" t="inlineStr">
        <is>
          <t>shear_wall</t>
        </is>
      </c>
      <c r="G650" s="5" t="inlineStr">
        <is>
          <t>label vote</t>
        </is>
      </c>
      <c r="H650" s="5" t="inlineStr">
        <is>
          <t>V1/127</t>
        </is>
      </c>
      <c r="I650" s="5" t="inlineStr">
        <is>
          <t>printed label</t>
        </is>
      </c>
      <c r="J650" s="5" t="inlineStr">
        <is>
          <t>V1/127/127</t>
        </is>
      </c>
      <c r="K650" s="5" t="n">
        <v>125</v>
      </c>
      <c r="L650" s="5" t="n">
        <v>25</v>
      </c>
      <c r="M650" s="10">
        <f>IF(AND(ISNUMBER(K650),L650&gt;0),K650/L650,"")</f>
        <v/>
      </c>
      <c r="N650" s="5" t="n">
        <v>0.308</v>
      </c>
      <c r="O650" s="5" t="n">
        <v>116.6</v>
      </c>
      <c r="P650" s="5" t="n">
        <v>1</v>
      </c>
      <c r="Q650" s="5" t="n">
        <v>1</v>
      </c>
      <c r="R650" s="5" t="n">
        <v>0</v>
      </c>
      <c r="S650" s="5" t="n">
        <v>0</v>
      </c>
      <c r="T650" s="5" t="n">
        <v>0</v>
      </c>
      <c r="U650" s="5" t="n">
        <v>1</v>
      </c>
      <c r="V650" s="5" t="n">
        <v>2</v>
      </c>
      <c r="W650" s="5" t="n"/>
      <c r="X650" s="5" t="inlineStr"/>
      <c r="Y650" s="5" t="n">
        <v>2390.2</v>
      </c>
      <c r="Z650" s="5" t="n">
        <v>3285.2</v>
      </c>
      <c r="AA650" s="5" t="n">
        <v>2413.2</v>
      </c>
      <c r="AB650" s="5" t="n">
        <v>3321.4</v>
      </c>
      <c r="AC650" s="5" t="inlineStr"/>
      <c r="AD650" s="5">
        <f>IF(AC650="","",IF(OR(AC650=F650,AND(AC650="crane_footing",F650="isolated_footing")),"yes","no"))</f>
        <v/>
      </c>
    </row>
    <row r="651">
      <c r="A651" s="5" t="n">
        <v>650</v>
      </c>
      <c r="B651" s="5" t="inlineStr">
        <is>
          <t>127</t>
        </is>
      </c>
      <c r="C651" s="5" t="inlineStr">
        <is>
          <t>own label</t>
        </is>
      </c>
      <c r="D651" s="5" t="inlineStr">
        <is>
          <t>solid</t>
        </is>
      </c>
      <c r="E651" s="5" t="n">
        <v>36</v>
      </c>
      <c r="F651" s="5" t="inlineStr">
        <is>
          <t>shear_wall</t>
        </is>
      </c>
      <c r="G651" s="5" t="inlineStr">
        <is>
          <t>label vote</t>
        </is>
      </c>
      <c r="H651" s="5" t="inlineStr">
        <is>
          <t>V3/127</t>
        </is>
      </c>
      <c r="I651" s="5" t="inlineStr">
        <is>
          <t>printed label</t>
        </is>
      </c>
      <c r="J651" s="5" t="inlineStr">
        <is>
          <t>V3/127/127</t>
        </is>
      </c>
      <c r="K651" s="5" t="n">
        <v>200</v>
      </c>
      <c r="L651" s="5" t="n">
        <v>25</v>
      </c>
      <c r="M651" s="10">
        <f>IF(AND(ISNUMBER(K651),L651&gt;0),K651/L651,"")</f>
        <v/>
      </c>
      <c r="N651" s="5" t="n">
        <v>0.5</v>
      </c>
      <c r="O651" s="5" t="n">
        <v>116.6</v>
      </c>
      <c r="P651" s="5" t="n">
        <v>0</v>
      </c>
      <c r="Q651" s="5" t="n">
        <v>0</v>
      </c>
      <c r="R651" s="5" t="n">
        <v>0</v>
      </c>
      <c r="S651" s="5" t="n">
        <v>1</v>
      </c>
      <c r="T651" s="5" t="n">
        <v>0</v>
      </c>
      <c r="U651" s="5" t="n">
        <v>2</v>
      </c>
      <c r="V651" s="5" t="n">
        <v>3</v>
      </c>
      <c r="W651" s="5" t="n"/>
      <c r="X651" s="5" t="inlineStr"/>
      <c r="Y651" s="5" t="n">
        <v>1833.2</v>
      </c>
      <c r="Z651" s="5" t="n">
        <v>2737.4</v>
      </c>
      <c r="AA651" s="5" t="n">
        <v>1866.3</v>
      </c>
      <c r="AB651" s="5" t="n">
        <v>2793.5</v>
      </c>
      <c r="AC651" s="5" t="inlineStr">
        <is>
          <t>shear_wall</t>
        </is>
      </c>
      <c r="AD651" s="5">
        <f>IF(AC651="","",IF(OR(AC651=F651,AND(AC651="crane_footing",F651="isolated_footing")),"yes","no"))</f>
        <v/>
      </c>
    </row>
    <row r="652">
      <c r="A652" s="5" t="n">
        <v>651</v>
      </c>
      <c r="B652" s="5" t="inlineStr">
        <is>
          <t>127</t>
        </is>
      </c>
      <c r="C652" s="5" t="inlineStr">
        <is>
          <t>own label</t>
        </is>
      </c>
      <c r="D652" s="5" t="inlineStr">
        <is>
          <t>solid</t>
        </is>
      </c>
      <c r="E652" s="5" t="n">
        <v>36</v>
      </c>
      <c r="F652" s="5" t="inlineStr">
        <is>
          <t>shear_wall</t>
        </is>
      </c>
      <c r="G652" s="5" t="inlineStr">
        <is>
          <t>label vote</t>
        </is>
      </c>
      <c r="H652" s="5" t="inlineStr">
        <is>
          <t>V3/127</t>
        </is>
      </c>
      <c r="I652" s="5" t="inlineStr">
        <is>
          <t>printed label</t>
        </is>
      </c>
      <c r="J652" s="5" t="inlineStr">
        <is>
          <t>V3/127/127</t>
        </is>
      </c>
      <c r="K652" s="5" t="n">
        <v>200</v>
      </c>
      <c r="L652" s="5" t="n">
        <v>25</v>
      </c>
      <c r="M652" s="10">
        <f>IF(AND(ISNUMBER(K652),L652&gt;0),K652/L652,"")</f>
        <v/>
      </c>
      <c r="N652" s="5" t="n">
        <v>0.5</v>
      </c>
      <c r="O652" s="5" t="n">
        <v>116.6</v>
      </c>
      <c r="P652" s="5" t="n">
        <v>0</v>
      </c>
      <c r="Q652" s="5" t="n">
        <v>1</v>
      </c>
      <c r="R652" s="5" t="n">
        <v>0</v>
      </c>
      <c r="S652" s="5" t="n">
        <v>0</v>
      </c>
      <c r="T652" s="5" t="n">
        <v>0</v>
      </c>
      <c r="U652" s="5" t="n">
        <v>1</v>
      </c>
      <c r="V652" s="5" t="n">
        <v>4</v>
      </c>
      <c r="W652" s="5" t="n"/>
      <c r="X652" s="5" t="inlineStr"/>
      <c r="Y652" s="5" t="n">
        <v>2488.4</v>
      </c>
      <c r="Z652" s="5" t="n">
        <v>3069.4</v>
      </c>
      <c r="AA652" s="5" t="n">
        <v>2521.4</v>
      </c>
      <c r="AB652" s="5" t="n">
        <v>3125.5</v>
      </c>
      <c r="AC652" s="5" t="inlineStr">
        <is>
          <t>shear_wall</t>
        </is>
      </c>
      <c r="AD652" s="5">
        <f>IF(AC652="","",IF(OR(AC652=F652,AND(AC652="crane_footing",F652="isolated_footing")),"yes","no"))</f>
        <v/>
      </c>
    </row>
    <row r="653">
      <c r="A653" s="5" t="n">
        <v>652</v>
      </c>
      <c r="B653" s="5" t="inlineStr">
        <is>
          <t>127</t>
        </is>
      </c>
      <c r="C653" s="5" t="inlineStr">
        <is>
          <t>own label</t>
        </is>
      </c>
      <c r="D653" s="5" t="inlineStr">
        <is>
          <t>solid</t>
        </is>
      </c>
      <c r="E653" s="5" t="n">
        <v>37</v>
      </c>
      <c r="F653" s="5" t="inlineStr">
        <is>
          <t>shear_wall</t>
        </is>
      </c>
      <c r="G653" s="5" t="inlineStr">
        <is>
          <t>label vote</t>
        </is>
      </c>
      <c r="H653" s="5" t="inlineStr">
        <is>
          <t>V4/127</t>
        </is>
      </c>
      <c r="I653" s="5" t="inlineStr">
        <is>
          <t>printed label</t>
        </is>
      </c>
      <c r="J653" s="5" t="inlineStr">
        <is>
          <t>V4/127/127</t>
        </is>
      </c>
      <c r="K653" s="5" t="n">
        <v>250</v>
      </c>
      <c r="L653" s="5" t="n">
        <v>30</v>
      </c>
      <c r="M653" s="10">
        <f>IF(AND(ISNUMBER(K653),L653&gt;0),K653/L653,"")</f>
        <v/>
      </c>
      <c r="N653" s="5" t="n">
        <v>0.749</v>
      </c>
      <c r="O653" s="5" t="n">
        <v>26.6</v>
      </c>
      <c r="P653" s="5" t="n">
        <v>1</v>
      </c>
      <c r="Q653" s="5" t="n">
        <v>0</v>
      </c>
      <c r="R653" s="5" t="n">
        <v>0</v>
      </c>
      <c r="S653" s="5" t="n">
        <v>1</v>
      </c>
      <c r="T653" s="5" t="n">
        <v>0</v>
      </c>
      <c r="U653" s="5" t="n">
        <v>5</v>
      </c>
      <c r="V653" s="5" t="n">
        <v>2</v>
      </c>
      <c r="W653" s="5" t="n"/>
      <c r="X653" s="5" t="inlineStr"/>
      <c r="Y653" s="5" t="n">
        <v>2042.5</v>
      </c>
      <c r="Z653" s="5" t="n">
        <v>3106.1</v>
      </c>
      <c r="AA653" s="5" t="n">
        <v>2112.4</v>
      </c>
      <c r="AB653" s="5" t="n">
        <v>3147.1</v>
      </c>
      <c r="AC653" s="5" t="inlineStr"/>
      <c r="AD653" s="5">
        <f>IF(AC653="","",IF(OR(AC653=F653,AND(AC653="crane_footing",F653="isolated_footing")),"yes","no"))</f>
        <v/>
      </c>
    </row>
    <row r="654">
      <c r="A654" s="5" t="n">
        <v>653</v>
      </c>
      <c r="B654" s="5" t="inlineStr">
        <is>
          <t>127</t>
        </is>
      </c>
      <c r="C654" s="5" t="inlineStr">
        <is>
          <t>own label</t>
        </is>
      </c>
      <c r="D654" s="5" t="inlineStr">
        <is>
          <t>solid</t>
        </is>
      </c>
      <c r="E654" s="5" t="n">
        <v>32</v>
      </c>
      <c r="F654" s="5" t="inlineStr">
        <is>
          <t>shear_wall</t>
        </is>
      </c>
      <c r="G654" s="5" t="inlineStr">
        <is>
          <t>label vote</t>
        </is>
      </c>
      <c r="H654" s="5" t="inlineStr">
        <is>
          <t>V4/127</t>
        </is>
      </c>
      <c r="I654" s="5" t="inlineStr">
        <is>
          <t>printed label</t>
        </is>
      </c>
      <c r="J654" s="5" t="inlineStr">
        <is>
          <t>V4/127/127</t>
        </is>
      </c>
      <c r="K654" s="5" t="n">
        <v>250</v>
      </c>
      <c r="L654" s="5" t="n">
        <v>25</v>
      </c>
      <c r="M654" s="10">
        <f>IF(AND(ISNUMBER(K654),L654&gt;0),K654/L654,"")</f>
        <v/>
      </c>
      <c r="N654" s="5" t="n">
        <v>0.625</v>
      </c>
      <c r="O654" s="5" t="n">
        <v>26.7</v>
      </c>
      <c r="P654" s="5" t="n">
        <v>1</v>
      </c>
      <c r="Q654" s="5" t="n">
        <v>1</v>
      </c>
      <c r="R654" s="5" t="n">
        <v>0</v>
      </c>
      <c r="S654" s="5" t="n">
        <v>0</v>
      </c>
      <c r="T654" s="5" t="n">
        <v>0</v>
      </c>
      <c r="U654" s="5" t="n">
        <v>3</v>
      </c>
      <c r="V654" s="5" t="n">
        <v>2</v>
      </c>
      <c r="W654" s="5" t="n"/>
      <c r="X654" s="5" t="inlineStr"/>
      <c r="Y654" s="5" t="n">
        <v>1841.9</v>
      </c>
      <c r="Z654" s="5" t="n">
        <v>3006.8</v>
      </c>
      <c r="AA654" s="5" t="n">
        <v>1911.2</v>
      </c>
      <c r="AB654" s="5" t="n">
        <v>3046.5</v>
      </c>
      <c r="AC654" s="5" t="inlineStr"/>
      <c r="AD654" s="5">
        <f>IF(AC654="","",IF(OR(AC654=F654,AND(AC654="crane_footing",F654="isolated_footing")),"yes","no"))</f>
        <v/>
      </c>
    </row>
    <row r="655">
      <c r="A655" s="5" t="n">
        <v>654</v>
      </c>
      <c r="B655" s="5" t="inlineStr">
        <is>
          <t>127</t>
        </is>
      </c>
      <c r="C655" s="5" t="inlineStr">
        <is>
          <t>own label</t>
        </is>
      </c>
      <c r="D655" s="5" t="inlineStr">
        <is>
          <t>solid</t>
        </is>
      </c>
      <c r="E655" s="5" t="n">
        <v>35</v>
      </c>
      <c r="F655" s="5" t="inlineStr">
        <is>
          <t>shear_wall</t>
        </is>
      </c>
      <c r="G655" s="5" t="inlineStr">
        <is>
          <t>label vote</t>
        </is>
      </c>
      <c r="H655" s="5" t="inlineStr">
        <is>
          <t>V5/127</t>
        </is>
      </c>
      <c r="I655" s="5" t="inlineStr">
        <is>
          <t>printed label</t>
        </is>
      </c>
      <c r="J655" s="5" t="inlineStr">
        <is>
          <t>V5/127/127</t>
        </is>
      </c>
      <c r="K655" s="5" t="n">
        <v>250</v>
      </c>
      <c r="L655" s="5" t="n">
        <v>30</v>
      </c>
      <c r="M655" s="10">
        <f>IF(AND(ISNUMBER(K655),L655&gt;0),K655/L655,"")</f>
        <v/>
      </c>
      <c r="N655" s="5" t="n">
        <v>0.752</v>
      </c>
      <c r="O655" s="5" t="n">
        <v>116.6</v>
      </c>
      <c r="P655" s="5" t="n">
        <v>0</v>
      </c>
      <c r="Q655" s="5" t="n">
        <v>1</v>
      </c>
      <c r="R655" s="5" t="n">
        <v>0</v>
      </c>
      <c r="S655" s="5" t="n">
        <v>0</v>
      </c>
      <c r="T655" s="5" t="n">
        <v>0</v>
      </c>
      <c r="U655" s="5" t="n">
        <v>1</v>
      </c>
      <c r="V655" s="5" t="n">
        <v>3</v>
      </c>
      <c r="W655" s="5" t="n"/>
      <c r="X655" s="5" t="inlineStr"/>
      <c r="Y655" s="5" t="n">
        <v>2222.5</v>
      </c>
      <c r="Z655" s="5" t="n">
        <v>2936</v>
      </c>
      <c r="AA655" s="5" t="n">
        <v>2263.6</v>
      </c>
      <c r="AB655" s="5" t="n">
        <v>3006</v>
      </c>
      <c r="AC655" s="5" t="inlineStr">
        <is>
          <t>shear_wall</t>
        </is>
      </c>
      <c r="AD655" s="5">
        <f>IF(AC655="","",IF(OR(AC655=F655,AND(AC655="crane_footing",F655="isolated_footing")),"yes","no"))</f>
        <v/>
      </c>
    </row>
    <row r="656">
      <c r="A656" s="5" t="n">
        <v>655</v>
      </c>
      <c r="B656" s="5" t="inlineStr">
        <is>
          <t>127</t>
        </is>
      </c>
      <c r="C656" s="5" t="inlineStr">
        <is>
          <t>own label</t>
        </is>
      </c>
      <c r="D656" s="5" t="inlineStr">
        <is>
          <t>solid</t>
        </is>
      </c>
      <c r="E656" s="5" t="n">
        <v>35</v>
      </c>
      <c r="F656" s="5" t="inlineStr">
        <is>
          <t>shear_wall</t>
        </is>
      </c>
      <c r="G656" s="5" t="inlineStr">
        <is>
          <t>label vote</t>
        </is>
      </c>
      <c r="H656" s="5" t="inlineStr">
        <is>
          <t>V5/127</t>
        </is>
      </c>
      <c r="I656" s="5" t="inlineStr">
        <is>
          <t>printed label</t>
        </is>
      </c>
      <c r="J656" s="5" t="inlineStr">
        <is>
          <t>V5/127/127</t>
        </is>
      </c>
      <c r="K656" s="5" t="n">
        <v>250</v>
      </c>
      <c r="L656" s="5" t="n">
        <v>30</v>
      </c>
      <c r="M656" s="10">
        <f>IF(AND(ISNUMBER(K656),L656&gt;0),K656/L656,"")</f>
        <v/>
      </c>
      <c r="N656" s="5" t="n">
        <v>0.747</v>
      </c>
      <c r="O656" s="5" t="n">
        <v>116.6</v>
      </c>
      <c r="P656" s="5" t="n">
        <v>0</v>
      </c>
      <c r="Q656" s="5" t="n">
        <v>1</v>
      </c>
      <c r="R656" s="5" t="n">
        <v>0</v>
      </c>
      <c r="S656" s="5" t="n">
        <v>0</v>
      </c>
      <c r="T656" s="5" t="n">
        <v>0</v>
      </c>
      <c r="U656" s="5" t="n">
        <v>1</v>
      </c>
      <c r="V656" s="5" t="n">
        <v>5</v>
      </c>
      <c r="W656" s="5" t="n"/>
      <c r="X656" s="5" t="inlineStr"/>
      <c r="Y656" s="5" t="n">
        <v>1999.4</v>
      </c>
      <c r="Z656" s="5" t="n">
        <v>2831.9</v>
      </c>
      <c r="AA656" s="5" t="n">
        <v>2040.4</v>
      </c>
      <c r="AB656" s="5" t="n">
        <v>2901.9</v>
      </c>
      <c r="AC656" s="5" t="inlineStr">
        <is>
          <t>shear_wall</t>
        </is>
      </c>
      <c r="AD656" s="5">
        <f>IF(AC656="","",IF(OR(AC656=F656,AND(AC656="crane_footing",F656="isolated_footing")),"yes","no"))</f>
        <v/>
      </c>
    </row>
    <row r="657">
      <c r="A657" s="5" t="n">
        <v>656</v>
      </c>
      <c r="B657" s="5" t="inlineStr">
        <is>
          <t>127</t>
        </is>
      </c>
      <c r="C657" s="5" t="inlineStr">
        <is>
          <t>own label</t>
        </is>
      </c>
      <c r="D657" s="5" t="inlineStr">
        <is>
          <t>solid</t>
        </is>
      </c>
      <c r="E657" s="5" t="n">
        <v>36</v>
      </c>
      <c r="F657" s="5" t="inlineStr">
        <is>
          <t>shear_wall</t>
        </is>
      </c>
      <c r="G657" s="5" t="inlineStr">
        <is>
          <t>label vote</t>
        </is>
      </c>
      <c r="H657" s="5" t="inlineStr">
        <is>
          <t>V6/127</t>
        </is>
      </c>
      <c r="I657" s="5" t="inlineStr">
        <is>
          <t>printed label</t>
        </is>
      </c>
      <c r="J657" s="5" t="inlineStr">
        <is>
          <t>V6/127/127</t>
        </is>
      </c>
      <c r="K657" s="5" t="n">
        <v>125</v>
      </c>
      <c r="L657" s="5" t="n">
        <v>25</v>
      </c>
      <c r="M657" s="10">
        <f>IF(AND(ISNUMBER(K657),L657&gt;0),K657/L657,"")</f>
        <v/>
      </c>
      <c r="N657" s="5" t="n">
        <v>0.316</v>
      </c>
      <c r="O657" s="5" t="n">
        <v>116.7</v>
      </c>
      <c r="P657" s="5" t="n">
        <v>0</v>
      </c>
      <c r="Q657" s="5" t="n">
        <v>1</v>
      </c>
      <c r="R657" s="5" t="n">
        <v>0</v>
      </c>
      <c r="S657" s="5" t="n">
        <v>0</v>
      </c>
      <c r="T657" s="5" t="n">
        <v>0</v>
      </c>
      <c r="U657" s="5" t="n">
        <v>1</v>
      </c>
      <c r="V657" s="5" t="n">
        <v>5</v>
      </c>
      <c r="W657" s="5" t="n"/>
      <c r="X657" s="5" t="inlineStr"/>
      <c r="Y657" s="5" t="n">
        <v>2608.9</v>
      </c>
      <c r="Z657" s="5" t="n">
        <v>2849.2</v>
      </c>
      <c r="AA657" s="5" t="n">
        <v>2632.1</v>
      </c>
      <c r="AB657" s="5" t="n">
        <v>2885.5</v>
      </c>
      <c r="AC657" s="5" t="inlineStr">
        <is>
          <t>shear_wall</t>
        </is>
      </c>
      <c r="AD657" s="5">
        <f>IF(AC657="","",IF(OR(AC657=F657,AND(AC657="crane_footing",F657="isolated_footing")),"yes","no"))</f>
        <v/>
      </c>
    </row>
    <row r="658">
      <c r="A658" s="5" t="n">
        <v>657</v>
      </c>
      <c r="B658" s="5" t="inlineStr">
        <is>
          <t>127</t>
        </is>
      </c>
      <c r="C658" s="5" t="inlineStr">
        <is>
          <t>own label</t>
        </is>
      </c>
      <c r="D658" s="5" t="inlineStr">
        <is>
          <t>solid</t>
        </is>
      </c>
      <c r="E658" s="5" t="n">
        <v>36</v>
      </c>
      <c r="F658" s="5" t="inlineStr">
        <is>
          <t>shear_wall</t>
        </is>
      </c>
      <c r="G658" s="5" t="inlineStr">
        <is>
          <t>label vote</t>
        </is>
      </c>
      <c r="H658" s="5" t="inlineStr">
        <is>
          <t>V6/127</t>
        </is>
      </c>
      <c r="I658" s="5" t="inlineStr">
        <is>
          <t>printed label</t>
        </is>
      </c>
      <c r="J658" s="5" t="inlineStr">
        <is>
          <t>V6/127/127</t>
        </is>
      </c>
      <c r="K658" s="5" t="n">
        <v>125</v>
      </c>
      <c r="L658" s="5" t="n">
        <v>25</v>
      </c>
      <c r="M658" s="10">
        <f>IF(AND(ISNUMBER(K658),L658&gt;0),K658/L658,"")</f>
        <v/>
      </c>
      <c r="N658" s="5" t="n">
        <v>0.314</v>
      </c>
      <c r="O658" s="5" t="n">
        <v>116.7</v>
      </c>
      <c r="P658" s="5" t="n">
        <v>0</v>
      </c>
      <c r="Q658" s="5" t="n">
        <v>1</v>
      </c>
      <c r="R658" s="5" t="n">
        <v>0</v>
      </c>
      <c r="S658" s="5" t="n">
        <v>0</v>
      </c>
      <c r="T658" s="5" t="n">
        <v>0</v>
      </c>
      <c r="U658" s="5" t="n">
        <v>1</v>
      </c>
      <c r="V658" s="5" t="n">
        <v>5</v>
      </c>
      <c r="W658" s="5" t="n"/>
      <c r="X658" s="5" t="inlineStr"/>
      <c r="Y658" s="5" t="n">
        <v>2377</v>
      </c>
      <c r="Z658" s="5" t="n">
        <v>2732.6</v>
      </c>
      <c r="AA658" s="5" t="n">
        <v>2400.2</v>
      </c>
      <c r="AB658" s="5" t="n">
        <v>2768.9</v>
      </c>
      <c r="AC658" s="5" t="inlineStr">
        <is>
          <t>shear_wall</t>
        </is>
      </c>
      <c r="AD658" s="5">
        <f>IF(AC658="","",IF(OR(AC658=F658,AND(AC658="crane_footing",F658="isolated_footing")),"yes","no"))</f>
        <v/>
      </c>
    </row>
    <row r="659">
      <c r="A659" s="5" t="n">
        <v>658</v>
      </c>
      <c r="B659" s="5" t="inlineStr">
        <is>
          <t>127</t>
        </is>
      </c>
      <c r="C659" s="5" t="inlineStr">
        <is>
          <t>own label</t>
        </is>
      </c>
      <c r="D659" s="5" t="inlineStr">
        <is>
          <t>solid</t>
        </is>
      </c>
      <c r="E659" s="5" t="n">
        <v>36</v>
      </c>
      <c r="F659" s="5" t="inlineStr">
        <is>
          <t>shear_wall</t>
        </is>
      </c>
      <c r="G659" s="5" t="inlineStr">
        <is>
          <t>label vote</t>
        </is>
      </c>
      <c r="H659" s="5" t="inlineStr">
        <is>
          <t>V6/127</t>
        </is>
      </c>
      <c r="I659" s="5" t="inlineStr">
        <is>
          <t>printed label</t>
        </is>
      </c>
      <c r="J659" s="5" t="inlineStr">
        <is>
          <t>V6/127/127</t>
        </is>
      </c>
      <c r="K659" s="5" t="n">
        <v>125</v>
      </c>
      <c r="L659" s="5" t="n">
        <v>25</v>
      </c>
      <c r="M659" s="10">
        <f>IF(AND(ISNUMBER(K659),L659&gt;0),K659/L659,"")</f>
        <v/>
      </c>
      <c r="N659" s="5" t="n">
        <v>0.312</v>
      </c>
      <c r="O659" s="5" t="n">
        <v>116.7</v>
      </c>
      <c r="P659" s="5" t="n">
        <v>0</v>
      </c>
      <c r="Q659" s="5" t="n">
        <v>1</v>
      </c>
      <c r="R659" s="5" t="n">
        <v>0</v>
      </c>
      <c r="S659" s="5" t="n">
        <v>0</v>
      </c>
      <c r="T659" s="5" t="n">
        <v>0</v>
      </c>
      <c r="U659" s="5" t="n">
        <v>1</v>
      </c>
      <c r="V659" s="5" t="n">
        <v>4</v>
      </c>
      <c r="W659" s="5" t="n"/>
      <c r="X659" s="5" t="inlineStr"/>
      <c r="Y659" s="5" t="n">
        <v>1952.7</v>
      </c>
      <c r="Z659" s="5" t="n">
        <v>2519.1</v>
      </c>
      <c r="AA659" s="5" t="n">
        <v>1975.8</v>
      </c>
      <c r="AB659" s="5" t="n">
        <v>2555.4</v>
      </c>
      <c r="AC659" s="5" t="inlineStr">
        <is>
          <t>shear_wall</t>
        </is>
      </c>
      <c r="AD659" s="5">
        <f>IF(AC659="","",IF(OR(AC659=F659,AND(AC659="crane_footing",F659="isolated_footing")),"yes","no"))</f>
        <v/>
      </c>
    </row>
    <row r="660">
      <c r="A660" s="5" t="n">
        <v>659</v>
      </c>
      <c r="B660" s="5" t="inlineStr">
        <is>
          <t>127</t>
        </is>
      </c>
      <c r="C660" s="5" t="inlineStr">
        <is>
          <t>own label</t>
        </is>
      </c>
      <c r="D660" s="5" t="inlineStr">
        <is>
          <t>solid</t>
        </is>
      </c>
      <c r="E660" s="5" t="n">
        <v>36</v>
      </c>
      <c r="F660" s="5" t="inlineStr">
        <is>
          <t>shear_wall</t>
        </is>
      </c>
      <c r="G660" s="5" t="inlineStr">
        <is>
          <t>label vote</t>
        </is>
      </c>
      <c r="H660" s="5" t="inlineStr">
        <is>
          <t>V6/127</t>
        </is>
      </c>
      <c r="I660" s="5" t="inlineStr">
        <is>
          <t>printed label</t>
        </is>
      </c>
      <c r="J660" s="5" t="inlineStr">
        <is>
          <t>V6/127/127</t>
        </is>
      </c>
      <c r="K660" s="5" t="n">
        <v>125</v>
      </c>
      <c r="L660" s="5" t="n">
        <v>25</v>
      </c>
      <c r="M660" s="10">
        <f>IF(AND(ISNUMBER(K660),L660&gt;0),K660/L660,"")</f>
        <v/>
      </c>
      <c r="N660" s="5" t="n">
        <v>0.312</v>
      </c>
      <c r="O660" s="5" t="n">
        <v>116.7</v>
      </c>
      <c r="P660" s="5" t="n">
        <v>0</v>
      </c>
      <c r="Q660" s="5" t="n">
        <v>1</v>
      </c>
      <c r="R660" s="5" t="n">
        <v>0</v>
      </c>
      <c r="S660" s="5" t="n">
        <v>0</v>
      </c>
      <c r="T660" s="5" t="n">
        <v>0</v>
      </c>
      <c r="U660" s="5" t="n">
        <v>1</v>
      </c>
      <c r="V660" s="5" t="n">
        <v>3</v>
      </c>
      <c r="W660" s="5" t="n"/>
      <c r="X660" s="5" t="inlineStr"/>
      <c r="Y660" s="5" t="n">
        <v>2171.3</v>
      </c>
      <c r="Z660" s="5" t="n">
        <v>2629.1</v>
      </c>
      <c r="AA660" s="5" t="n">
        <v>2194.4</v>
      </c>
      <c r="AB660" s="5" t="n">
        <v>2665.4</v>
      </c>
      <c r="AC660" s="5" t="inlineStr">
        <is>
          <t>shear_wall</t>
        </is>
      </c>
      <c r="AD660" s="5">
        <f>IF(AC660="","",IF(OR(AC660=F660,AND(AC660="crane_footing",F660="isolated_footing")),"yes","no"))</f>
        <v/>
      </c>
    </row>
    <row r="661">
      <c r="A661" s="5" t="n">
        <v>660</v>
      </c>
      <c r="B661" s="5" t="inlineStr">
        <is>
          <t>127</t>
        </is>
      </c>
      <c r="C661" s="5" t="inlineStr">
        <is>
          <t>region between joints</t>
        </is>
      </c>
      <c r="D661" s="5" t="inlineStr">
        <is>
          <t>solid</t>
        </is>
      </c>
      <c r="E661" s="5" t="n">
        <v>33</v>
      </c>
      <c r="F661" s="5" t="inlineStr">
        <is>
          <t>retaining_wall</t>
        </is>
      </c>
      <c r="G661" s="5" t="inlineStr">
        <is>
          <t>label vote</t>
        </is>
      </c>
      <c r="H661" s="5" t="inlineStr">
        <is>
          <t>VP20</t>
        </is>
      </c>
      <c r="I661" s="5" t="inlineStr">
        <is>
          <t>printed label</t>
        </is>
      </c>
      <c r="J661" s="5" t="inlineStr">
        <is>
          <t>VP20-SF1-80x25</t>
        </is>
      </c>
      <c r="K661" s="5" t="n">
        <v>2513</v>
      </c>
      <c r="L661" s="5" t="n">
        <v>20</v>
      </c>
      <c r="M661" s="10">
        <f>IF(AND(ISNUMBER(K661),L661&gt;0),K661/L661,"")</f>
        <v/>
      </c>
      <c r="N661" s="5" t="n">
        <v>5.054</v>
      </c>
      <c r="O661" s="5" t="n">
        <v>26.6</v>
      </c>
      <c r="P661" s="5" t="n">
        <v>0</v>
      </c>
      <c r="Q661" s="5" t="n">
        <v>0</v>
      </c>
      <c r="R661" s="5" t="n">
        <v>1</v>
      </c>
      <c r="S661" s="5" t="n">
        <v>0</v>
      </c>
      <c r="T661" s="5" t="n">
        <v>0</v>
      </c>
      <c r="U661" s="5" t="n">
        <v>14</v>
      </c>
      <c r="V661" s="5" t="n">
        <v>19</v>
      </c>
      <c r="W661" s="5" t="n"/>
      <c r="X661" s="5" t="inlineStr"/>
      <c r="Y661" s="5" t="n">
        <v>2019.6</v>
      </c>
      <c r="Z661" s="5" t="n">
        <v>2413.4</v>
      </c>
      <c r="AA661" s="5" t="n">
        <v>2685.7</v>
      </c>
      <c r="AB661" s="5" t="n">
        <v>2750.5</v>
      </c>
      <c r="AC661" s="5" t="inlineStr">
        <is>
          <t>retaining_wall</t>
        </is>
      </c>
      <c r="AD661" s="5">
        <f>IF(AC661="","",IF(OR(AC661=F661,AND(AC661="crane_footing",F661="isolated_footing")),"yes","no"))</f>
        <v/>
      </c>
    </row>
    <row r="662">
      <c r="A662" s="5" t="n">
        <v>661</v>
      </c>
      <c r="B662" s="5" t="inlineStr">
        <is>
          <t>127</t>
        </is>
      </c>
      <c r="C662" s="5" t="inlineStr">
        <is>
          <t>region between joints</t>
        </is>
      </c>
      <c r="D662" s="5" t="inlineStr">
        <is>
          <t>solid</t>
        </is>
      </c>
      <c r="E662" s="5" t="n">
        <v>28</v>
      </c>
      <c r="F662" s="5" t="inlineStr">
        <is>
          <t>retaining_wall</t>
        </is>
      </c>
      <c r="G662" s="5" t="inlineStr">
        <is>
          <t>label vote</t>
        </is>
      </c>
      <c r="H662" s="5" t="inlineStr">
        <is>
          <t>VP20</t>
        </is>
      </c>
      <c r="I662" s="5" t="inlineStr">
        <is>
          <t>printed label</t>
        </is>
      </c>
      <c r="J662" s="5" t="inlineStr">
        <is>
          <t>VP20-SF1 80x25</t>
        </is>
      </c>
      <c r="K662" s="5" t="n">
        <v>1524</v>
      </c>
      <c r="L662" s="5" t="n">
        <v>20</v>
      </c>
      <c r="M662" s="10">
        <f>IF(AND(ISNUMBER(K662),L662&gt;0),K662/L662,"")</f>
        <v/>
      </c>
      <c r="N662" s="5" t="n">
        <v>3.065</v>
      </c>
      <c r="O662" s="5" t="n">
        <v>26.6</v>
      </c>
      <c r="P662" s="5" t="n">
        <v>3</v>
      </c>
      <c r="Q662" s="5" t="n">
        <v>0</v>
      </c>
      <c r="R662" s="5" t="n">
        <v>0</v>
      </c>
      <c r="S662" s="5" t="n">
        <v>0</v>
      </c>
      <c r="T662" s="5" t="n">
        <v>2</v>
      </c>
      <c r="U662" s="5" t="n">
        <v>18</v>
      </c>
      <c r="V662" s="5" t="n">
        <v>7</v>
      </c>
      <c r="W662" s="5" t="n"/>
      <c r="X662" s="5" t="inlineStr"/>
      <c r="Y662" s="5" t="n">
        <v>1745.5</v>
      </c>
      <c r="Z662" s="5" t="n">
        <v>2959.8</v>
      </c>
      <c r="AA662" s="5" t="n">
        <v>2150.3</v>
      </c>
      <c r="AB662" s="5" t="n">
        <v>3166.8</v>
      </c>
      <c r="AC662" s="5" t="inlineStr"/>
      <c r="AD662" s="5">
        <f>IF(AC662="","",IF(OR(AC662=F662,AND(AC662="crane_footing",F662="isolated_footing")),"yes","no"))</f>
        <v/>
      </c>
    </row>
    <row r="663">
      <c r="A663" s="5" t="n">
        <v>662</v>
      </c>
      <c r="B663" s="5" t="inlineStr">
        <is>
          <t>127</t>
        </is>
      </c>
      <c r="C663" s="5" t="inlineStr">
        <is>
          <t>region between joints</t>
        </is>
      </c>
      <c r="D663" s="5" t="inlineStr">
        <is>
          <t>solid</t>
        </is>
      </c>
      <c r="E663" s="5" t="n">
        <v>33</v>
      </c>
      <c r="F663" s="5" t="inlineStr">
        <is>
          <t>retaining_wall</t>
        </is>
      </c>
      <c r="G663" s="5" t="inlineStr">
        <is>
          <t>label vote</t>
        </is>
      </c>
      <c r="H663" s="5" t="inlineStr">
        <is>
          <t>VP20</t>
        </is>
      </c>
      <c r="I663" s="5" t="inlineStr">
        <is>
          <t>printed label</t>
        </is>
      </c>
      <c r="J663" s="5" t="inlineStr">
        <is>
          <t>VP20-SF1 80x25</t>
        </is>
      </c>
      <c r="K663" s="5" t="n">
        <v>679</v>
      </c>
      <c r="L663" s="5" t="n">
        <v>20</v>
      </c>
      <c r="M663" s="10">
        <f>IF(AND(ISNUMBER(K663),L663&gt;0),K663/L663,"")</f>
        <v/>
      </c>
      <c r="N663" s="5" t="n">
        <v>1.359</v>
      </c>
      <c r="O663" s="5" t="n">
        <v>26.6</v>
      </c>
      <c r="P663" s="5" t="n">
        <v>1</v>
      </c>
      <c r="Q663" s="5" t="n">
        <v>0</v>
      </c>
      <c r="R663" s="5" t="n">
        <v>1</v>
      </c>
      <c r="S663" s="5" t="n">
        <v>0</v>
      </c>
      <c r="T663" s="5" t="n">
        <v>0</v>
      </c>
      <c r="U663" s="5" t="n">
        <v>5</v>
      </c>
      <c r="V663" s="5" t="n">
        <v>2</v>
      </c>
      <c r="W663" s="5" t="n"/>
      <c r="X663" s="5" t="inlineStr"/>
      <c r="Y663" s="5" t="n">
        <v>2229.7</v>
      </c>
      <c r="Z663" s="5" t="n">
        <v>3202.1</v>
      </c>
      <c r="AA663" s="5" t="n">
        <v>2411.5</v>
      </c>
      <c r="AB663" s="5" t="n">
        <v>3297.2</v>
      </c>
      <c r="AC663" s="5" t="inlineStr"/>
      <c r="AD663" s="5">
        <f>IF(AC663="","",IF(OR(AC663=F663,AND(AC663="crane_footing",F663="isolated_footing")),"yes","no"))</f>
        <v/>
      </c>
    </row>
    <row r="664">
      <c r="A664" s="5" t="n">
        <v>663</v>
      </c>
      <c r="B664" s="5" t="inlineStr">
        <is>
          <t>127</t>
        </is>
      </c>
      <c r="C664" s="5" t="inlineStr">
        <is>
          <t>region between joints</t>
        </is>
      </c>
      <c r="D664" s="5" t="inlineStr">
        <is>
          <t>outline</t>
        </is>
      </c>
      <c r="E664" s="5" t="n">
        <v>25</v>
      </c>
      <c r="F664" s="5" t="inlineStr">
        <is>
          <t>isolated_footing</t>
        </is>
      </c>
      <c r="G664" s="5" t="inlineStr">
        <is>
          <t>similar to cluster 16 (distance 1.19)</t>
        </is>
      </c>
      <c r="H664" s="5" t="inlineStr">
        <is>
          <t>(none)</t>
        </is>
      </c>
      <c r="I664" s="5" t="inlineStr">
        <is>
          <t>no isolated_footing type has this size</t>
        </is>
      </c>
      <c r="J664" s="5" t="inlineStr"/>
      <c r="K664" s="5" t="n">
        <v>650</v>
      </c>
      <c r="L664" s="5" t="n">
        <v>650</v>
      </c>
      <c r="M664" s="10">
        <f>IF(AND(ISNUMBER(K664),L664&gt;0),K664/L664,"")</f>
        <v/>
      </c>
      <c r="N664" s="5" t="n">
        <v>42.259</v>
      </c>
      <c r="O664" s="5" t="n">
        <v>116.6</v>
      </c>
      <c r="P664" s="5" t="n">
        <v>0</v>
      </c>
      <c r="Q664" s="5" t="n">
        <v>1</v>
      </c>
      <c r="R664" s="5" t="n">
        <v>0</v>
      </c>
      <c r="S664" s="5" t="n">
        <v>0</v>
      </c>
      <c r="T664" s="5" t="n">
        <v>0</v>
      </c>
      <c r="U664" s="5" t="n">
        <v>66</v>
      </c>
      <c r="V664" s="5" t="n">
        <v>20</v>
      </c>
      <c r="W664" s="5" t="n"/>
      <c r="X664" s="5" t="inlineStr"/>
      <c r="Y664" s="5" t="n">
        <v>2157.4</v>
      </c>
      <c r="Z664" s="5" t="n">
        <v>2580</v>
      </c>
      <c r="AA664" s="5" t="n">
        <v>2415.1</v>
      </c>
      <c r="AB664" s="5" t="n">
        <v>2837.6</v>
      </c>
      <c r="AC664" s="5" t="inlineStr"/>
      <c r="AD664" s="5">
        <f>IF(AC664="","",IF(OR(AC664=F664,AND(AC664="crane_footing",F664="isolated_footing")),"yes","no"))</f>
        <v/>
      </c>
    </row>
    <row r="665">
      <c r="A665" s="5" t="n">
        <v>664</v>
      </c>
      <c r="B665" s="5" t="inlineStr">
        <is>
          <t>127</t>
        </is>
      </c>
      <c r="C665" s="5" t="inlineStr">
        <is>
          <t>region between joints</t>
        </is>
      </c>
      <c r="D665" s="5" t="inlineStr">
        <is>
          <t>outline</t>
        </is>
      </c>
      <c r="E665" s="5" t="n">
        <v>25</v>
      </c>
      <c r="F665" s="5" t="inlineStr">
        <is>
          <t>isolated_footing</t>
        </is>
      </c>
      <c r="G665" s="5" t="inlineStr">
        <is>
          <t>similar to cluster 16 (distance 1.19)</t>
        </is>
      </c>
      <c r="H665" s="5" t="inlineStr">
        <is>
          <t>(none)</t>
        </is>
      </c>
      <c r="I665" s="5" t="inlineStr">
        <is>
          <t>no isolated_footing type has this size</t>
        </is>
      </c>
      <c r="J665" s="5" t="inlineStr"/>
      <c r="K665" s="5" t="n">
        <v>550</v>
      </c>
      <c r="L665" s="5" t="n">
        <v>550</v>
      </c>
      <c r="M665" s="10">
        <f>IF(AND(ISNUMBER(K665),L665&gt;0),K665/L665,"")</f>
        <v/>
      </c>
      <c r="N665" s="5" t="n">
        <v>30.253</v>
      </c>
      <c r="O665" s="5" t="n">
        <v>116.6</v>
      </c>
      <c r="P665" s="5" t="n">
        <v>0</v>
      </c>
      <c r="Q665" s="5" t="n">
        <v>1</v>
      </c>
      <c r="R665" s="5" t="n">
        <v>0</v>
      </c>
      <c r="S665" s="5" t="n">
        <v>0</v>
      </c>
      <c r="T665" s="5" t="n">
        <v>0</v>
      </c>
      <c r="U665" s="5" t="n">
        <v>63</v>
      </c>
      <c r="V665" s="5" t="n">
        <v>18</v>
      </c>
      <c r="W665" s="5" t="n"/>
      <c r="X665" s="5" t="inlineStr"/>
      <c r="Y665" s="5" t="n">
        <v>2177.2</v>
      </c>
      <c r="Z665" s="5" t="n">
        <v>2599.8</v>
      </c>
      <c r="AA665" s="5" t="n">
        <v>2395.2</v>
      </c>
      <c r="AB665" s="5" t="n">
        <v>2817.8</v>
      </c>
      <c r="AC665" s="5" t="inlineStr"/>
      <c r="AD665" s="5">
        <f>IF(AC665="","",IF(OR(AC665=F665,AND(AC665="crane_footing",F665="isolated_footing")),"yes","no"))</f>
        <v/>
      </c>
    </row>
    <row r="666">
      <c r="A666" s="5" t="n">
        <v>665</v>
      </c>
      <c r="B666" s="5" t="inlineStr">
        <is>
          <t>127</t>
        </is>
      </c>
      <c r="C666" s="5" t="inlineStr">
        <is>
          <t>region between joints</t>
        </is>
      </c>
      <c r="D666" s="5" t="inlineStr">
        <is>
          <t>outline</t>
        </is>
      </c>
      <c r="E666" s="5" t="n">
        <v>18</v>
      </c>
      <c r="F666" s="5" t="inlineStr">
        <is>
          <t>isolated_footing</t>
        </is>
      </c>
      <c r="G666" s="5" t="inlineStr">
        <is>
          <t>label vote</t>
        </is>
      </c>
      <c r="H666" s="5" t="inlineStr">
        <is>
          <t>S0(240x240x60)</t>
        </is>
      </c>
      <c r="I666" s="5" t="inlineStr">
        <is>
          <t>printed label</t>
        </is>
      </c>
      <c r="J666" s="5" t="inlineStr">
        <is>
          <t>S0 (240x240x60)</t>
        </is>
      </c>
      <c r="K666" s="5" t="n">
        <v>240</v>
      </c>
      <c r="L666" s="5" t="n">
        <v>240</v>
      </c>
      <c r="M666" s="10">
        <f>IF(AND(ISNUMBER(K666),L666&gt;0),K666/L666,"")</f>
        <v/>
      </c>
      <c r="N666" s="5" t="n">
        <v>5.761</v>
      </c>
      <c r="O666" s="5" t="n">
        <v>116.7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5</v>
      </c>
      <c r="V666" s="5" t="n">
        <v>7</v>
      </c>
      <c r="W666" s="5" t="n"/>
      <c r="X666" s="5" t="inlineStr"/>
      <c r="Y666" s="5" t="n">
        <v>2278.1</v>
      </c>
      <c r="Z666" s="5" t="n">
        <v>2780.1</v>
      </c>
      <c r="AA666" s="5" t="n">
        <v>2373.3</v>
      </c>
      <c r="AB666" s="5" t="n">
        <v>2875.2</v>
      </c>
      <c r="AC666" s="5" t="inlineStr">
        <is>
          <t>crane_footing</t>
        </is>
      </c>
      <c r="AD666" s="5">
        <f>IF(AC666="","",IF(OR(AC666=F666,AND(AC666="crane_footing",F666="isolated_footing")),"yes","no"))</f>
        <v/>
      </c>
    </row>
    <row r="667">
      <c r="A667" s="5" t="n">
        <v>666</v>
      </c>
      <c r="B667" s="5" t="inlineStr">
        <is>
          <t>127</t>
        </is>
      </c>
      <c r="C667" s="5" t="inlineStr">
        <is>
          <t>region between joints</t>
        </is>
      </c>
      <c r="D667" s="5" t="inlineStr">
        <is>
          <t>outline</t>
        </is>
      </c>
      <c r="E667" s="5" t="n">
        <v>18</v>
      </c>
      <c r="F667" s="5" t="inlineStr">
        <is>
          <t>isolated_footing</t>
        </is>
      </c>
      <c r="G667" s="5" t="inlineStr">
        <is>
          <t>label vote</t>
        </is>
      </c>
      <c r="H667" s="5" t="inlineStr">
        <is>
          <t>S0(240x240x60)</t>
        </is>
      </c>
      <c r="I667" s="5" t="inlineStr">
        <is>
          <t>printed label</t>
        </is>
      </c>
      <c r="J667" s="5" t="inlineStr">
        <is>
          <t>S0 (240x240x60)</t>
        </is>
      </c>
      <c r="K667" s="5" t="n">
        <v>240</v>
      </c>
      <c r="L667" s="5" t="n">
        <v>240</v>
      </c>
      <c r="M667" s="10">
        <f>IF(AND(ISNUMBER(K667),L667&gt;0),K667/L667,"")</f>
        <v/>
      </c>
      <c r="N667" s="5" t="n">
        <v>5.761</v>
      </c>
      <c r="O667" s="5" t="n">
        <v>26.7</v>
      </c>
      <c r="P667" s="5" t="n">
        <v>0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5</v>
      </c>
      <c r="V667" s="5" t="n">
        <v>7</v>
      </c>
      <c r="W667" s="5" t="n"/>
      <c r="X667" s="5" t="inlineStr"/>
      <c r="Y667" s="5" t="n">
        <v>2199.2</v>
      </c>
      <c r="Z667" s="5" t="n">
        <v>2542.4</v>
      </c>
      <c r="AA667" s="5" t="n">
        <v>2294.3</v>
      </c>
      <c r="AB667" s="5" t="n">
        <v>2637.5</v>
      </c>
      <c r="AC667" s="5" t="inlineStr">
        <is>
          <t>crane_footing</t>
        </is>
      </c>
      <c r="AD667" s="5">
        <f>IF(AC667="","",IF(OR(AC667=F667,AND(AC667="crane_footing",F667="isolated_footing")),"yes","no"))</f>
        <v/>
      </c>
    </row>
    <row r="668">
      <c r="A668" s="5" t="n">
        <v>667</v>
      </c>
      <c r="B668" s="5" t="inlineStr">
        <is>
          <t>127</t>
        </is>
      </c>
      <c r="C668" s="5" t="inlineStr">
        <is>
          <t>region between joints</t>
        </is>
      </c>
      <c r="D668" s="5" t="inlineStr">
        <is>
          <t>outline</t>
        </is>
      </c>
      <c r="E668" s="5" t="n">
        <v>18</v>
      </c>
      <c r="F668" s="5" t="inlineStr">
        <is>
          <t>isolated_footing</t>
        </is>
      </c>
      <c r="G668" s="5" t="inlineStr">
        <is>
          <t>label vote</t>
        </is>
      </c>
      <c r="H668" s="5" t="inlineStr">
        <is>
          <t>S0(240x240x60)</t>
        </is>
      </c>
      <c r="I668" s="5" t="inlineStr">
        <is>
          <t>printed label</t>
        </is>
      </c>
      <c r="J668" s="5" t="inlineStr">
        <is>
          <t>S0 (240x240x60)</t>
        </is>
      </c>
      <c r="K668" s="5" t="n">
        <v>240</v>
      </c>
      <c r="L668" s="5" t="n">
        <v>240</v>
      </c>
      <c r="M668" s="10">
        <f>IF(AND(ISNUMBER(K668),L668&gt;0),K668/L668,"")</f>
        <v/>
      </c>
      <c r="N668" s="5" t="n">
        <v>5.761</v>
      </c>
      <c r="O668" s="5" t="n">
        <v>26.7</v>
      </c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0</v>
      </c>
      <c r="U668" s="5" t="n">
        <v>4</v>
      </c>
      <c r="V668" s="5" t="n">
        <v>7</v>
      </c>
      <c r="W668" s="5" t="n"/>
      <c r="X668" s="5" t="inlineStr"/>
      <c r="Y668" s="5" t="n">
        <v>2119.7</v>
      </c>
      <c r="Z668" s="5" t="n">
        <v>2700.7</v>
      </c>
      <c r="AA668" s="5" t="n">
        <v>2214.9</v>
      </c>
      <c r="AB668" s="5" t="n">
        <v>2795.9</v>
      </c>
      <c r="AC668" s="5" t="inlineStr">
        <is>
          <t>crane_footing</t>
        </is>
      </c>
      <c r="AD668" s="5">
        <f>IF(AC668="","",IF(OR(AC668=F668,AND(AC668="crane_footing",F668="isolated_footing")),"yes","no"))</f>
        <v/>
      </c>
    </row>
    <row r="669">
      <c r="A669" s="5" t="n">
        <v>668</v>
      </c>
      <c r="B669" s="5" t="inlineStr">
        <is>
          <t>127</t>
        </is>
      </c>
      <c r="C669" s="5" t="inlineStr">
        <is>
          <t>region between joints</t>
        </is>
      </c>
      <c r="D669" s="5" t="inlineStr">
        <is>
          <t>outline</t>
        </is>
      </c>
      <c r="E669" s="5" t="n">
        <v>18</v>
      </c>
      <c r="F669" s="5" t="inlineStr">
        <is>
          <t>isolated_footing</t>
        </is>
      </c>
      <c r="G669" s="5" t="inlineStr">
        <is>
          <t>label vote</t>
        </is>
      </c>
      <c r="H669" s="5" t="inlineStr">
        <is>
          <t>S0(240x240x60)</t>
        </is>
      </c>
      <c r="I669" s="5" t="inlineStr">
        <is>
          <t>printed label</t>
        </is>
      </c>
      <c r="J669" s="5" t="inlineStr">
        <is>
          <t>S0 (240x240x60)</t>
        </is>
      </c>
      <c r="K669" s="5" t="n">
        <v>240</v>
      </c>
      <c r="L669" s="5" t="n">
        <v>240</v>
      </c>
      <c r="M669" s="10">
        <f>IF(AND(ISNUMBER(K669),L669&gt;0),K669/L669,"")</f>
        <v/>
      </c>
      <c r="N669" s="5" t="n">
        <v>5.759</v>
      </c>
      <c r="O669" s="5" t="n">
        <v>26.6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7</v>
      </c>
      <c r="V669" s="5" t="n">
        <v>6</v>
      </c>
      <c r="W669" s="5" t="n"/>
      <c r="X669" s="5" t="inlineStr"/>
      <c r="Y669" s="5" t="n">
        <v>2357.6</v>
      </c>
      <c r="Z669" s="5" t="n">
        <v>2621.8</v>
      </c>
      <c r="AA669" s="5" t="n">
        <v>2452.7</v>
      </c>
      <c r="AB669" s="5" t="n">
        <v>2716.9</v>
      </c>
      <c r="AC669" s="5" t="inlineStr">
        <is>
          <t>crane_footing</t>
        </is>
      </c>
      <c r="AD669" s="5">
        <f>IF(AC669="","",IF(OR(AC669=F669,AND(AC669="crane_footing",F669="isolated_footing")),"yes","no"))</f>
        <v/>
      </c>
    </row>
    <row r="670">
      <c r="A670" s="5" t="n">
        <v>669</v>
      </c>
      <c r="B670" s="5" t="inlineStr">
        <is>
          <t>127</t>
        </is>
      </c>
      <c r="C670" s="5" t="inlineStr">
        <is>
          <t>own label</t>
        </is>
      </c>
      <c r="D670" s="5" t="inlineStr">
        <is>
          <t>outline</t>
        </is>
      </c>
      <c r="E670" s="5" t="n">
        <v>16</v>
      </c>
      <c r="F670" s="5" t="inlineStr">
        <is>
          <t>isolated_footing</t>
        </is>
      </c>
      <c r="G670" s="5" t="inlineStr">
        <is>
          <t>label vote</t>
        </is>
      </c>
      <c r="H670" s="5" t="inlineStr">
        <is>
          <t>S11</t>
        </is>
      </c>
      <c r="I670" s="5" t="inlineStr">
        <is>
          <t>printed label</t>
        </is>
      </c>
      <c r="J670" s="5" t="inlineStr">
        <is>
          <t>S11-127127</t>
        </is>
      </c>
      <c r="K670" s="5" t="n">
        <v>500</v>
      </c>
      <c r="L670" s="5" t="n">
        <v>400</v>
      </c>
      <c r="M670" s="10">
        <f>IF(AND(ISNUMBER(K670),L670&gt;0),K670/L670,"")</f>
        <v/>
      </c>
      <c r="N670" s="5" t="n">
        <v>20.003</v>
      </c>
      <c r="O670" s="5" t="n">
        <v>26.6</v>
      </c>
      <c r="P670" s="5" t="n">
        <v>2</v>
      </c>
      <c r="Q670" s="5" t="n">
        <v>0</v>
      </c>
      <c r="R670" s="5" t="n">
        <v>0</v>
      </c>
      <c r="S670" s="5" t="n">
        <v>0</v>
      </c>
      <c r="T670" s="5" t="n">
        <v>1</v>
      </c>
      <c r="U670" s="5" t="n">
        <v>15</v>
      </c>
      <c r="V670" s="5" t="n">
        <v>5</v>
      </c>
      <c r="W670" s="5" t="n"/>
      <c r="X670" s="5" t="inlineStr"/>
      <c r="Y670" s="5" t="n">
        <v>1784.4</v>
      </c>
      <c r="Z670" s="5" t="n">
        <v>2940.1</v>
      </c>
      <c r="AA670" s="5" t="n">
        <v>1969.3</v>
      </c>
      <c r="AB670" s="5" t="n">
        <v>3111.9</v>
      </c>
      <c r="AC670" s="5" t="inlineStr">
        <is>
          <t>isolated_footing</t>
        </is>
      </c>
      <c r="AD670" s="5">
        <f>IF(AC670="","",IF(OR(AC670=F670,AND(AC670="crane_footing",F670="isolated_footing")),"yes","no"))</f>
        <v/>
      </c>
    </row>
    <row r="671">
      <c r="A671" s="5" t="n">
        <v>670</v>
      </c>
      <c r="B671" s="5" t="inlineStr">
        <is>
          <t>127</t>
        </is>
      </c>
      <c r="C671" s="5" t="inlineStr">
        <is>
          <t>own label</t>
        </is>
      </c>
      <c r="D671" s="5" t="inlineStr">
        <is>
          <t>outline</t>
        </is>
      </c>
      <c r="E671" s="5" t="n">
        <v>16</v>
      </c>
      <c r="F671" s="5" t="inlineStr">
        <is>
          <t>isolated_footing</t>
        </is>
      </c>
      <c r="G671" s="5" t="inlineStr">
        <is>
          <t>label vote</t>
        </is>
      </c>
      <c r="H671" s="5" t="inlineStr">
        <is>
          <t>S16</t>
        </is>
      </c>
      <c r="I671" s="5" t="inlineStr">
        <is>
          <t>printed label</t>
        </is>
      </c>
      <c r="J671" s="5" t="inlineStr">
        <is>
          <t>S16-127</t>
        </is>
      </c>
      <c r="K671" s="5" t="n">
        <v>600</v>
      </c>
      <c r="L671" s="5" t="n">
        <v>400</v>
      </c>
      <c r="M671" s="10">
        <f>IF(AND(ISNUMBER(K671),L671&gt;0),K671/L671,"")</f>
        <v/>
      </c>
      <c r="N671" s="5" t="n">
        <v>24.005</v>
      </c>
      <c r="O671" s="5" t="n">
        <v>116.6</v>
      </c>
      <c r="P671" s="5" t="n">
        <v>1</v>
      </c>
      <c r="Q671" s="5" t="n">
        <v>0</v>
      </c>
      <c r="R671" s="5" t="n">
        <v>0</v>
      </c>
      <c r="S671" s="5" t="n">
        <v>0</v>
      </c>
      <c r="T671" s="5" t="n">
        <v>1</v>
      </c>
      <c r="U671" s="5" t="n">
        <v>16</v>
      </c>
      <c r="V671" s="5" t="n">
        <v>7</v>
      </c>
      <c r="W671" s="5" t="n"/>
      <c r="X671" s="5" t="inlineStr"/>
      <c r="Y671" s="5" t="n">
        <v>2148.6</v>
      </c>
      <c r="Z671" s="5" t="n">
        <v>2864.4</v>
      </c>
      <c r="AA671" s="5" t="n">
        <v>2333.6</v>
      </c>
      <c r="AB671" s="5" t="n">
        <v>3075.7</v>
      </c>
      <c r="AC671" s="5" t="inlineStr">
        <is>
          <t>isolated_footing</t>
        </is>
      </c>
      <c r="AD671" s="5">
        <f>IF(AC671="","",IF(OR(AC671=F671,AND(AC671="crane_footing",F671="isolated_footing")),"yes","no"))</f>
        <v/>
      </c>
    </row>
    <row r="672">
      <c r="A672" s="5" t="n">
        <v>671</v>
      </c>
      <c r="B672" s="5" t="inlineStr">
        <is>
          <t>127</t>
        </is>
      </c>
      <c r="C672" s="5" t="inlineStr">
        <is>
          <t>own label</t>
        </is>
      </c>
      <c r="D672" s="5" t="inlineStr">
        <is>
          <t>outline</t>
        </is>
      </c>
      <c r="E672" s="5" t="n">
        <v>16</v>
      </c>
      <c r="F672" s="5" t="inlineStr">
        <is>
          <t>isolated_footing</t>
        </is>
      </c>
      <c r="G672" s="5" t="inlineStr">
        <is>
          <t>label vote</t>
        </is>
      </c>
      <c r="H672" s="5" t="inlineStr">
        <is>
          <t>S16</t>
        </is>
      </c>
      <c r="I672" s="5" t="inlineStr">
        <is>
          <t>printed label</t>
        </is>
      </c>
      <c r="J672" s="5" t="inlineStr">
        <is>
          <t>S16-127</t>
        </is>
      </c>
      <c r="K672" s="5" t="n">
        <v>600</v>
      </c>
      <c r="L672" s="5" t="n">
        <v>400</v>
      </c>
      <c r="M672" s="10">
        <f>IF(AND(ISNUMBER(K672),L672&gt;0),K672/L672,"")</f>
        <v/>
      </c>
      <c r="N672" s="5" t="n">
        <v>23.997</v>
      </c>
      <c r="O672" s="5" t="n">
        <v>116.6</v>
      </c>
      <c r="P672" s="5" t="n">
        <v>1</v>
      </c>
      <c r="Q672" s="5" t="n">
        <v>0</v>
      </c>
      <c r="R672" s="5" t="n">
        <v>0</v>
      </c>
      <c r="S672" s="5" t="n">
        <v>0</v>
      </c>
      <c r="T672" s="5" t="n">
        <v>1</v>
      </c>
      <c r="U672" s="5" t="n">
        <v>10</v>
      </c>
      <c r="V672" s="5" t="n">
        <v>7</v>
      </c>
      <c r="W672" s="5" t="n"/>
      <c r="X672" s="5" t="inlineStr"/>
      <c r="Y672" s="5" t="n">
        <v>1928.1</v>
      </c>
      <c r="Z672" s="5" t="n">
        <v>2761.5</v>
      </c>
      <c r="AA672" s="5" t="n">
        <v>2113.1</v>
      </c>
      <c r="AB672" s="5" t="n">
        <v>2972.9</v>
      </c>
      <c r="AC672" s="5" t="inlineStr">
        <is>
          <t>isolated_footing</t>
        </is>
      </c>
      <c r="AD672" s="5">
        <f>IF(AC672="","",IF(OR(AC672=F672,AND(AC672="crane_footing",F672="isolated_footing")),"yes","no"))</f>
        <v/>
      </c>
    </row>
    <row r="673">
      <c r="A673" s="5" t="n">
        <v>672</v>
      </c>
      <c r="B673" s="5" t="inlineStr">
        <is>
          <t>127</t>
        </is>
      </c>
      <c r="C673" s="5" t="inlineStr">
        <is>
          <t>own label</t>
        </is>
      </c>
      <c r="D673" s="5" t="inlineStr">
        <is>
          <t>outline</t>
        </is>
      </c>
      <c r="E673" s="5" t="n">
        <v>17</v>
      </c>
      <c r="F673" s="5" t="inlineStr">
        <is>
          <t>isolated_footing</t>
        </is>
      </c>
      <c r="G673" s="5" t="inlineStr">
        <is>
          <t>label vote</t>
        </is>
      </c>
      <c r="H673" s="5" t="inlineStr">
        <is>
          <t>S2</t>
        </is>
      </c>
      <c r="I673" s="5" t="inlineStr">
        <is>
          <t>printed label</t>
        </is>
      </c>
      <c r="J673" s="5" t="inlineStr">
        <is>
          <t>S2-127127</t>
        </is>
      </c>
      <c r="K673" s="5" t="n">
        <v>350</v>
      </c>
      <c r="L673" s="5" t="n">
        <v>200</v>
      </c>
      <c r="M673" s="10">
        <f>IF(AND(ISNUMBER(K673),L673&gt;0),K673/L673,"")</f>
        <v/>
      </c>
      <c r="N673" s="5" t="n">
        <v>7.004</v>
      </c>
      <c r="O673" s="5" t="n">
        <v>116.6</v>
      </c>
      <c r="P673" s="5" t="n">
        <v>1</v>
      </c>
      <c r="Q673" s="5" t="n">
        <v>0</v>
      </c>
      <c r="R673" s="5" t="n">
        <v>0</v>
      </c>
      <c r="S673" s="5" t="n">
        <v>0</v>
      </c>
      <c r="T673" s="5" t="n">
        <v>1</v>
      </c>
      <c r="U673" s="5" t="n">
        <v>3</v>
      </c>
      <c r="V673" s="5" t="n">
        <v>8</v>
      </c>
      <c r="W673" s="5" t="n"/>
      <c r="X673" s="5" t="inlineStr"/>
      <c r="Y673" s="5" t="n">
        <v>2349.5</v>
      </c>
      <c r="Z673" s="5" t="n">
        <v>2704.3</v>
      </c>
      <c r="AA673" s="5" t="n">
        <v>2448.6</v>
      </c>
      <c r="AB673" s="5" t="n">
        <v>2823.2</v>
      </c>
      <c r="AC673" s="5" t="inlineStr">
        <is>
          <t>isolated_footing</t>
        </is>
      </c>
      <c r="AD673" s="5">
        <f>IF(AC673="","",IF(OR(AC673=F673,AND(AC673="crane_footing",F673="isolated_footing")),"yes","no"))</f>
        <v/>
      </c>
    </row>
    <row r="674">
      <c r="A674" s="5" t="n">
        <v>673</v>
      </c>
      <c r="B674" s="5" t="inlineStr">
        <is>
          <t>127</t>
        </is>
      </c>
      <c r="C674" s="5" t="inlineStr">
        <is>
          <t>own label</t>
        </is>
      </c>
      <c r="D674" s="5" t="inlineStr">
        <is>
          <t>outline</t>
        </is>
      </c>
      <c r="E674" s="5" t="n">
        <v>17</v>
      </c>
      <c r="F674" s="5" t="inlineStr">
        <is>
          <t>isolated_footing</t>
        </is>
      </c>
      <c r="G674" s="5" t="inlineStr">
        <is>
          <t>label vote</t>
        </is>
      </c>
      <c r="H674" s="5" t="inlineStr">
        <is>
          <t>S2</t>
        </is>
      </c>
      <c r="I674" s="5" t="inlineStr">
        <is>
          <t>printed label</t>
        </is>
      </c>
      <c r="J674" s="5" t="inlineStr">
        <is>
          <t>S2-127</t>
        </is>
      </c>
      <c r="K674" s="5" t="n">
        <v>350</v>
      </c>
      <c r="L674" s="5" t="n">
        <v>200</v>
      </c>
      <c r="M674" s="10">
        <f>IF(AND(ISNUMBER(K674),L674&gt;0),K674/L674,"")</f>
        <v/>
      </c>
      <c r="N674" s="5" t="n">
        <v>7.004</v>
      </c>
      <c r="O674" s="5" t="n">
        <v>116.6</v>
      </c>
      <c r="P674" s="5" t="n">
        <v>1</v>
      </c>
      <c r="Q674" s="5" t="n">
        <v>0</v>
      </c>
      <c r="R674" s="5" t="n">
        <v>0</v>
      </c>
      <c r="S674" s="5" t="n">
        <v>0</v>
      </c>
      <c r="T674" s="5" t="n">
        <v>1</v>
      </c>
      <c r="U674" s="5" t="n">
        <v>43</v>
      </c>
      <c r="V674" s="5" t="n">
        <v>5</v>
      </c>
      <c r="W674" s="5" t="n"/>
      <c r="X674" s="5" t="inlineStr"/>
      <c r="Y674" s="5" t="n">
        <v>2247.2</v>
      </c>
      <c r="Z674" s="5" t="n">
        <v>3000.4</v>
      </c>
      <c r="AA674" s="5" t="n">
        <v>2346.3</v>
      </c>
      <c r="AB674" s="5" t="n">
        <v>3119.2</v>
      </c>
      <c r="AC674" s="5" t="inlineStr">
        <is>
          <t>isolated_footing</t>
        </is>
      </c>
      <c r="AD674" s="5">
        <f>IF(AC674="","",IF(OR(AC674=F674,AND(AC674="crane_footing",F674="isolated_footing")),"yes","no"))</f>
        <v/>
      </c>
    </row>
    <row r="675">
      <c r="A675" s="5" t="n">
        <v>674</v>
      </c>
      <c r="B675" s="5" t="inlineStr">
        <is>
          <t>127</t>
        </is>
      </c>
      <c r="C675" s="5" t="inlineStr">
        <is>
          <t>own label</t>
        </is>
      </c>
      <c r="D675" s="5" t="inlineStr">
        <is>
          <t>outline</t>
        </is>
      </c>
      <c r="E675" s="5" t="n">
        <v>17</v>
      </c>
      <c r="F675" s="5" t="inlineStr">
        <is>
          <t>isolated_footing</t>
        </is>
      </c>
      <c r="G675" s="5" t="inlineStr">
        <is>
          <t>label vote</t>
        </is>
      </c>
      <c r="H675" s="5" t="inlineStr">
        <is>
          <t>S2</t>
        </is>
      </c>
      <c r="I675" s="5" t="inlineStr">
        <is>
          <t>printed label</t>
        </is>
      </c>
      <c r="J675" s="5" t="inlineStr">
        <is>
          <t>S2-127127</t>
        </is>
      </c>
      <c r="K675" s="5" t="n">
        <v>350</v>
      </c>
      <c r="L675" s="5" t="n">
        <v>200</v>
      </c>
      <c r="M675" s="10">
        <f>IF(AND(ISNUMBER(K675),L675&gt;0),K675/L675,"")</f>
        <v/>
      </c>
      <c r="N675" s="5" t="n">
        <v>6.997</v>
      </c>
      <c r="O675" s="5" t="n">
        <v>116.6</v>
      </c>
      <c r="P675" s="5" t="n">
        <v>1</v>
      </c>
      <c r="Q675" s="5" t="n">
        <v>0</v>
      </c>
      <c r="R675" s="5" t="n">
        <v>0</v>
      </c>
      <c r="S675" s="5" t="n">
        <v>0</v>
      </c>
      <c r="T675" s="5" t="n">
        <v>1</v>
      </c>
      <c r="U675" s="5" t="n">
        <v>3</v>
      </c>
      <c r="V675" s="5" t="n">
        <v>5</v>
      </c>
      <c r="W675" s="5" t="n"/>
      <c r="X675" s="5" t="inlineStr"/>
      <c r="Y675" s="5" t="n">
        <v>2125.2</v>
      </c>
      <c r="Z675" s="5" t="n">
        <v>2591.8</v>
      </c>
      <c r="AA675" s="5" t="n">
        <v>2224.3</v>
      </c>
      <c r="AB675" s="5" t="n">
        <v>2710.7</v>
      </c>
      <c r="AC675" s="5" t="inlineStr">
        <is>
          <t>isolated_footing</t>
        </is>
      </c>
      <c r="AD675" s="5">
        <f>IF(AC675="","",IF(OR(AC675=F675,AND(AC675="crane_footing",F675="isolated_footing")),"yes","no"))</f>
        <v/>
      </c>
    </row>
    <row r="676">
      <c r="A676" s="5" t="n">
        <v>675</v>
      </c>
      <c r="B676" s="5" t="inlineStr">
        <is>
          <t>127</t>
        </is>
      </c>
      <c r="C676" s="5" t="inlineStr">
        <is>
          <t>nearest labels</t>
        </is>
      </c>
      <c r="D676" s="5" t="inlineStr">
        <is>
          <t>outline</t>
        </is>
      </c>
      <c r="E676" s="5" t="n">
        <v>23</v>
      </c>
      <c r="F676" s="5" t="inlineStr">
        <is>
          <t>combined_footing</t>
        </is>
      </c>
      <c r="G676" s="5" t="inlineStr">
        <is>
          <t>similar to cluster 15 (distance 0.87)</t>
        </is>
      </c>
      <c r="H676" s="5" t="inlineStr">
        <is>
          <t>SC2</t>
        </is>
      </c>
      <c r="I676" s="5" t="inlineStr">
        <is>
          <t>printed label</t>
        </is>
      </c>
      <c r="J676" s="5" t="inlineStr">
        <is>
          <t>SC2-</t>
        </is>
      </c>
      <c r="K676" s="5" t="n">
        <v>350</v>
      </c>
      <c r="L676" s="5" t="n">
        <v>200</v>
      </c>
      <c r="M676" s="10">
        <f>IF(AND(ISNUMBER(K676),L676&gt;0),K676/L676,"")</f>
        <v/>
      </c>
      <c r="N676" s="5" t="n">
        <v>7</v>
      </c>
      <c r="O676" s="5" t="n">
        <v>116.6</v>
      </c>
      <c r="P676" s="5" t="n">
        <v>2</v>
      </c>
      <c r="Q676" s="5" t="n">
        <v>0</v>
      </c>
      <c r="R676" s="5" t="n">
        <v>0</v>
      </c>
      <c r="S676" s="5" t="n">
        <v>0</v>
      </c>
      <c r="T676" s="5" t="n">
        <v>2</v>
      </c>
      <c r="U676" s="5" t="n">
        <v>5</v>
      </c>
      <c r="V676" s="5" t="n">
        <v>4</v>
      </c>
      <c r="W676" s="5" t="n"/>
      <c r="X676" s="5" t="inlineStr"/>
      <c r="Y676" s="5" t="n">
        <v>1910.1</v>
      </c>
      <c r="Z676" s="5" t="n">
        <v>2475.6</v>
      </c>
      <c r="AA676" s="5" t="n">
        <v>2009.3</v>
      </c>
      <c r="AB676" s="5" t="n">
        <v>2594.4</v>
      </c>
      <c r="AC676" s="5" t="inlineStr">
        <is>
          <t>combined_footing</t>
        </is>
      </c>
      <c r="AD676" s="5">
        <f>IF(AC676="","",IF(OR(AC676=F676,AND(AC676="crane_footing",F676="isolated_footing")),"yes","no"))</f>
        <v/>
      </c>
    </row>
    <row r="677">
      <c r="A677" s="5" t="n">
        <v>676</v>
      </c>
      <c r="B677" s="5" t="inlineStr">
        <is>
          <t>127</t>
        </is>
      </c>
      <c r="C677" s="5" t="inlineStr">
        <is>
          <t>nearest labels</t>
        </is>
      </c>
      <c r="D677" s="5" t="inlineStr">
        <is>
          <t>outline</t>
        </is>
      </c>
      <c r="E677" s="5" t="n">
        <v>15</v>
      </c>
      <c r="F677" s="5" t="inlineStr">
        <is>
          <t>combined_footing</t>
        </is>
      </c>
      <c r="G677" s="5" t="inlineStr">
        <is>
          <t>label vote</t>
        </is>
      </c>
      <c r="H677" s="5" t="inlineStr">
        <is>
          <t>SC3</t>
        </is>
      </c>
      <c r="I677" s="5" t="inlineStr">
        <is>
          <t>printed label</t>
        </is>
      </c>
      <c r="J677" s="5" t="inlineStr">
        <is>
          <t>SC3</t>
        </is>
      </c>
      <c r="K677" s="5" t="n">
        <v>500</v>
      </c>
      <c r="L677" s="5" t="n">
        <v>450</v>
      </c>
      <c r="M677" s="10">
        <f>IF(AND(ISNUMBER(K677),L677&gt;0),K677/L677,"")</f>
        <v/>
      </c>
      <c r="N677" s="5" t="n">
        <v>22.503</v>
      </c>
      <c r="O677" s="5" t="n">
        <v>116.6</v>
      </c>
      <c r="P677" s="5" t="n">
        <v>2</v>
      </c>
      <c r="Q677" s="5" t="n">
        <v>0</v>
      </c>
      <c r="R677" s="5" t="n">
        <v>0</v>
      </c>
      <c r="S677" s="5" t="n">
        <v>0</v>
      </c>
      <c r="T677" s="5" t="n">
        <v>2</v>
      </c>
      <c r="U677" s="5" t="n">
        <v>26</v>
      </c>
      <c r="V677" s="5" t="n">
        <v>5</v>
      </c>
      <c r="W677" s="5" t="n"/>
      <c r="X677" s="5" t="inlineStr"/>
      <c r="Y677" s="5" t="n">
        <v>2417.1</v>
      </c>
      <c r="Z677" s="5" t="n">
        <v>3004</v>
      </c>
      <c r="AA677" s="5" t="n">
        <v>2602.1</v>
      </c>
      <c r="AB677" s="5" t="n">
        <v>3195.5</v>
      </c>
      <c r="AC677" s="5" t="inlineStr">
        <is>
          <t>combined_footing</t>
        </is>
      </c>
      <c r="AD677" s="5">
        <f>IF(AC677="","",IF(OR(AC677=F677,AND(AC677="crane_footing",F677="isolated_footing")),"yes","no"))</f>
        <v/>
      </c>
    </row>
    <row r="678">
      <c r="A678" s="5" t="n">
        <v>677</v>
      </c>
      <c r="B678" s="5" t="inlineStr">
        <is>
          <t>127</t>
        </is>
      </c>
      <c r="C678" s="5" t="inlineStr">
        <is>
          <t>region between joints</t>
        </is>
      </c>
      <c r="D678" s="5" t="inlineStr">
        <is>
          <t>band</t>
        </is>
      </c>
      <c r="E678" s="5" t="n">
        <v>6</v>
      </c>
      <c r="F678" s="5" t="inlineStr">
        <is>
          <t>strip_footing</t>
        </is>
      </c>
      <c r="G678" s="5" t="inlineStr">
        <is>
          <t>label vote</t>
        </is>
      </c>
      <c r="H678" s="5" t="inlineStr">
        <is>
          <t>(none)</t>
        </is>
      </c>
      <c r="I678" s="5" t="inlineStr"/>
      <c r="J678" s="5" t="inlineStr"/>
      <c r="K678" s="5" t="n">
        <v>1267</v>
      </c>
      <c r="L678" s="5" t="n">
        <v>80</v>
      </c>
      <c r="M678" s="10">
        <f>IF(AND(ISNUMBER(K678),L678&gt;0),K678/L678,"")</f>
        <v/>
      </c>
      <c r="N678" s="5" t="n">
        <v>10.136</v>
      </c>
      <c r="O678" s="5" t="n">
        <v>116.6</v>
      </c>
      <c r="P678" s="5" t="n">
        <v>1</v>
      </c>
      <c r="Q678" s="5" t="n">
        <v>0</v>
      </c>
      <c r="R678" s="5" t="n">
        <v>0</v>
      </c>
      <c r="S678" s="5" t="n">
        <v>0</v>
      </c>
      <c r="T678" s="5" t="n">
        <v>0</v>
      </c>
      <c r="U678" s="5" t="n">
        <v>29</v>
      </c>
      <c r="V678" s="5" t="n">
        <v>7</v>
      </c>
      <c r="W678" s="5" t="n">
        <v>12.67</v>
      </c>
      <c r="X678" s="5" t="inlineStr"/>
      <c r="Y678" s="5" t="n">
        <v>2138.5</v>
      </c>
      <c r="Z678" s="5" t="n">
        <v>3135</v>
      </c>
      <c r="AA678" s="5" t="n">
        <v>2327.3</v>
      </c>
      <c r="AB678" s="5" t="n">
        <v>3479.9</v>
      </c>
      <c r="AC678" s="5" t="inlineStr"/>
      <c r="AD678" s="5">
        <f>IF(AC678="","",IF(OR(AC678=F678,AND(AC678="crane_footing",F678="isolated_footing")),"yes","no"))</f>
        <v/>
      </c>
    </row>
    <row r="679">
      <c r="A679" s="5" t="n">
        <v>678</v>
      </c>
      <c r="B679" s="5" t="inlineStr">
        <is>
          <t>127</t>
        </is>
      </c>
      <c r="C679" s="5" t="inlineStr">
        <is>
          <t>region between joints</t>
        </is>
      </c>
      <c r="D679" s="5" t="inlineStr">
        <is>
          <t>band</t>
        </is>
      </c>
      <c r="E679" s="5" t="n">
        <v>6</v>
      </c>
      <c r="F679" s="5" t="inlineStr">
        <is>
          <t>strip_footing</t>
        </is>
      </c>
      <c r="G679" s="5" t="inlineStr">
        <is>
          <t>label vote</t>
        </is>
      </c>
      <c r="H679" s="5" t="inlineStr">
        <is>
          <t>SF1</t>
        </is>
      </c>
      <c r="I679" s="5" t="inlineStr">
        <is>
          <t>printed label</t>
        </is>
      </c>
      <c r="J679" s="5" t="inlineStr">
        <is>
          <t>VP20-SF1-80x25</t>
        </is>
      </c>
      <c r="K679" s="5" t="n">
        <v>5798</v>
      </c>
      <c r="L679" s="5" t="n">
        <v>80</v>
      </c>
      <c r="M679" s="10">
        <f>IF(AND(ISNUMBER(K679),L679&gt;0),K679/L679,"")</f>
        <v/>
      </c>
      <c r="N679" s="5" t="n">
        <v>46.382</v>
      </c>
      <c r="O679" s="5" t="n">
        <v>26.6</v>
      </c>
      <c r="P679" s="5" t="n">
        <v>3</v>
      </c>
      <c r="Q679" s="5" t="n">
        <v>0</v>
      </c>
      <c r="R679" s="5" t="n">
        <v>0</v>
      </c>
      <c r="S679" s="5" t="n">
        <v>0</v>
      </c>
      <c r="T679" s="5" t="n">
        <v>3</v>
      </c>
      <c r="U679" s="5" t="n">
        <v>43</v>
      </c>
      <c r="V679" s="5" t="n">
        <v>40</v>
      </c>
      <c r="W679" s="5" t="n">
        <v>57.98</v>
      </c>
      <c r="X679" s="5" t="inlineStr"/>
      <c r="Y679" s="5" t="n">
        <v>1532.5</v>
      </c>
      <c r="Z679" s="5" t="n">
        <v>2163.8</v>
      </c>
      <c r="AA679" s="5" t="n">
        <v>3074.1</v>
      </c>
      <c r="AB679" s="5" t="n">
        <v>2950.7</v>
      </c>
      <c r="AC679" s="5" t="inlineStr"/>
      <c r="AD679" s="5">
        <f>IF(AC679="","",IF(OR(AC679=F679,AND(AC679="crane_footing",F679="isolated_footing")),"yes","no"))</f>
        <v/>
      </c>
    </row>
    <row r="680">
      <c r="A680" s="5" t="n">
        <v>679</v>
      </c>
      <c r="B680" s="5" t="inlineStr">
        <is>
          <t>127</t>
        </is>
      </c>
      <c r="C680" s="5" t="inlineStr">
        <is>
          <t>region between joints</t>
        </is>
      </c>
      <c r="D680" s="5" t="inlineStr">
        <is>
          <t>band</t>
        </is>
      </c>
      <c r="E680" s="5" t="n">
        <v>6</v>
      </c>
      <c r="F680" s="5" t="inlineStr">
        <is>
          <t>strip_footing</t>
        </is>
      </c>
      <c r="G680" s="5" t="inlineStr">
        <is>
          <t>label vote</t>
        </is>
      </c>
      <c r="H680" s="5" t="inlineStr">
        <is>
          <t>SF1</t>
        </is>
      </c>
      <c r="I680" s="5" t="inlineStr">
        <is>
          <t>printed label</t>
        </is>
      </c>
      <c r="J680" s="5" t="inlineStr">
        <is>
          <t>VP20-SF1 80x25</t>
        </is>
      </c>
      <c r="K680" s="5" t="n">
        <v>387</v>
      </c>
      <c r="L680" s="5" t="n">
        <v>80</v>
      </c>
      <c r="M680" s="10">
        <f>IF(AND(ISNUMBER(K680),L680&gt;0),K680/L680,"")</f>
        <v/>
      </c>
      <c r="N680" s="5" t="n">
        <v>3.096</v>
      </c>
      <c r="O680" s="5" t="n">
        <v>26.6</v>
      </c>
      <c r="P680" s="5" t="n">
        <v>1</v>
      </c>
      <c r="Q680" s="5" t="n">
        <v>0</v>
      </c>
      <c r="R680" s="5" t="n">
        <v>0</v>
      </c>
      <c r="S680" s="5" t="n">
        <v>0</v>
      </c>
      <c r="T680" s="5" t="n">
        <v>1</v>
      </c>
      <c r="U680" s="5" t="n">
        <v>4</v>
      </c>
      <c r="V680" s="5" t="n">
        <v>1</v>
      </c>
      <c r="W680" s="5" t="n">
        <v>3.82</v>
      </c>
      <c r="X680" s="5" t="inlineStr"/>
      <c r="Y680" s="5" t="n">
        <v>2257.9</v>
      </c>
      <c r="Z680" s="5" t="n">
        <v>3210.3</v>
      </c>
      <c r="AA680" s="5" t="n">
        <v>2370.6</v>
      </c>
      <c r="AB680" s="5" t="n">
        <v>3282.6</v>
      </c>
      <c r="AC680" s="5" t="inlineStr"/>
      <c r="AD680" s="5">
        <f>IF(AC680="","",IF(OR(AC680=F680,AND(AC680="crane_footing",F680="isolated_footing")),"yes","no"))</f>
        <v/>
      </c>
    </row>
    <row r="681">
      <c r="A681" s="5" t="n">
        <v>680</v>
      </c>
      <c r="B681" s="5" t="inlineStr">
        <is>
          <t>127</t>
        </is>
      </c>
      <c r="C681" s="5" t="inlineStr">
        <is>
          <t>region between joints</t>
        </is>
      </c>
      <c r="D681" s="5" t="inlineStr">
        <is>
          <t>band</t>
        </is>
      </c>
      <c r="E681" s="5" t="n">
        <v>4</v>
      </c>
      <c r="F681" s="5" t="inlineStr">
        <is>
          <t>grade_beam</t>
        </is>
      </c>
      <c r="G681" s="5" t="inlineStr">
        <is>
          <t>label vote</t>
        </is>
      </c>
      <c r="H681" s="5" t="inlineStr">
        <is>
          <t>LG40x15</t>
        </is>
      </c>
      <c r="I681" s="5" t="inlineStr">
        <is>
          <t>printed label</t>
        </is>
      </c>
      <c r="J681" s="5" t="inlineStr">
        <is>
          <t>LG-40x15</t>
        </is>
      </c>
      <c r="K681" s="5" t="n">
        <v>2475</v>
      </c>
      <c r="L681" s="5" t="n">
        <v>41</v>
      </c>
      <c r="M681" s="10">
        <f>IF(AND(ISNUMBER(K681),L681&gt;0),K681/L681,"")</f>
        <v/>
      </c>
      <c r="N681" s="5" t="n">
        <v>10.147</v>
      </c>
      <c r="O681" s="5" t="n">
        <v>26.6</v>
      </c>
      <c r="P681" s="5" t="n">
        <v>4</v>
      </c>
      <c r="Q681" s="5" t="n">
        <v>0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17</v>
      </c>
      <c r="W681" s="5" t="n">
        <v>14.8</v>
      </c>
      <c r="X681" s="5" t="inlineStr"/>
      <c r="Y681" s="5" t="n">
        <v>1847.1</v>
      </c>
      <c r="Z681" s="5" t="n">
        <v>2760.1</v>
      </c>
      <c r="AA681" s="5" t="n">
        <v>2505.7</v>
      </c>
      <c r="AB681" s="5" t="n">
        <v>3098.5</v>
      </c>
      <c r="AC681" s="5" t="inlineStr"/>
      <c r="AD681" s="5">
        <f>IF(AC681="","",IF(OR(AC681=F681,AND(AC681="crane_footing",F681="isolated_footing")),"yes","no"))</f>
        <v/>
      </c>
    </row>
    <row r="682">
      <c r="A682" s="5" t="n">
        <v>681</v>
      </c>
      <c r="B682" s="5" t="inlineStr">
        <is>
          <t>127</t>
        </is>
      </c>
      <c r="C682" s="5" t="inlineStr">
        <is>
          <t>region between joints</t>
        </is>
      </c>
      <c r="D682" s="5" t="inlineStr">
        <is>
          <t>band</t>
        </is>
      </c>
      <c r="E682" s="5" t="n">
        <v>4</v>
      </c>
      <c r="F682" s="5" t="inlineStr">
        <is>
          <t>grade_beam</t>
        </is>
      </c>
      <c r="G682" s="5" t="inlineStr">
        <is>
          <t>label vote</t>
        </is>
      </c>
      <c r="H682" s="5" t="inlineStr">
        <is>
          <t>LG40x15</t>
        </is>
      </c>
      <c r="I682" s="5" t="inlineStr">
        <is>
          <t>printed label</t>
        </is>
      </c>
      <c r="J682" s="5" t="inlineStr">
        <is>
          <t>LG-40x15</t>
        </is>
      </c>
      <c r="K682" s="5" t="n">
        <v>2472</v>
      </c>
      <c r="L682" s="5" t="n">
        <v>41</v>
      </c>
      <c r="M682" s="10">
        <f>IF(AND(ISNUMBER(K682),L682&gt;0),K682/L682,"")</f>
        <v/>
      </c>
      <c r="N682" s="5" t="n">
        <v>10.137</v>
      </c>
      <c r="O682" s="5" t="n">
        <v>26.6</v>
      </c>
      <c r="P682" s="5" t="n">
        <v>4</v>
      </c>
      <c r="Q682" s="5" t="n">
        <v>0</v>
      </c>
      <c r="R682" s="5" t="n">
        <v>0</v>
      </c>
      <c r="S682" s="5" t="n">
        <v>0</v>
      </c>
      <c r="T682" s="5" t="n">
        <v>0</v>
      </c>
      <c r="U682" s="5" t="n">
        <v>134</v>
      </c>
      <c r="V682" s="5" t="n">
        <v>25</v>
      </c>
      <c r="W682" s="5" t="n">
        <v>11.52</v>
      </c>
      <c r="X682" s="5" t="inlineStr"/>
      <c r="Y682" s="5" t="n">
        <v>1964.8</v>
      </c>
      <c r="Z682" s="5" t="n">
        <v>2530.2</v>
      </c>
      <c r="AA682" s="5" t="n">
        <v>2622.8</v>
      </c>
      <c r="AB682" s="5" t="n">
        <v>2868.3</v>
      </c>
      <c r="AC682" s="5" t="inlineStr"/>
      <c r="AD682" s="5">
        <f>IF(AC682="","",IF(OR(AC682=F682,AND(AC682="crane_footing",F682="isolated_footing")),"yes","no"))</f>
        <v/>
      </c>
    </row>
    <row r="683">
      <c r="A683" s="5" t="n">
        <v>682</v>
      </c>
      <c r="B683" s="5" t="inlineStr">
        <is>
          <t>127</t>
        </is>
      </c>
      <c r="C683" s="5" t="inlineStr">
        <is>
          <t>region between joints</t>
        </is>
      </c>
      <c r="D683" s="5" t="inlineStr">
        <is>
          <t>band</t>
        </is>
      </c>
      <c r="E683" s="5" t="n">
        <v>4</v>
      </c>
      <c r="F683" s="5" t="inlineStr">
        <is>
          <t>grade_beam</t>
        </is>
      </c>
      <c r="G683" s="5" t="inlineStr">
        <is>
          <t>label vote</t>
        </is>
      </c>
      <c r="H683" s="5" t="inlineStr">
        <is>
          <t>LG40x15</t>
        </is>
      </c>
      <c r="I683" s="5" t="inlineStr">
        <is>
          <t>printed label</t>
        </is>
      </c>
      <c r="J683" s="5" t="inlineStr">
        <is>
          <t>LG-40x15</t>
        </is>
      </c>
      <c r="K683" s="5" t="n">
        <v>2049</v>
      </c>
      <c r="L683" s="5" t="n">
        <v>41</v>
      </c>
      <c r="M683" s="10">
        <f>IF(AND(ISNUMBER(K683),L683&gt;0),K683/L683,"")</f>
        <v/>
      </c>
      <c r="N683" s="5" t="n">
        <v>8.401999999999999</v>
      </c>
      <c r="O683" s="5" t="n">
        <v>116.6</v>
      </c>
      <c r="P683" s="5" t="n">
        <v>5</v>
      </c>
      <c r="Q683" s="5" t="n">
        <v>0</v>
      </c>
      <c r="R683" s="5" t="n">
        <v>0</v>
      </c>
      <c r="S683" s="5" t="n">
        <v>0</v>
      </c>
      <c r="T683" s="5" t="n">
        <v>2</v>
      </c>
      <c r="U683" s="5" t="n">
        <v>13</v>
      </c>
      <c r="V683" s="5" t="n">
        <v>7</v>
      </c>
      <c r="W683" s="5" t="n">
        <v>14.7</v>
      </c>
      <c r="X683" s="5" t="inlineStr"/>
      <c r="Y683" s="5" t="n">
        <v>1748.2</v>
      </c>
      <c r="Z683" s="5" t="n">
        <v>2418.6</v>
      </c>
      <c r="AA683" s="5" t="n">
        <v>2030.3</v>
      </c>
      <c r="AB683" s="5" t="n">
        <v>2964.9</v>
      </c>
      <c r="AC683" s="5" t="inlineStr"/>
      <c r="AD683" s="5">
        <f>IF(AC683="","",IF(OR(AC683=F683,AND(AC683="crane_footing",F683="isolated_footing")),"yes","no"))</f>
        <v/>
      </c>
    </row>
    <row r="684">
      <c r="A684" s="5" t="n">
        <v>683</v>
      </c>
      <c r="B684" s="5" t="inlineStr">
        <is>
          <t>127</t>
        </is>
      </c>
      <c r="C684" s="5" t="inlineStr">
        <is>
          <t>region between joints</t>
        </is>
      </c>
      <c r="D684" s="5" t="inlineStr">
        <is>
          <t>band</t>
        </is>
      </c>
      <c r="E684" s="5" t="n">
        <v>4</v>
      </c>
      <c r="F684" s="5" t="inlineStr">
        <is>
          <t>grade_beam</t>
        </is>
      </c>
      <c r="G684" s="5" t="inlineStr">
        <is>
          <t>label vote</t>
        </is>
      </c>
      <c r="H684" s="5" t="inlineStr">
        <is>
          <t>LG40x15</t>
        </is>
      </c>
      <c r="I684" s="5" t="inlineStr">
        <is>
          <t>printed label</t>
        </is>
      </c>
      <c r="J684" s="5" t="inlineStr">
        <is>
          <t>LG-40x15</t>
        </is>
      </c>
      <c r="K684" s="5" t="n">
        <v>2048</v>
      </c>
      <c r="L684" s="5" t="n">
        <v>41</v>
      </c>
      <c r="M684" s="10">
        <f>IF(AND(ISNUMBER(K684),L684&gt;0),K684/L684,"")</f>
        <v/>
      </c>
      <c r="N684" s="5" t="n">
        <v>8.395</v>
      </c>
      <c r="O684" s="5" t="n">
        <v>116.6</v>
      </c>
      <c r="P684" s="5" t="n">
        <v>4</v>
      </c>
      <c r="Q684" s="5" t="n">
        <v>0</v>
      </c>
      <c r="R684" s="5" t="n">
        <v>0</v>
      </c>
      <c r="S684" s="5" t="n">
        <v>0</v>
      </c>
      <c r="T684" s="5" t="n">
        <v>2</v>
      </c>
      <c r="U684" s="5" t="n">
        <v>11</v>
      </c>
      <c r="V684" s="5" t="n">
        <v>10</v>
      </c>
      <c r="W684" s="5" t="n">
        <v>9.960000000000001</v>
      </c>
      <c r="X684" s="5" t="inlineStr"/>
      <c r="Y684" s="5" t="n">
        <v>2400.7</v>
      </c>
      <c r="Z684" s="5" t="n">
        <v>2746.3</v>
      </c>
      <c r="AA684" s="5" t="n">
        <v>2682.6</v>
      </c>
      <c r="AB684" s="5" t="n">
        <v>3292.1</v>
      </c>
      <c r="AC684" s="5" t="inlineStr"/>
      <c r="AD684" s="5">
        <f>IF(AC684="","",IF(OR(AC684=F684,AND(AC684="crane_footing",F684="isolated_footing")),"yes","no"))</f>
        <v/>
      </c>
    </row>
    <row r="685">
      <c r="A685" s="5" t="n">
        <v>684</v>
      </c>
      <c r="B685" s="5" t="inlineStr">
        <is>
          <t>127</t>
        </is>
      </c>
      <c r="C685" s="5" t="inlineStr">
        <is>
          <t>region between joints</t>
        </is>
      </c>
      <c r="D685" s="5" t="inlineStr">
        <is>
          <t>band</t>
        </is>
      </c>
      <c r="E685" s="5" t="n">
        <v>4</v>
      </c>
      <c r="F685" s="5" t="inlineStr">
        <is>
          <t>grade_beam</t>
        </is>
      </c>
      <c r="G685" s="5" t="inlineStr">
        <is>
          <t>label vote</t>
        </is>
      </c>
      <c r="H685" s="5" t="inlineStr">
        <is>
          <t>LG40x15</t>
        </is>
      </c>
      <c r="I685" s="5" t="inlineStr">
        <is>
          <t>printed label</t>
        </is>
      </c>
      <c r="J685" s="5" t="inlineStr">
        <is>
          <t>LG-40x15</t>
        </is>
      </c>
      <c r="K685" s="5" t="n">
        <v>1286</v>
      </c>
      <c r="L685" s="5" t="n">
        <v>41</v>
      </c>
      <c r="M685" s="10">
        <f>IF(AND(ISNUMBER(K685),L685&gt;0),K685/L685,"")</f>
        <v/>
      </c>
      <c r="N685" s="5" t="n">
        <v>5.273</v>
      </c>
      <c r="O685" s="5" t="n">
        <v>116.6</v>
      </c>
      <c r="P685" s="5" t="n">
        <v>1</v>
      </c>
      <c r="Q685" s="5" t="n">
        <v>0</v>
      </c>
      <c r="R685" s="5" t="n">
        <v>0</v>
      </c>
      <c r="S685" s="5" t="n">
        <v>0</v>
      </c>
      <c r="T685" s="5" t="n">
        <v>1</v>
      </c>
      <c r="U685" s="5" t="n">
        <v>8</v>
      </c>
      <c r="V685" s="5" t="n">
        <v>14</v>
      </c>
      <c r="W685" s="5" t="n">
        <v>2.01</v>
      </c>
      <c r="X685" s="5" t="inlineStr"/>
      <c r="Y685" s="5" t="n">
        <v>2271.6</v>
      </c>
      <c r="Z685" s="5" t="n">
        <v>2631</v>
      </c>
      <c r="AA685" s="5" t="n">
        <v>2452.7</v>
      </c>
      <c r="AB685" s="5" t="n">
        <v>2975.9</v>
      </c>
      <c r="AC685" s="5" t="inlineStr"/>
      <c r="AD685" s="5">
        <f>IF(AC685="","",IF(OR(AC685=F685,AND(AC685="crane_footing",F685="isolated_footing")),"yes","no"))</f>
        <v/>
      </c>
    </row>
    <row r="686">
      <c r="A686" s="5" t="n">
        <v>685</v>
      </c>
      <c r="B686" s="5" t="inlineStr">
        <is>
          <t>127</t>
        </is>
      </c>
      <c r="C686" s="5" t="inlineStr">
        <is>
          <t>region between joints</t>
        </is>
      </c>
      <c r="D686" s="5" t="inlineStr">
        <is>
          <t>band</t>
        </is>
      </c>
      <c r="E686" s="5" t="n">
        <v>4</v>
      </c>
      <c r="F686" s="5" t="inlineStr">
        <is>
          <t>grade_beam</t>
        </is>
      </c>
      <c r="G686" s="5" t="inlineStr">
        <is>
          <t>label vote</t>
        </is>
      </c>
      <c r="H686" s="5" t="inlineStr">
        <is>
          <t>LG40x15</t>
        </is>
      </c>
      <c r="I686" s="5" t="inlineStr">
        <is>
          <t>printed label</t>
        </is>
      </c>
      <c r="J686" s="5" t="inlineStr">
        <is>
          <t>LG-40x15</t>
        </is>
      </c>
      <c r="K686" s="5" t="n">
        <v>1286</v>
      </c>
      <c r="L686" s="5" t="n">
        <v>41</v>
      </c>
      <c r="M686" s="10">
        <f>IF(AND(ISNUMBER(K686),L686&gt;0),K686/L686,"")</f>
        <v/>
      </c>
      <c r="N686" s="5" t="n">
        <v>5.272</v>
      </c>
      <c r="O686" s="5" t="n">
        <v>116.6</v>
      </c>
      <c r="P686" s="5" t="n">
        <v>1</v>
      </c>
      <c r="Q686" s="5" t="n">
        <v>0</v>
      </c>
      <c r="R686" s="5" t="n">
        <v>0</v>
      </c>
      <c r="S686" s="5" t="n">
        <v>0</v>
      </c>
      <c r="T686" s="5" t="n">
        <v>1</v>
      </c>
      <c r="U686" s="5" t="n">
        <v>9</v>
      </c>
      <c r="V686" s="5" t="n">
        <v>9</v>
      </c>
      <c r="W686" s="5" t="n">
        <v>2.25</v>
      </c>
      <c r="X686" s="5" t="inlineStr"/>
      <c r="Y686" s="5" t="n">
        <v>2065.5</v>
      </c>
      <c r="Z686" s="5" t="n">
        <v>2527.6</v>
      </c>
      <c r="AA686" s="5" t="n">
        <v>2246.5</v>
      </c>
      <c r="AB686" s="5" t="n">
        <v>2872.5</v>
      </c>
      <c r="AC686" s="5" t="inlineStr"/>
      <c r="AD686" s="5">
        <f>IF(AC686="","",IF(OR(AC686=F686,AND(AC686="crane_footing",F686="isolated_footing")),"yes","no"))</f>
        <v/>
      </c>
    </row>
    <row r="687">
      <c r="A687" s="5" t="n">
        <v>686</v>
      </c>
      <c r="B687" s="5" t="inlineStr">
        <is>
          <t>127</t>
        </is>
      </c>
      <c r="C687" s="5" t="inlineStr">
        <is>
          <t>region between joints</t>
        </is>
      </c>
      <c r="D687" s="5" t="inlineStr">
        <is>
          <t>band</t>
        </is>
      </c>
      <c r="E687" s="5" t="n">
        <v>4</v>
      </c>
      <c r="F687" s="5" t="inlineStr">
        <is>
          <t>grade_beam</t>
        </is>
      </c>
      <c r="G687" s="5" t="inlineStr">
        <is>
          <t>label vote</t>
        </is>
      </c>
      <c r="H687" s="5" t="inlineStr">
        <is>
          <t>LG40x15</t>
        </is>
      </c>
      <c r="I687" s="5" t="inlineStr">
        <is>
          <t>printed label</t>
        </is>
      </c>
      <c r="J687" s="5" t="inlineStr">
        <is>
          <t>LG-40x15</t>
        </is>
      </c>
      <c r="K687" s="5" t="n">
        <v>722</v>
      </c>
      <c r="L687" s="5" t="n">
        <v>41</v>
      </c>
      <c r="M687" s="10">
        <f>IF(AND(ISNUMBER(K687),L687&gt;0),K687/L687,"")</f>
        <v/>
      </c>
      <c r="N687" s="5" t="n">
        <v>2.96</v>
      </c>
      <c r="O687" s="5" t="n">
        <v>116.6</v>
      </c>
      <c r="P687" s="5" t="n">
        <v>2</v>
      </c>
      <c r="Q687" s="5" t="n">
        <v>0</v>
      </c>
      <c r="R687" s="5" t="n">
        <v>0</v>
      </c>
      <c r="S687" s="5" t="n">
        <v>0</v>
      </c>
      <c r="T687" s="5" t="n">
        <v>1</v>
      </c>
      <c r="U687" s="5" t="n">
        <v>4</v>
      </c>
      <c r="V687" s="5" t="n">
        <v>5</v>
      </c>
      <c r="W687" s="5" t="n">
        <v>1.99</v>
      </c>
      <c r="X687" s="5" t="inlineStr"/>
      <c r="Y687" s="5" t="n">
        <v>1923</v>
      </c>
      <c r="Z687" s="5" t="n">
        <v>2856.7</v>
      </c>
      <c r="AA687" s="5" t="n">
        <v>2029.4</v>
      </c>
      <c r="AB687" s="5" t="n">
        <v>3052.7</v>
      </c>
      <c r="AC687" s="5" t="inlineStr"/>
      <c r="AD687" s="5">
        <f>IF(AC687="","",IF(OR(AC687=F687,AND(AC687="crane_footing",F687="isolated_footing")),"yes","no"))</f>
        <v/>
      </c>
    </row>
    <row r="688">
      <c r="A688" s="5" t="n">
        <v>687</v>
      </c>
      <c r="B688" s="5" t="inlineStr">
        <is>
          <t>127</t>
        </is>
      </c>
      <c r="C688" s="5" t="inlineStr">
        <is>
          <t>region between joints</t>
        </is>
      </c>
      <c r="D688" s="5" t="inlineStr">
        <is>
          <t>band</t>
        </is>
      </c>
      <c r="E688" s="5" t="n">
        <v>4</v>
      </c>
      <c r="F688" s="5" t="inlineStr">
        <is>
          <t>grade_beam</t>
        </is>
      </c>
      <c r="G688" s="5" t="inlineStr">
        <is>
          <t>label vote</t>
        </is>
      </c>
      <c r="H688" s="5" t="inlineStr">
        <is>
          <t>LG40x15</t>
        </is>
      </c>
      <c r="I688" s="5" t="inlineStr">
        <is>
          <t>printed label</t>
        </is>
      </c>
      <c r="J688" s="5" t="inlineStr">
        <is>
          <t>LG-40x15</t>
        </is>
      </c>
      <c r="K688" s="5" t="n">
        <v>712</v>
      </c>
      <c r="L688" s="5" t="n">
        <v>41</v>
      </c>
      <c r="M688" s="10">
        <f>IF(AND(ISNUMBER(K688),L688&gt;0),K688/L688,"")</f>
        <v/>
      </c>
      <c r="N688" s="5" t="n">
        <v>2.921</v>
      </c>
      <c r="O688" s="5" t="n">
        <v>116.6</v>
      </c>
      <c r="P688" s="5" t="n">
        <v>0</v>
      </c>
      <c r="Q688" s="5" t="n">
        <v>0</v>
      </c>
      <c r="R688" s="5" t="n">
        <v>0</v>
      </c>
      <c r="S688" s="5" t="n">
        <v>0</v>
      </c>
      <c r="T688" s="5" t="n">
        <v>0</v>
      </c>
      <c r="U688" s="5" t="n">
        <v>5</v>
      </c>
      <c r="V688" s="5" t="n">
        <v>4</v>
      </c>
      <c r="W688" s="5" t="n">
        <v>5.27</v>
      </c>
      <c r="X688" s="5" t="inlineStr"/>
      <c r="Y688" s="5" t="n">
        <v>1845.7</v>
      </c>
      <c r="Z688" s="5" t="n">
        <v>2817.4</v>
      </c>
      <c r="AA688" s="5" t="n">
        <v>1950.8</v>
      </c>
      <c r="AB688" s="5" t="n">
        <v>3010.8</v>
      </c>
      <c r="AC688" s="5" t="inlineStr"/>
      <c r="AD688" s="5">
        <f>IF(AC688="","",IF(OR(AC688=F688,AND(AC688="crane_footing",F688="isolated_footing")),"yes","no"))</f>
        <v/>
      </c>
    </row>
    <row r="689">
      <c r="A689" s="5" t="n">
        <v>688</v>
      </c>
      <c r="B689" s="5" t="inlineStr">
        <is>
          <t>127</t>
        </is>
      </c>
      <c r="C689" s="5" t="inlineStr">
        <is>
          <t>region between joints</t>
        </is>
      </c>
      <c r="D689" s="5" t="inlineStr">
        <is>
          <t>band</t>
        </is>
      </c>
      <c r="E689" s="5" t="n">
        <v>4</v>
      </c>
      <c r="F689" s="5" t="inlineStr">
        <is>
          <t>grade_beam</t>
        </is>
      </c>
      <c r="G689" s="5" t="inlineStr">
        <is>
          <t>label vote</t>
        </is>
      </c>
      <c r="H689" s="5" t="inlineStr">
        <is>
          <t>LG40x15</t>
        </is>
      </c>
      <c r="I689" s="5" t="inlineStr">
        <is>
          <t>printed label</t>
        </is>
      </c>
      <c r="J689" s="5" t="inlineStr">
        <is>
          <t>LG-40x15</t>
        </is>
      </c>
      <c r="K689" s="5" t="n">
        <v>397</v>
      </c>
      <c r="L689" s="5" t="n">
        <v>41</v>
      </c>
      <c r="M689" s="10">
        <f>IF(AND(ISNUMBER(K689),L689&gt;0),K689/L689,"")</f>
        <v/>
      </c>
      <c r="N689" s="5" t="n">
        <v>1.629</v>
      </c>
      <c r="O689" s="5" t="n">
        <v>116.6</v>
      </c>
      <c r="P689" s="5" t="n">
        <v>1</v>
      </c>
      <c r="Q689" s="5" t="n">
        <v>1</v>
      </c>
      <c r="R689" s="5" t="n">
        <v>0</v>
      </c>
      <c r="S689" s="5" t="n">
        <v>0</v>
      </c>
      <c r="T689" s="5" t="n">
        <v>1</v>
      </c>
      <c r="U689" s="5" t="n">
        <v>3</v>
      </c>
      <c r="V689" s="5" t="n">
        <v>2</v>
      </c>
      <c r="W689" s="5" t="n">
        <v>0.92</v>
      </c>
      <c r="X689" s="5" t="inlineStr"/>
      <c r="Y689" s="5" t="n">
        <v>2186.3</v>
      </c>
      <c r="Z689" s="5" t="n">
        <v>2967.3</v>
      </c>
      <c r="AA689" s="5" t="n">
        <v>2249.7</v>
      </c>
      <c r="AB689" s="5" t="n">
        <v>3077.6</v>
      </c>
      <c r="AC689" s="5" t="inlineStr"/>
      <c r="AD689" s="5">
        <f>IF(AC689="","",IF(OR(AC689=F689,AND(AC689="crane_footing",F689="isolated_footing")),"yes","no"))</f>
        <v/>
      </c>
    </row>
    <row r="690">
      <c r="A690" s="5" t="n">
        <v>689</v>
      </c>
      <c r="B690" s="5" t="inlineStr">
        <is>
          <t>127</t>
        </is>
      </c>
      <c r="C690" s="5" t="inlineStr">
        <is>
          <t>region between joints</t>
        </is>
      </c>
      <c r="D690" s="5" t="inlineStr">
        <is>
          <t>band</t>
        </is>
      </c>
      <c r="E690" s="5" t="n">
        <v>4</v>
      </c>
      <c r="F690" s="5" t="inlineStr">
        <is>
          <t>grade_beam</t>
        </is>
      </c>
      <c r="G690" s="5" t="inlineStr">
        <is>
          <t>label vote</t>
        </is>
      </c>
      <c r="H690" s="5" t="inlineStr">
        <is>
          <t>LG40x15</t>
        </is>
      </c>
      <c r="I690" s="5" t="inlineStr">
        <is>
          <t>printed label</t>
        </is>
      </c>
      <c r="J690" s="5" t="inlineStr">
        <is>
          <t>LG-40x15</t>
        </is>
      </c>
      <c r="K690" s="5" t="n">
        <v>397</v>
      </c>
      <c r="L690" s="5" t="n">
        <v>41</v>
      </c>
      <c r="M690" s="10">
        <f>IF(AND(ISNUMBER(K690),L690&gt;0),K690/L690,"")</f>
        <v/>
      </c>
      <c r="N690" s="5" t="n">
        <v>1.629</v>
      </c>
      <c r="O690" s="5" t="n">
        <v>116.6</v>
      </c>
      <c r="P690" s="5" t="n">
        <v>1</v>
      </c>
      <c r="Q690" s="5" t="n">
        <v>1</v>
      </c>
      <c r="R690" s="5" t="n">
        <v>0</v>
      </c>
      <c r="S690" s="5" t="n">
        <v>0</v>
      </c>
      <c r="T690" s="5" t="n">
        <v>1</v>
      </c>
      <c r="U690" s="5" t="n">
        <v>29</v>
      </c>
      <c r="V690" s="5" t="n">
        <v>2</v>
      </c>
      <c r="W690" s="5" t="n">
        <v>0.47</v>
      </c>
      <c r="X690" s="5" t="inlineStr"/>
      <c r="Y690" s="5" t="n">
        <v>2264.2</v>
      </c>
      <c r="Z690" s="5" t="n">
        <v>3006.4</v>
      </c>
      <c r="AA690" s="5" t="n">
        <v>2327.6</v>
      </c>
      <c r="AB690" s="5" t="n">
        <v>3116.7</v>
      </c>
      <c r="AC690" s="5" t="inlineStr"/>
      <c r="AD690" s="5">
        <f>IF(AC690="","",IF(OR(AC690=F690,AND(AC690="crane_footing",F690="isolated_footing")),"yes","no"))</f>
        <v/>
      </c>
    </row>
    <row r="691">
      <c r="A691" s="5" t="n">
        <v>690</v>
      </c>
      <c r="B691" s="5" t="inlineStr">
        <is>
          <t>127</t>
        </is>
      </c>
      <c r="C691" s="5" t="inlineStr">
        <is>
          <t>region between joints</t>
        </is>
      </c>
      <c r="D691" s="5" t="inlineStr">
        <is>
          <t>stamped_region</t>
        </is>
      </c>
      <c r="E691" s="5" t="n">
        <v>39</v>
      </c>
      <c r="F691" s="5" t="inlineStr">
        <is>
          <t>raft</t>
        </is>
      </c>
      <c r="G691" s="5" t="inlineStr">
        <is>
          <t>label vote</t>
        </is>
      </c>
      <c r="H691" s="5" t="inlineStr">
        <is>
          <t>Radier 100</t>
        </is>
      </c>
      <c r="I691" s="5" t="inlineStr">
        <is>
          <t>printed label</t>
        </is>
      </c>
      <c r="J691" s="5" t="inlineStr">
        <is>
          <t>Radier</t>
        </is>
      </c>
      <c r="K691" s="5" t="n">
        <v>1284</v>
      </c>
      <c r="L691" s="5" t="n">
        <v>931</v>
      </c>
      <c r="M691" s="10">
        <f>IF(AND(ISNUMBER(K691),L691&gt;0),K691/L691,"")</f>
        <v/>
      </c>
      <c r="N691" s="5" t="n">
        <v>88.236</v>
      </c>
      <c r="O691" s="5" t="n">
        <v>116.6</v>
      </c>
      <c r="P691" s="5" t="n">
        <v>11</v>
      </c>
      <c r="Q691" s="5" t="n">
        <v>0</v>
      </c>
      <c r="R691" s="5" t="n">
        <v>0</v>
      </c>
      <c r="S691" s="5" t="n">
        <v>0</v>
      </c>
      <c r="T691" s="5" t="n">
        <v>9</v>
      </c>
      <c r="U691" s="5" t="n">
        <v>263</v>
      </c>
      <c r="V691" s="5" t="n">
        <v>14</v>
      </c>
      <c r="W691" s="5" t="n"/>
      <c r="X691" s="5" t="inlineStr">
        <is>
          <t>traced outline</t>
        </is>
      </c>
      <c r="Y691" s="5" t="n">
        <v>1992.3</v>
      </c>
      <c r="Z691" s="5" t="n">
        <v>3009.4</v>
      </c>
      <c r="AA691" s="5" t="n">
        <v>2307.5</v>
      </c>
      <c r="AB691" s="5" t="n">
        <v>3471.5</v>
      </c>
      <c r="AC691" s="5" t="inlineStr"/>
      <c r="AD691" s="5">
        <f>IF(AC691="","",IF(OR(AC691=F691,AND(AC691="crane_footing",F691="isolated_footing")),"yes","no"))</f>
        <v/>
      </c>
    </row>
    <row r="692">
      <c r="A692" s="5" t="n">
        <v>691</v>
      </c>
      <c r="B692" s="5" t="inlineStr">
        <is>
          <t>127</t>
        </is>
      </c>
      <c r="C692" s="5" t="inlineStr">
        <is>
          <t>region between joints</t>
        </is>
      </c>
      <c r="D692" s="5" t="inlineStr">
        <is>
          <t>outline</t>
        </is>
      </c>
      <c r="E692" s="5" t="n">
        <v>24</v>
      </c>
      <c r="F692" s="5" t="inlineStr">
        <is>
          <t>unnamed</t>
        </is>
      </c>
      <c r="G692" s="5" t="inlineStr">
        <is>
          <t>no label votes</t>
        </is>
      </c>
      <c r="H692" s="5" t="inlineStr">
        <is>
          <t>LG40x15</t>
        </is>
      </c>
      <c r="I692" s="5" t="inlineStr">
        <is>
          <t>printed label</t>
        </is>
      </c>
      <c r="J692" s="5" t="inlineStr">
        <is>
          <t>LG-40x15</t>
        </is>
      </c>
      <c r="K692" s="5" t="n">
        <v>60</v>
      </c>
      <c r="L692" s="5" t="n">
        <v>60</v>
      </c>
      <c r="M692" s="10">
        <f>IF(AND(ISNUMBER(K692),L692&gt;0),K692/L692,"")</f>
        <v/>
      </c>
      <c r="N692" s="5" t="n">
        <v>0.36</v>
      </c>
      <c r="O692" s="5" t="n">
        <v>26.7</v>
      </c>
      <c r="P692" s="5" t="n">
        <v>0</v>
      </c>
      <c r="Q692" s="5" t="n">
        <v>0</v>
      </c>
      <c r="R692" s="5" t="n">
        <v>0</v>
      </c>
      <c r="S692" s="5" t="n">
        <v>0</v>
      </c>
      <c r="T692" s="5" t="n">
        <v>0</v>
      </c>
      <c r="U692" s="5" t="n">
        <v>54</v>
      </c>
      <c r="V692" s="5" t="n">
        <v>3</v>
      </c>
      <c r="W692" s="5" t="n"/>
      <c r="X692" s="5" t="inlineStr"/>
      <c r="Y692" s="5" t="n">
        <v>2053.7</v>
      </c>
      <c r="Z692" s="5" t="n">
        <v>2573.4</v>
      </c>
      <c r="AA692" s="5" t="n">
        <v>2077.6</v>
      </c>
      <c r="AB692" s="5" t="n">
        <v>2597.1</v>
      </c>
      <c r="AC692" s="5" t="inlineStr">
        <is>
          <t>mass_concrete_pad</t>
        </is>
      </c>
      <c r="AD692" s="5">
        <f>IF(AC692="","",IF(OR(AC692=F692,AND(AC692="crane_footing",F692="isolated_footing")),"yes","no"))</f>
        <v/>
      </c>
    </row>
    <row r="693">
      <c r="A693" s="5" t="n">
        <v>692</v>
      </c>
      <c r="B693" s="5" t="inlineStr">
        <is>
          <t>127</t>
        </is>
      </c>
      <c r="C693" s="5" t="inlineStr">
        <is>
          <t>region between joints</t>
        </is>
      </c>
      <c r="D693" s="5" t="inlineStr">
        <is>
          <t>cross_hatch</t>
        </is>
      </c>
      <c r="E693" s="5" t="n">
        <v>14</v>
      </c>
      <c r="F693" s="5" t="inlineStr">
        <is>
          <t>unnamed</t>
        </is>
      </c>
      <c r="G693" s="5" t="inlineStr">
        <is>
          <t>no label votes</t>
        </is>
      </c>
      <c r="H693" s="5" t="inlineStr">
        <is>
          <t>(none)</t>
        </is>
      </c>
      <c r="I693" s="5" t="inlineStr"/>
      <c r="J693" s="5" t="inlineStr"/>
      <c r="K693" s="5" t="n">
        <v>157</v>
      </c>
      <c r="L693" s="5" t="n">
        <v>20</v>
      </c>
      <c r="M693" s="10">
        <f>IF(AND(ISNUMBER(K693),L693&gt;0),K693/L693,"")</f>
        <v/>
      </c>
      <c r="N693" s="5" t="n">
        <v>0.317</v>
      </c>
      <c r="O693" s="5" t="n">
        <v>26.7</v>
      </c>
      <c r="P693" s="5" t="n">
        <v>0</v>
      </c>
      <c r="Q693" s="5" t="n">
        <v>0</v>
      </c>
      <c r="R693" s="5" t="n">
        <v>0</v>
      </c>
      <c r="S693" s="5" t="n">
        <v>1</v>
      </c>
      <c r="T693" s="5" t="n">
        <v>0</v>
      </c>
      <c r="U693" s="5" t="n">
        <v>0</v>
      </c>
      <c r="V693" s="5" t="n">
        <v>2</v>
      </c>
      <c r="W693" s="5" t="n"/>
      <c r="X693" s="5" t="inlineStr"/>
      <c r="Y693" s="5" t="n">
        <v>2193.3</v>
      </c>
      <c r="Z693" s="5" t="n">
        <v>3110.9</v>
      </c>
      <c r="AA693" s="5" t="n">
        <v>2246.1</v>
      </c>
      <c r="AB693" s="5" t="n">
        <v>3139</v>
      </c>
      <c r="AC693" s="5" t="inlineStr"/>
      <c r="AD693" s="5">
        <f>IF(AC693="","",IF(OR(AC693=F693,AND(AC693="crane_footing",F693="isolated_footing")),"yes","no"))</f>
        <v/>
      </c>
    </row>
    <row r="694">
      <c r="A694" s="5" t="n">
        <v>693</v>
      </c>
      <c r="B694" s="5" t="inlineStr">
        <is>
          <t>127</t>
        </is>
      </c>
      <c r="C694" s="5" t="inlineStr">
        <is>
          <t>region between joints</t>
        </is>
      </c>
      <c r="D694" s="5" t="inlineStr">
        <is>
          <t>cross_hatch</t>
        </is>
      </c>
      <c r="E694" s="5" t="n">
        <v>14</v>
      </c>
      <c r="F694" s="5" t="inlineStr">
        <is>
          <t>unnamed</t>
        </is>
      </c>
      <c r="G694" s="5" t="inlineStr">
        <is>
          <t>no label votes</t>
        </is>
      </c>
      <c r="H694" s="5" t="inlineStr">
        <is>
          <t>(none)</t>
        </is>
      </c>
      <c r="I694" s="5" t="inlineStr"/>
      <c r="J694" s="5" t="inlineStr"/>
      <c r="K694" s="5" t="n">
        <v>283</v>
      </c>
      <c r="L694" s="5" t="n">
        <v>20</v>
      </c>
      <c r="M694" s="10">
        <f>IF(AND(ISNUMBER(K694),L694&gt;0),K694/L694,"")</f>
        <v/>
      </c>
      <c r="N694" s="5" t="n">
        <v>0.572</v>
      </c>
      <c r="O694" s="5" t="n">
        <v>116.7</v>
      </c>
      <c r="P694" s="5" t="n">
        <v>1</v>
      </c>
      <c r="Q694" s="5" t="n">
        <v>0</v>
      </c>
      <c r="R694" s="5" t="n">
        <v>0</v>
      </c>
      <c r="S694" s="5" t="n">
        <v>1</v>
      </c>
      <c r="T694" s="5" t="n">
        <v>0</v>
      </c>
      <c r="U694" s="5" t="n">
        <v>0</v>
      </c>
      <c r="V694" s="5" t="n">
        <v>1</v>
      </c>
      <c r="W694" s="5" t="n"/>
      <c r="X694" s="5" t="inlineStr"/>
      <c r="Y694" s="5" t="n">
        <v>2138.8</v>
      </c>
      <c r="Z694" s="5" t="n">
        <v>3185</v>
      </c>
      <c r="AA694" s="5" t="n">
        <v>2186.4</v>
      </c>
      <c r="AB694" s="5" t="n">
        <v>3273.3</v>
      </c>
      <c r="AC694" s="5" t="inlineStr"/>
      <c r="AD694" s="5">
        <f>IF(AC694="","",IF(OR(AC694=F694,AND(AC694="crane_footing",F694="isolated_footing")),"yes","no"))</f>
        <v/>
      </c>
    </row>
    <row r="695">
      <c r="A695" s="5" t="n">
        <v>694</v>
      </c>
      <c r="B695" s="5" t="inlineStr">
        <is>
          <t>127</t>
        </is>
      </c>
      <c r="C695" s="5" t="inlineStr">
        <is>
          <t>region between joints</t>
        </is>
      </c>
      <c r="D695" s="5" t="inlineStr">
        <is>
          <t>outline</t>
        </is>
      </c>
      <c r="E695" s="5" t="n">
        <v>24</v>
      </c>
      <c r="F695" s="5" t="inlineStr">
        <is>
          <t>unnamed</t>
        </is>
      </c>
      <c r="G695" s="5" t="inlineStr">
        <is>
          <t>no label votes</t>
        </is>
      </c>
      <c r="H695" s="5" t="inlineStr">
        <is>
          <t>(none)</t>
        </is>
      </c>
      <c r="I695" s="5" t="inlineStr"/>
      <c r="J695" s="5" t="inlineStr"/>
      <c r="K695" s="5" t="n">
        <v>60</v>
      </c>
      <c r="L695" s="5" t="n">
        <v>60</v>
      </c>
      <c r="M695" s="10">
        <f>IF(AND(ISNUMBER(K695),L695&gt;0),K695/L695,"")</f>
        <v/>
      </c>
      <c r="N695" s="5" t="n">
        <v>0.361</v>
      </c>
      <c r="O695" s="5" t="n">
        <v>26.6</v>
      </c>
      <c r="P695" s="5" t="n">
        <v>0</v>
      </c>
      <c r="Q695" s="5" t="n">
        <v>0</v>
      </c>
      <c r="R695" s="5" t="n">
        <v>0</v>
      </c>
      <c r="S695" s="5" t="n">
        <v>0</v>
      </c>
      <c r="T695" s="5" t="n">
        <v>0</v>
      </c>
      <c r="U695" s="5" t="n">
        <v>54</v>
      </c>
      <c r="V695" s="5" t="n">
        <v>5</v>
      </c>
      <c r="W695" s="5" t="n"/>
      <c r="X695" s="5" t="inlineStr"/>
      <c r="Y695" s="5" t="n">
        <v>2500.7</v>
      </c>
      <c r="Z695" s="5" t="n">
        <v>2797.5</v>
      </c>
      <c r="AA695" s="5" t="n">
        <v>2524.6</v>
      </c>
      <c r="AB695" s="5" t="n">
        <v>2821.3</v>
      </c>
      <c r="AC695" s="5" t="inlineStr">
        <is>
          <t>mass_concrete_pad</t>
        </is>
      </c>
      <c r="AD695" s="5">
        <f>IF(AC695="","",IF(OR(AC695=F695,AND(AC695="crane_footing",F695="isolated_footing")),"yes","no"))</f>
        <v/>
      </c>
    </row>
    <row r="696">
      <c r="A696" s="5" t="n">
        <v>695</v>
      </c>
      <c r="B696" s="5" t="inlineStr">
        <is>
          <t>127</t>
        </is>
      </c>
      <c r="C696" s="5" t="inlineStr">
        <is>
          <t>region between joints</t>
        </is>
      </c>
      <c r="D696" s="5" t="inlineStr">
        <is>
          <t>outline</t>
        </is>
      </c>
      <c r="E696" s="5" t="n">
        <v>24</v>
      </c>
      <c r="F696" s="5" t="inlineStr">
        <is>
          <t>unnamed</t>
        </is>
      </c>
      <c r="G696" s="5" t="inlineStr">
        <is>
          <t>no label votes</t>
        </is>
      </c>
      <c r="H696" s="5" t="inlineStr">
        <is>
          <t>(none)</t>
        </is>
      </c>
      <c r="I696" s="5" t="inlineStr"/>
      <c r="J696" s="5" t="inlineStr"/>
      <c r="K696" s="5" t="n">
        <v>60</v>
      </c>
      <c r="L696" s="5" t="n">
        <v>60</v>
      </c>
      <c r="M696" s="10">
        <f>IF(AND(ISNUMBER(K696),L696&gt;0),K696/L696,"")</f>
        <v/>
      </c>
      <c r="N696" s="5" t="n">
        <v>0.36</v>
      </c>
      <c r="O696" s="5" t="n">
        <v>116.6</v>
      </c>
      <c r="P696" s="5" t="n">
        <v>0</v>
      </c>
      <c r="Q696" s="5" t="n">
        <v>1</v>
      </c>
      <c r="R696" s="5" t="n">
        <v>0</v>
      </c>
      <c r="S696" s="5" t="n">
        <v>0</v>
      </c>
      <c r="T696" s="5" t="n">
        <v>0</v>
      </c>
      <c r="U696" s="5" t="n">
        <v>55</v>
      </c>
      <c r="V696" s="5" t="n">
        <v>4</v>
      </c>
      <c r="W696" s="5" t="n"/>
      <c r="X696" s="5" t="inlineStr"/>
      <c r="Y696" s="5" t="n">
        <v>2276.2</v>
      </c>
      <c r="Z696" s="5" t="n">
        <v>2684.5</v>
      </c>
      <c r="AA696" s="5" t="n">
        <v>2299.9</v>
      </c>
      <c r="AB696" s="5" t="n">
        <v>2708.3</v>
      </c>
      <c r="AC696" s="5" t="inlineStr">
        <is>
          <t>mass_concrete_pad</t>
        </is>
      </c>
      <c r="AD696" s="5">
        <f>IF(AC696="","",IF(OR(AC696=F696,AND(AC696="crane_footing",F696="isolated_footing")),"yes","no"))</f>
        <v/>
      </c>
    </row>
    <row r="697">
      <c r="A697" s="5" t="n">
        <v>696</v>
      </c>
      <c r="B697" s="5" t="inlineStr">
        <is>
          <t>127</t>
        </is>
      </c>
      <c r="C697" s="5" t="inlineStr">
        <is>
          <t>region between joints</t>
        </is>
      </c>
      <c r="D697" s="5" t="inlineStr">
        <is>
          <t>outline</t>
        </is>
      </c>
      <c r="E697" s="5" t="n">
        <v>22</v>
      </c>
      <c r="F697" s="5" t="inlineStr">
        <is>
          <t>unnamed</t>
        </is>
      </c>
      <c r="G697" s="5" t="inlineStr">
        <is>
          <t>no label votes</t>
        </is>
      </c>
      <c r="H697" s="5" t="inlineStr">
        <is>
          <t>(none)</t>
        </is>
      </c>
      <c r="I697" s="5" t="inlineStr"/>
      <c r="J697" s="5" t="inlineStr"/>
      <c r="K697" s="5" t="n">
        <v>125</v>
      </c>
      <c r="L697" s="5" t="n">
        <v>20</v>
      </c>
      <c r="M697" s="10">
        <f>IF(AND(ISNUMBER(K697),L697&gt;0),K697/L697,"")</f>
        <v/>
      </c>
      <c r="N697" s="5" t="n">
        <v>0.25</v>
      </c>
      <c r="O697" s="5" t="n">
        <v>116.6</v>
      </c>
      <c r="P697" s="5" t="n">
        <v>2</v>
      </c>
      <c r="Q697" s="5" t="n">
        <v>0</v>
      </c>
      <c r="R697" s="5" t="n">
        <v>0</v>
      </c>
      <c r="S697" s="5" t="n">
        <v>1</v>
      </c>
      <c r="T697" s="5" t="n">
        <v>0</v>
      </c>
      <c r="U697" s="5" t="n">
        <v>14</v>
      </c>
      <c r="V697" s="5" t="n">
        <v>2</v>
      </c>
      <c r="W697" s="5" t="n"/>
      <c r="X697" s="5" t="inlineStr"/>
      <c r="Y697" s="5" t="n">
        <v>2145.4</v>
      </c>
      <c r="Z697" s="5" t="n">
        <v>3126</v>
      </c>
      <c r="AA697" s="5" t="n">
        <v>2167.3</v>
      </c>
      <c r="AB697" s="5" t="n">
        <v>3161.7</v>
      </c>
      <c r="AC697" s="5" t="inlineStr"/>
      <c r="AD697" s="5">
        <f>IF(AC697="","",IF(OR(AC697=F697,AND(AC697="crane_footing",F697="isolated_footing")),"yes","no"))</f>
        <v/>
      </c>
    </row>
    <row r="698">
      <c r="A698" s="5" t="n">
        <v>697</v>
      </c>
      <c r="B698" s="5" t="inlineStr">
        <is>
          <t>127</t>
        </is>
      </c>
      <c r="C698" s="5" t="inlineStr">
        <is>
          <t>region between joints</t>
        </is>
      </c>
      <c r="D698" s="5" t="inlineStr">
        <is>
          <t>outline</t>
        </is>
      </c>
      <c r="E698" s="5" t="n">
        <v>22</v>
      </c>
      <c r="F698" s="5" t="inlineStr">
        <is>
          <t>unnamed</t>
        </is>
      </c>
      <c r="G698" s="5" t="inlineStr">
        <is>
          <t>no label votes</t>
        </is>
      </c>
      <c r="H698" s="5" t="inlineStr">
        <is>
          <t>(none)</t>
        </is>
      </c>
      <c r="I698" s="5" t="inlineStr"/>
      <c r="J698" s="5" t="inlineStr"/>
      <c r="K698" s="5" t="n">
        <v>120</v>
      </c>
      <c r="L698" s="5" t="n">
        <v>20</v>
      </c>
      <c r="M698" s="10">
        <f>IF(AND(ISNUMBER(K698),L698&gt;0),K698/L698,"")</f>
        <v/>
      </c>
      <c r="N698" s="5" t="n">
        <v>0.24</v>
      </c>
      <c r="O698" s="5" t="n">
        <v>116.6</v>
      </c>
      <c r="P698" s="5" t="n">
        <v>2</v>
      </c>
      <c r="Q698" s="5" t="n">
        <v>0</v>
      </c>
      <c r="R698" s="5" t="n">
        <v>0</v>
      </c>
      <c r="S698" s="5" t="n">
        <v>1</v>
      </c>
      <c r="T698" s="5" t="n">
        <v>0</v>
      </c>
      <c r="U698" s="5" t="n">
        <v>9</v>
      </c>
      <c r="V698" s="5" t="n">
        <v>2</v>
      </c>
      <c r="W698" s="5" t="n"/>
      <c r="X698" s="5" t="inlineStr"/>
      <c r="Y698" s="5" t="n">
        <v>2223.9</v>
      </c>
      <c r="Z698" s="5" t="n">
        <v>3165</v>
      </c>
      <c r="AA698" s="5" t="n">
        <v>2245.1</v>
      </c>
      <c r="AB698" s="5" t="n">
        <v>3199.4</v>
      </c>
      <c r="AC698" s="5" t="inlineStr"/>
      <c r="AD698" s="5">
        <f>IF(AC698="","",IF(OR(AC698=F698,AND(AC698="crane_footing",F698="isolated_footing")),"yes","no"))</f>
        <v/>
      </c>
    </row>
    <row r="699">
      <c r="A699" s="5" t="n">
        <v>698</v>
      </c>
      <c r="B699" s="5" t="inlineStr">
        <is>
          <t>127</t>
        </is>
      </c>
      <c r="C699" s="5" t="inlineStr">
        <is>
          <t>region between joints</t>
        </is>
      </c>
      <c r="D699" s="5" t="inlineStr">
        <is>
          <t>outline</t>
        </is>
      </c>
      <c r="E699" s="5" t="n">
        <v>22</v>
      </c>
      <c r="F699" s="5" t="inlineStr">
        <is>
          <t>unnamed</t>
        </is>
      </c>
      <c r="G699" s="5" t="inlineStr">
        <is>
          <t>no label votes</t>
        </is>
      </c>
      <c r="H699" s="5" t="inlineStr">
        <is>
          <t>(none)</t>
        </is>
      </c>
      <c r="I699" s="5" t="inlineStr"/>
      <c r="J699" s="5" t="inlineStr"/>
      <c r="K699" s="5" t="n">
        <v>111</v>
      </c>
      <c r="L699" s="5" t="n">
        <v>20</v>
      </c>
      <c r="M699" s="10">
        <f>IF(AND(ISNUMBER(K699),L699&gt;0),K699/L699,"")</f>
        <v/>
      </c>
      <c r="N699" s="5" t="n">
        <v>0.221</v>
      </c>
      <c r="O699" s="5" t="n">
        <v>26.6</v>
      </c>
      <c r="P699" s="5" t="n">
        <v>2</v>
      </c>
      <c r="Q699" s="5" t="n">
        <v>0</v>
      </c>
      <c r="R699" s="5" t="n">
        <v>0</v>
      </c>
      <c r="S699" s="5" t="n">
        <v>1</v>
      </c>
      <c r="T699" s="5" t="n">
        <v>0</v>
      </c>
      <c r="U699" s="5" t="n">
        <v>2</v>
      </c>
      <c r="V699" s="5" t="n">
        <v>1</v>
      </c>
      <c r="W699" s="5" t="n"/>
      <c r="X699" s="5" t="inlineStr"/>
      <c r="Y699" s="5" t="n">
        <v>2102.1</v>
      </c>
      <c r="Z699" s="5" t="n">
        <v>3256.7</v>
      </c>
      <c r="AA699" s="5" t="n">
        <v>2133.9</v>
      </c>
      <c r="AB699" s="5" t="n">
        <v>3276.6</v>
      </c>
      <c r="AC699" s="5" t="inlineStr"/>
      <c r="AD699" s="5">
        <f>IF(AC699="","",IF(OR(AC699=F699,AND(AC699="crane_footing",F699="isolated_footing")),"yes","no"))</f>
        <v/>
      </c>
    </row>
    <row r="700">
      <c r="A700" s="5" t="n">
        <v>699</v>
      </c>
      <c r="B700" s="5" t="inlineStr">
        <is>
          <t>127</t>
        </is>
      </c>
      <c r="C700" s="5" t="inlineStr">
        <is>
          <t>region between joints</t>
        </is>
      </c>
      <c r="D700" s="5" t="inlineStr">
        <is>
          <t>band</t>
        </is>
      </c>
      <c r="E700" s="5" t="n">
        <v>0</v>
      </c>
      <c r="F700" s="5" t="inlineStr">
        <is>
          <t>unnamed</t>
        </is>
      </c>
      <c r="G700" s="5" t="inlineStr">
        <is>
          <t>no label votes</t>
        </is>
      </c>
      <c r="H700" s="5" t="inlineStr">
        <is>
          <t>(none)</t>
        </is>
      </c>
      <c r="I700" s="5" t="inlineStr"/>
      <c r="J700" s="5" t="inlineStr"/>
      <c r="K700" s="5" t="n">
        <v>60</v>
      </c>
      <c r="L700" s="5" t="n">
        <v>11</v>
      </c>
      <c r="M700" s="10">
        <f>IF(AND(ISNUMBER(K700),L700&gt;0),K700/L700,"")</f>
        <v/>
      </c>
      <c r="N700" s="5" t="n">
        <v>0.066</v>
      </c>
      <c r="O700" s="5" t="n">
        <v>26.6</v>
      </c>
      <c r="P700" s="5" t="n">
        <v>0</v>
      </c>
      <c r="Q700" s="5" t="n">
        <v>1</v>
      </c>
      <c r="R700" s="5" t="n">
        <v>0</v>
      </c>
      <c r="S700" s="5" t="n">
        <v>0</v>
      </c>
      <c r="T700" s="5" t="n">
        <v>0</v>
      </c>
      <c r="U700" s="5" t="n">
        <v>8</v>
      </c>
      <c r="V700" s="5" t="n">
        <v>2</v>
      </c>
      <c r="W700" s="5" t="n">
        <v>0</v>
      </c>
      <c r="X700" s="5" t="inlineStr"/>
      <c r="Y700" s="5" t="n">
        <v>2053.8</v>
      </c>
      <c r="Z700" s="5" t="n">
        <v>2586.2</v>
      </c>
      <c r="AA700" s="5" t="n">
        <v>2071.1</v>
      </c>
      <c r="AB700" s="5" t="n">
        <v>2597.1</v>
      </c>
      <c r="AC700" s="5" t="inlineStr"/>
      <c r="AD700" s="5">
        <f>IF(AC700="","",IF(OR(AC700=F700,AND(AC700="crane_footing",F700="isolated_footing")),"yes","no"))</f>
        <v/>
      </c>
    </row>
    <row r="701">
      <c r="A701" s="5" t="n">
        <v>700</v>
      </c>
      <c r="B701" s="5" t="inlineStr">
        <is>
          <t>127</t>
        </is>
      </c>
      <c r="C701" s="5" t="inlineStr">
        <is>
          <t>region between joints</t>
        </is>
      </c>
      <c r="D701" s="5" t="inlineStr">
        <is>
          <t>band</t>
        </is>
      </c>
      <c r="E701" s="5" t="n">
        <v>0</v>
      </c>
      <c r="F701" s="5" t="inlineStr">
        <is>
          <t>unnamed</t>
        </is>
      </c>
      <c r="G701" s="5" t="inlineStr">
        <is>
          <t>no label votes</t>
        </is>
      </c>
      <c r="H701" s="5" t="inlineStr">
        <is>
          <t>(none)</t>
        </is>
      </c>
      <c r="I701" s="5" t="inlineStr"/>
      <c r="J701" s="5" t="inlineStr"/>
      <c r="K701" s="5" t="n">
        <v>60</v>
      </c>
      <c r="L701" s="5" t="n">
        <v>11</v>
      </c>
      <c r="M701" s="10">
        <f>IF(AND(ISNUMBER(K701),L701&gt;0),K701/L701,"")</f>
        <v/>
      </c>
      <c r="N701" s="5" t="n">
        <v>0.066</v>
      </c>
      <c r="O701" s="5" t="n">
        <v>26.6</v>
      </c>
      <c r="P701" s="5" t="n">
        <v>0</v>
      </c>
      <c r="Q701" s="5" t="n">
        <v>1</v>
      </c>
      <c r="R701" s="5" t="n">
        <v>0</v>
      </c>
      <c r="S701" s="5" t="n">
        <v>0</v>
      </c>
      <c r="T701" s="5" t="n">
        <v>0</v>
      </c>
      <c r="U701" s="5" t="n">
        <v>8</v>
      </c>
      <c r="V701" s="5" t="n">
        <v>4</v>
      </c>
      <c r="W701" s="5" t="n">
        <v>0</v>
      </c>
      <c r="X701" s="5" t="inlineStr"/>
      <c r="Y701" s="5" t="n">
        <v>2500.8</v>
      </c>
      <c r="Z701" s="5" t="n">
        <v>2810.3</v>
      </c>
      <c r="AA701" s="5" t="n">
        <v>2518.2</v>
      </c>
      <c r="AB701" s="5" t="n">
        <v>2821.1</v>
      </c>
      <c r="AC701" s="5" t="inlineStr"/>
      <c r="AD701" s="5">
        <f>IF(AC701="","",IF(OR(AC701=F701,AND(AC701="crane_footing",F701="isolated_footing")),"yes","no"))</f>
        <v/>
      </c>
    </row>
    <row r="702">
      <c r="A702" s="5" t="n">
        <v>701</v>
      </c>
      <c r="B702" s="5" t="inlineStr">
        <is>
          <t>127</t>
        </is>
      </c>
      <c r="C702" s="5" t="inlineStr">
        <is>
          <t>region between joints</t>
        </is>
      </c>
      <c r="D702" s="5" t="inlineStr">
        <is>
          <t>band</t>
        </is>
      </c>
      <c r="E702" s="5" t="n">
        <v>0</v>
      </c>
      <c r="F702" s="5" t="inlineStr">
        <is>
          <t>unnamed</t>
        </is>
      </c>
      <c r="G702" s="5" t="inlineStr">
        <is>
          <t>no label votes</t>
        </is>
      </c>
      <c r="H702" s="5" t="inlineStr">
        <is>
          <t>(none)</t>
        </is>
      </c>
      <c r="I702" s="5" t="inlineStr"/>
      <c r="J702" s="5" t="inlineStr"/>
      <c r="K702" s="5" t="n">
        <v>60</v>
      </c>
      <c r="L702" s="5" t="n">
        <v>11</v>
      </c>
      <c r="M702" s="10">
        <f>IF(AND(ISNUMBER(K702),L702&gt;0),K702/L702,"")</f>
        <v/>
      </c>
      <c r="N702" s="5" t="n">
        <v>0.066</v>
      </c>
      <c r="O702" s="5" t="n">
        <v>26.6</v>
      </c>
      <c r="P702" s="5" t="n">
        <v>0</v>
      </c>
      <c r="Q702" s="5" t="n">
        <v>1</v>
      </c>
      <c r="R702" s="5" t="n">
        <v>0</v>
      </c>
      <c r="S702" s="5" t="n">
        <v>0</v>
      </c>
      <c r="T702" s="5" t="n">
        <v>0</v>
      </c>
      <c r="U702" s="5" t="n">
        <v>8</v>
      </c>
      <c r="V702" s="5" t="n">
        <v>2</v>
      </c>
      <c r="W702" s="5" t="n">
        <v>0</v>
      </c>
      <c r="X702" s="5" t="inlineStr"/>
      <c r="Y702" s="5" t="n">
        <v>2276.1</v>
      </c>
      <c r="Z702" s="5" t="n">
        <v>2697.6</v>
      </c>
      <c r="AA702" s="5" t="n">
        <v>2293.4</v>
      </c>
      <c r="AB702" s="5" t="n">
        <v>2708.4</v>
      </c>
      <c r="AC702" s="5" t="inlineStr"/>
      <c r="AD702" s="5">
        <f>IF(AC702="","",IF(OR(AC702=F702,AND(AC702="crane_footing",F702="isolated_footing")),"yes","no"))</f>
        <v/>
      </c>
    </row>
    <row r="703">
      <c r="A703" s="5" t="n">
        <v>702</v>
      </c>
      <c r="B703" s="5" t="inlineStr">
        <is>
          <t>127</t>
        </is>
      </c>
      <c r="C703" s="5" t="inlineStr">
        <is>
          <t>region between joints</t>
        </is>
      </c>
      <c r="D703" s="5" t="inlineStr">
        <is>
          <t>band</t>
        </is>
      </c>
      <c r="E703" s="5" t="n">
        <v>0</v>
      </c>
      <c r="F703" s="5" t="inlineStr">
        <is>
          <t>unnamed</t>
        </is>
      </c>
      <c r="G703" s="5" t="inlineStr">
        <is>
          <t>no label votes</t>
        </is>
      </c>
      <c r="H703" s="5" t="inlineStr">
        <is>
          <t>(none)</t>
        </is>
      </c>
      <c r="I703" s="5" t="inlineStr"/>
      <c r="J703" s="5" t="inlineStr"/>
      <c r="K703" s="5" t="n">
        <v>60</v>
      </c>
      <c r="L703" s="5" t="n">
        <v>11</v>
      </c>
      <c r="M703" s="10">
        <f>IF(AND(ISNUMBER(K703),L703&gt;0),K703/L703,"")</f>
        <v/>
      </c>
      <c r="N703" s="5" t="n">
        <v>0.066</v>
      </c>
      <c r="O703" s="5" t="n">
        <v>26.6</v>
      </c>
      <c r="P703" s="5" t="n">
        <v>0</v>
      </c>
      <c r="Q703" s="5" t="n">
        <v>1</v>
      </c>
      <c r="R703" s="5" t="n">
        <v>0</v>
      </c>
      <c r="S703" s="5" t="n">
        <v>0</v>
      </c>
      <c r="T703" s="5" t="n">
        <v>0</v>
      </c>
      <c r="U703" s="5" t="n">
        <v>13</v>
      </c>
      <c r="V703" s="5" t="n">
        <v>2</v>
      </c>
      <c r="W703" s="5" t="n">
        <v>0</v>
      </c>
      <c r="X703" s="5" t="inlineStr"/>
      <c r="Y703" s="5" t="n">
        <v>2282.7</v>
      </c>
      <c r="Z703" s="5" t="n">
        <v>2684.4</v>
      </c>
      <c r="AA703" s="5" t="n">
        <v>2300</v>
      </c>
      <c r="AB703" s="5" t="n">
        <v>2695.2</v>
      </c>
      <c r="AC703" s="5" t="inlineStr"/>
      <c r="AD703" s="5">
        <f>IF(AC703="","",IF(OR(AC703=F703,AND(AC703="crane_footing",F703="isolated_footing")),"yes","no"))</f>
        <v/>
      </c>
    </row>
    <row r="704">
      <c r="A704" s="5" t="n">
        <v>703</v>
      </c>
      <c r="B704" s="5" t="inlineStr">
        <is>
          <t>127</t>
        </is>
      </c>
      <c r="C704" s="5" t="inlineStr">
        <is>
          <t>region between joints</t>
        </is>
      </c>
      <c r="D704" s="5" t="inlineStr">
        <is>
          <t>band</t>
        </is>
      </c>
      <c r="E704" s="5" t="n">
        <v>1</v>
      </c>
      <c r="F704" s="5" t="inlineStr">
        <is>
          <t>unnamed</t>
        </is>
      </c>
      <c r="G704" s="5" t="inlineStr">
        <is>
          <t>no label votes</t>
        </is>
      </c>
      <c r="H704" s="5" t="inlineStr">
        <is>
          <t>(none)</t>
        </is>
      </c>
      <c r="I704" s="5" t="inlineStr"/>
      <c r="J704" s="5" t="inlineStr"/>
      <c r="K704" s="5" t="n">
        <v>337</v>
      </c>
      <c r="L704" s="5" t="n">
        <v>20</v>
      </c>
      <c r="M704" s="10">
        <f>IF(AND(ISNUMBER(K704),L704&gt;0),K704/L704,"")</f>
        <v/>
      </c>
      <c r="N704" s="5" t="n">
        <v>0.675</v>
      </c>
      <c r="O704" s="5" t="n">
        <v>116.6</v>
      </c>
      <c r="P704" s="5" t="n">
        <v>2</v>
      </c>
      <c r="Q704" s="5" t="n">
        <v>0</v>
      </c>
      <c r="R704" s="5" t="n">
        <v>0</v>
      </c>
      <c r="S704" s="5" t="n">
        <v>1</v>
      </c>
      <c r="T704" s="5" t="n">
        <v>0</v>
      </c>
      <c r="U704" s="5" t="n">
        <v>4</v>
      </c>
      <c r="V704" s="5" t="n">
        <v>0</v>
      </c>
      <c r="W704" s="5" t="n">
        <v>3.37</v>
      </c>
      <c r="X704" s="5" t="inlineStr"/>
      <c r="Y704" s="5" t="n">
        <v>2137.7</v>
      </c>
      <c r="Z704" s="5" t="n">
        <v>3184.2</v>
      </c>
      <c r="AA704" s="5" t="n">
        <v>2187.6</v>
      </c>
      <c r="AB704" s="5" t="n">
        <v>3275.9</v>
      </c>
      <c r="AC704" s="5" t="inlineStr"/>
      <c r="AD704" s="5">
        <f>IF(AC704="","",IF(OR(AC704=F704,AND(AC704="crane_footing",F704="isolated_footing")),"yes","no"))</f>
        <v/>
      </c>
    </row>
    <row r="705">
      <c r="A705" s="5" t="n">
        <v>704</v>
      </c>
      <c r="B705" s="5" t="inlineStr">
        <is>
          <t>127</t>
        </is>
      </c>
      <c r="C705" s="5" t="inlineStr">
        <is>
          <t>region between joints</t>
        </is>
      </c>
      <c r="D705" s="5" t="inlineStr">
        <is>
          <t>band</t>
        </is>
      </c>
      <c r="E705" s="5" t="n">
        <v>1</v>
      </c>
      <c r="F705" s="5" t="inlineStr">
        <is>
          <t>unnamed</t>
        </is>
      </c>
      <c r="G705" s="5" t="inlineStr">
        <is>
          <t>no label votes</t>
        </is>
      </c>
      <c r="H705" s="5" t="inlineStr">
        <is>
          <t>(none)</t>
        </is>
      </c>
      <c r="I705" s="5" t="inlineStr"/>
      <c r="J705" s="5" t="inlineStr"/>
      <c r="K705" s="5" t="n">
        <v>270</v>
      </c>
      <c r="L705" s="5" t="n">
        <v>20</v>
      </c>
      <c r="M705" s="10">
        <f>IF(AND(ISNUMBER(K705),L705&gt;0),K705/L705,"")</f>
        <v/>
      </c>
      <c r="N705" s="5" t="n">
        <v>0.54</v>
      </c>
      <c r="O705" s="5" t="n">
        <v>26.6</v>
      </c>
      <c r="P705" s="5" t="n">
        <v>2</v>
      </c>
      <c r="Q705" s="5" t="n">
        <v>0</v>
      </c>
      <c r="R705" s="5" t="n">
        <v>0</v>
      </c>
      <c r="S705" s="5" t="n">
        <v>1</v>
      </c>
      <c r="T705" s="5" t="n">
        <v>0</v>
      </c>
      <c r="U705" s="5" t="n">
        <v>7</v>
      </c>
      <c r="V705" s="5" t="n">
        <v>1</v>
      </c>
      <c r="W705" s="5" t="n">
        <v>2.7</v>
      </c>
      <c r="X705" s="5" t="inlineStr"/>
      <c r="Y705" s="5" t="n">
        <v>2179.2</v>
      </c>
      <c r="Z705" s="5" t="n">
        <v>3102.9</v>
      </c>
      <c r="AA705" s="5" t="n">
        <v>2253.1</v>
      </c>
      <c r="AB705" s="5" t="n">
        <v>3143.9</v>
      </c>
      <c r="AC705" s="5" t="inlineStr"/>
      <c r="AD705" s="5">
        <f>IF(AC705="","",IF(OR(AC705=F705,AND(AC705="crane_footing",F705="isolated_footing")),"yes","no"))</f>
        <v/>
      </c>
    </row>
    <row r="706">
      <c r="A706" s="5" t="n">
        <v>705</v>
      </c>
      <c r="B706" s="5" t="inlineStr">
        <is>
          <t>127</t>
        </is>
      </c>
      <c r="C706" s="5" t="inlineStr">
        <is>
          <t>region between joints</t>
        </is>
      </c>
      <c r="D706" s="5" t="inlineStr">
        <is>
          <t>band</t>
        </is>
      </c>
      <c r="E706" s="5" t="n">
        <v>1</v>
      </c>
      <c r="F706" s="5" t="inlineStr">
        <is>
          <t>unnamed</t>
        </is>
      </c>
      <c r="G706" s="5" t="inlineStr">
        <is>
          <t>no label votes</t>
        </is>
      </c>
      <c r="H706" s="5" t="inlineStr">
        <is>
          <t>(none)</t>
        </is>
      </c>
      <c r="I706" s="5" t="inlineStr"/>
      <c r="J706" s="5" t="inlineStr"/>
      <c r="K706" s="5" t="n">
        <v>125</v>
      </c>
      <c r="L706" s="5" t="n">
        <v>20</v>
      </c>
      <c r="M706" s="10">
        <f>IF(AND(ISNUMBER(K706),L706&gt;0),K706/L706,"")</f>
        <v/>
      </c>
      <c r="N706" s="5" t="n">
        <v>0.25</v>
      </c>
      <c r="O706" s="5" t="n">
        <v>116.7</v>
      </c>
      <c r="P706" s="5" t="n">
        <v>2</v>
      </c>
      <c r="Q706" s="5" t="n">
        <v>1</v>
      </c>
      <c r="R706" s="5" t="n">
        <v>0</v>
      </c>
      <c r="S706" s="5" t="n">
        <v>1</v>
      </c>
      <c r="T706" s="5" t="n">
        <v>0</v>
      </c>
      <c r="U706" s="5" t="n">
        <v>14</v>
      </c>
      <c r="V706" s="5" t="n">
        <v>1</v>
      </c>
      <c r="W706" s="5" t="n">
        <v>0</v>
      </c>
      <c r="X706" s="5" t="inlineStr"/>
      <c r="Y706" s="5" t="n">
        <v>2145.4</v>
      </c>
      <c r="Z706" s="5" t="n">
        <v>3126</v>
      </c>
      <c r="AA706" s="5" t="n">
        <v>2167.3</v>
      </c>
      <c r="AB706" s="5" t="n">
        <v>3161.7</v>
      </c>
      <c r="AC706" s="5" t="inlineStr"/>
      <c r="AD706" s="5">
        <f>IF(AC706="","",IF(OR(AC706=F706,AND(AC706="crane_footing",F706="isolated_footing")),"yes","no"))</f>
        <v/>
      </c>
    </row>
    <row r="707">
      <c r="A707" s="5" t="n">
        <v>706</v>
      </c>
      <c r="B707" s="5" t="inlineStr">
        <is>
          <t>127</t>
        </is>
      </c>
      <c r="C707" s="5" t="inlineStr">
        <is>
          <t>region between joints</t>
        </is>
      </c>
      <c r="D707" s="5" t="inlineStr">
        <is>
          <t>band</t>
        </is>
      </c>
      <c r="E707" s="5" t="n">
        <v>1</v>
      </c>
      <c r="F707" s="5" t="inlineStr">
        <is>
          <t>unnamed</t>
        </is>
      </c>
      <c r="G707" s="5" t="inlineStr">
        <is>
          <t>no label votes</t>
        </is>
      </c>
      <c r="H707" s="5" t="inlineStr">
        <is>
          <t>(none)</t>
        </is>
      </c>
      <c r="I707" s="5" t="inlineStr"/>
      <c r="J707" s="5" t="inlineStr"/>
      <c r="K707" s="5" t="n">
        <v>120</v>
      </c>
      <c r="L707" s="5" t="n">
        <v>20</v>
      </c>
      <c r="M707" s="10">
        <f>IF(AND(ISNUMBER(K707),L707&gt;0),K707/L707,"")</f>
        <v/>
      </c>
      <c r="N707" s="5" t="n">
        <v>0.24</v>
      </c>
      <c r="O707" s="5" t="n">
        <v>116.7</v>
      </c>
      <c r="P707" s="5" t="n">
        <v>2</v>
      </c>
      <c r="Q707" s="5" t="n">
        <v>1</v>
      </c>
      <c r="R707" s="5" t="n">
        <v>0</v>
      </c>
      <c r="S707" s="5" t="n">
        <v>1</v>
      </c>
      <c r="T707" s="5" t="n">
        <v>0</v>
      </c>
      <c r="U707" s="5" t="n">
        <v>9</v>
      </c>
      <c r="V707" s="5" t="n">
        <v>1</v>
      </c>
      <c r="W707" s="5" t="n">
        <v>0</v>
      </c>
      <c r="X707" s="5" t="inlineStr"/>
      <c r="Y707" s="5" t="n">
        <v>2224</v>
      </c>
      <c r="Z707" s="5" t="n">
        <v>3165</v>
      </c>
      <c r="AA707" s="5" t="n">
        <v>2245.1</v>
      </c>
      <c r="AB707" s="5" t="n">
        <v>3199.3</v>
      </c>
      <c r="AC707" s="5" t="inlineStr"/>
      <c r="AD707" s="5">
        <f>IF(AC707="","",IF(OR(AC707=F707,AND(AC707="crane_footing",F707="isolated_footing")),"yes","no"))</f>
        <v/>
      </c>
    </row>
    <row r="708">
      <c r="A708" s="5" t="n">
        <v>707</v>
      </c>
      <c r="B708" s="5" t="inlineStr">
        <is>
          <t>127</t>
        </is>
      </c>
      <c r="C708" s="5" t="inlineStr">
        <is>
          <t>region between joints</t>
        </is>
      </c>
      <c r="D708" s="5" t="inlineStr">
        <is>
          <t>band</t>
        </is>
      </c>
      <c r="E708" s="5" t="n">
        <v>1</v>
      </c>
      <c r="F708" s="5" t="inlineStr">
        <is>
          <t>unnamed</t>
        </is>
      </c>
      <c r="G708" s="5" t="inlineStr">
        <is>
          <t>no label votes</t>
        </is>
      </c>
      <c r="H708" s="5" t="inlineStr">
        <is>
          <t>(none)</t>
        </is>
      </c>
      <c r="I708" s="5" t="inlineStr"/>
      <c r="J708" s="5" t="inlineStr"/>
      <c r="K708" s="5" t="n">
        <v>111</v>
      </c>
      <c r="L708" s="5" t="n">
        <v>20</v>
      </c>
      <c r="M708" s="10">
        <f>IF(AND(ISNUMBER(K708),L708&gt;0),K708/L708,"")</f>
        <v/>
      </c>
      <c r="N708" s="5" t="n">
        <v>0.221</v>
      </c>
      <c r="O708" s="5" t="n">
        <v>26.7</v>
      </c>
      <c r="P708" s="5" t="n">
        <v>2</v>
      </c>
      <c r="Q708" s="5" t="n">
        <v>1</v>
      </c>
      <c r="R708" s="5" t="n">
        <v>0</v>
      </c>
      <c r="S708" s="5" t="n">
        <v>1</v>
      </c>
      <c r="T708" s="5" t="n">
        <v>0</v>
      </c>
      <c r="U708" s="5" t="n">
        <v>2</v>
      </c>
      <c r="V708" s="5" t="n">
        <v>0</v>
      </c>
      <c r="W708" s="5" t="n">
        <v>0</v>
      </c>
      <c r="X708" s="5" t="inlineStr"/>
      <c r="Y708" s="5" t="n">
        <v>2102.1</v>
      </c>
      <c r="Z708" s="5" t="n">
        <v>3256.6</v>
      </c>
      <c r="AA708" s="5" t="n">
        <v>2133.9</v>
      </c>
      <c r="AB708" s="5" t="n">
        <v>3276.6</v>
      </c>
      <c r="AC708" s="5" t="inlineStr"/>
      <c r="AD708" s="5">
        <f>IF(AC708="","",IF(OR(AC708=F708,AND(AC708="crane_footing",F708="isolated_footing")),"yes","no"))</f>
        <v/>
      </c>
    </row>
    <row r="709">
      <c r="A709" s="5" t="n">
        <v>708</v>
      </c>
      <c r="B709" s="5" t="inlineStr">
        <is>
          <t>127</t>
        </is>
      </c>
      <c r="C709" s="5" t="inlineStr">
        <is>
          <t>region between joints</t>
        </is>
      </c>
      <c r="D709" s="5" t="inlineStr">
        <is>
          <t>band</t>
        </is>
      </c>
      <c r="E709" s="5" t="n">
        <v>5</v>
      </c>
      <c r="F709" s="5" t="inlineStr">
        <is>
          <t>unnamed</t>
        </is>
      </c>
      <c r="G709" s="5" t="inlineStr">
        <is>
          <t>no label votes</t>
        </is>
      </c>
      <c r="H709" s="5" t="inlineStr">
        <is>
          <t>(none)</t>
        </is>
      </c>
      <c r="I709" s="5" t="inlineStr"/>
      <c r="J709" s="5" t="inlineStr"/>
      <c r="K709" s="5" t="n">
        <v>915</v>
      </c>
      <c r="L709" s="5" t="n">
        <v>49</v>
      </c>
      <c r="M709" s="10">
        <f>IF(AND(ISNUMBER(K709),L709&gt;0),K709/L709,"")</f>
        <v/>
      </c>
      <c r="N709" s="5" t="n">
        <v>4.481</v>
      </c>
      <c r="O709" s="5" t="n">
        <v>26.6</v>
      </c>
      <c r="P709" s="5" t="n">
        <v>0</v>
      </c>
      <c r="Q709" s="5" t="n">
        <v>0</v>
      </c>
      <c r="R709" s="5" t="n">
        <v>0</v>
      </c>
      <c r="S709" s="5" t="n">
        <v>1</v>
      </c>
      <c r="T709" s="5" t="n">
        <v>0</v>
      </c>
      <c r="U709" s="5" t="n">
        <v>10</v>
      </c>
      <c r="V709" s="5" t="n">
        <v>6</v>
      </c>
      <c r="W709" s="5" t="n">
        <v>9.15</v>
      </c>
      <c r="X709" s="5" t="inlineStr"/>
      <c r="Y709" s="5" t="n">
        <v>2057.4</v>
      </c>
      <c r="Z709" s="5" t="n">
        <v>3010.6</v>
      </c>
      <c r="AA709" s="5" t="n">
        <v>2305.3</v>
      </c>
      <c r="AB709" s="5" t="n">
        <v>3144.6</v>
      </c>
      <c r="AC709" s="5" t="inlineStr"/>
      <c r="AD709" s="5">
        <f>IF(AC709="","",IF(OR(AC709=F709,AND(AC709="crane_footing",F709="isolated_footing")),"yes","no"))</f>
        <v/>
      </c>
    </row>
    <row r="710">
      <c r="A710" s="5" t="n">
        <v>709</v>
      </c>
      <c r="B710" s="5" t="inlineStr">
        <is>
          <t>127</t>
        </is>
      </c>
      <c r="C710" s="5" t="inlineStr">
        <is>
          <t>region between joints</t>
        </is>
      </c>
      <c r="D710" s="5" t="inlineStr">
        <is>
          <t>band</t>
        </is>
      </c>
      <c r="E710" s="5" t="n">
        <v>5</v>
      </c>
      <c r="F710" s="5" t="inlineStr">
        <is>
          <t>unnamed</t>
        </is>
      </c>
      <c r="G710" s="5" t="inlineStr">
        <is>
          <t>no label votes</t>
        </is>
      </c>
      <c r="H710" s="5" t="inlineStr">
        <is>
          <t>(none)</t>
        </is>
      </c>
      <c r="I710" s="5" t="inlineStr"/>
      <c r="J710" s="5" t="inlineStr"/>
      <c r="K710" s="5" t="n">
        <v>550</v>
      </c>
      <c r="L710" s="5" t="n">
        <v>49</v>
      </c>
      <c r="M710" s="10">
        <f>IF(AND(ISNUMBER(K710),L710&gt;0),K710/L710,"")</f>
        <v/>
      </c>
      <c r="N710" s="5" t="n">
        <v>2.695</v>
      </c>
      <c r="O710" s="5" t="n">
        <v>116.6</v>
      </c>
      <c r="P710" s="5" t="n">
        <v>0</v>
      </c>
      <c r="Q710" s="5" t="n">
        <v>1</v>
      </c>
      <c r="R710" s="5" t="n">
        <v>0</v>
      </c>
      <c r="S710" s="5" t="n">
        <v>0</v>
      </c>
      <c r="T710" s="5" t="n">
        <v>0</v>
      </c>
      <c r="U710" s="5" t="n">
        <v>1</v>
      </c>
      <c r="V710" s="5" t="n">
        <v>8</v>
      </c>
      <c r="W710" s="5" t="n">
        <v>0</v>
      </c>
      <c r="X710" s="5" t="inlineStr"/>
      <c r="Y710" s="5" t="n">
        <v>2164.2</v>
      </c>
      <c r="Z710" s="5" t="n">
        <v>2593.2</v>
      </c>
      <c r="AA710" s="5" t="n">
        <v>2249.9</v>
      </c>
      <c r="AB710" s="5" t="n">
        <v>2744.9</v>
      </c>
      <c r="AC710" s="5" t="inlineStr"/>
      <c r="AD710" s="5">
        <f>IF(AC710="","",IF(OR(AC710=F710,AND(AC710="crane_footing",F710="isolated_footing")),"yes","no"))</f>
        <v/>
      </c>
    </row>
    <row r="711">
      <c r="A711" s="5" t="n">
        <v>710</v>
      </c>
      <c r="B711" s="5" t="inlineStr">
        <is>
          <t>127</t>
        </is>
      </c>
      <c r="C711" s="5" t="inlineStr">
        <is>
          <t>region between joints</t>
        </is>
      </c>
      <c r="D711" s="5" t="inlineStr">
        <is>
          <t>band</t>
        </is>
      </c>
      <c r="E711" s="5" t="n">
        <v>5</v>
      </c>
      <c r="F711" s="5" t="inlineStr">
        <is>
          <t>unnamed</t>
        </is>
      </c>
      <c r="G711" s="5" t="inlineStr">
        <is>
          <t>no label votes</t>
        </is>
      </c>
      <c r="H711" s="5" t="inlineStr">
        <is>
          <t>(none)</t>
        </is>
      </c>
      <c r="I711" s="5" t="inlineStr"/>
      <c r="J711" s="5" t="inlineStr"/>
      <c r="K711" s="5" t="n">
        <v>550</v>
      </c>
      <c r="L711" s="5" t="n">
        <v>49</v>
      </c>
      <c r="M711" s="10">
        <f>IF(AND(ISNUMBER(K711),L711&gt;0),K711/L711,"")</f>
        <v/>
      </c>
      <c r="N711" s="5" t="n">
        <v>2.695</v>
      </c>
      <c r="O711" s="5" t="n">
        <v>26.6</v>
      </c>
      <c r="P711" s="5" t="n">
        <v>0</v>
      </c>
      <c r="Q711" s="5" t="n">
        <v>1</v>
      </c>
      <c r="R711" s="5" t="n">
        <v>0</v>
      </c>
      <c r="S711" s="5" t="n">
        <v>0</v>
      </c>
      <c r="T711" s="5" t="n">
        <v>0</v>
      </c>
      <c r="U711" s="5" t="n">
        <v>2</v>
      </c>
      <c r="V711" s="5" t="n">
        <v>9</v>
      </c>
      <c r="W711" s="5" t="n">
        <v>0</v>
      </c>
      <c r="X711" s="5" t="inlineStr"/>
      <c r="Y711" s="5" t="n">
        <v>2170.7</v>
      </c>
      <c r="Z711" s="5" t="n">
        <v>2745.1</v>
      </c>
      <c r="AA711" s="5" t="n">
        <v>2322.4</v>
      </c>
      <c r="AB711" s="5" t="n">
        <v>2830.9</v>
      </c>
      <c r="AC711" s="5" t="inlineStr"/>
      <c r="AD711" s="5">
        <f>IF(AC711="","",IF(OR(AC711=F711,AND(AC711="crane_footing",F711="isolated_footing")),"yes","no"))</f>
        <v/>
      </c>
    </row>
    <row r="712">
      <c r="A712" s="5" t="n">
        <v>711</v>
      </c>
      <c r="B712" s="5" t="inlineStr">
        <is>
          <t>127</t>
        </is>
      </c>
      <c r="C712" s="5" t="inlineStr">
        <is>
          <t>region between joints</t>
        </is>
      </c>
      <c r="D712" s="5" t="inlineStr">
        <is>
          <t>band</t>
        </is>
      </c>
      <c r="E712" s="5" t="n">
        <v>5</v>
      </c>
      <c r="F712" s="5" t="inlineStr">
        <is>
          <t>unnamed</t>
        </is>
      </c>
      <c r="G712" s="5" t="inlineStr">
        <is>
          <t>no label votes</t>
        </is>
      </c>
      <c r="H712" s="5" t="inlineStr">
        <is>
          <t>(none)</t>
        </is>
      </c>
      <c r="I712" s="5" t="inlineStr"/>
      <c r="J712" s="5" t="inlineStr"/>
      <c r="K712" s="5" t="n">
        <v>550</v>
      </c>
      <c r="L712" s="5" t="n">
        <v>49</v>
      </c>
      <c r="M712" s="10">
        <f>IF(AND(ISNUMBER(K712),L712&gt;0),K712/L712,"")</f>
        <v/>
      </c>
      <c r="N712" s="5" t="n">
        <v>2.695</v>
      </c>
      <c r="O712" s="5" t="n">
        <v>116.6</v>
      </c>
      <c r="P712" s="5" t="n">
        <v>0</v>
      </c>
      <c r="Q712" s="5" t="n">
        <v>1</v>
      </c>
      <c r="R712" s="5" t="n">
        <v>0</v>
      </c>
      <c r="S712" s="5" t="n">
        <v>0</v>
      </c>
      <c r="T712" s="5" t="n">
        <v>0</v>
      </c>
      <c r="U712" s="5" t="n">
        <v>0</v>
      </c>
      <c r="V712" s="5" t="n">
        <v>10</v>
      </c>
      <c r="W712" s="5" t="n">
        <v>0</v>
      </c>
      <c r="X712" s="5" t="inlineStr"/>
      <c r="Y712" s="5" t="n">
        <v>2322.5</v>
      </c>
      <c r="Z712" s="5" t="n">
        <v>2672.7</v>
      </c>
      <c r="AA712" s="5" t="n">
        <v>2408.3</v>
      </c>
      <c r="AB712" s="5" t="n">
        <v>2824.3</v>
      </c>
      <c r="AC712" s="5" t="inlineStr"/>
      <c r="AD712" s="5">
        <f>IF(AC712="","",IF(OR(AC712=F712,AND(AC712="crane_footing",F712="isolated_footing")),"yes","no"))</f>
        <v/>
      </c>
    </row>
    <row r="713">
      <c r="A713" s="5" t="n">
        <v>712</v>
      </c>
      <c r="B713" s="5" t="inlineStr">
        <is>
          <t>127</t>
        </is>
      </c>
      <c r="C713" s="5" t="inlineStr">
        <is>
          <t>region between joints</t>
        </is>
      </c>
      <c r="D713" s="5" t="inlineStr">
        <is>
          <t>band</t>
        </is>
      </c>
      <c r="E713" s="5" t="n">
        <v>5</v>
      </c>
      <c r="F713" s="5" t="inlineStr">
        <is>
          <t>unnamed</t>
        </is>
      </c>
      <c r="G713" s="5" t="inlineStr">
        <is>
          <t>no label votes</t>
        </is>
      </c>
      <c r="H713" s="5" t="inlineStr">
        <is>
          <t>(none)</t>
        </is>
      </c>
      <c r="I713" s="5" t="inlineStr"/>
      <c r="J713" s="5" t="inlineStr"/>
      <c r="K713" s="5" t="n">
        <v>550</v>
      </c>
      <c r="L713" s="5" t="n">
        <v>49</v>
      </c>
      <c r="M713" s="10">
        <f>IF(AND(ISNUMBER(K713),L713&gt;0),K713/L713,"")</f>
        <v/>
      </c>
      <c r="N713" s="5" t="n">
        <v>2.695</v>
      </c>
      <c r="O713" s="5" t="n">
        <v>26.6</v>
      </c>
      <c r="P713" s="5" t="n">
        <v>0</v>
      </c>
      <c r="Q713" s="5" t="n">
        <v>1</v>
      </c>
      <c r="R713" s="5" t="n">
        <v>0</v>
      </c>
      <c r="S713" s="5" t="n">
        <v>0</v>
      </c>
      <c r="T713" s="5" t="n">
        <v>0</v>
      </c>
      <c r="U713" s="5" t="n">
        <v>0</v>
      </c>
      <c r="V713" s="5" t="n">
        <v>7</v>
      </c>
      <c r="W713" s="5" t="n">
        <v>0</v>
      </c>
      <c r="X713" s="5" t="inlineStr"/>
      <c r="Y713" s="5" t="n">
        <v>2250.1</v>
      </c>
      <c r="Z713" s="5" t="n">
        <v>2586.7</v>
      </c>
      <c r="AA713" s="5" t="n">
        <v>2401.7</v>
      </c>
      <c r="AB713" s="5" t="n">
        <v>2672.5</v>
      </c>
      <c r="AC713" s="5" t="inlineStr"/>
      <c r="AD713" s="5">
        <f>IF(AC713="","",IF(OR(AC713=F713,AND(AC713="crane_footing",F713="isolated_footing")),"yes","no"))</f>
        <v/>
      </c>
    </row>
    <row r="714">
      <c r="A714" s="5" t="n">
        <v>713</v>
      </c>
      <c r="B714" s="5" t="inlineStr">
        <is>
          <t>127</t>
        </is>
      </c>
      <c r="C714" s="5" t="inlineStr">
        <is>
          <t>region between joints</t>
        </is>
      </c>
      <c r="D714" s="5" t="inlineStr">
        <is>
          <t>band</t>
        </is>
      </c>
      <c r="E714" s="5" t="n">
        <v>5</v>
      </c>
      <c r="F714" s="5" t="inlineStr">
        <is>
          <t>unnamed</t>
        </is>
      </c>
      <c r="G714" s="5" t="inlineStr">
        <is>
          <t>no label votes</t>
        </is>
      </c>
      <c r="H714" s="5" t="inlineStr">
        <is>
          <t>(none)</t>
        </is>
      </c>
      <c r="I714" s="5" t="inlineStr"/>
      <c r="J714" s="5" t="inlineStr"/>
      <c r="K714" s="5" t="n">
        <v>498</v>
      </c>
      <c r="L714" s="5" t="n">
        <v>49</v>
      </c>
      <c r="M714" s="10">
        <f>IF(AND(ISNUMBER(K714),L714&gt;0),K714/L714,"")</f>
        <v/>
      </c>
      <c r="N714" s="5" t="n">
        <v>2.44</v>
      </c>
      <c r="O714" s="5" t="n">
        <v>116.6</v>
      </c>
      <c r="P714" s="5" t="n">
        <v>2</v>
      </c>
      <c r="Q714" s="5" t="n">
        <v>0</v>
      </c>
      <c r="R714" s="5" t="n">
        <v>0</v>
      </c>
      <c r="S714" s="5" t="n">
        <v>0</v>
      </c>
      <c r="T714" s="5" t="n">
        <v>1</v>
      </c>
      <c r="U714" s="5" t="n">
        <v>3</v>
      </c>
      <c r="V714" s="5" t="n">
        <v>4</v>
      </c>
      <c r="W714" s="5" t="n">
        <v>2.69</v>
      </c>
      <c r="X714" s="5" t="inlineStr"/>
      <c r="Y714" s="5" t="n">
        <v>2606.1</v>
      </c>
      <c r="Z714" s="5" t="n">
        <v>2746.4</v>
      </c>
      <c r="AA714" s="5" t="n">
        <v>2685</v>
      </c>
      <c r="AB714" s="5" t="n">
        <v>2884.3</v>
      </c>
      <c r="AC714" s="5" t="inlineStr"/>
      <c r="AD714" s="5">
        <f>IF(AC714="","",IF(OR(AC714=F714,AND(AC714="crane_footing",F714="isolated_footing")),"yes","no"))</f>
        <v/>
      </c>
    </row>
    <row r="715">
      <c r="A715" s="5" t="n">
        <v>714</v>
      </c>
      <c r="B715" s="5" t="inlineStr">
        <is>
          <t>127</t>
        </is>
      </c>
      <c r="C715" s="5" t="inlineStr">
        <is>
          <t>region between joints</t>
        </is>
      </c>
      <c r="D715" s="5" t="inlineStr">
        <is>
          <t>band</t>
        </is>
      </c>
      <c r="E715" s="5" t="n">
        <v>5</v>
      </c>
      <c r="F715" s="5" t="inlineStr">
        <is>
          <t>unnamed</t>
        </is>
      </c>
      <c r="G715" s="5" t="inlineStr">
        <is>
          <t>no label votes</t>
        </is>
      </c>
      <c r="H715" s="5" t="inlineStr">
        <is>
          <t>(none)</t>
        </is>
      </c>
      <c r="I715" s="5" t="inlineStr"/>
      <c r="J715" s="5" t="inlineStr"/>
      <c r="K715" s="5" t="n">
        <v>271</v>
      </c>
      <c r="L715" s="5" t="n">
        <v>49</v>
      </c>
      <c r="M715" s="10">
        <f>IF(AND(ISNUMBER(K715),L715&gt;0),K715/L715,"")</f>
        <v/>
      </c>
      <c r="N715" s="5" t="n">
        <v>1.328</v>
      </c>
      <c r="O715" s="5" t="n">
        <v>26.6</v>
      </c>
      <c r="P715" s="5" t="n">
        <v>0</v>
      </c>
      <c r="Q715" s="5" t="n">
        <v>0</v>
      </c>
      <c r="R715" s="5" t="n">
        <v>0</v>
      </c>
      <c r="S715" s="5" t="n">
        <v>1</v>
      </c>
      <c r="T715" s="5" t="n">
        <v>0</v>
      </c>
      <c r="U715" s="5" t="n">
        <v>5</v>
      </c>
      <c r="V715" s="5" t="n">
        <v>1</v>
      </c>
      <c r="W715" s="5" t="n">
        <v>2.71</v>
      </c>
      <c r="X715" s="5" t="inlineStr"/>
      <c r="Y715" s="5" t="n">
        <v>2004.9</v>
      </c>
      <c r="Z715" s="5" t="n">
        <v>3115.3</v>
      </c>
      <c r="AA715" s="5" t="n">
        <v>2082.9</v>
      </c>
      <c r="AB715" s="5" t="n">
        <v>3164.2</v>
      </c>
      <c r="AC715" s="5" t="inlineStr"/>
      <c r="AD715" s="5">
        <f>IF(AC715="","",IF(OR(AC715=F715,AND(AC715="crane_footing",F715="isolated_footing")),"yes","no"))</f>
        <v/>
      </c>
    </row>
    <row r="716">
      <c r="A716" s="5" t="n">
        <v>715</v>
      </c>
      <c r="B716" s="5" t="inlineStr">
        <is>
          <t>127</t>
        </is>
      </c>
      <c r="C716" s="5" t="inlineStr">
        <is>
          <t>region between joints</t>
        </is>
      </c>
      <c r="D716" s="5" t="inlineStr">
        <is>
          <t>band</t>
        </is>
      </c>
      <c r="E716" s="5" t="n">
        <v>7</v>
      </c>
      <c r="F716" s="5" t="inlineStr">
        <is>
          <t>unnamed</t>
        </is>
      </c>
      <c r="G716" s="5" t="inlineStr">
        <is>
          <t>no label votes</t>
        </is>
      </c>
      <c r="H716" s="5" t="inlineStr">
        <is>
          <t>(none)</t>
        </is>
      </c>
      <c r="I716" s="5" t="inlineStr"/>
      <c r="J716" s="5" t="inlineStr"/>
      <c r="K716" s="5" t="n">
        <v>326</v>
      </c>
      <c r="L716" s="5" t="n">
        <v>84</v>
      </c>
      <c r="M716" s="10">
        <f>IF(AND(ISNUMBER(K716),L716&gt;0),K716/L716,"")</f>
        <v/>
      </c>
      <c r="N716" s="5" t="n">
        <v>2.738</v>
      </c>
      <c r="O716" s="5" t="n">
        <v>26.6</v>
      </c>
      <c r="P716" s="5" t="n">
        <v>0</v>
      </c>
      <c r="Q716" s="5" t="n">
        <v>0</v>
      </c>
      <c r="R716" s="5" t="n">
        <v>0</v>
      </c>
      <c r="S716" s="5" t="n">
        <v>0</v>
      </c>
      <c r="T716" s="5" t="n">
        <v>0</v>
      </c>
      <c r="U716" s="5" t="n">
        <v>13</v>
      </c>
      <c r="V716" s="5" t="n">
        <v>0</v>
      </c>
      <c r="W716" s="5" t="n">
        <v>3.26</v>
      </c>
      <c r="X716" s="5" t="inlineStr"/>
      <c r="Y716" s="5" t="n">
        <v>2040.3</v>
      </c>
      <c r="Z716" s="5" t="n">
        <v>3428.3</v>
      </c>
      <c r="AA716" s="5" t="n">
        <v>2137.5</v>
      </c>
      <c r="AB716" s="5" t="n">
        <v>3493.6</v>
      </c>
      <c r="AC716" s="5" t="inlineStr"/>
      <c r="AD716" s="5">
        <f>IF(AC716="","",IF(OR(AC716=F716,AND(AC716="crane_footing",F716="isolated_footing")),"yes","no"))</f>
        <v/>
      </c>
    </row>
    <row r="717">
      <c r="A717" s="5" t="n">
        <v>716</v>
      </c>
      <c r="B717" s="5" t="inlineStr">
        <is>
          <t>127</t>
        </is>
      </c>
      <c r="C717" s="5" t="inlineStr">
        <is>
          <t>region between joints</t>
        </is>
      </c>
      <c r="D717" s="5" t="inlineStr">
        <is>
          <t>band</t>
        </is>
      </c>
      <c r="E717" s="5" t="n">
        <v>7</v>
      </c>
      <c r="F717" s="5" t="inlineStr">
        <is>
          <t>unnamed</t>
        </is>
      </c>
      <c r="G717" s="5" t="inlineStr">
        <is>
          <t>no label votes</t>
        </is>
      </c>
      <c r="H717" s="5" t="inlineStr">
        <is>
          <t>(none)</t>
        </is>
      </c>
      <c r="I717" s="5" t="inlineStr"/>
      <c r="J717" s="5" t="inlineStr"/>
      <c r="K717" s="5" t="n">
        <v>105</v>
      </c>
      <c r="L717" s="5" t="n">
        <v>84</v>
      </c>
      <c r="M717" s="10">
        <f>IF(AND(ISNUMBER(K717),L717&gt;0),K717/L717,"")</f>
        <v/>
      </c>
      <c r="N717" s="5" t="n">
        <v>0.883</v>
      </c>
      <c r="O717" s="5" t="n">
        <v>26.6</v>
      </c>
      <c r="P717" s="5" t="n">
        <v>0</v>
      </c>
      <c r="Q717" s="5" t="n">
        <v>0</v>
      </c>
      <c r="R717" s="5" t="n">
        <v>0</v>
      </c>
      <c r="S717" s="5" t="n">
        <v>0</v>
      </c>
      <c r="T717" s="5" t="n">
        <v>0</v>
      </c>
      <c r="U717" s="5" t="n">
        <v>0</v>
      </c>
      <c r="V717" s="5" t="n">
        <v>0</v>
      </c>
      <c r="W717" s="5" t="n">
        <v>1.05</v>
      </c>
      <c r="X717" s="5" t="inlineStr"/>
      <c r="Y717" s="5" t="n">
        <v>1980.9</v>
      </c>
      <c r="Z717" s="5" t="n">
        <v>3398.5</v>
      </c>
      <c r="AA717" s="5" t="n">
        <v>2019.8</v>
      </c>
      <c r="AB717" s="5" t="n">
        <v>3434.6</v>
      </c>
      <c r="AC717" s="5" t="inlineStr"/>
      <c r="AD717" s="5">
        <f>IF(AC717="","",IF(OR(AC717=F717,AND(AC717="crane_footing",F717="isolated_footing")),"yes","no"))</f>
        <v/>
      </c>
    </row>
    <row r="718">
      <c r="A718" s="5" t="n">
        <v>717</v>
      </c>
      <c r="B718" s="5" t="inlineStr">
        <is>
          <t>127</t>
        </is>
      </c>
      <c r="C718" s="5" t="inlineStr">
        <is>
          <t>region between joints</t>
        </is>
      </c>
      <c r="D718" s="5" t="inlineStr">
        <is>
          <t>band</t>
        </is>
      </c>
      <c r="E718" s="5" t="n">
        <v>8</v>
      </c>
      <c r="F718" s="5" t="inlineStr">
        <is>
          <t>unnamed</t>
        </is>
      </c>
      <c r="G718" s="5" t="inlineStr">
        <is>
          <t>no label votes</t>
        </is>
      </c>
      <c r="H718" s="5" t="inlineStr">
        <is>
          <t>(none)</t>
        </is>
      </c>
      <c r="I718" s="5" t="inlineStr"/>
      <c r="J718" s="5" t="inlineStr"/>
      <c r="K718" s="5" t="n">
        <v>145</v>
      </c>
      <c r="L718" s="5" t="n">
        <v>94</v>
      </c>
      <c r="M718" s="10">
        <f>IF(AND(ISNUMBER(K718),L718&gt;0),K718/L718,"")</f>
        <v/>
      </c>
      <c r="N718" s="5" t="n">
        <v>1.364</v>
      </c>
      <c r="O718" s="5" t="n">
        <v>116.7</v>
      </c>
      <c r="P718" s="5" t="n">
        <v>0</v>
      </c>
      <c r="Q718" s="5" t="n">
        <v>1</v>
      </c>
      <c r="R718" s="5" t="n">
        <v>0</v>
      </c>
      <c r="S718" s="5" t="n">
        <v>0</v>
      </c>
      <c r="T718" s="5" t="n">
        <v>0</v>
      </c>
      <c r="U718" s="5" t="n">
        <v>1</v>
      </c>
      <c r="V718" s="5" t="n">
        <v>4</v>
      </c>
      <c r="W718" s="5" t="n">
        <v>0</v>
      </c>
      <c r="X718" s="5" t="inlineStr"/>
      <c r="Y718" s="5" t="n">
        <v>2199.4</v>
      </c>
      <c r="Z718" s="5" t="n">
        <v>2567.5</v>
      </c>
      <c r="AA718" s="5" t="n">
        <v>2243.4</v>
      </c>
      <c r="AB718" s="5" t="n">
        <v>2618.2</v>
      </c>
      <c r="AC718" s="5" t="inlineStr"/>
      <c r="AD718" s="5">
        <f>IF(AC718="","",IF(OR(AC718=F718,AND(AC718="crane_footing",F718="isolated_footing")),"yes","no"))</f>
        <v/>
      </c>
    </row>
    <row r="719">
      <c r="A719" s="5" t="n">
        <v>718</v>
      </c>
      <c r="B719" s="5" t="inlineStr">
        <is>
          <t>127</t>
        </is>
      </c>
      <c r="C719" s="5" t="inlineStr">
        <is>
          <t>region between joints</t>
        </is>
      </c>
      <c r="D719" s="5" t="inlineStr">
        <is>
          <t>band</t>
        </is>
      </c>
      <c r="E719" s="5" t="n">
        <v>8</v>
      </c>
      <c r="F719" s="5" t="inlineStr">
        <is>
          <t>unnamed</t>
        </is>
      </c>
      <c r="G719" s="5" t="inlineStr">
        <is>
          <t>no label votes</t>
        </is>
      </c>
      <c r="H719" s="5" t="inlineStr">
        <is>
          <t>(none)</t>
        </is>
      </c>
      <c r="I719" s="5" t="inlineStr"/>
      <c r="J719" s="5" t="inlineStr"/>
      <c r="K719" s="5" t="n">
        <v>145</v>
      </c>
      <c r="L719" s="5" t="n">
        <v>94</v>
      </c>
      <c r="M719" s="10">
        <f>IF(AND(ISNUMBER(K719),L719&gt;0),K719/L719,"")</f>
        <v/>
      </c>
      <c r="N719" s="5" t="n">
        <v>1.363</v>
      </c>
      <c r="O719" s="5" t="n">
        <v>116.6</v>
      </c>
      <c r="P719" s="5" t="n">
        <v>0</v>
      </c>
      <c r="Q719" s="5" t="n">
        <v>1</v>
      </c>
      <c r="R719" s="5" t="n">
        <v>0</v>
      </c>
      <c r="S719" s="5" t="n">
        <v>0</v>
      </c>
      <c r="T719" s="5" t="n">
        <v>0</v>
      </c>
      <c r="U719" s="5" t="n">
        <v>1</v>
      </c>
      <c r="V719" s="5" t="n">
        <v>5</v>
      </c>
      <c r="W719" s="5" t="n">
        <v>0</v>
      </c>
      <c r="X719" s="5" t="inlineStr"/>
      <c r="Y719" s="5" t="n">
        <v>2329.1</v>
      </c>
      <c r="Z719" s="5" t="n">
        <v>2799.4</v>
      </c>
      <c r="AA719" s="5" t="n">
        <v>2373.1</v>
      </c>
      <c r="AB719" s="5" t="n">
        <v>2850.1</v>
      </c>
      <c r="AC719" s="5" t="inlineStr"/>
      <c r="AD719" s="5">
        <f>IF(AC719="","",IF(OR(AC719=F719,AND(AC719="crane_footing",F719="isolated_footing")),"yes","no"))</f>
        <v/>
      </c>
    </row>
    <row r="720">
      <c r="A720" s="5" t="n">
        <v>719</v>
      </c>
      <c r="B720" s="5" t="inlineStr">
        <is>
          <t>127</t>
        </is>
      </c>
      <c r="C720" s="5" t="inlineStr">
        <is>
          <t>region between joints</t>
        </is>
      </c>
      <c r="D720" s="5" t="inlineStr">
        <is>
          <t>band</t>
        </is>
      </c>
      <c r="E720" s="5" t="n">
        <v>8</v>
      </c>
      <c r="F720" s="5" t="inlineStr">
        <is>
          <t>unnamed</t>
        </is>
      </c>
      <c r="G720" s="5" t="inlineStr">
        <is>
          <t>no label votes</t>
        </is>
      </c>
      <c r="H720" s="5" t="inlineStr">
        <is>
          <t>(none)</t>
        </is>
      </c>
      <c r="I720" s="5" t="inlineStr"/>
      <c r="J720" s="5" t="inlineStr"/>
      <c r="K720" s="5" t="n">
        <v>145</v>
      </c>
      <c r="L720" s="5" t="n">
        <v>94</v>
      </c>
      <c r="M720" s="10">
        <f>IF(AND(ISNUMBER(K720),L720&gt;0),K720/L720,"")</f>
        <v/>
      </c>
      <c r="N720" s="5" t="n">
        <v>1.362</v>
      </c>
      <c r="O720" s="5" t="n">
        <v>116.6</v>
      </c>
      <c r="P720" s="5" t="n">
        <v>0</v>
      </c>
      <c r="Q720" s="5" t="n">
        <v>1</v>
      </c>
      <c r="R720" s="5" t="n">
        <v>0</v>
      </c>
      <c r="S720" s="5" t="n">
        <v>0</v>
      </c>
      <c r="T720" s="5" t="n">
        <v>0</v>
      </c>
      <c r="U720" s="5" t="n">
        <v>1</v>
      </c>
      <c r="V720" s="5" t="n">
        <v>5</v>
      </c>
      <c r="W720" s="5" t="n">
        <v>0</v>
      </c>
      <c r="X720" s="5" t="inlineStr"/>
      <c r="Y720" s="5" t="n">
        <v>2396</v>
      </c>
      <c r="Z720" s="5" t="n">
        <v>2666.1</v>
      </c>
      <c r="AA720" s="5" t="n">
        <v>2440</v>
      </c>
      <c r="AB720" s="5" t="n">
        <v>2716.8</v>
      </c>
      <c r="AC720" s="5" t="inlineStr"/>
      <c r="AD720" s="5">
        <f>IF(AC720="","",IF(OR(AC720=F720,AND(AC720="crane_footing",F720="isolated_footing")),"yes","no"))</f>
        <v/>
      </c>
    </row>
    <row r="721">
      <c r="A721" s="5" t="n">
        <v>720</v>
      </c>
      <c r="B721" s="5" t="inlineStr">
        <is>
          <t>127</t>
        </is>
      </c>
      <c r="C721" s="5" t="inlineStr">
        <is>
          <t>region between joints</t>
        </is>
      </c>
      <c r="D721" s="5" t="inlineStr">
        <is>
          <t>band</t>
        </is>
      </c>
      <c r="E721" s="5" t="n">
        <v>8</v>
      </c>
      <c r="F721" s="5" t="inlineStr">
        <is>
          <t>unnamed</t>
        </is>
      </c>
      <c r="G721" s="5" t="inlineStr">
        <is>
          <t>no label votes</t>
        </is>
      </c>
      <c r="H721" s="5" t="inlineStr">
        <is>
          <t>(none)</t>
        </is>
      </c>
      <c r="I721" s="5" t="inlineStr"/>
      <c r="J721" s="5" t="inlineStr"/>
      <c r="K721" s="5" t="n">
        <v>145</v>
      </c>
      <c r="L721" s="5" t="n">
        <v>94</v>
      </c>
      <c r="M721" s="10">
        <f>IF(AND(ISNUMBER(K721),L721&gt;0),K721/L721,"")</f>
        <v/>
      </c>
      <c r="N721" s="5" t="n">
        <v>1.361</v>
      </c>
      <c r="O721" s="5" t="n">
        <v>116.7</v>
      </c>
      <c r="P721" s="5" t="n">
        <v>0</v>
      </c>
      <c r="Q721" s="5" t="n">
        <v>1</v>
      </c>
      <c r="R721" s="5" t="n">
        <v>0</v>
      </c>
      <c r="S721" s="5" t="n">
        <v>0</v>
      </c>
      <c r="T721" s="5" t="n">
        <v>0</v>
      </c>
      <c r="U721" s="5" t="n">
        <v>1</v>
      </c>
      <c r="V721" s="5" t="n">
        <v>5</v>
      </c>
      <c r="W721" s="5" t="n">
        <v>0</v>
      </c>
      <c r="X721" s="5" t="inlineStr"/>
      <c r="Y721" s="5" t="n">
        <v>2132.5</v>
      </c>
      <c r="Z721" s="5" t="n">
        <v>2700.8</v>
      </c>
      <c r="AA721" s="5" t="n">
        <v>2176.5</v>
      </c>
      <c r="AB721" s="5" t="n">
        <v>2751.5</v>
      </c>
      <c r="AC721" s="5" t="inlineStr"/>
      <c r="AD721" s="5">
        <f>IF(AC721="","",IF(OR(AC721=F721,AND(AC721="crane_footing",F721="isolated_footing")),"yes","no"))</f>
        <v/>
      </c>
    </row>
    <row r="722">
      <c r="A722" s="5" t="n">
        <v>721</v>
      </c>
      <c r="B722" s="5" t="inlineStr">
        <is>
          <t>127</t>
        </is>
      </c>
      <c r="C722" s="5" t="inlineStr">
        <is>
          <t>region between joints</t>
        </is>
      </c>
      <c r="D722" s="5" t="inlineStr">
        <is>
          <t>band</t>
        </is>
      </c>
      <c r="E722" s="5" t="n">
        <v>8</v>
      </c>
      <c r="F722" s="5" t="inlineStr">
        <is>
          <t>unnamed</t>
        </is>
      </c>
      <c r="G722" s="5" t="inlineStr">
        <is>
          <t>no label votes</t>
        </is>
      </c>
      <c r="H722" s="5" t="inlineStr">
        <is>
          <t>(none)</t>
        </is>
      </c>
      <c r="I722" s="5" t="inlineStr"/>
      <c r="J722" s="5" t="inlineStr"/>
      <c r="K722" s="5" t="n">
        <v>95</v>
      </c>
      <c r="L722" s="5" t="n">
        <v>94</v>
      </c>
      <c r="M722" s="10">
        <f>IF(AND(ISNUMBER(K722),L722&gt;0),K722/L722,"")</f>
        <v/>
      </c>
      <c r="N722" s="5" t="n">
        <v>0.894</v>
      </c>
      <c r="O722" s="5" t="n">
        <v>116.6</v>
      </c>
      <c r="P722" s="5" t="n">
        <v>0</v>
      </c>
      <c r="Q722" s="5" t="n">
        <v>1</v>
      </c>
      <c r="R722" s="5" t="n">
        <v>0</v>
      </c>
      <c r="S722" s="5" t="n">
        <v>0</v>
      </c>
      <c r="T722" s="5" t="n">
        <v>0</v>
      </c>
      <c r="U722" s="5" t="n">
        <v>0</v>
      </c>
      <c r="V722" s="5" t="n">
        <v>6</v>
      </c>
      <c r="W722" s="5" t="n">
        <v>0</v>
      </c>
      <c r="X722" s="5" t="inlineStr"/>
      <c r="Y722" s="5" t="n">
        <v>2237.6</v>
      </c>
      <c r="Z722" s="5" t="n">
        <v>2599.9</v>
      </c>
      <c r="AA722" s="5" t="n">
        <v>2275</v>
      </c>
      <c r="AB722" s="5" t="n">
        <v>2637.4</v>
      </c>
      <c r="AC722" s="5" t="inlineStr"/>
      <c r="AD722" s="5">
        <f>IF(AC722="","",IF(OR(AC722=F722,AND(AC722="crane_footing",F722="isolated_footing")),"yes","no"))</f>
        <v/>
      </c>
    </row>
    <row r="723">
      <c r="A723" s="5" t="n">
        <v>722</v>
      </c>
      <c r="B723" s="5" t="inlineStr">
        <is>
          <t>127</t>
        </is>
      </c>
      <c r="C723" s="5" t="inlineStr">
        <is>
          <t>region between joints</t>
        </is>
      </c>
      <c r="D723" s="5" t="inlineStr">
        <is>
          <t>band</t>
        </is>
      </c>
      <c r="E723" s="5" t="n">
        <v>8</v>
      </c>
      <c r="F723" s="5" t="inlineStr">
        <is>
          <t>unnamed</t>
        </is>
      </c>
      <c r="G723" s="5" t="inlineStr">
        <is>
          <t>no label votes</t>
        </is>
      </c>
      <c r="H723" s="5" t="inlineStr">
        <is>
          <t>(none)</t>
        </is>
      </c>
      <c r="I723" s="5" t="inlineStr"/>
      <c r="J723" s="5" t="inlineStr"/>
      <c r="K723" s="5" t="n">
        <v>95</v>
      </c>
      <c r="L723" s="5" t="n">
        <v>94</v>
      </c>
      <c r="M723" s="10">
        <f>IF(AND(ISNUMBER(K723),L723&gt;0),K723/L723,"")</f>
        <v/>
      </c>
      <c r="N723" s="5" t="n">
        <v>0.894</v>
      </c>
      <c r="O723" s="5" t="n">
        <v>26.7</v>
      </c>
      <c r="P723" s="5" t="n">
        <v>0</v>
      </c>
      <c r="Q723" s="5" t="n">
        <v>1</v>
      </c>
      <c r="R723" s="5" t="n">
        <v>0</v>
      </c>
      <c r="S723" s="5" t="n">
        <v>0</v>
      </c>
      <c r="T723" s="5" t="n">
        <v>0</v>
      </c>
      <c r="U723" s="5" t="n">
        <v>0</v>
      </c>
      <c r="V723" s="5" t="n">
        <v>6</v>
      </c>
      <c r="W723" s="5" t="n">
        <v>0</v>
      </c>
      <c r="X723" s="5" t="inlineStr"/>
      <c r="Y723" s="5" t="n">
        <v>2297.4</v>
      </c>
      <c r="Z723" s="5" t="n">
        <v>2780.3</v>
      </c>
      <c r="AA723" s="5" t="n">
        <v>2335</v>
      </c>
      <c r="AB723" s="5" t="n">
        <v>2817.7</v>
      </c>
      <c r="AC723" s="5" t="inlineStr"/>
      <c r="AD723" s="5">
        <f>IF(AC723="","",IF(OR(AC723=F723,AND(AC723="crane_footing",F723="isolated_footing")),"yes","no"))</f>
        <v/>
      </c>
    </row>
    <row r="724">
      <c r="A724" s="5" t="n">
        <v>723</v>
      </c>
      <c r="B724" s="5" t="inlineStr">
        <is>
          <t>127</t>
        </is>
      </c>
      <c r="C724" s="5" t="inlineStr">
        <is>
          <t>region between joints</t>
        </is>
      </c>
      <c r="D724" s="5" t="inlineStr">
        <is>
          <t>band</t>
        </is>
      </c>
      <c r="E724" s="5" t="n">
        <v>8</v>
      </c>
      <c r="F724" s="5" t="inlineStr">
        <is>
          <t>unnamed</t>
        </is>
      </c>
      <c r="G724" s="5" t="inlineStr">
        <is>
          <t>no label votes</t>
        </is>
      </c>
      <c r="H724" s="5" t="inlineStr">
        <is>
          <t>(none)</t>
        </is>
      </c>
      <c r="I724" s="5" t="inlineStr"/>
      <c r="J724" s="5" t="inlineStr"/>
      <c r="K724" s="5" t="n">
        <v>95</v>
      </c>
      <c r="L724" s="5" t="n">
        <v>94</v>
      </c>
      <c r="M724" s="10">
        <f>IF(AND(ISNUMBER(K724),L724&gt;0),K724/L724,"")</f>
        <v/>
      </c>
      <c r="N724" s="5" t="n">
        <v>0.893</v>
      </c>
      <c r="O724" s="5" t="n">
        <v>26.6</v>
      </c>
      <c r="P724" s="5" t="n">
        <v>0</v>
      </c>
      <c r="Q724" s="5" t="n">
        <v>1</v>
      </c>
      <c r="R724" s="5" t="n">
        <v>0</v>
      </c>
      <c r="S724" s="5" t="n">
        <v>0</v>
      </c>
      <c r="T724" s="5" t="n">
        <v>0</v>
      </c>
      <c r="U724" s="5" t="n">
        <v>1</v>
      </c>
      <c r="V724" s="5" t="n">
        <v>5</v>
      </c>
      <c r="W724" s="5" t="n">
        <v>0</v>
      </c>
      <c r="X724" s="5" t="inlineStr"/>
      <c r="Y724" s="5" t="n">
        <v>2357.6</v>
      </c>
      <c r="Z724" s="5" t="n">
        <v>2660.1</v>
      </c>
      <c r="AA724" s="5" t="n">
        <v>2395.1</v>
      </c>
      <c r="AB724" s="5" t="n">
        <v>2697.5</v>
      </c>
      <c r="AC724" s="5" t="inlineStr"/>
      <c r="AD724" s="5">
        <f>IF(AC724="","",IF(OR(AC724=F724,AND(AC724="crane_footing",F724="isolated_footing")),"yes","no"))</f>
        <v/>
      </c>
    </row>
    <row r="725">
      <c r="A725" s="5" t="n">
        <v>724</v>
      </c>
      <c r="B725" s="5" t="inlineStr">
        <is>
          <t>127</t>
        </is>
      </c>
      <c r="C725" s="5" t="inlineStr">
        <is>
          <t>region between joints</t>
        </is>
      </c>
      <c r="D725" s="5" t="inlineStr">
        <is>
          <t>band</t>
        </is>
      </c>
      <c r="E725" s="5" t="n">
        <v>8</v>
      </c>
      <c r="F725" s="5" t="inlineStr">
        <is>
          <t>unnamed</t>
        </is>
      </c>
      <c r="G725" s="5" t="inlineStr">
        <is>
          <t>no label votes</t>
        </is>
      </c>
      <c r="H725" s="5" t="inlineStr">
        <is>
          <t>(none)</t>
        </is>
      </c>
      <c r="I725" s="5" t="inlineStr"/>
      <c r="J725" s="5" t="inlineStr"/>
      <c r="K725" s="5" t="n">
        <v>95</v>
      </c>
      <c r="L725" s="5" t="n">
        <v>94</v>
      </c>
      <c r="M725" s="10">
        <f>IF(AND(ISNUMBER(K725),L725&gt;0),K725/L725,"")</f>
        <v/>
      </c>
      <c r="N725" s="5" t="n">
        <v>0.892</v>
      </c>
      <c r="O725" s="5" t="n">
        <v>26.6</v>
      </c>
      <c r="P725" s="5" t="n">
        <v>0</v>
      </c>
      <c r="Q725" s="5" t="n">
        <v>1</v>
      </c>
      <c r="R725" s="5" t="n">
        <v>0</v>
      </c>
      <c r="S725" s="5" t="n">
        <v>0</v>
      </c>
      <c r="T725" s="5" t="n">
        <v>0</v>
      </c>
      <c r="U725" s="5" t="n">
        <v>0</v>
      </c>
      <c r="V725" s="5" t="n">
        <v>5</v>
      </c>
      <c r="W725" s="5" t="n">
        <v>0</v>
      </c>
      <c r="X725" s="5" t="inlineStr"/>
      <c r="Y725" s="5" t="n">
        <v>2177.3</v>
      </c>
      <c r="Z725" s="5" t="n">
        <v>2720</v>
      </c>
      <c r="AA725" s="5" t="n">
        <v>2214.8</v>
      </c>
      <c r="AB725" s="5" t="n">
        <v>2757.4</v>
      </c>
      <c r="AC725" s="5" t="inlineStr"/>
      <c r="AD725" s="5">
        <f>IF(AC725="","",IF(OR(AC725=F725,AND(AC725="crane_footing",F725="isolated_footing")),"yes","no"))</f>
        <v/>
      </c>
    </row>
    <row r="726">
      <c r="A726" s="5" t="n">
        <v>725</v>
      </c>
      <c r="B726" s="5" t="inlineStr">
        <is>
          <t>127</t>
        </is>
      </c>
      <c r="C726" s="5" t="inlineStr">
        <is>
          <t>region between joints</t>
        </is>
      </c>
      <c r="D726" s="5" t="inlineStr">
        <is>
          <t>band</t>
        </is>
      </c>
      <c r="E726" s="5" t="n">
        <v>11</v>
      </c>
      <c r="F726" s="5" t="inlineStr">
        <is>
          <t>unnamed</t>
        </is>
      </c>
      <c r="G726" s="5" t="inlineStr">
        <is>
          <t>no label votes</t>
        </is>
      </c>
      <c r="H726" s="5" t="inlineStr">
        <is>
          <t>(none)</t>
        </is>
      </c>
      <c r="I726" s="5" t="inlineStr"/>
      <c r="J726" s="5" t="inlineStr"/>
      <c r="K726" s="5" t="n">
        <v>120</v>
      </c>
      <c r="L726" s="5" t="n">
        <v>134</v>
      </c>
      <c r="M726" s="10">
        <f>IF(AND(ISNUMBER(K726),L726&gt;0),K726/L726,"")</f>
        <v/>
      </c>
      <c r="N726" s="5" t="n">
        <v>1.608</v>
      </c>
      <c r="O726" s="5" t="n">
        <v>26.6</v>
      </c>
      <c r="P726" s="5" t="n">
        <v>2</v>
      </c>
      <c r="Q726" s="5" t="n">
        <v>0</v>
      </c>
      <c r="R726" s="5" t="n">
        <v>0</v>
      </c>
      <c r="S726" s="5" t="n">
        <v>1</v>
      </c>
      <c r="T726" s="5" t="n">
        <v>0</v>
      </c>
      <c r="U726" s="5" t="n">
        <v>8</v>
      </c>
      <c r="V726" s="5" t="n">
        <v>1</v>
      </c>
      <c r="W726" s="5" t="n">
        <v>1.2</v>
      </c>
      <c r="X726" s="5" t="inlineStr"/>
      <c r="Y726" s="5" t="n">
        <v>2229.4</v>
      </c>
      <c r="Z726" s="5" t="n">
        <v>3167.8</v>
      </c>
      <c r="AA726" s="5" t="n">
        <v>2280.7</v>
      </c>
      <c r="AB726" s="5" t="n">
        <v>3217.2</v>
      </c>
      <c r="AC726" s="5" t="inlineStr"/>
      <c r="AD726" s="5">
        <f>IF(AC726="","",IF(OR(AC726=F726,AND(AC726="crane_footing",F726="isolated_footing")),"yes","no"))</f>
        <v/>
      </c>
    </row>
    <row r="727">
      <c r="A727" s="5" t="n">
        <v>726</v>
      </c>
      <c r="B727" s="5" t="inlineStr">
        <is>
          <t>128</t>
        </is>
      </c>
      <c r="C727" s="5" t="inlineStr">
        <is>
          <t>region between joints</t>
        </is>
      </c>
      <c r="D727" s="5" t="inlineStr">
        <is>
          <t>solid</t>
        </is>
      </c>
      <c r="E727" s="5" t="n">
        <v>31</v>
      </c>
      <c r="F727" s="5" t="inlineStr">
        <is>
          <t>column</t>
        </is>
      </c>
      <c r="G727" s="5" t="inlineStr">
        <is>
          <t>label vote</t>
        </is>
      </c>
      <c r="H727" s="5" t="inlineStr">
        <is>
          <t>(none)</t>
        </is>
      </c>
      <c r="I727" s="5" t="inlineStr">
        <is>
          <t>no column type in its building has this size</t>
        </is>
      </c>
      <c r="J727" s="5" t="inlineStr"/>
      <c r="K727" s="5" t="n">
        <v>50</v>
      </c>
      <c r="L727" s="5" t="n">
        <v>20</v>
      </c>
      <c r="M727" s="10">
        <f>IF(AND(ISNUMBER(K727),L727&gt;0),K727/L727,"")</f>
        <v/>
      </c>
      <c r="N727" s="5" t="n">
        <v>0.099</v>
      </c>
      <c r="O727" s="5" t="n">
        <v>26.7</v>
      </c>
      <c r="P727" s="5" t="n">
        <v>2</v>
      </c>
      <c r="Q727" s="5" t="n">
        <v>0</v>
      </c>
      <c r="R727" s="5" t="n">
        <v>0</v>
      </c>
      <c r="S727" s="5" t="n">
        <v>1</v>
      </c>
      <c r="T727" s="5" t="n">
        <v>0</v>
      </c>
      <c r="U727" s="5" t="n">
        <v>1</v>
      </c>
      <c r="V727" s="5" t="n">
        <v>1</v>
      </c>
      <c r="W727" s="5" t="n"/>
      <c r="X727" s="5" t="inlineStr"/>
      <c r="Y727" s="5" t="n">
        <v>1205.3</v>
      </c>
      <c r="Z727" s="5" t="n">
        <v>2808.6</v>
      </c>
      <c r="AA727" s="5" t="n">
        <v>1221.1</v>
      </c>
      <c r="AB727" s="5" t="n">
        <v>2820.5</v>
      </c>
      <c r="AC727" s="5" t="inlineStr"/>
      <c r="AD727" s="5">
        <f>IF(AC727="","",IF(OR(AC727=F727,AND(AC727="crane_footing",F727="isolated_footing")),"yes","no"))</f>
        <v/>
      </c>
    </row>
    <row r="728">
      <c r="A728" s="5" t="n">
        <v>727</v>
      </c>
      <c r="B728" s="5" t="inlineStr">
        <is>
          <t>128</t>
        </is>
      </c>
      <c r="C728" s="5" t="inlineStr">
        <is>
          <t>region between joints</t>
        </is>
      </c>
      <c r="D728" s="5" t="inlineStr">
        <is>
          <t>solid</t>
        </is>
      </c>
      <c r="E728" s="5" t="n">
        <v>31</v>
      </c>
      <c r="F728" s="5" t="inlineStr">
        <is>
          <t>column</t>
        </is>
      </c>
      <c r="G728" s="5" t="inlineStr">
        <is>
          <t>label vote</t>
        </is>
      </c>
      <c r="H728" s="5" t="inlineStr">
        <is>
          <t>P1/128</t>
        </is>
      </c>
      <c r="I728" s="5" t="inlineStr">
        <is>
          <t>inferred: the only column type in its building with this size</t>
        </is>
      </c>
      <c r="J728" s="5" t="inlineStr"/>
      <c r="K728" s="5" t="n">
        <v>100</v>
      </c>
      <c r="L728" s="5" t="n">
        <v>25</v>
      </c>
      <c r="M728" s="10">
        <f>IF(AND(ISNUMBER(K728),L728&gt;0),K728/L728,"")</f>
        <v/>
      </c>
      <c r="N728" s="5" t="n">
        <v>0.25</v>
      </c>
      <c r="O728" s="5" t="n">
        <v>116.6</v>
      </c>
      <c r="P728" s="5" t="n">
        <v>0</v>
      </c>
      <c r="Q728" s="5" t="n">
        <v>0</v>
      </c>
      <c r="R728" s="5" t="n">
        <v>0</v>
      </c>
      <c r="S728" s="5" t="n">
        <v>1</v>
      </c>
      <c r="T728" s="5" t="n">
        <v>0</v>
      </c>
      <c r="U728" s="5" t="n">
        <v>5</v>
      </c>
      <c r="V728" s="5" t="n">
        <v>4</v>
      </c>
      <c r="W728" s="5" t="n"/>
      <c r="X728" s="5" t="inlineStr"/>
      <c r="Y728" s="5" t="n">
        <v>1396.6</v>
      </c>
      <c r="Z728" s="5" t="n">
        <v>2715.7</v>
      </c>
      <c r="AA728" s="5" t="n">
        <v>1416.4</v>
      </c>
      <c r="AB728" s="5" t="n">
        <v>2745.4</v>
      </c>
      <c r="AC728" s="5" t="inlineStr">
        <is>
          <t>column</t>
        </is>
      </c>
      <c r="AD728" s="5">
        <f>IF(AC728="","",IF(OR(AC728=F728,AND(AC728="crane_footing",F728="isolated_footing")),"yes","no"))</f>
        <v/>
      </c>
    </row>
    <row r="729">
      <c r="A729" s="5" t="n">
        <v>728</v>
      </c>
      <c r="B729" s="5" t="inlineStr">
        <is>
          <t>128</t>
        </is>
      </c>
      <c r="C729" s="5" t="inlineStr">
        <is>
          <t>own label</t>
        </is>
      </c>
      <c r="D729" s="5" t="inlineStr">
        <is>
          <t>solid</t>
        </is>
      </c>
      <c r="E729" s="5" t="n">
        <v>31</v>
      </c>
      <c r="F729" s="5" t="inlineStr">
        <is>
          <t>column</t>
        </is>
      </c>
      <c r="G729" s="5" t="inlineStr">
        <is>
          <t>label vote</t>
        </is>
      </c>
      <c r="H729" s="5" t="inlineStr">
        <is>
          <t>P1/128</t>
        </is>
      </c>
      <c r="I729" s="5" t="inlineStr">
        <is>
          <t>printed label</t>
        </is>
      </c>
      <c r="J729" s="5" t="inlineStr">
        <is>
          <t>P1/128/128</t>
        </is>
      </c>
      <c r="K729" s="5" t="n">
        <v>100</v>
      </c>
      <c r="L729" s="5" t="n">
        <v>25</v>
      </c>
      <c r="M729" s="10">
        <f>IF(AND(ISNUMBER(K729),L729&gt;0),K729/L729,"")</f>
        <v/>
      </c>
      <c r="N729" s="5" t="n">
        <v>0.249</v>
      </c>
      <c r="O729" s="5" t="n">
        <v>116.7</v>
      </c>
      <c r="P729" s="5" t="n">
        <v>0</v>
      </c>
      <c r="Q729" s="5" t="n">
        <v>0</v>
      </c>
      <c r="R729" s="5" t="n">
        <v>0</v>
      </c>
      <c r="S729" s="5" t="n">
        <v>1</v>
      </c>
      <c r="T729" s="5" t="n">
        <v>0</v>
      </c>
      <c r="U729" s="5" t="n">
        <v>1</v>
      </c>
      <c r="V729" s="5" t="n">
        <v>1</v>
      </c>
      <c r="W729" s="5" t="n"/>
      <c r="X729" s="5" t="inlineStr"/>
      <c r="Y729" s="5" t="n">
        <v>1318.6</v>
      </c>
      <c r="Z729" s="5" t="n">
        <v>2676.8</v>
      </c>
      <c r="AA729" s="5" t="n">
        <v>1338.4</v>
      </c>
      <c r="AB729" s="5" t="n">
        <v>2706.5</v>
      </c>
      <c r="AC729" s="5" t="inlineStr">
        <is>
          <t>column</t>
        </is>
      </c>
      <c r="AD729" s="5">
        <f>IF(AC729="","",IF(OR(AC729=F729,AND(AC729="crane_footing",F729="isolated_footing")),"yes","no"))</f>
        <v/>
      </c>
    </row>
    <row r="730">
      <c r="A730" s="5" t="n">
        <v>729</v>
      </c>
      <c r="B730" s="5" t="inlineStr">
        <is>
          <t>128</t>
        </is>
      </c>
      <c r="C730" s="5" t="inlineStr">
        <is>
          <t>own label</t>
        </is>
      </c>
      <c r="D730" s="5" t="inlineStr">
        <is>
          <t>solid</t>
        </is>
      </c>
      <c r="E730" s="5" t="n">
        <v>29</v>
      </c>
      <c r="F730" s="5" t="inlineStr">
        <is>
          <t>column</t>
        </is>
      </c>
      <c r="G730" s="5" t="inlineStr">
        <is>
          <t>label vote</t>
        </is>
      </c>
      <c r="H730" s="5" t="inlineStr">
        <is>
          <t>P2/128</t>
        </is>
      </c>
      <c r="I730" s="5" t="inlineStr">
        <is>
          <t>printed label</t>
        </is>
      </c>
      <c r="J730" s="5" t="inlineStr">
        <is>
          <t>P2/128/128</t>
        </is>
      </c>
      <c r="K730" s="5" t="n">
        <v>120</v>
      </c>
      <c r="L730" s="5" t="n">
        <v>50</v>
      </c>
      <c r="M730" s="10">
        <f>IF(AND(ISNUMBER(K730),L730&gt;0),K730/L730,"")</f>
        <v/>
      </c>
      <c r="N730" s="5" t="n">
        <v>0.599</v>
      </c>
      <c r="O730" s="5" t="n">
        <v>26.6</v>
      </c>
      <c r="P730" s="5" t="n">
        <v>0</v>
      </c>
      <c r="Q730" s="5" t="n">
        <v>1</v>
      </c>
      <c r="R730" s="5" t="n">
        <v>0</v>
      </c>
      <c r="S730" s="5" t="n">
        <v>0</v>
      </c>
      <c r="T730" s="5" t="n">
        <v>0</v>
      </c>
      <c r="U730" s="5" t="n">
        <v>2</v>
      </c>
      <c r="V730" s="5" t="n">
        <v>1</v>
      </c>
      <c r="W730" s="5" t="n"/>
      <c r="X730" s="5" t="inlineStr"/>
      <c r="Y730" s="5" t="n">
        <v>950.2</v>
      </c>
      <c r="Z730" s="5" t="n">
        <v>2830.2</v>
      </c>
      <c r="AA730" s="5" t="n">
        <v>988.5</v>
      </c>
      <c r="AB730" s="5" t="n">
        <v>2859.2</v>
      </c>
      <c r="AC730" s="5" t="inlineStr">
        <is>
          <t>column</t>
        </is>
      </c>
      <c r="AD730" s="5">
        <f>IF(AC730="","",IF(OR(AC730=F730,AND(AC730="crane_footing",F730="isolated_footing")),"yes","no"))</f>
        <v/>
      </c>
    </row>
    <row r="731">
      <c r="A731" s="5" t="n">
        <v>730</v>
      </c>
      <c r="B731" s="5" t="inlineStr">
        <is>
          <t>128</t>
        </is>
      </c>
      <c r="C731" s="5" t="inlineStr">
        <is>
          <t>region between joints</t>
        </is>
      </c>
      <c r="D731" s="5" t="inlineStr">
        <is>
          <t>solid</t>
        </is>
      </c>
      <c r="E731" s="5" t="n">
        <v>30</v>
      </c>
      <c r="F731" s="5" t="inlineStr">
        <is>
          <t>shear_wall</t>
        </is>
      </c>
      <c r="G731" s="5" t="inlineStr">
        <is>
          <t>label vote</t>
        </is>
      </c>
      <c r="H731" s="5" t="inlineStr">
        <is>
          <t>(none)</t>
        </is>
      </c>
      <c r="I731" s="5" t="inlineStr">
        <is>
          <t>no shear_wall type in its building has this size</t>
        </is>
      </c>
      <c r="J731" s="5" t="inlineStr"/>
      <c r="K731" s="5" t="n">
        <v>250</v>
      </c>
      <c r="L731" s="5" t="n">
        <v>24</v>
      </c>
      <c r="M731" s="10">
        <f>IF(AND(ISNUMBER(K731),L731&gt;0),K731/L731,"")</f>
        <v/>
      </c>
      <c r="N731" s="5" t="n">
        <v>0.604</v>
      </c>
      <c r="O731" s="5" t="n">
        <v>140.9</v>
      </c>
      <c r="P731" s="5" t="n">
        <v>2</v>
      </c>
      <c r="Q731" s="5" t="n">
        <v>1</v>
      </c>
      <c r="R731" s="5" t="n">
        <v>0</v>
      </c>
      <c r="S731" s="5" t="n">
        <v>0</v>
      </c>
      <c r="T731" s="5" t="n">
        <v>0</v>
      </c>
      <c r="U731" s="5" t="n">
        <v>3</v>
      </c>
      <c r="V731" s="5" t="n">
        <v>11</v>
      </c>
      <c r="W731" s="5" t="n"/>
      <c r="X731" s="5" t="inlineStr"/>
      <c r="Y731" s="5" t="n">
        <v>986.8</v>
      </c>
      <c r="Z731" s="5" t="n">
        <v>2579.5</v>
      </c>
      <c r="AA731" s="5" t="n">
        <v>1048.6</v>
      </c>
      <c r="AB731" s="5" t="n">
        <v>2631.6</v>
      </c>
      <c r="AC731" s="5" t="inlineStr"/>
      <c r="AD731" s="5">
        <f>IF(AC731="","",IF(OR(AC731=F731,AND(AC731="crane_footing",F731="isolated_footing")),"yes","no"))</f>
        <v/>
      </c>
    </row>
    <row r="732">
      <c r="A732" s="5" t="n">
        <v>731</v>
      </c>
      <c r="B732" s="5" t="inlineStr">
        <is>
          <t>128</t>
        </is>
      </c>
      <c r="C732" s="5" t="inlineStr">
        <is>
          <t>region between joints</t>
        </is>
      </c>
      <c r="D732" s="5" t="inlineStr">
        <is>
          <t>solid</t>
        </is>
      </c>
      <c r="E732" s="5" t="n">
        <v>36</v>
      </c>
      <c r="F732" s="5" t="inlineStr">
        <is>
          <t>shear_wall</t>
        </is>
      </c>
      <c r="G732" s="5" t="inlineStr">
        <is>
          <t>label vote</t>
        </is>
      </c>
      <c r="H732" s="5" t="inlineStr">
        <is>
          <t>(none)</t>
        </is>
      </c>
      <c r="I732" s="5" t="inlineStr">
        <is>
          <t>no shear_wall type in its building has this size</t>
        </is>
      </c>
      <c r="J732" s="5" t="inlineStr"/>
      <c r="K732" s="5" t="n">
        <v>175</v>
      </c>
      <c r="L732" s="5" t="n">
        <v>25</v>
      </c>
      <c r="M732" s="10">
        <f>IF(AND(ISNUMBER(K732),L732&gt;0),K732/L732,"")</f>
        <v/>
      </c>
      <c r="N732" s="5" t="n">
        <v>0.445</v>
      </c>
      <c r="O732" s="5" t="n">
        <v>26.3</v>
      </c>
      <c r="P732" s="5" t="n">
        <v>0</v>
      </c>
      <c r="Q732" s="5" t="n">
        <v>0</v>
      </c>
      <c r="R732" s="5" t="n">
        <v>0</v>
      </c>
      <c r="S732" s="5" t="n">
        <v>1</v>
      </c>
      <c r="T732" s="5" t="n">
        <v>0</v>
      </c>
      <c r="U732" s="5" t="n">
        <v>2</v>
      </c>
      <c r="V732" s="5" t="n">
        <v>4</v>
      </c>
      <c r="W732" s="5" t="n"/>
      <c r="X732" s="5" t="inlineStr"/>
      <c r="Y732" s="5" t="n">
        <v>1259.8</v>
      </c>
      <c r="Z732" s="5" t="n">
        <v>2715</v>
      </c>
      <c r="AA732" s="5" t="n">
        <v>1309.4</v>
      </c>
      <c r="AB732" s="5" t="n">
        <v>2744.7</v>
      </c>
      <c r="AC732" s="5" t="inlineStr"/>
      <c r="AD732" s="5">
        <f>IF(AC732="","",IF(OR(AC732=F732,AND(AC732="crane_footing",F732="isolated_footing")),"yes","no"))</f>
        <v/>
      </c>
    </row>
    <row r="733">
      <c r="A733" s="5" t="n">
        <v>732</v>
      </c>
      <c r="B733" s="5" t="inlineStr">
        <is>
          <t>128</t>
        </is>
      </c>
      <c r="C733" s="5" t="inlineStr">
        <is>
          <t>region between joints</t>
        </is>
      </c>
      <c r="D733" s="5" t="inlineStr">
        <is>
          <t>solid</t>
        </is>
      </c>
      <c r="E733" s="5" t="n">
        <v>36</v>
      </c>
      <c r="F733" s="5" t="inlineStr">
        <is>
          <t>shear_wall</t>
        </is>
      </c>
      <c r="G733" s="5" t="inlineStr">
        <is>
          <t>label vote</t>
        </is>
      </c>
      <c r="H733" s="5" t="inlineStr">
        <is>
          <t>(none)</t>
        </is>
      </c>
      <c r="I733" s="5" t="inlineStr">
        <is>
          <t>no shear_wall type in its building has this size</t>
        </is>
      </c>
      <c r="J733" s="5" t="inlineStr"/>
      <c r="K733" s="5" t="n">
        <v>160</v>
      </c>
      <c r="L733" s="5" t="n">
        <v>26</v>
      </c>
      <c r="M733" s="10">
        <f>IF(AND(ISNUMBER(K733),L733&gt;0),K733/L733,"")</f>
        <v/>
      </c>
      <c r="N733" s="5" t="n">
        <v>0.409</v>
      </c>
      <c r="O733" s="5" t="n">
        <v>26.4</v>
      </c>
      <c r="P733" s="5" t="n">
        <v>0</v>
      </c>
      <c r="Q733" s="5" t="n">
        <v>0</v>
      </c>
      <c r="R733" s="5" t="n">
        <v>0</v>
      </c>
      <c r="S733" s="5" t="n">
        <v>1</v>
      </c>
      <c r="T733" s="5" t="n">
        <v>0</v>
      </c>
      <c r="U733" s="5" t="n">
        <v>3</v>
      </c>
      <c r="V733" s="5" t="n">
        <v>3</v>
      </c>
      <c r="W733" s="5" t="n"/>
      <c r="X733" s="5" t="inlineStr"/>
      <c r="Y733" s="5" t="n">
        <v>1219.8</v>
      </c>
      <c r="Z733" s="5" t="n">
        <v>2814.6</v>
      </c>
      <c r="AA733" s="5" t="n">
        <v>1265.5</v>
      </c>
      <c r="AB733" s="5" t="n">
        <v>2842.4</v>
      </c>
      <c r="AC733" s="5" t="inlineStr"/>
      <c r="AD733" s="5">
        <f>IF(AC733="","",IF(OR(AC733=F733,AND(AC733="crane_footing",F733="isolated_footing")),"yes","no"))</f>
        <v/>
      </c>
    </row>
    <row r="734">
      <c r="A734" s="5" t="n">
        <v>733</v>
      </c>
      <c r="B734" s="5" t="inlineStr">
        <is>
          <t>128</t>
        </is>
      </c>
      <c r="C734" s="5" t="inlineStr">
        <is>
          <t>region between joints</t>
        </is>
      </c>
      <c r="D734" s="5" t="inlineStr">
        <is>
          <t>solid</t>
        </is>
      </c>
      <c r="E734" s="5" t="n">
        <v>37</v>
      </c>
      <c r="F734" s="5" t="inlineStr">
        <is>
          <t>shear_wall</t>
        </is>
      </c>
      <c r="G734" s="5" t="inlineStr">
        <is>
          <t>label vote</t>
        </is>
      </c>
      <c r="H734" s="5" t="inlineStr">
        <is>
          <t>(none)</t>
        </is>
      </c>
      <c r="I734" s="5" t="inlineStr">
        <is>
          <t>no shear_wall type in its building has this size</t>
        </is>
      </c>
      <c r="J734" s="5" t="inlineStr"/>
      <c r="K734" s="5" t="n">
        <v>150</v>
      </c>
      <c r="L734" s="5" t="n">
        <v>30</v>
      </c>
      <c r="M734" s="10">
        <f>IF(AND(ISNUMBER(K734),L734&gt;0),K734/L734,"")</f>
        <v/>
      </c>
      <c r="N734" s="5" t="n">
        <v>0.451</v>
      </c>
      <c r="O734" s="5" t="n">
        <v>26.5</v>
      </c>
      <c r="P734" s="5" t="n">
        <v>1</v>
      </c>
      <c r="Q734" s="5" t="n">
        <v>0</v>
      </c>
      <c r="R734" s="5" t="n">
        <v>0</v>
      </c>
      <c r="S734" s="5" t="n">
        <v>1</v>
      </c>
      <c r="T734" s="5" t="n">
        <v>0</v>
      </c>
      <c r="U734" s="5" t="n">
        <v>0</v>
      </c>
      <c r="V734" s="5" t="n">
        <v>1</v>
      </c>
      <c r="W734" s="5" t="n"/>
      <c r="X734" s="5" t="inlineStr"/>
      <c r="Y734" s="5" t="n">
        <v>1677.4</v>
      </c>
      <c r="Z734" s="5" t="n">
        <v>2648.6</v>
      </c>
      <c r="AA734" s="5" t="n">
        <v>1720.9</v>
      </c>
      <c r="AB734" s="5" t="n">
        <v>2676.2</v>
      </c>
      <c r="AC734" s="5" t="inlineStr"/>
      <c r="AD734" s="5">
        <f>IF(AC734="","",IF(OR(AC734=F734,AND(AC734="crane_footing",F734="isolated_footing")),"yes","no"))</f>
        <v/>
      </c>
    </row>
    <row r="735">
      <c r="A735" s="5" t="n">
        <v>734</v>
      </c>
      <c r="B735" s="5" t="inlineStr">
        <is>
          <t>128</t>
        </is>
      </c>
      <c r="C735" s="5" t="inlineStr">
        <is>
          <t>region between joints</t>
        </is>
      </c>
      <c r="D735" s="5" t="inlineStr">
        <is>
          <t>solid</t>
        </is>
      </c>
      <c r="E735" s="5" t="n">
        <v>32</v>
      </c>
      <c r="F735" s="5" t="inlineStr">
        <is>
          <t>shear_wall</t>
        </is>
      </c>
      <c r="G735" s="5" t="inlineStr">
        <is>
          <t>label vote</t>
        </is>
      </c>
      <c r="H735" s="5" t="inlineStr">
        <is>
          <t>(none)</t>
        </is>
      </c>
      <c r="I735" s="5" t="inlineStr">
        <is>
          <t>no shear_wall type in its building has this size</t>
        </is>
      </c>
      <c r="J735" s="5" t="inlineStr"/>
      <c r="K735" s="5" t="n">
        <v>297</v>
      </c>
      <c r="L735" s="5" t="n">
        <v>25</v>
      </c>
      <c r="M735" s="10">
        <f>IF(AND(ISNUMBER(K735),L735&gt;0),K735/L735,"")</f>
        <v/>
      </c>
      <c r="N735" s="5" t="n">
        <v>0.74</v>
      </c>
      <c r="O735" s="5" t="n">
        <v>116.6</v>
      </c>
      <c r="P735" s="5" t="n">
        <v>1</v>
      </c>
      <c r="Q735" s="5" t="n">
        <v>0</v>
      </c>
      <c r="R735" s="5" t="n">
        <v>0</v>
      </c>
      <c r="S735" s="5" t="n">
        <v>1</v>
      </c>
      <c r="T735" s="5" t="n">
        <v>0</v>
      </c>
      <c r="U735" s="5" t="n">
        <v>6</v>
      </c>
      <c r="V735" s="5" t="n">
        <v>5</v>
      </c>
      <c r="W735" s="5" t="n"/>
      <c r="X735" s="5" t="inlineStr"/>
      <c r="Y735" s="5" t="n">
        <v>1421.4</v>
      </c>
      <c r="Z735" s="5" t="n">
        <v>2614.2</v>
      </c>
      <c r="AA735" s="5" t="n">
        <v>1467.3</v>
      </c>
      <c r="AB735" s="5" t="n">
        <v>2696</v>
      </c>
      <c r="AC735" s="5" t="inlineStr"/>
      <c r="AD735" s="5">
        <f>IF(AC735="","",IF(OR(AC735=F735,AND(AC735="crane_footing",F735="isolated_footing")),"yes","no"))</f>
        <v/>
      </c>
    </row>
    <row r="736">
      <c r="A736" s="5" t="n">
        <v>735</v>
      </c>
      <c r="B736" s="5" t="inlineStr">
        <is>
          <t>128</t>
        </is>
      </c>
      <c r="C736" s="5" t="inlineStr">
        <is>
          <t>region between joints</t>
        </is>
      </c>
      <c r="D736" s="5" t="inlineStr">
        <is>
          <t>solid</t>
        </is>
      </c>
      <c r="E736" s="5" t="n">
        <v>37</v>
      </c>
      <c r="F736" s="5" t="inlineStr">
        <is>
          <t>shear_wall</t>
        </is>
      </c>
      <c r="G736" s="5" t="inlineStr">
        <is>
          <t>label vote</t>
        </is>
      </c>
      <c r="H736" s="5" t="inlineStr">
        <is>
          <t>(none)</t>
        </is>
      </c>
      <c r="I736" s="5" t="inlineStr">
        <is>
          <t>no shear_wall type in its building has this size</t>
        </is>
      </c>
      <c r="J736" s="5" t="inlineStr"/>
      <c r="K736" s="5" t="n">
        <v>125</v>
      </c>
      <c r="L736" s="5" t="n">
        <v>30</v>
      </c>
      <c r="M736" s="10">
        <f>IF(AND(ISNUMBER(K736),L736&gt;0),K736/L736,"")</f>
        <v/>
      </c>
      <c r="N736" s="5" t="n">
        <v>0.375</v>
      </c>
      <c r="O736" s="5" t="n">
        <v>116.5</v>
      </c>
      <c r="P736" s="5" t="n">
        <v>1</v>
      </c>
      <c r="Q736" s="5" t="n">
        <v>0</v>
      </c>
      <c r="R736" s="5" t="n">
        <v>0</v>
      </c>
      <c r="S736" s="5" t="n">
        <v>1</v>
      </c>
      <c r="T736" s="5" t="n">
        <v>0</v>
      </c>
      <c r="U736" s="5" t="n">
        <v>7</v>
      </c>
      <c r="V736" s="5" t="n">
        <v>1</v>
      </c>
      <c r="W736" s="5" t="n"/>
      <c r="X736" s="5" t="inlineStr"/>
      <c r="Y736" s="5" t="n">
        <v>1425.1</v>
      </c>
      <c r="Z736" s="5" t="n">
        <v>2555</v>
      </c>
      <c r="AA736" s="5" t="n">
        <v>1449.5</v>
      </c>
      <c r="AB736" s="5" t="n">
        <v>2592</v>
      </c>
      <c r="AC736" s="5" t="inlineStr"/>
      <c r="AD736" s="5">
        <f>IF(AC736="","",IF(OR(AC736=F736,AND(AC736="crane_footing",F736="isolated_footing")),"yes","no"))</f>
        <v/>
      </c>
    </row>
    <row r="737">
      <c r="A737" s="5" t="n">
        <v>736</v>
      </c>
      <c r="B737" s="5" t="inlineStr">
        <is>
          <t>128</t>
        </is>
      </c>
      <c r="C737" s="5" t="inlineStr">
        <is>
          <t>region between joints</t>
        </is>
      </c>
      <c r="D737" s="5" t="inlineStr">
        <is>
          <t>solid</t>
        </is>
      </c>
      <c r="E737" s="5" t="n">
        <v>30</v>
      </c>
      <c r="F737" s="5" t="inlineStr">
        <is>
          <t>shear_wall</t>
        </is>
      </c>
      <c r="G737" s="5" t="inlineStr">
        <is>
          <t>label vote</t>
        </is>
      </c>
      <c r="H737" s="5" t="inlineStr">
        <is>
          <t>(none)</t>
        </is>
      </c>
      <c r="I737" s="5" t="inlineStr">
        <is>
          <t>no shear_wall type in its building has this size</t>
        </is>
      </c>
      <c r="J737" s="5" t="inlineStr"/>
      <c r="K737" s="5" t="n">
        <v>118</v>
      </c>
      <c r="L737" s="5" t="n">
        <v>25</v>
      </c>
      <c r="M737" s="10">
        <f>IF(AND(ISNUMBER(K737),L737&gt;0),K737/L737,"")</f>
        <v/>
      </c>
      <c r="N737" s="5" t="n">
        <v>0.295</v>
      </c>
      <c r="O737" s="5" t="n">
        <v>26.7</v>
      </c>
      <c r="P737" s="5" t="n">
        <v>2</v>
      </c>
      <c r="Q737" s="5" t="n">
        <v>0</v>
      </c>
      <c r="R737" s="5" t="n">
        <v>0</v>
      </c>
      <c r="S737" s="5" t="n">
        <v>1</v>
      </c>
      <c r="T737" s="5" t="n">
        <v>0</v>
      </c>
      <c r="U737" s="5" t="n">
        <v>0</v>
      </c>
      <c r="V737" s="5" t="n">
        <v>2</v>
      </c>
      <c r="W737" s="5" t="n"/>
      <c r="X737" s="5" t="inlineStr"/>
      <c r="Y737" s="5" t="n">
        <v>1429.7</v>
      </c>
      <c r="Z737" s="5" t="n">
        <v>2592</v>
      </c>
      <c r="AA737" s="5" t="n">
        <v>1464.1</v>
      </c>
      <c r="AB737" s="5" t="n">
        <v>2614.2</v>
      </c>
      <c r="AC737" s="5" t="inlineStr"/>
      <c r="AD737" s="5">
        <f>IF(AC737="","",IF(OR(AC737=F737,AND(AC737="crane_footing",F737="isolated_footing")),"yes","no"))</f>
        <v/>
      </c>
    </row>
    <row r="738">
      <c r="A738" s="5" t="n">
        <v>737</v>
      </c>
      <c r="B738" s="5" t="inlineStr">
        <is>
          <t>128</t>
        </is>
      </c>
      <c r="C738" s="5" t="inlineStr">
        <is>
          <t>own label</t>
        </is>
      </c>
      <c r="D738" s="5" t="inlineStr">
        <is>
          <t>solid</t>
        </is>
      </c>
      <c r="E738" s="5" t="n">
        <v>32</v>
      </c>
      <c r="F738" s="5" t="inlineStr">
        <is>
          <t>shear_wall</t>
        </is>
      </c>
      <c r="G738" s="5" t="inlineStr">
        <is>
          <t>label vote</t>
        </is>
      </c>
      <c r="H738" s="5" t="inlineStr">
        <is>
          <t>V1/128</t>
        </is>
      </c>
      <c r="I738" s="5" t="inlineStr">
        <is>
          <t>printed label</t>
        </is>
      </c>
      <c r="J738" s="5" t="inlineStr">
        <is>
          <t>V1/128/128</t>
        </is>
      </c>
      <c r="K738" s="5" t="n">
        <v>125</v>
      </c>
      <c r="L738" s="5" t="n">
        <v>25</v>
      </c>
      <c r="M738" s="10">
        <f>IF(AND(ISNUMBER(K738),L738&gt;0),K738/L738,"")</f>
        <v/>
      </c>
      <c r="N738" s="5" t="n">
        <v>0.313</v>
      </c>
      <c r="O738" s="5" t="n">
        <v>116.7</v>
      </c>
      <c r="P738" s="5" t="n">
        <v>1</v>
      </c>
      <c r="Q738" s="5" t="n">
        <v>1</v>
      </c>
      <c r="R738" s="5" t="n">
        <v>0</v>
      </c>
      <c r="S738" s="5" t="n">
        <v>0</v>
      </c>
      <c r="T738" s="5" t="n">
        <v>0</v>
      </c>
      <c r="U738" s="5" t="n">
        <v>1</v>
      </c>
      <c r="V738" s="5" t="n">
        <v>2</v>
      </c>
      <c r="W738" s="5" t="n"/>
      <c r="X738" s="5" t="inlineStr"/>
      <c r="Y738" s="5" t="n">
        <v>1726.4</v>
      </c>
      <c r="Z738" s="5" t="n">
        <v>2947.2</v>
      </c>
      <c r="AA738" s="5" t="n">
        <v>1749.6</v>
      </c>
      <c r="AB738" s="5" t="n">
        <v>2983.5</v>
      </c>
      <c r="AC738" s="5" t="inlineStr"/>
      <c r="AD738" s="5">
        <f>IF(AC738="","",IF(OR(AC738=F738,AND(AC738="crane_footing",F738="isolated_footing")),"yes","no"))</f>
        <v/>
      </c>
    </row>
    <row r="739">
      <c r="A739" s="5" t="n">
        <v>738</v>
      </c>
      <c r="B739" s="5" t="inlineStr">
        <is>
          <t>128</t>
        </is>
      </c>
      <c r="C739" s="5" t="inlineStr">
        <is>
          <t>own label</t>
        </is>
      </c>
      <c r="D739" s="5" t="inlineStr">
        <is>
          <t>solid</t>
        </is>
      </c>
      <c r="E739" s="5" t="n">
        <v>32</v>
      </c>
      <c r="F739" s="5" t="inlineStr">
        <is>
          <t>shear_wall</t>
        </is>
      </c>
      <c r="G739" s="5" t="inlineStr">
        <is>
          <t>label vote</t>
        </is>
      </c>
      <c r="H739" s="5" t="inlineStr">
        <is>
          <t>V1/128</t>
        </is>
      </c>
      <c r="I739" s="5" t="inlineStr">
        <is>
          <t>printed label</t>
        </is>
      </c>
      <c r="J739" s="5" t="inlineStr">
        <is>
          <t>V1/128/128</t>
        </is>
      </c>
      <c r="K739" s="5" t="n">
        <v>125</v>
      </c>
      <c r="L739" s="5" t="n">
        <v>25</v>
      </c>
      <c r="M739" s="10">
        <f>IF(AND(ISNUMBER(K739),L739&gt;0),K739/L739,"")</f>
        <v/>
      </c>
      <c r="N739" s="5" t="n">
        <v>0.313</v>
      </c>
      <c r="O739" s="5" t="n">
        <v>140.8</v>
      </c>
      <c r="P739" s="5" t="n">
        <v>1</v>
      </c>
      <c r="Q739" s="5" t="n">
        <v>1</v>
      </c>
      <c r="R739" s="5" t="n">
        <v>0</v>
      </c>
      <c r="S739" s="5" t="n">
        <v>0</v>
      </c>
      <c r="T739" s="5" t="n">
        <v>0</v>
      </c>
      <c r="U739" s="5" t="n">
        <v>2</v>
      </c>
      <c r="V739" s="5" t="n">
        <v>0</v>
      </c>
      <c r="W739" s="5" t="n"/>
      <c r="X739" s="5" t="inlineStr"/>
      <c r="Y739" s="5" t="n">
        <v>811.8</v>
      </c>
      <c r="Z739" s="5" t="n">
        <v>2745</v>
      </c>
      <c r="AA739" s="5" t="n">
        <v>845.1</v>
      </c>
      <c r="AB739" s="5" t="n">
        <v>2774</v>
      </c>
      <c r="AC739" s="5" t="inlineStr"/>
      <c r="AD739" s="5">
        <f>IF(AC739="","",IF(OR(AC739=F739,AND(AC739="crane_footing",F739="isolated_footing")),"yes","no"))</f>
        <v/>
      </c>
    </row>
    <row r="740">
      <c r="A740" s="5" t="n">
        <v>739</v>
      </c>
      <c r="B740" s="5" t="inlineStr">
        <is>
          <t>128</t>
        </is>
      </c>
      <c r="C740" s="5" t="inlineStr">
        <is>
          <t>own label</t>
        </is>
      </c>
      <c r="D740" s="5" t="inlineStr">
        <is>
          <t>solid</t>
        </is>
      </c>
      <c r="E740" s="5" t="n">
        <v>36</v>
      </c>
      <c r="F740" s="5" t="inlineStr">
        <is>
          <t>shear_wall</t>
        </is>
      </c>
      <c r="G740" s="5" t="inlineStr">
        <is>
          <t>label vote</t>
        </is>
      </c>
      <c r="H740" s="5" t="inlineStr">
        <is>
          <t>V3/128</t>
        </is>
      </c>
      <c r="I740" s="5" t="inlineStr">
        <is>
          <t>printed label</t>
        </is>
      </c>
      <c r="J740" s="5" t="inlineStr">
        <is>
          <t>V3/128/128</t>
        </is>
      </c>
      <c r="K740" s="5" t="n">
        <v>200</v>
      </c>
      <c r="L740" s="5" t="n">
        <v>25</v>
      </c>
      <c r="M740" s="10">
        <f>IF(AND(ISNUMBER(K740),L740&gt;0),K740/L740,"")</f>
        <v/>
      </c>
      <c r="N740" s="5" t="n">
        <v>0.5</v>
      </c>
      <c r="O740" s="5" t="n">
        <v>116.6</v>
      </c>
      <c r="P740" s="5" t="n">
        <v>0</v>
      </c>
      <c r="Q740" s="5" t="n">
        <v>0</v>
      </c>
      <c r="R740" s="5" t="n">
        <v>0</v>
      </c>
      <c r="S740" s="5" t="n">
        <v>1</v>
      </c>
      <c r="T740" s="5" t="n">
        <v>0</v>
      </c>
      <c r="U740" s="5" t="n">
        <v>1</v>
      </c>
      <c r="V740" s="5" t="n">
        <v>3</v>
      </c>
      <c r="W740" s="5" t="n"/>
      <c r="X740" s="5" t="inlineStr"/>
      <c r="Y740" s="5" t="n">
        <v>1824</v>
      </c>
      <c r="Z740" s="5" t="n">
        <v>2732.8</v>
      </c>
      <c r="AA740" s="5" t="n">
        <v>1857.1</v>
      </c>
      <c r="AB740" s="5" t="n">
        <v>2788.9</v>
      </c>
      <c r="AC740" s="5" t="inlineStr">
        <is>
          <t>shear_wall</t>
        </is>
      </c>
      <c r="AD740" s="5">
        <f>IF(AC740="","",IF(OR(AC740=F740,AND(AC740="crane_footing",F740="isolated_footing")),"yes","no"))</f>
        <v/>
      </c>
    </row>
    <row r="741">
      <c r="A741" s="5" t="n">
        <v>740</v>
      </c>
      <c r="B741" s="5" t="inlineStr">
        <is>
          <t>128</t>
        </is>
      </c>
      <c r="C741" s="5" t="inlineStr">
        <is>
          <t>own label</t>
        </is>
      </c>
      <c r="D741" s="5" t="inlineStr">
        <is>
          <t>solid</t>
        </is>
      </c>
      <c r="E741" s="5" t="n">
        <v>37</v>
      </c>
      <c r="F741" s="5" t="inlineStr">
        <is>
          <t>shear_wall</t>
        </is>
      </c>
      <c r="G741" s="5" t="inlineStr">
        <is>
          <t>label vote</t>
        </is>
      </c>
      <c r="H741" s="5" t="inlineStr">
        <is>
          <t>V5/128</t>
        </is>
      </c>
      <c r="I741" s="5" t="inlineStr">
        <is>
          <t>printed label</t>
        </is>
      </c>
      <c r="J741" s="5" t="inlineStr">
        <is>
          <t>V5/128/128</t>
        </is>
      </c>
      <c r="K741" s="5" t="n">
        <v>300</v>
      </c>
      <c r="L741" s="5" t="n">
        <v>30</v>
      </c>
      <c r="M741" s="10">
        <f>IF(AND(ISNUMBER(K741),L741&gt;0),K741/L741,"")</f>
        <v/>
      </c>
      <c r="N741" s="5" t="n">
        <v>0.899</v>
      </c>
      <c r="O741" s="5" t="n">
        <v>26.7</v>
      </c>
      <c r="P741" s="5" t="n">
        <v>1</v>
      </c>
      <c r="Q741" s="5" t="n">
        <v>1</v>
      </c>
      <c r="R741" s="5" t="n">
        <v>0</v>
      </c>
      <c r="S741" s="5" t="n">
        <v>0</v>
      </c>
      <c r="T741" s="5" t="n">
        <v>0</v>
      </c>
      <c r="U741" s="5" t="n">
        <v>3</v>
      </c>
      <c r="V741" s="5" t="n">
        <v>1</v>
      </c>
      <c r="W741" s="5" t="n"/>
      <c r="X741" s="5" t="inlineStr"/>
      <c r="Y741" s="5" t="n">
        <v>1557.9</v>
      </c>
      <c r="Z741" s="5" t="n">
        <v>2862.7</v>
      </c>
      <c r="AA741" s="5" t="n">
        <v>1641.1</v>
      </c>
      <c r="AB741" s="5" t="n">
        <v>2910.3</v>
      </c>
      <c r="AC741" s="5" t="inlineStr"/>
      <c r="AD741" s="5">
        <f>IF(AC741="","",IF(OR(AC741=F741,AND(AC741="crane_footing",F741="isolated_footing")),"yes","no"))</f>
        <v/>
      </c>
    </row>
    <row r="742">
      <c r="A742" s="5" t="n">
        <v>741</v>
      </c>
      <c r="B742" s="5" t="inlineStr">
        <is>
          <t>128</t>
        </is>
      </c>
      <c r="C742" s="5" t="inlineStr">
        <is>
          <t>own label</t>
        </is>
      </c>
      <c r="D742" s="5" t="inlineStr">
        <is>
          <t>solid</t>
        </is>
      </c>
      <c r="E742" s="5" t="n">
        <v>36</v>
      </c>
      <c r="F742" s="5" t="inlineStr">
        <is>
          <t>shear_wall</t>
        </is>
      </c>
      <c r="G742" s="5" t="inlineStr">
        <is>
          <t>label vote</t>
        </is>
      </c>
      <c r="H742" s="5" t="inlineStr">
        <is>
          <t>V6/128</t>
        </is>
      </c>
      <c r="I742" s="5" t="inlineStr">
        <is>
          <t>printed label</t>
        </is>
      </c>
      <c r="J742" s="5" t="inlineStr">
        <is>
          <t>V6/128/128</t>
        </is>
      </c>
      <c r="K742" s="5" t="n">
        <v>125</v>
      </c>
      <c r="L742" s="5" t="n">
        <v>25</v>
      </c>
      <c r="M742" s="10">
        <f>IF(AND(ISNUMBER(K742),L742&gt;0),K742/L742,"")</f>
        <v/>
      </c>
      <c r="N742" s="5" t="n">
        <v>0.312</v>
      </c>
      <c r="O742" s="5" t="n">
        <v>116.6</v>
      </c>
      <c r="P742" s="5" t="n">
        <v>0</v>
      </c>
      <c r="Q742" s="5" t="n">
        <v>1</v>
      </c>
      <c r="R742" s="5" t="n">
        <v>0</v>
      </c>
      <c r="S742" s="5" t="n">
        <v>0</v>
      </c>
      <c r="T742" s="5" t="n">
        <v>0</v>
      </c>
      <c r="U742" s="5" t="n">
        <v>1</v>
      </c>
      <c r="V742" s="5" t="n">
        <v>4</v>
      </c>
      <c r="W742" s="5" t="n"/>
      <c r="X742" s="5" t="inlineStr"/>
      <c r="Y742" s="5" t="n">
        <v>1943.4</v>
      </c>
      <c r="Z742" s="5" t="n">
        <v>2514.5</v>
      </c>
      <c r="AA742" s="5" t="n">
        <v>1966.6</v>
      </c>
      <c r="AB742" s="5" t="n">
        <v>2550.8</v>
      </c>
      <c r="AC742" s="5" t="inlineStr">
        <is>
          <t>shear_wall</t>
        </is>
      </c>
      <c r="AD742" s="5">
        <f>IF(AC742="","",IF(OR(AC742=F742,AND(AC742="crane_footing",F742="isolated_footing")),"yes","no"))</f>
        <v/>
      </c>
    </row>
    <row r="743">
      <c r="A743" s="5" t="n">
        <v>742</v>
      </c>
      <c r="B743" s="5" t="inlineStr">
        <is>
          <t>128</t>
        </is>
      </c>
      <c r="C743" s="5" t="inlineStr">
        <is>
          <t>own label</t>
        </is>
      </c>
      <c r="D743" s="5" t="inlineStr">
        <is>
          <t>solid</t>
        </is>
      </c>
      <c r="E743" s="5" t="n">
        <v>36</v>
      </c>
      <c r="F743" s="5" t="inlineStr">
        <is>
          <t>shear_wall</t>
        </is>
      </c>
      <c r="G743" s="5" t="inlineStr">
        <is>
          <t>label vote</t>
        </is>
      </c>
      <c r="H743" s="5" t="inlineStr">
        <is>
          <t>V6/128</t>
        </is>
      </c>
      <c r="I743" s="5" t="inlineStr">
        <is>
          <t>printed label</t>
        </is>
      </c>
      <c r="J743" s="5" t="inlineStr">
        <is>
          <t>V6/128/128</t>
        </is>
      </c>
      <c r="K743" s="5" t="n">
        <v>125</v>
      </c>
      <c r="L743" s="5" t="n">
        <v>25</v>
      </c>
      <c r="M743" s="10">
        <f>IF(AND(ISNUMBER(K743),L743&gt;0),K743/L743,"")</f>
        <v/>
      </c>
      <c r="N743" s="5" t="n">
        <v>0.312</v>
      </c>
      <c r="O743" s="5" t="n">
        <v>141</v>
      </c>
      <c r="P743" s="5" t="n">
        <v>0</v>
      </c>
      <c r="Q743" s="5" t="n">
        <v>1</v>
      </c>
      <c r="R743" s="5" t="n">
        <v>0</v>
      </c>
      <c r="S743" s="5" t="n">
        <v>0</v>
      </c>
      <c r="T743" s="5" t="n">
        <v>0</v>
      </c>
      <c r="U743" s="5" t="n">
        <v>1</v>
      </c>
      <c r="V743" s="5" t="n">
        <v>3</v>
      </c>
      <c r="W743" s="5" t="n"/>
      <c r="X743" s="5" t="inlineStr"/>
      <c r="Y743" s="5" t="n">
        <v>1443.9</v>
      </c>
      <c r="Z743" s="5" t="n">
        <v>2231.4</v>
      </c>
      <c r="AA743" s="5" t="n">
        <v>1477.2</v>
      </c>
      <c r="AB743" s="5" t="n">
        <v>2260.4</v>
      </c>
      <c r="AC743" s="5" t="inlineStr">
        <is>
          <t>shear_wall</t>
        </is>
      </c>
      <c r="AD743" s="5">
        <f>IF(AC743="","",IF(OR(AC743=F743,AND(AC743="crane_footing",F743="isolated_footing")),"yes","no"))</f>
        <v/>
      </c>
    </row>
    <row r="744">
      <c r="A744" s="5" t="n">
        <v>743</v>
      </c>
      <c r="B744" s="5" t="inlineStr">
        <is>
          <t>128</t>
        </is>
      </c>
      <c r="C744" s="5" t="inlineStr">
        <is>
          <t>own label</t>
        </is>
      </c>
      <c r="D744" s="5" t="inlineStr">
        <is>
          <t>solid</t>
        </is>
      </c>
      <c r="E744" s="5" t="n">
        <v>36</v>
      </c>
      <c r="F744" s="5" t="inlineStr">
        <is>
          <t>shear_wall</t>
        </is>
      </c>
      <c r="G744" s="5" t="inlineStr">
        <is>
          <t>label vote</t>
        </is>
      </c>
      <c r="H744" s="5" t="inlineStr">
        <is>
          <t>V6/128</t>
        </is>
      </c>
      <c r="I744" s="5" t="inlineStr">
        <is>
          <t>printed label</t>
        </is>
      </c>
      <c r="J744" s="5" t="inlineStr">
        <is>
          <t>V6/128/128</t>
        </is>
      </c>
      <c r="K744" s="5" t="n">
        <v>125</v>
      </c>
      <c r="L744" s="5" t="n">
        <v>25</v>
      </c>
      <c r="M744" s="10">
        <f>IF(AND(ISNUMBER(K744),L744&gt;0),K744/L744,"")</f>
        <v/>
      </c>
      <c r="N744" s="5" t="n">
        <v>0.311</v>
      </c>
      <c r="O744" s="5" t="n">
        <v>116.7</v>
      </c>
      <c r="P744" s="5" t="n">
        <v>0</v>
      </c>
      <c r="Q744" s="5" t="n">
        <v>1</v>
      </c>
      <c r="R744" s="5" t="n">
        <v>0</v>
      </c>
      <c r="S744" s="5" t="n">
        <v>0</v>
      </c>
      <c r="T744" s="5" t="n">
        <v>0</v>
      </c>
      <c r="U744" s="5" t="n">
        <v>1</v>
      </c>
      <c r="V744" s="5" t="n">
        <v>4</v>
      </c>
      <c r="W744" s="5" t="n"/>
      <c r="X744" s="5" t="inlineStr"/>
      <c r="Y744" s="5" t="n">
        <v>1738.6</v>
      </c>
      <c r="Z744" s="5" t="n">
        <v>2411.8</v>
      </c>
      <c r="AA744" s="5" t="n">
        <v>1761.7</v>
      </c>
      <c r="AB744" s="5" t="n">
        <v>2448.1</v>
      </c>
      <c r="AC744" s="5" t="inlineStr">
        <is>
          <t>shear_wall</t>
        </is>
      </c>
      <c r="AD744" s="5">
        <f>IF(AC744="","",IF(OR(AC744=F744,AND(AC744="crane_footing",F744="isolated_footing")),"yes","no"))</f>
        <v/>
      </c>
    </row>
    <row r="745">
      <c r="A745" s="5" t="n">
        <v>744</v>
      </c>
      <c r="B745" s="5" t="inlineStr">
        <is>
          <t>128</t>
        </is>
      </c>
      <c r="C745" s="5" t="inlineStr">
        <is>
          <t>own label</t>
        </is>
      </c>
      <c r="D745" s="5" t="inlineStr">
        <is>
          <t>solid</t>
        </is>
      </c>
      <c r="E745" s="5" t="n">
        <v>37</v>
      </c>
      <c r="F745" s="5" t="inlineStr">
        <is>
          <t>shear_wall</t>
        </is>
      </c>
      <c r="G745" s="5" t="inlineStr">
        <is>
          <t>label vote</t>
        </is>
      </c>
      <c r="H745" s="5" t="inlineStr">
        <is>
          <t>V7/128</t>
        </is>
      </c>
      <c r="I745" s="5" t="inlineStr">
        <is>
          <t>printed label</t>
        </is>
      </c>
      <c r="J745" s="5" t="inlineStr">
        <is>
          <t>V7/128/128</t>
        </is>
      </c>
      <c r="K745" s="5" t="n">
        <v>200</v>
      </c>
      <c r="L745" s="5" t="n">
        <v>29</v>
      </c>
      <c r="M745" s="10">
        <f>IF(AND(ISNUMBER(K745),L745&gt;0),K745/L745,"")</f>
        <v/>
      </c>
      <c r="N745" s="5" t="n">
        <v>0.581</v>
      </c>
      <c r="O745" s="5" t="n">
        <v>140.9</v>
      </c>
      <c r="P745" s="5" t="n">
        <v>1</v>
      </c>
      <c r="Q745" s="5" t="n">
        <v>1</v>
      </c>
      <c r="R745" s="5" t="n">
        <v>0</v>
      </c>
      <c r="S745" s="5" t="n">
        <v>0</v>
      </c>
      <c r="T745" s="5" t="n">
        <v>0</v>
      </c>
      <c r="U745" s="5" t="n">
        <v>1</v>
      </c>
      <c r="V745" s="5" t="n">
        <v>8</v>
      </c>
      <c r="W745" s="5" t="n"/>
      <c r="X745" s="5" t="inlineStr"/>
      <c r="Y745" s="5" t="n">
        <v>1190.9</v>
      </c>
      <c r="Z745" s="5" t="n">
        <v>2423</v>
      </c>
      <c r="AA745" s="5" t="n">
        <v>1242.2</v>
      </c>
      <c r="AB745" s="5" t="n">
        <v>2466.9</v>
      </c>
      <c r="AC745" s="5" t="inlineStr"/>
      <c r="AD745" s="5">
        <f>IF(AC745="","",IF(OR(AC745=F745,AND(AC745="crane_footing",F745="isolated_footing")),"yes","no"))</f>
        <v/>
      </c>
    </row>
    <row r="746">
      <c r="A746" s="5" t="n">
        <v>745</v>
      </c>
      <c r="B746" s="5" t="inlineStr">
        <is>
          <t>128</t>
        </is>
      </c>
      <c r="C746" s="5" t="inlineStr">
        <is>
          <t>own label</t>
        </is>
      </c>
      <c r="D746" s="5" t="inlineStr">
        <is>
          <t>solid</t>
        </is>
      </c>
      <c r="E746" s="5" t="n">
        <v>37</v>
      </c>
      <c r="F746" s="5" t="inlineStr">
        <is>
          <t>shear_wall</t>
        </is>
      </c>
      <c r="G746" s="5" t="inlineStr">
        <is>
          <t>label vote</t>
        </is>
      </c>
      <c r="H746" s="5" t="inlineStr">
        <is>
          <t>V7a/128</t>
        </is>
      </c>
      <c r="I746" s="5" t="inlineStr">
        <is>
          <t>printed label</t>
        </is>
      </c>
      <c r="J746" s="5" t="inlineStr">
        <is>
          <t>V7a/128/128</t>
        </is>
      </c>
      <c r="K746" s="5" t="n">
        <v>170</v>
      </c>
      <c r="L746" s="5" t="n">
        <v>30</v>
      </c>
      <c r="M746" s="10">
        <f>IF(AND(ISNUMBER(K746),L746&gt;0),K746/L746,"")</f>
        <v/>
      </c>
      <c r="N746" s="5" t="n">
        <v>0.512</v>
      </c>
      <c r="O746" s="5" t="n">
        <v>116.7</v>
      </c>
      <c r="P746" s="5" t="n">
        <v>1</v>
      </c>
      <c r="Q746" s="5" t="n">
        <v>0</v>
      </c>
      <c r="R746" s="5" t="n">
        <v>0</v>
      </c>
      <c r="S746" s="5" t="n">
        <v>1</v>
      </c>
      <c r="T746" s="5" t="n">
        <v>0</v>
      </c>
      <c r="U746" s="5" t="n">
        <v>1</v>
      </c>
      <c r="V746" s="5" t="n">
        <v>2</v>
      </c>
      <c r="W746" s="5" t="n"/>
      <c r="X746" s="5" t="inlineStr"/>
      <c r="Y746" s="5" t="n">
        <v>1646.9</v>
      </c>
      <c r="Z746" s="5" t="n">
        <v>2652.5</v>
      </c>
      <c r="AA746" s="5" t="n">
        <v>1677.4</v>
      </c>
      <c r="AB746" s="5" t="n">
        <v>2701.3</v>
      </c>
      <c r="AC746" s="5" t="inlineStr"/>
      <c r="AD746" s="5">
        <f>IF(AC746="","",IF(OR(AC746=F746,AND(AC746="crane_footing",F746="isolated_footing")),"yes","no"))</f>
        <v/>
      </c>
    </row>
    <row r="747">
      <c r="A747" s="5" t="n">
        <v>746</v>
      </c>
      <c r="B747" s="5" t="inlineStr">
        <is>
          <t>128</t>
        </is>
      </c>
      <c r="C747" s="5" t="inlineStr">
        <is>
          <t>own label (region says 129)</t>
        </is>
      </c>
      <c r="D747" s="5" t="inlineStr">
        <is>
          <t>solid</t>
        </is>
      </c>
      <c r="E747" s="5" t="n">
        <v>36</v>
      </c>
      <c r="F747" s="5" t="inlineStr">
        <is>
          <t>shear_wall</t>
        </is>
      </c>
      <c r="G747" s="5" t="inlineStr">
        <is>
          <t>label vote</t>
        </is>
      </c>
      <c r="H747" s="5" t="inlineStr">
        <is>
          <t>V9/128</t>
        </is>
      </c>
      <c r="I747" s="5" t="inlineStr">
        <is>
          <t>printed label</t>
        </is>
      </c>
      <c r="J747" s="5" t="inlineStr">
        <is>
          <t>V9/128/128</t>
        </is>
      </c>
      <c r="K747" s="5" t="n">
        <v>125</v>
      </c>
      <c r="L747" s="5" t="n">
        <v>25</v>
      </c>
      <c r="M747" s="10">
        <f>IF(AND(ISNUMBER(K747),L747&gt;0),K747/L747,"")</f>
        <v/>
      </c>
      <c r="N747" s="5" t="n">
        <v>0.313</v>
      </c>
      <c r="O747" s="5" t="n">
        <v>140.9</v>
      </c>
      <c r="P747" s="5" t="n">
        <v>0</v>
      </c>
      <c r="Q747" s="5" t="n">
        <v>1</v>
      </c>
      <c r="R747" s="5" t="n">
        <v>0</v>
      </c>
      <c r="S747" s="5" t="n">
        <v>0</v>
      </c>
      <c r="T747" s="5" t="n">
        <v>0</v>
      </c>
      <c r="U747" s="5" t="n">
        <v>1</v>
      </c>
      <c r="V747" s="5" t="n">
        <v>3</v>
      </c>
      <c r="W747" s="5" t="n"/>
      <c r="X747" s="5" t="inlineStr"/>
      <c r="Y747" s="5" t="n">
        <v>1437.3</v>
      </c>
      <c r="Z747" s="5" t="n">
        <v>2223.4</v>
      </c>
      <c r="AA747" s="5" t="n">
        <v>1470.6</v>
      </c>
      <c r="AB747" s="5" t="n">
        <v>2252.4</v>
      </c>
      <c r="AC747" s="5" t="inlineStr">
        <is>
          <t>shear_wall</t>
        </is>
      </c>
      <c r="AD747" s="5">
        <f>IF(AC747="","",IF(OR(AC747=F747,AND(AC747="crane_footing",F747="isolated_footing")),"yes","no"))</f>
        <v/>
      </c>
    </row>
    <row r="748">
      <c r="A748" s="5" t="n">
        <v>747</v>
      </c>
      <c r="B748" s="5" t="inlineStr">
        <is>
          <t>128</t>
        </is>
      </c>
      <c r="C748" s="5" t="inlineStr">
        <is>
          <t>own label (region says 129)</t>
        </is>
      </c>
      <c r="D748" s="5" t="inlineStr">
        <is>
          <t>solid</t>
        </is>
      </c>
      <c r="E748" s="5" t="n">
        <v>36</v>
      </c>
      <c r="F748" s="5" t="inlineStr">
        <is>
          <t>shear_wall</t>
        </is>
      </c>
      <c r="G748" s="5" t="inlineStr">
        <is>
          <t>label vote</t>
        </is>
      </c>
      <c r="H748" s="5" t="inlineStr">
        <is>
          <t>V9/128</t>
        </is>
      </c>
      <c r="I748" s="5" t="inlineStr">
        <is>
          <t>printed label</t>
        </is>
      </c>
      <c r="J748" s="5" t="inlineStr">
        <is>
          <t>V9/128/128</t>
        </is>
      </c>
      <c r="K748" s="5" t="n">
        <v>125</v>
      </c>
      <c r="L748" s="5" t="n">
        <v>25</v>
      </c>
      <c r="M748" s="10">
        <f>IF(AND(ISNUMBER(K748),L748&gt;0),K748/L748,"")</f>
        <v/>
      </c>
      <c r="N748" s="5" t="n">
        <v>0.313</v>
      </c>
      <c r="O748" s="5" t="n">
        <v>165.3</v>
      </c>
      <c r="P748" s="5" t="n">
        <v>0</v>
      </c>
      <c r="Q748" s="5" t="n">
        <v>1</v>
      </c>
      <c r="R748" s="5" t="n">
        <v>0</v>
      </c>
      <c r="S748" s="5" t="n">
        <v>0</v>
      </c>
      <c r="T748" s="5" t="n">
        <v>0</v>
      </c>
      <c r="U748" s="5" t="n">
        <v>1</v>
      </c>
      <c r="V748" s="5" t="n">
        <v>5</v>
      </c>
      <c r="W748" s="5" t="n"/>
      <c r="X748" s="5" t="inlineStr"/>
      <c r="Y748" s="5" t="n">
        <v>1281.1</v>
      </c>
      <c r="Z748" s="5" t="n">
        <v>1816.7</v>
      </c>
      <c r="AA748" s="5" t="n">
        <v>1318.8</v>
      </c>
      <c r="AB748" s="5" t="n">
        <v>1833.2</v>
      </c>
      <c r="AC748" s="5" t="inlineStr">
        <is>
          <t>shear_wall</t>
        </is>
      </c>
      <c r="AD748" s="5">
        <f>IF(AC748="","",IF(OR(AC748=F748,AND(AC748="crane_footing",F748="isolated_footing")),"yes","no"))</f>
        <v/>
      </c>
    </row>
    <row r="749">
      <c r="A749" s="5" t="n">
        <v>748</v>
      </c>
      <c r="B749" s="5" t="inlineStr">
        <is>
          <t>128</t>
        </is>
      </c>
      <c r="C749" s="5" t="inlineStr">
        <is>
          <t>own label (region says 129)</t>
        </is>
      </c>
      <c r="D749" s="5" t="inlineStr">
        <is>
          <t>solid</t>
        </is>
      </c>
      <c r="E749" s="5" t="n">
        <v>36</v>
      </c>
      <c r="F749" s="5" t="inlineStr">
        <is>
          <t>shear_wall</t>
        </is>
      </c>
      <c r="G749" s="5" t="inlineStr">
        <is>
          <t>label vote</t>
        </is>
      </c>
      <c r="H749" s="5" t="inlineStr">
        <is>
          <t>V9/128</t>
        </is>
      </c>
      <c r="I749" s="5" t="inlineStr">
        <is>
          <t>printed label</t>
        </is>
      </c>
      <c r="J749" s="5" t="inlineStr">
        <is>
          <t>V9/128/128</t>
        </is>
      </c>
      <c r="K749" s="5" t="n">
        <v>125</v>
      </c>
      <c r="L749" s="5" t="n">
        <v>25</v>
      </c>
      <c r="M749" s="10">
        <f>IF(AND(ISNUMBER(K749),L749&gt;0),K749/L749,"")</f>
        <v/>
      </c>
      <c r="N749" s="5" t="n">
        <v>0.312</v>
      </c>
      <c r="O749" s="5" t="n">
        <v>165.3</v>
      </c>
      <c r="P749" s="5" t="n">
        <v>0</v>
      </c>
      <c r="Q749" s="5" t="n">
        <v>1</v>
      </c>
      <c r="R749" s="5" t="n">
        <v>0</v>
      </c>
      <c r="S749" s="5" t="n">
        <v>0</v>
      </c>
      <c r="T749" s="5" t="n">
        <v>0</v>
      </c>
      <c r="U749" s="5" t="n">
        <v>1</v>
      </c>
      <c r="V749" s="5" t="n">
        <v>2</v>
      </c>
      <c r="W749" s="5" t="n"/>
      <c r="X749" s="5" t="inlineStr"/>
      <c r="Y749" s="5" t="n">
        <v>1339.6</v>
      </c>
      <c r="Z749" s="5" t="n">
        <v>2037.7</v>
      </c>
      <c r="AA749" s="5" t="n">
        <v>1377.2</v>
      </c>
      <c r="AB749" s="5" t="n">
        <v>2054.2</v>
      </c>
      <c r="AC749" s="5" t="inlineStr">
        <is>
          <t>shear_wall</t>
        </is>
      </c>
      <c r="AD749" s="5">
        <f>IF(AC749="","",IF(OR(AC749=F749,AND(AC749="crane_footing",F749="isolated_footing")),"yes","no"))</f>
        <v/>
      </c>
    </row>
    <row r="750">
      <c r="A750" s="5" t="n">
        <v>749</v>
      </c>
      <c r="B750" s="5" t="inlineStr">
        <is>
          <t>128</t>
        </is>
      </c>
      <c r="C750" s="5" t="inlineStr">
        <is>
          <t>own label (region says 129)</t>
        </is>
      </c>
      <c r="D750" s="5" t="inlineStr">
        <is>
          <t>solid</t>
        </is>
      </c>
      <c r="E750" s="5" t="n">
        <v>36</v>
      </c>
      <c r="F750" s="5" t="inlineStr">
        <is>
          <t>shear_wall</t>
        </is>
      </c>
      <c r="G750" s="5" t="inlineStr">
        <is>
          <t>label vote</t>
        </is>
      </c>
      <c r="H750" s="5" t="inlineStr">
        <is>
          <t>V9/128</t>
        </is>
      </c>
      <c r="I750" s="5" t="inlineStr">
        <is>
          <t>printed label</t>
        </is>
      </c>
      <c r="J750" s="5" t="inlineStr">
        <is>
          <t>V9/128/128</t>
        </is>
      </c>
      <c r="K750" s="5" t="n">
        <v>125</v>
      </c>
      <c r="L750" s="5" t="n">
        <v>25</v>
      </c>
      <c r="M750" s="10">
        <f>IF(AND(ISNUMBER(K750),L750&gt;0),K750/L750,"")</f>
        <v/>
      </c>
      <c r="N750" s="5" t="n">
        <v>0.312</v>
      </c>
      <c r="O750" s="5" t="n">
        <v>165.3</v>
      </c>
      <c r="P750" s="5" t="n">
        <v>0</v>
      </c>
      <c r="Q750" s="5" t="n">
        <v>1</v>
      </c>
      <c r="R750" s="5" t="n">
        <v>0</v>
      </c>
      <c r="S750" s="5" t="n">
        <v>0</v>
      </c>
      <c r="T750" s="5" t="n">
        <v>0</v>
      </c>
      <c r="U750" s="5" t="n">
        <v>1</v>
      </c>
      <c r="V750" s="5" t="n">
        <v>4</v>
      </c>
      <c r="W750" s="5" t="n"/>
      <c r="X750" s="5" t="inlineStr"/>
      <c r="Y750" s="5" t="n">
        <v>1258.3</v>
      </c>
      <c r="Z750" s="5" t="n">
        <v>1730.4</v>
      </c>
      <c r="AA750" s="5" t="n">
        <v>1295.9</v>
      </c>
      <c r="AB750" s="5" t="n">
        <v>1746.9</v>
      </c>
      <c r="AC750" s="5" t="inlineStr">
        <is>
          <t>shear_wall</t>
        </is>
      </c>
      <c r="AD750" s="5">
        <f>IF(AC750="","",IF(OR(AC750=F750,AND(AC750="crane_footing",F750="isolated_footing")),"yes","no"))</f>
        <v/>
      </c>
    </row>
    <row r="751">
      <c r="A751" s="5" t="n">
        <v>750</v>
      </c>
      <c r="B751" s="5" t="inlineStr">
        <is>
          <t>128</t>
        </is>
      </c>
      <c r="C751" s="5" t="inlineStr">
        <is>
          <t>region between joints</t>
        </is>
      </c>
      <c r="D751" s="5" t="inlineStr">
        <is>
          <t>solid</t>
        </is>
      </c>
      <c r="E751" s="5" t="n">
        <v>33</v>
      </c>
      <c r="F751" s="5" t="inlineStr">
        <is>
          <t>retaining_wall</t>
        </is>
      </c>
      <c r="G751" s="5" t="inlineStr">
        <is>
          <t>label vote</t>
        </is>
      </c>
      <c r="H751" s="5" t="inlineStr">
        <is>
          <t>VP20</t>
        </is>
      </c>
      <c r="I751" s="5" t="inlineStr">
        <is>
          <t>printed label</t>
        </is>
      </c>
      <c r="J751" s="5" t="inlineStr">
        <is>
          <t>VP20-SF1-80x25</t>
        </is>
      </c>
      <c r="K751" s="5" t="n">
        <v>1813</v>
      </c>
      <c r="L751" s="5" t="n">
        <v>20</v>
      </c>
      <c r="M751" s="10">
        <f>IF(AND(ISNUMBER(K751),L751&gt;0),K751/L751,"")</f>
        <v/>
      </c>
      <c r="N751" s="5" t="n">
        <v>3.638</v>
      </c>
      <c r="O751" s="5" t="n">
        <v>26.6</v>
      </c>
      <c r="P751" s="5" t="n">
        <v>0</v>
      </c>
      <c r="Q751" s="5" t="n">
        <v>0</v>
      </c>
      <c r="R751" s="5" t="n">
        <v>1</v>
      </c>
      <c r="S751" s="5" t="n">
        <v>0</v>
      </c>
      <c r="T751" s="5" t="n">
        <v>0</v>
      </c>
      <c r="U751" s="5" t="n">
        <v>10</v>
      </c>
      <c r="V751" s="5" t="n">
        <v>9</v>
      </c>
      <c r="W751" s="5" t="n"/>
      <c r="X751" s="5" t="inlineStr"/>
      <c r="Y751" s="5" t="n">
        <v>1538.2</v>
      </c>
      <c r="Z751" s="5" t="n">
        <v>2173.8</v>
      </c>
      <c r="AA751" s="5" t="n">
        <v>2019.6</v>
      </c>
      <c r="AB751" s="5" t="n">
        <v>2417.4</v>
      </c>
      <c r="AC751" s="5" t="inlineStr">
        <is>
          <t>retaining_wall</t>
        </is>
      </c>
      <c r="AD751" s="5">
        <f>IF(AC751="","",IF(OR(AC751=F751,AND(AC751="crane_footing",F751="isolated_footing")),"yes","no"))</f>
        <v/>
      </c>
    </row>
    <row r="752">
      <c r="A752" s="5" t="n">
        <v>751</v>
      </c>
      <c r="B752" s="5" t="inlineStr">
        <is>
          <t>128</t>
        </is>
      </c>
      <c r="C752" s="5" t="inlineStr">
        <is>
          <t>region between joints</t>
        </is>
      </c>
      <c r="D752" s="5" t="inlineStr">
        <is>
          <t>solid</t>
        </is>
      </c>
      <c r="E752" s="5" t="n">
        <v>28</v>
      </c>
      <c r="F752" s="5" t="inlineStr">
        <is>
          <t>retaining_wall</t>
        </is>
      </c>
      <c r="G752" s="5" t="inlineStr">
        <is>
          <t>label vote</t>
        </is>
      </c>
      <c r="H752" s="5" t="inlineStr">
        <is>
          <t>VP20</t>
        </is>
      </c>
      <c r="I752" s="5" t="inlineStr">
        <is>
          <t>printed label</t>
        </is>
      </c>
      <c r="J752" s="5" t="inlineStr">
        <is>
          <t>VP20-SF1 80x25</t>
        </is>
      </c>
      <c r="K752" s="5" t="n">
        <v>1429</v>
      </c>
      <c r="L752" s="5" t="n">
        <v>20</v>
      </c>
      <c r="M752" s="10">
        <f>IF(AND(ISNUMBER(K752),L752&gt;0),K752/L752,"")</f>
        <v/>
      </c>
      <c r="N752" s="5" t="n">
        <v>2.805</v>
      </c>
      <c r="O752" s="5" t="n">
        <v>26.7</v>
      </c>
      <c r="P752" s="5" t="n">
        <v>3</v>
      </c>
      <c r="Q752" s="5" t="n">
        <v>0</v>
      </c>
      <c r="R752" s="5" t="n">
        <v>0</v>
      </c>
      <c r="S752" s="5" t="n">
        <v>0</v>
      </c>
      <c r="T752" s="5" t="n">
        <v>1</v>
      </c>
      <c r="U752" s="5" t="n">
        <v>13</v>
      </c>
      <c r="V752" s="5" t="n">
        <v>4</v>
      </c>
      <c r="W752" s="5" t="n"/>
      <c r="X752" s="5" t="inlineStr"/>
      <c r="Y752" s="5" t="n">
        <v>1366</v>
      </c>
      <c r="Z752" s="5" t="n">
        <v>2769.1</v>
      </c>
      <c r="AA752" s="5" t="n">
        <v>1745.7</v>
      </c>
      <c r="AB752" s="5" t="n">
        <v>2963.5</v>
      </c>
      <c r="AC752" s="5" t="inlineStr"/>
      <c r="AD752" s="5">
        <f>IF(AC752="","",IF(OR(AC752=F752,AND(AC752="crane_footing",F752="isolated_footing")),"yes","no"))</f>
        <v/>
      </c>
    </row>
    <row r="753">
      <c r="A753" s="5" t="n">
        <v>752</v>
      </c>
      <c r="B753" s="5" t="inlineStr">
        <is>
          <t>128</t>
        </is>
      </c>
      <c r="C753" s="5" t="inlineStr">
        <is>
          <t>region between joints</t>
        </is>
      </c>
      <c r="D753" s="5" t="inlineStr">
        <is>
          <t>solid</t>
        </is>
      </c>
      <c r="E753" s="5" t="n">
        <v>33</v>
      </c>
      <c r="F753" s="5" t="inlineStr">
        <is>
          <t>retaining_wall</t>
        </is>
      </c>
      <c r="G753" s="5" t="inlineStr">
        <is>
          <t>label vote</t>
        </is>
      </c>
      <c r="H753" s="5" t="inlineStr">
        <is>
          <t>VP20</t>
        </is>
      </c>
      <c r="I753" s="5" t="inlineStr">
        <is>
          <t>inferred: the only retaining_wall type with this size</t>
        </is>
      </c>
      <c r="J753" s="5" t="inlineStr"/>
      <c r="K753" s="5" t="n">
        <v>930</v>
      </c>
      <c r="L753" s="5" t="n">
        <v>20</v>
      </c>
      <c r="M753" s="10">
        <f>IF(AND(ISNUMBER(K753),L753&gt;0),K753/L753,"")</f>
        <v/>
      </c>
      <c r="N753" s="5" t="n">
        <v>1.854</v>
      </c>
      <c r="O753" s="5" t="n">
        <v>141</v>
      </c>
      <c r="P753" s="5" t="n">
        <v>1</v>
      </c>
      <c r="Q753" s="5" t="n">
        <v>0</v>
      </c>
      <c r="R753" s="5" t="n">
        <v>1</v>
      </c>
      <c r="S753" s="5" t="n">
        <v>0</v>
      </c>
      <c r="T753" s="5" t="n">
        <v>0</v>
      </c>
      <c r="U753" s="5" t="n">
        <v>1</v>
      </c>
      <c r="V753" s="5" t="n">
        <v>42</v>
      </c>
      <c r="W753" s="5" t="n"/>
      <c r="X753" s="5" t="inlineStr"/>
      <c r="Y753" s="5" t="n">
        <v>911.4</v>
      </c>
      <c r="Z753" s="5" t="n">
        <v>2652.1</v>
      </c>
      <c r="AA753" s="5" t="n">
        <v>1128.5</v>
      </c>
      <c r="AB753" s="5" t="n">
        <v>2826.3</v>
      </c>
      <c r="AC753" s="5" t="inlineStr"/>
      <c r="AD753" s="5">
        <f>IF(AC753="","",IF(OR(AC753=F753,AND(AC753="crane_footing",F753="isolated_footing")),"yes","no"))</f>
        <v/>
      </c>
    </row>
    <row r="754">
      <c r="A754" s="5" t="n">
        <v>753</v>
      </c>
      <c r="B754" s="5" t="inlineStr">
        <is>
          <t>128</t>
        </is>
      </c>
      <c r="C754" s="5" t="inlineStr">
        <is>
          <t>nearest labels</t>
        </is>
      </c>
      <c r="D754" s="5" t="inlineStr">
        <is>
          <t>solid</t>
        </is>
      </c>
      <c r="E754" s="5" t="n">
        <v>28</v>
      </c>
      <c r="F754" s="5" t="inlineStr">
        <is>
          <t>retaining_wall</t>
        </is>
      </c>
      <c r="G754" s="5" t="inlineStr">
        <is>
          <t>label vote</t>
        </is>
      </c>
      <c r="H754" s="5" t="inlineStr">
        <is>
          <t>VP20</t>
        </is>
      </c>
      <c r="I754" s="5" t="inlineStr">
        <is>
          <t>inferred: the only retaining_wall type with this size</t>
        </is>
      </c>
      <c r="J754" s="5" t="inlineStr"/>
      <c r="K754" s="5" t="n">
        <v>766</v>
      </c>
      <c r="L754" s="5" t="n">
        <v>20</v>
      </c>
      <c r="M754" s="10">
        <f>IF(AND(ISNUMBER(K754),L754&gt;0),K754/L754,"")</f>
        <v/>
      </c>
      <c r="N754" s="5" t="n">
        <v>1.524</v>
      </c>
      <c r="O754" s="5" t="n">
        <v>140.9</v>
      </c>
      <c r="P754" s="5" t="n">
        <v>2</v>
      </c>
      <c r="Q754" s="5" t="n">
        <v>0</v>
      </c>
      <c r="R754" s="5" t="n">
        <v>0</v>
      </c>
      <c r="S754" s="5" t="n">
        <v>0</v>
      </c>
      <c r="T754" s="5" t="n">
        <v>0</v>
      </c>
      <c r="U754" s="5" t="n">
        <v>4</v>
      </c>
      <c r="V754" s="5" t="n">
        <v>49</v>
      </c>
      <c r="W754" s="5" t="n"/>
      <c r="X754" s="5" t="inlineStr"/>
      <c r="Y754" s="5" t="n">
        <v>1032.6</v>
      </c>
      <c r="Z754" s="5" t="n">
        <v>2446.2</v>
      </c>
      <c r="AA754" s="5" t="n">
        <v>1211.8</v>
      </c>
      <c r="AB754" s="5" t="n">
        <v>2593.4</v>
      </c>
      <c r="AC754" s="5" t="inlineStr"/>
      <c r="AD754" s="5">
        <f>IF(AC754="","",IF(OR(AC754=F754,AND(AC754="crane_footing",F754="isolated_footing")),"yes","no"))</f>
        <v/>
      </c>
    </row>
    <row r="755">
      <c r="A755" s="5" t="n">
        <v>754</v>
      </c>
      <c r="B755" s="5" t="inlineStr">
        <is>
          <t>128</t>
        </is>
      </c>
      <c r="C755" s="5" t="inlineStr">
        <is>
          <t>region between joints</t>
        </is>
      </c>
      <c r="D755" s="5" t="inlineStr">
        <is>
          <t>solid</t>
        </is>
      </c>
      <c r="E755" s="5" t="n">
        <v>28</v>
      </c>
      <c r="F755" s="5" t="inlineStr">
        <is>
          <t>retaining_wall</t>
        </is>
      </c>
      <c r="G755" s="5" t="inlineStr">
        <is>
          <t>label vote</t>
        </is>
      </c>
      <c r="H755" s="5" t="inlineStr">
        <is>
          <t>VP20</t>
        </is>
      </c>
      <c r="I755" s="5" t="inlineStr">
        <is>
          <t>printed label</t>
        </is>
      </c>
      <c r="J755" s="5" t="inlineStr">
        <is>
          <t>VP20-SF1 80x25</t>
        </is>
      </c>
      <c r="K755" s="5" t="n">
        <v>516</v>
      </c>
      <c r="L755" s="5" t="n">
        <v>20</v>
      </c>
      <c r="M755" s="10">
        <f>IF(AND(ISNUMBER(K755),L755&gt;0),K755/L755,"")</f>
        <v/>
      </c>
      <c r="N755" s="5" t="n">
        <v>1.024</v>
      </c>
      <c r="O755" s="5" t="n">
        <v>26.6</v>
      </c>
      <c r="P755" s="5" t="n">
        <v>2</v>
      </c>
      <c r="Q755" s="5" t="n">
        <v>0</v>
      </c>
      <c r="R755" s="5" t="n">
        <v>0</v>
      </c>
      <c r="S755" s="5" t="n">
        <v>0</v>
      </c>
      <c r="T755" s="5" t="n">
        <v>0</v>
      </c>
      <c r="U755" s="5" t="n">
        <v>2</v>
      </c>
      <c r="V755" s="5" t="n">
        <v>2</v>
      </c>
      <c r="W755" s="5" t="n"/>
      <c r="X755" s="5" t="inlineStr"/>
      <c r="Y755" s="5" t="n">
        <v>1122.7</v>
      </c>
      <c r="Z755" s="5" t="n">
        <v>2648</v>
      </c>
      <c r="AA755" s="5" t="n">
        <v>1261.4</v>
      </c>
      <c r="AB755" s="5" t="n">
        <v>2720.4</v>
      </c>
      <c r="AC755" s="5" t="inlineStr"/>
      <c r="AD755" s="5">
        <f>IF(AC755="","",IF(OR(AC755=F755,AND(AC755="crane_footing",F755="isolated_footing")),"yes","no"))</f>
        <v/>
      </c>
    </row>
    <row r="756">
      <c r="A756" s="5" t="n">
        <v>755</v>
      </c>
      <c r="B756" s="5" t="inlineStr">
        <is>
          <t>128</t>
        </is>
      </c>
      <c r="C756" s="5" t="inlineStr">
        <is>
          <t>region between joints</t>
        </is>
      </c>
      <c r="D756" s="5" t="inlineStr">
        <is>
          <t>solid</t>
        </is>
      </c>
      <c r="E756" s="5" t="n">
        <v>28</v>
      </c>
      <c r="F756" s="5" t="inlineStr">
        <is>
          <t>retaining_wall</t>
        </is>
      </c>
      <c r="G756" s="5" t="inlineStr">
        <is>
          <t>label vote</t>
        </is>
      </c>
      <c r="H756" s="5" t="inlineStr">
        <is>
          <t>VP20</t>
        </is>
      </c>
      <c r="I756" s="5" t="inlineStr">
        <is>
          <t>inferred: the only retaining_wall type with this size</t>
        </is>
      </c>
      <c r="J756" s="5" t="inlineStr"/>
      <c r="K756" s="5" t="n">
        <v>455</v>
      </c>
      <c r="L756" s="5" t="n">
        <v>20</v>
      </c>
      <c r="M756" s="10">
        <f>IF(AND(ISNUMBER(K756),L756&gt;0),K756/L756,"")</f>
        <v/>
      </c>
      <c r="N756" s="5" t="n">
        <v>0.913</v>
      </c>
      <c r="O756" s="5" t="n">
        <v>116.6</v>
      </c>
      <c r="P756" s="5" t="n">
        <v>2</v>
      </c>
      <c r="Q756" s="5" t="n">
        <v>0</v>
      </c>
      <c r="R756" s="5" t="n">
        <v>0</v>
      </c>
      <c r="S756" s="5" t="n">
        <v>1</v>
      </c>
      <c r="T756" s="5" t="n">
        <v>0</v>
      </c>
      <c r="U756" s="5" t="n">
        <v>5</v>
      </c>
      <c r="V756" s="5" t="n">
        <v>2</v>
      </c>
      <c r="W756" s="5" t="n"/>
      <c r="X756" s="5" t="inlineStr"/>
      <c r="Y756" s="5" t="n">
        <v>1232.2</v>
      </c>
      <c r="Z756" s="5" t="n">
        <v>2857.5</v>
      </c>
      <c r="AA756" s="5" t="n">
        <v>1297.7</v>
      </c>
      <c r="AB756" s="5" t="n">
        <v>2980.2</v>
      </c>
      <c r="AC756" s="5" t="inlineStr"/>
      <c r="AD756" s="5">
        <f>IF(AC756="","",IF(OR(AC756=F756,AND(AC756="crane_footing",F756="isolated_footing")),"yes","no"))</f>
        <v/>
      </c>
    </row>
    <row r="757">
      <c r="A757" s="5" t="n">
        <v>756</v>
      </c>
      <c r="B757" s="5" t="inlineStr">
        <is>
          <t>128</t>
        </is>
      </c>
      <c r="C757" s="5" t="inlineStr">
        <is>
          <t>region between joints</t>
        </is>
      </c>
      <c r="D757" s="5" t="inlineStr">
        <is>
          <t>solid</t>
        </is>
      </c>
      <c r="E757" s="5" t="n">
        <v>28</v>
      </c>
      <c r="F757" s="5" t="inlineStr">
        <is>
          <t>retaining_wall</t>
        </is>
      </c>
      <c r="G757" s="5" t="inlineStr">
        <is>
          <t>label vote</t>
        </is>
      </c>
      <c r="H757" s="5" t="inlineStr">
        <is>
          <t>VP20</t>
        </is>
      </c>
      <c r="I757" s="5" t="inlineStr">
        <is>
          <t>inferred: the only retaining_wall type with this size</t>
        </is>
      </c>
      <c r="J757" s="5" t="inlineStr"/>
      <c r="K757" s="5" t="n">
        <v>455</v>
      </c>
      <c r="L757" s="5" t="n">
        <v>20</v>
      </c>
      <c r="M757" s="10">
        <f>IF(AND(ISNUMBER(K757),L757&gt;0),K757/L757,"")</f>
        <v/>
      </c>
      <c r="N757" s="5" t="n">
        <v>0.909</v>
      </c>
      <c r="O757" s="5" t="n">
        <v>116.6</v>
      </c>
      <c r="P757" s="5" t="n">
        <v>2</v>
      </c>
      <c r="Q757" s="5" t="n">
        <v>0</v>
      </c>
      <c r="R757" s="5" t="n">
        <v>0</v>
      </c>
      <c r="S757" s="5" t="n">
        <v>1</v>
      </c>
      <c r="T757" s="5" t="n">
        <v>0</v>
      </c>
      <c r="U757" s="5" t="n">
        <v>0</v>
      </c>
      <c r="V757" s="5" t="n">
        <v>1</v>
      </c>
      <c r="W757" s="5" t="n"/>
      <c r="X757" s="5" t="inlineStr"/>
      <c r="Y757" s="5" t="n">
        <v>1153</v>
      </c>
      <c r="Z757" s="5" t="n">
        <v>2817.9</v>
      </c>
      <c r="AA757" s="5" t="n">
        <v>1218.5</v>
      </c>
      <c r="AB757" s="5" t="n">
        <v>2940.5</v>
      </c>
      <c r="AC757" s="5" t="inlineStr"/>
      <c r="AD757" s="5">
        <f>IF(AC757="","",IF(OR(AC757=F757,AND(AC757="crane_footing",F757="isolated_footing")),"yes","no"))</f>
        <v/>
      </c>
    </row>
    <row r="758">
      <c r="A758" s="5" t="n">
        <v>757</v>
      </c>
      <c r="B758" s="5" t="inlineStr">
        <is>
          <t>128</t>
        </is>
      </c>
      <c r="C758" s="5" t="inlineStr">
        <is>
          <t>region between joints</t>
        </is>
      </c>
      <c r="D758" s="5" t="inlineStr">
        <is>
          <t>solid</t>
        </is>
      </c>
      <c r="E758" s="5" t="n">
        <v>28</v>
      </c>
      <c r="F758" s="5" t="inlineStr">
        <is>
          <t>retaining_wall</t>
        </is>
      </c>
      <c r="G758" s="5" t="inlineStr">
        <is>
          <t>label vote</t>
        </is>
      </c>
      <c r="H758" s="5" t="inlineStr">
        <is>
          <t>VP20</t>
        </is>
      </c>
      <c r="I758" s="5" t="inlineStr">
        <is>
          <t>inferred: the only retaining_wall type with this size</t>
        </is>
      </c>
      <c r="J758" s="5" t="inlineStr"/>
      <c r="K758" s="5" t="n">
        <v>344</v>
      </c>
      <c r="L758" s="5" t="n">
        <v>20</v>
      </c>
      <c r="M758" s="10">
        <f>IF(AND(ISNUMBER(K758),L758&gt;0),K758/L758,"")</f>
        <v/>
      </c>
      <c r="N758" s="5" t="n">
        <v>0.6919999999999999</v>
      </c>
      <c r="O758" s="5" t="n">
        <v>116.6</v>
      </c>
      <c r="P758" s="5" t="n">
        <v>2</v>
      </c>
      <c r="Q758" s="5" t="n">
        <v>0</v>
      </c>
      <c r="R758" s="5" t="n">
        <v>0</v>
      </c>
      <c r="S758" s="5" t="n">
        <v>1</v>
      </c>
      <c r="T758" s="5" t="n">
        <v>0</v>
      </c>
      <c r="U758" s="5" t="n">
        <v>4</v>
      </c>
      <c r="V758" s="5" t="n">
        <v>2</v>
      </c>
      <c r="W758" s="5" t="n"/>
      <c r="X758" s="5" t="inlineStr"/>
      <c r="Y758" s="5" t="n">
        <v>1207.9</v>
      </c>
      <c r="Z758" s="5" t="n">
        <v>2717.7</v>
      </c>
      <c r="AA758" s="5" t="n">
        <v>1258.8</v>
      </c>
      <c r="AB758" s="5" t="n">
        <v>2811.2</v>
      </c>
      <c r="AC758" s="5" t="inlineStr"/>
      <c r="AD758" s="5">
        <f>IF(AC758="","",IF(OR(AC758=F758,AND(AC758="crane_footing",F758="isolated_footing")),"yes","no"))</f>
        <v/>
      </c>
    </row>
    <row r="759">
      <c r="A759" s="5" t="n">
        <v>758</v>
      </c>
      <c r="B759" s="5" t="inlineStr">
        <is>
          <t>128</t>
        </is>
      </c>
      <c r="C759" s="5" t="inlineStr">
        <is>
          <t>region between joints</t>
        </is>
      </c>
      <c r="D759" s="5" t="inlineStr">
        <is>
          <t>solid</t>
        </is>
      </c>
      <c r="E759" s="5" t="n">
        <v>28</v>
      </c>
      <c r="F759" s="5" t="inlineStr">
        <is>
          <t>retaining_wall</t>
        </is>
      </c>
      <c r="G759" s="5" t="inlineStr">
        <is>
          <t>label vote</t>
        </is>
      </c>
      <c r="H759" s="5" t="inlineStr">
        <is>
          <t>VP20</t>
        </is>
      </c>
      <c r="I759" s="5" t="inlineStr">
        <is>
          <t>inferred: the only retaining_wall type with this size</t>
        </is>
      </c>
      <c r="J759" s="5" t="inlineStr"/>
      <c r="K759" s="5" t="n">
        <v>344</v>
      </c>
      <c r="L759" s="5" t="n">
        <v>20</v>
      </c>
      <c r="M759" s="10">
        <f>IF(AND(ISNUMBER(K759),L759&gt;0),K759/L759,"")</f>
        <v/>
      </c>
      <c r="N759" s="5" t="n">
        <v>0.6909999999999999</v>
      </c>
      <c r="O759" s="5" t="n">
        <v>116.6</v>
      </c>
      <c r="P759" s="5" t="n">
        <v>2</v>
      </c>
      <c r="Q759" s="5" t="n">
        <v>0</v>
      </c>
      <c r="R759" s="5" t="n">
        <v>0</v>
      </c>
      <c r="S759" s="5" t="n">
        <v>1</v>
      </c>
      <c r="T759" s="5" t="n">
        <v>0</v>
      </c>
      <c r="U759" s="5" t="n">
        <v>4</v>
      </c>
      <c r="V759" s="5" t="n">
        <v>2</v>
      </c>
      <c r="W759" s="5" t="n"/>
      <c r="X759" s="5" t="inlineStr"/>
      <c r="Y759" s="5" t="n">
        <v>1320.4</v>
      </c>
      <c r="Z759" s="5" t="n">
        <v>2774.2</v>
      </c>
      <c r="AA759" s="5" t="n">
        <v>1371.3</v>
      </c>
      <c r="AB759" s="5" t="n">
        <v>2867.7</v>
      </c>
      <c r="AC759" s="5" t="inlineStr"/>
      <c r="AD759" s="5">
        <f>IF(AC759="","",IF(OR(AC759=F759,AND(AC759="crane_footing",F759="isolated_footing")),"yes","no"))</f>
        <v/>
      </c>
    </row>
    <row r="760">
      <c r="A760" s="5" t="n">
        <v>759</v>
      </c>
      <c r="B760" s="5" t="inlineStr">
        <is>
          <t>128</t>
        </is>
      </c>
      <c r="C760" s="5" t="inlineStr">
        <is>
          <t>region between joints</t>
        </is>
      </c>
      <c r="D760" s="5" t="inlineStr">
        <is>
          <t>solid</t>
        </is>
      </c>
      <c r="E760" s="5" t="n">
        <v>28</v>
      </c>
      <c r="F760" s="5" t="inlineStr">
        <is>
          <t>retaining_wall</t>
        </is>
      </c>
      <c r="G760" s="5" t="inlineStr">
        <is>
          <t>label vote</t>
        </is>
      </c>
      <c r="H760" s="5" t="inlineStr">
        <is>
          <t>VP20</t>
        </is>
      </c>
      <c r="I760" s="5" t="inlineStr">
        <is>
          <t>inferred: the only retaining_wall type with this size</t>
        </is>
      </c>
      <c r="J760" s="5" t="inlineStr"/>
      <c r="K760" s="5" t="n">
        <v>320</v>
      </c>
      <c r="L760" s="5" t="n">
        <v>20</v>
      </c>
      <c r="M760" s="10">
        <f>IF(AND(ISNUMBER(K760),L760&gt;0),K760/L760,"")</f>
        <v/>
      </c>
      <c r="N760" s="5" t="n">
        <v>0.638</v>
      </c>
      <c r="O760" s="5" t="n">
        <v>26.6</v>
      </c>
      <c r="P760" s="5" t="n">
        <v>2</v>
      </c>
      <c r="Q760" s="5" t="n">
        <v>0</v>
      </c>
      <c r="R760" s="5" t="n">
        <v>0</v>
      </c>
      <c r="S760" s="5" t="n">
        <v>1</v>
      </c>
      <c r="T760" s="5" t="n">
        <v>0</v>
      </c>
      <c r="U760" s="5" t="n">
        <v>5</v>
      </c>
      <c r="V760" s="5" t="n">
        <v>3</v>
      </c>
      <c r="W760" s="5" t="n"/>
      <c r="X760" s="5" t="inlineStr"/>
      <c r="Y760" s="5" t="n">
        <v>1150.4</v>
      </c>
      <c r="Z760" s="5" t="n">
        <v>2937.9</v>
      </c>
      <c r="AA760" s="5" t="n">
        <v>1237.5</v>
      </c>
      <c r="AB760" s="5" t="n">
        <v>2985.5</v>
      </c>
      <c r="AC760" s="5" t="inlineStr"/>
      <c r="AD760" s="5">
        <f>IF(AC760="","",IF(OR(AC760=F760,AND(AC760="crane_footing",F760="isolated_footing")),"yes","no"))</f>
        <v/>
      </c>
    </row>
    <row r="761">
      <c r="A761" s="5" t="n">
        <v>760</v>
      </c>
      <c r="B761" s="5" t="inlineStr">
        <is>
          <t>128</t>
        </is>
      </c>
      <c r="C761" s="5" t="inlineStr">
        <is>
          <t>region between joints</t>
        </is>
      </c>
      <c r="D761" s="5" t="inlineStr">
        <is>
          <t>outline</t>
        </is>
      </c>
      <c r="E761" s="5" t="n">
        <v>18</v>
      </c>
      <c r="F761" s="5" t="inlineStr">
        <is>
          <t>isolated_footing</t>
        </is>
      </c>
      <c r="G761" s="5" t="inlineStr">
        <is>
          <t>label vote</t>
        </is>
      </c>
      <c r="H761" s="5" t="inlineStr">
        <is>
          <t>(none)</t>
        </is>
      </c>
      <c r="I761" s="5" t="inlineStr">
        <is>
          <t>no isolated_footing type has this size</t>
        </is>
      </c>
      <c r="J761" s="5" t="inlineStr"/>
      <c r="K761" s="5" t="n">
        <v>290</v>
      </c>
      <c r="L761" s="5" t="n">
        <v>240</v>
      </c>
      <c r="M761" s="10">
        <f>IF(AND(ISNUMBER(K761),L761&gt;0),K761/L761,"")</f>
        <v/>
      </c>
      <c r="N761" s="5" t="n">
        <v>6.961</v>
      </c>
      <c r="O761" s="5" t="n">
        <v>26.7</v>
      </c>
      <c r="P761" s="5" t="n">
        <v>1</v>
      </c>
      <c r="Q761" s="5" t="n">
        <v>1</v>
      </c>
      <c r="R761" s="5" t="n">
        <v>0</v>
      </c>
      <c r="S761" s="5" t="n">
        <v>0</v>
      </c>
      <c r="T761" s="5" t="n">
        <v>0</v>
      </c>
      <c r="U761" s="5" t="n">
        <v>13</v>
      </c>
      <c r="V761" s="5" t="n">
        <v>0</v>
      </c>
      <c r="W761" s="5" t="n"/>
      <c r="X761" s="5" t="inlineStr"/>
      <c r="Y761" s="5" t="n">
        <v>1443.6</v>
      </c>
      <c r="Z761" s="5" t="n">
        <v>2758.1</v>
      </c>
      <c r="AA761" s="5" t="n">
        <v>1551.9</v>
      </c>
      <c r="AB761" s="5" t="n">
        <v>2859.9</v>
      </c>
      <c r="AC761" s="5" t="inlineStr"/>
      <c r="AD761" s="5">
        <f>IF(AC761="","",IF(OR(AC761=F761,AND(AC761="crane_footing",F761="isolated_footing")),"yes","no"))</f>
        <v/>
      </c>
    </row>
    <row r="762">
      <c r="A762" s="5" t="n">
        <v>761</v>
      </c>
      <c r="B762" s="5" t="inlineStr">
        <is>
          <t>128</t>
        </is>
      </c>
      <c r="C762" s="5" t="inlineStr">
        <is>
          <t>region between joints</t>
        </is>
      </c>
      <c r="D762" s="5" t="inlineStr">
        <is>
          <t>outline</t>
        </is>
      </c>
      <c r="E762" s="5" t="n">
        <v>18</v>
      </c>
      <c r="F762" s="5" t="inlineStr">
        <is>
          <t>isolated_footing</t>
        </is>
      </c>
      <c r="G762" s="5" t="inlineStr">
        <is>
          <t>label vote</t>
        </is>
      </c>
      <c r="H762" s="5" t="inlineStr">
        <is>
          <t>(none)</t>
        </is>
      </c>
      <c r="I762" s="5" t="inlineStr">
        <is>
          <t>no isolated_footing type has this size</t>
        </is>
      </c>
      <c r="J762" s="5" t="inlineStr"/>
      <c r="K762" s="5" t="n">
        <v>240</v>
      </c>
      <c r="L762" s="5" t="n">
        <v>190</v>
      </c>
      <c r="M762" s="10">
        <f>IF(AND(ISNUMBER(K762),L762&gt;0),K762/L762,"")</f>
        <v/>
      </c>
      <c r="N762" s="5" t="n">
        <v>4.561</v>
      </c>
      <c r="O762" s="5" t="n">
        <v>26.7</v>
      </c>
      <c r="P762" s="5" t="n">
        <v>1</v>
      </c>
      <c r="Q762" s="5" t="n">
        <v>1</v>
      </c>
      <c r="R762" s="5" t="n">
        <v>0</v>
      </c>
      <c r="S762" s="5" t="n">
        <v>0</v>
      </c>
      <c r="T762" s="5" t="n">
        <v>0</v>
      </c>
      <c r="U762" s="5" t="n">
        <v>9</v>
      </c>
      <c r="V762" s="5" t="n">
        <v>0</v>
      </c>
      <c r="W762" s="5" t="n"/>
      <c r="X762" s="5" t="inlineStr"/>
      <c r="Y762" s="5" t="n">
        <v>1453.5</v>
      </c>
      <c r="Z762" s="5" t="n">
        <v>2768</v>
      </c>
      <c r="AA762" s="5" t="n">
        <v>1542</v>
      </c>
      <c r="AB762" s="5" t="n">
        <v>2849.9</v>
      </c>
      <c r="AC762" s="5" t="inlineStr"/>
      <c r="AD762" s="5">
        <f>IF(AC762="","",IF(OR(AC762=F762,AND(AC762="crane_footing",F762="isolated_footing")),"yes","no"))</f>
        <v/>
      </c>
    </row>
    <row r="763">
      <c r="A763" s="5" t="n">
        <v>762</v>
      </c>
      <c r="B763" s="5" t="inlineStr">
        <is>
          <t>128</t>
        </is>
      </c>
      <c r="C763" s="5" t="inlineStr">
        <is>
          <t>own label</t>
        </is>
      </c>
      <c r="D763" s="5" t="inlineStr">
        <is>
          <t>outline</t>
        </is>
      </c>
      <c r="E763" s="5" t="n">
        <v>16</v>
      </c>
      <c r="F763" s="5" t="inlineStr">
        <is>
          <t>isolated_footing</t>
        </is>
      </c>
      <c r="G763" s="5" t="inlineStr">
        <is>
          <t>label vote</t>
        </is>
      </c>
      <c r="H763" s="5" t="inlineStr">
        <is>
          <t>S11</t>
        </is>
      </c>
      <c r="I763" s="5" t="inlineStr">
        <is>
          <t>printed label</t>
        </is>
      </c>
      <c r="J763" s="5" t="inlineStr">
        <is>
          <t>S11-128</t>
        </is>
      </c>
      <c r="K763" s="5" t="n">
        <v>500</v>
      </c>
      <c r="L763" s="5" t="n">
        <v>400</v>
      </c>
      <c r="M763" s="10">
        <f>IF(AND(ISNUMBER(K763),L763&gt;0),K763/L763,"")</f>
        <v/>
      </c>
      <c r="N763" s="5" t="n">
        <v>20.001</v>
      </c>
      <c r="O763" s="5" t="n">
        <v>26.6</v>
      </c>
      <c r="P763" s="5" t="n">
        <v>2</v>
      </c>
      <c r="Q763" s="5" t="n">
        <v>0</v>
      </c>
      <c r="R763" s="5" t="n">
        <v>0</v>
      </c>
      <c r="S763" s="5" t="n">
        <v>0</v>
      </c>
      <c r="T763" s="5" t="n">
        <v>1</v>
      </c>
      <c r="U763" s="5" t="n">
        <v>49</v>
      </c>
      <c r="V763" s="5" t="n">
        <v>1</v>
      </c>
      <c r="W763" s="5" t="n"/>
      <c r="X763" s="5" t="inlineStr"/>
      <c r="Y763" s="5" t="n">
        <v>1507</v>
      </c>
      <c r="Z763" s="5" t="n">
        <v>2800.6</v>
      </c>
      <c r="AA763" s="5" t="n">
        <v>1691.9</v>
      </c>
      <c r="AB763" s="5" t="n">
        <v>2972.4</v>
      </c>
      <c r="AC763" s="5" t="inlineStr">
        <is>
          <t>isolated_footing</t>
        </is>
      </c>
      <c r="AD763" s="5">
        <f>IF(AC763="","",IF(OR(AC763=F763,AND(AC763="crane_footing",F763="isolated_footing")),"yes","no"))</f>
        <v/>
      </c>
    </row>
    <row r="764">
      <c r="A764" s="5" t="n">
        <v>763</v>
      </c>
      <c r="B764" s="5" t="inlineStr">
        <is>
          <t>128</t>
        </is>
      </c>
      <c r="C764" s="5" t="inlineStr">
        <is>
          <t>own label</t>
        </is>
      </c>
      <c r="D764" s="5" t="inlineStr">
        <is>
          <t>outline</t>
        </is>
      </c>
      <c r="E764" s="5" t="n">
        <v>17</v>
      </c>
      <c r="F764" s="5" t="inlineStr">
        <is>
          <t>isolated_footing</t>
        </is>
      </c>
      <c r="G764" s="5" t="inlineStr">
        <is>
          <t>label vote</t>
        </is>
      </c>
      <c r="H764" s="5" t="inlineStr">
        <is>
          <t>S2</t>
        </is>
      </c>
      <c r="I764" s="5" t="inlineStr">
        <is>
          <t>printed label</t>
        </is>
      </c>
      <c r="J764" s="5" t="inlineStr">
        <is>
          <t>S2-128128</t>
        </is>
      </c>
      <c r="K764" s="5" t="n">
        <v>350</v>
      </c>
      <c r="L764" s="5" t="n">
        <v>200</v>
      </c>
      <c r="M764" s="10">
        <f>IF(AND(ISNUMBER(K764),L764&gt;0),K764/L764,"")</f>
        <v/>
      </c>
      <c r="N764" s="5" t="n">
        <v>7.001</v>
      </c>
      <c r="O764" s="5" t="n">
        <v>116.6</v>
      </c>
      <c r="P764" s="5" t="n">
        <v>1</v>
      </c>
      <c r="Q764" s="5" t="n">
        <v>0</v>
      </c>
      <c r="R764" s="5" t="n">
        <v>0</v>
      </c>
      <c r="S764" s="5" t="n">
        <v>0</v>
      </c>
      <c r="T764" s="5" t="n">
        <v>1</v>
      </c>
      <c r="U764" s="5" t="n">
        <v>34</v>
      </c>
      <c r="V764" s="5" t="n">
        <v>4</v>
      </c>
      <c r="W764" s="5" t="n"/>
      <c r="X764" s="5" t="inlineStr"/>
      <c r="Y764" s="5" t="n">
        <v>1700.6</v>
      </c>
      <c r="Z764" s="5" t="n">
        <v>2370.5</v>
      </c>
      <c r="AA764" s="5" t="n">
        <v>1799.8</v>
      </c>
      <c r="AB764" s="5" t="n">
        <v>2489.4</v>
      </c>
      <c r="AC764" s="5" t="inlineStr">
        <is>
          <t>isolated_footing</t>
        </is>
      </c>
      <c r="AD764" s="5">
        <f>IF(AC764="","",IF(OR(AC764=F764,AND(AC764="crane_footing",F764="isolated_footing")),"yes","no"))</f>
        <v/>
      </c>
    </row>
    <row r="765">
      <c r="A765" s="5" t="n">
        <v>764</v>
      </c>
      <c r="B765" s="5" t="inlineStr">
        <is>
          <t>128</t>
        </is>
      </c>
      <c r="C765" s="5" t="inlineStr">
        <is>
          <t>own label</t>
        </is>
      </c>
      <c r="D765" s="5" t="inlineStr">
        <is>
          <t>outline</t>
        </is>
      </c>
      <c r="E765" s="5" t="n">
        <v>16</v>
      </c>
      <c r="F765" s="5" t="inlineStr">
        <is>
          <t>isolated_footing</t>
        </is>
      </c>
      <c r="G765" s="5" t="inlineStr">
        <is>
          <t>label vote</t>
        </is>
      </c>
      <c r="H765" s="5" t="inlineStr">
        <is>
          <t>S5</t>
        </is>
      </c>
      <c r="I765" s="5" t="inlineStr">
        <is>
          <t>printed label</t>
        </is>
      </c>
      <c r="J765" s="5" t="inlineStr">
        <is>
          <t>S5-128</t>
        </is>
      </c>
      <c r="K765" s="5" t="n">
        <v>450</v>
      </c>
      <c r="L765" s="5" t="n">
        <v>400</v>
      </c>
      <c r="M765" s="10">
        <f>IF(AND(ISNUMBER(K765),L765&gt;0),K765/L765,"")</f>
        <v/>
      </c>
      <c r="N765" s="5" t="n">
        <v>18.004</v>
      </c>
      <c r="O765" s="5" t="n">
        <v>26.6</v>
      </c>
      <c r="P765" s="5" t="n">
        <v>3</v>
      </c>
      <c r="Q765" s="5" t="n">
        <v>0</v>
      </c>
      <c r="R765" s="5" t="n">
        <v>0</v>
      </c>
      <c r="S765" s="5" t="n">
        <v>0</v>
      </c>
      <c r="T765" s="5" t="n">
        <v>1</v>
      </c>
      <c r="U765" s="5" t="n">
        <v>7</v>
      </c>
      <c r="V765" s="5" t="n">
        <v>12</v>
      </c>
      <c r="W765" s="5" t="n"/>
      <c r="X765" s="5" t="inlineStr"/>
      <c r="Y765" s="5" t="n">
        <v>883.5</v>
      </c>
      <c r="Z765" s="5" t="n">
        <v>2762.2</v>
      </c>
      <c r="AA765" s="5" t="n">
        <v>1055.2</v>
      </c>
      <c r="AB765" s="5" t="n">
        <v>2927.3</v>
      </c>
      <c r="AC765" s="5" t="inlineStr">
        <is>
          <t>isolated_footing</t>
        </is>
      </c>
      <c r="AD765" s="5">
        <f>IF(AC765="","",IF(OR(AC765=F765,AND(AC765="crane_footing",F765="isolated_footing")),"yes","no"))</f>
        <v/>
      </c>
    </row>
    <row r="766">
      <c r="A766" s="5" t="n">
        <v>765</v>
      </c>
      <c r="B766" s="5" t="inlineStr">
        <is>
          <t>128</t>
        </is>
      </c>
      <c r="C766" s="5" t="inlineStr">
        <is>
          <t>nearest labels</t>
        </is>
      </c>
      <c r="D766" s="5" t="inlineStr">
        <is>
          <t>outline</t>
        </is>
      </c>
      <c r="E766" s="5" t="n">
        <v>15</v>
      </c>
      <c r="F766" s="5" t="inlineStr">
        <is>
          <t>combined_footing</t>
        </is>
      </c>
      <c r="G766" s="5" t="inlineStr">
        <is>
          <t>label vote</t>
        </is>
      </c>
      <c r="H766" s="5" t="inlineStr">
        <is>
          <t>SC1</t>
        </is>
      </c>
      <c r="I766" s="5" t="inlineStr">
        <is>
          <t>printed label</t>
        </is>
      </c>
      <c r="J766" s="5" t="inlineStr">
        <is>
          <t>SC1-</t>
        </is>
      </c>
      <c r="K766" s="5" t="n">
        <v>500</v>
      </c>
      <c r="L766" s="5" t="n">
        <v>350</v>
      </c>
      <c r="M766" s="10">
        <f>IF(AND(ISNUMBER(K766),L766&gt;0),K766/L766,"")</f>
        <v/>
      </c>
      <c r="N766" s="5" t="n">
        <v>17.503</v>
      </c>
      <c r="O766" s="5" t="n">
        <v>116.6</v>
      </c>
      <c r="P766" s="5" t="n">
        <v>4</v>
      </c>
      <c r="Q766" s="5" t="n">
        <v>0</v>
      </c>
      <c r="R766" s="5" t="n">
        <v>0</v>
      </c>
      <c r="S766" s="5" t="n">
        <v>0</v>
      </c>
      <c r="T766" s="5" t="n">
        <v>2</v>
      </c>
      <c r="U766" s="5" t="n">
        <v>16</v>
      </c>
      <c r="V766" s="5" t="n">
        <v>2</v>
      </c>
      <c r="W766" s="5" t="n"/>
      <c r="X766" s="5" t="inlineStr"/>
      <c r="Y766" s="5" t="n">
        <v>1663.6</v>
      </c>
      <c r="Z766" s="5" t="n">
        <v>2874.6</v>
      </c>
      <c r="AA766" s="5" t="n">
        <v>1822.2</v>
      </c>
      <c r="AB766" s="5" t="n">
        <v>3052.9</v>
      </c>
      <c r="AC766" s="5" t="inlineStr">
        <is>
          <t>combined_footing</t>
        </is>
      </c>
      <c r="AD766" s="5">
        <f>IF(AC766="","",IF(OR(AC766=F766,AND(AC766="crane_footing",F766="isolated_footing")),"yes","no"))</f>
        <v/>
      </c>
    </row>
    <row r="767">
      <c r="A767" s="5" t="n">
        <v>766</v>
      </c>
      <c r="B767" s="5" t="inlineStr">
        <is>
          <t>128</t>
        </is>
      </c>
      <c r="C767" s="5" t="inlineStr">
        <is>
          <t>nearest labels</t>
        </is>
      </c>
      <c r="D767" s="5" t="inlineStr">
        <is>
          <t>outline</t>
        </is>
      </c>
      <c r="E767" s="5" t="n">
        <v>15</v>
      </c>
      <c r="F767" s="5" t="inlineStr">
        <is>
          <t>combined_footing</t>
        </is>
      </c>
      <c r="G767" s="5" t="inlineStr">
        <is>
          <t>label vote</t>
        </is>
      </c>
      <c r="H767" s="5" t="inlineStr">
        <is>
          <t>SC3</t>
        </is>
      </c>
      <c r="I767" s="5" t="inlineStr">
        <is>
          <t>printed label</t>
        </is>
      </c>
      <c r="J767" s="5" t="inlineStr">
        <is>
          <t>SC3</t>
        </is>
      </c>
      <c r="K767" s="5" t="n">
        <v>500</v>
      </c>
      <c r="L767" s="5" t="n">
        <v>450</v>
      </c>
      <c r="M767" s="10">
        <f>IF(AND(ISNUMBER(K767),L767&gt;0),K767/L767,"")</f>
        <v/>
      </c>
      <c r="N767" s="5" t="n">
        <v>22.496</v>
      </c>
      <c r="O767" s="5" t="n">
        <v>140.9</v>
      </c>
      <c r="P767" s="5" t="n">
        <v>6</v>
      </c>
      <c r="Q767" s="5" t="n">
        <v>0</v>
      </c>
      <c r="R767" s="5" t="n">
        <v>0</v>
      </c>
      <c r="S767" s="5" t="n">
        <v>0</v>
      </c>
      <c r="T767" s="5" t="n">
        <v>2</v>
      </c>
      <c r="U767" s="5" t="n">
        <v>86</v>
      </c>
      <c r="V767" s="5" t="n">
        <v>66</v>
      </c>
      <c r="W767" s="5" t="n"/>
      <c r="X767" s="5" t="inlineStr"/>
      <c r="Y767" s="5" t="n">
        <v>933.2</v>
      </c>
      <c r="Z767" s="5" t="n">
        <v>2489.5</v>
      </c>
      <c r="AA767" s="5" t="n">
        <v>1131.6</v>
      </c>
      <c r="AB767" s="5" t="n">
        <v>2685.7</v>
      </c>
      <c r="AC767" s="5" t="inlineStr">
        <is>
          <t>combined_footing</t>
        </is>
      </c>
      <c r="AD767" s="5">
        <f>IF(AC767="","",IF(OR(AC767=F767,AND(AC767="crane_footing",F767="isolated_footing")),"yes","no"))</f>
        <v/>
      </c>
    </row>
    <row r="768">
      <c r="A768" s="5" t="n">
        <v>767</v>
      </c>
      <c r="B768" s="5" t="inlineStr">
        <is>
          <t>128</t>
        </is>
      </c>
      <c r="C768" s="5" t="inlineStr">
        <is>
          <t>region between joints</t>
        </is>
      </c>
      <c r="D768" s="5" t="inlineStr">
        <is>
          <t>band</t>
        </is>
      </c>
      <c r="E768" s="5" t="n">
        <v>6</v>
      </c>
      <c r="F768" s="5" t="inlineStr">
        <is>
          <t>strip_footing</t>
        </is>
      </c>
      <c r="G768" s="5" t="inlineStr">
        <is>
          <t>label vote</t>
        </is>
      </c>
      <c r="H768" s="5" t="inlineStr">
        <is>
          <t>(none)</t>
        </is>
      </c>
      <c r="I768" s="5" t="inlineStr"/>
      <c r="J768" s="5" t="inlineStr"/>
      <c r="K768" s="5" t="n">
        <v>104</v>
      </c>
      <c r="L768" s="5" t="n">
        <v>80</v>
      </c>
      <c r="M768" s="10">
        <f>IF(AND(ISNUMBER(K768),L768&gt;0),K768/L768,"")</f>
        <v/>
      </c>
      <c r="N768" s="5" t="n">
        <v>0.833</v>
      </c>
      <c r="O768" s="5" t="n">
        <v>26.6</v>
      </c>
      <c r="P768" s="5" t="n">
        <v>1</v>
      </c>
      <c r="Q768" s="5" t="n">
        <v>0</v>
      </c>
      <c r="R768" s="5" t="n">
        <v>0</v>
      </c>
      <c r="S768" s="5" t="n">
        <v>0</v>
      </c>
      <c r="T768" s="5" t="n">
        <v>0</v>
      </c>
      <c r="U768" s="5" t="n">
        <v>1</v>
      </c>
      <c r="V768" s="5" t="n">
        <v>1</v>
      </c>
      <c r="W768" s="5" t="n">
        <v>1.04</v>
      </c>
      <c r="X768" s="5" t="inlineStr"/>
      <c r="Y768" s="5" t="n">
        <v>1415.5</v>
      </c>
      <c r="Z768" s="5" t="n">
        <v>2787.8</v>
      </c>
      <c r="AA768" s="5" t="n">
        <v>1453.6</v>
      </c>
      <c r="AB768" s="5" t="n">
        <v>2822.7</v>
      </c>
      <c r="AC768" s="5" t="inlineStr"/>
      <c r="AD768" s="5">
        <f>IF(AC768="","",IF(OR(AC768=F768,AND(AC768="crane_footing",F768="isolated_footing")),"yes","no"))</f>
        <v/>
      </c>
    </row>
    <row r="769">
      <c r="A769" s="5" t="n">
        <v>768</v>
      </c>
      <c r="B769" s="5" t="inlineStr">
        <is>
          <t>128</t>
        </is>
      </c>
      <c r="C769" s="5" t="inlineStr">
        <is>
          <t>region between joints</t>
        </is>
      </c>
      <c r="D769" s="5" t="inlineStr">
        <is>
          <t>band</t>
        </is>
      </c>
      <c r="E769" s="5" t="n">
        <v>6</v>
      </c>
      <c r="F769" s="5" t="inlineStr">
        <is>
          <t>strip_footing</t>
        </is>
      </c>
      <c r="G769" s="5" t="inlineStr">
        <is>
          <t>label vote</t>
        </is>
      </c>
      <c r="H769" s="5" t="inlineStr">
        <is>
          <t>SF1</t>
        </is>
      </c>
      <c r="I769" s="5" t="inlineStr">
        <is>
          <t>printed label</t>
        </is>
      </c>
      <c r="J769" s="5" t="inlineStr">
        <is>
          <t>SF1 80x25</t>
        </is>
      </c>
      <c r="K769" s="5" t="n">
        <v>1481</v>
      </c>
      <c r="L769" s="5" t="n">
        <v>80</v>
      </c>
      <c r="M769" s="10">
        <f>IF(AND(ISNUMBER(K769),L769&gt;0),K769/L769,"")</f>
        <v/>
      </c>
      <c r="N769" s="5" t="n">
        <v>11.846</v>
      </c>
      <c r="O769" s="5" t="n">
        <v>141</v>
      </c>
      <c r="P769" s="5" t="n">
        <v>2</v>
      </c>
      <c r="Q769" s="5" t="n">
        <v>0</v>
      </c>
      <c r="R769" s="5" t="n">
        <v>0</v>
      </c>
      <c r="S769" s="5" t="n">
        <v>0</v>
      </c>
      <c r="T769" s="5" t="n">
        <v>1</v>
      </c>
      <c r="U769" s="5" t="n">
        <v>3</v>
      </c>
      <c r="V769" s="5" t="n">
        <v>88</v>
      </c>
      <c r="W769" s="5" t="n">
        <v>14.81</v>
      </c>
      <c r="X769" s="5" t="inlineStr"/>
      <c r="Y769" s="5" t="n">
        <v>967.4</v>
      </c>
      <c r="Z769" s="5" t="n">
        <v>2491.2</v>
      </c>
      <c r="AA769" s="5" t="n">
        <v>1321.9</v>
      </c>
      <c r="AB769" s="5" t="n">
        <v>2784.9</v>
      </c>
      <c r="AC769" s="5" t="inlineStr"/>
      <c r="AD769" s="5">
        <f>IF(AC769="","",IF(OR(AC769=F769,AND(AC769="crane_footing",F769="isolated_footing")),"yes","no"))</f>
        <v/>
      </c>
    </row>
    <row r="770">
      <c r="A770" s="5" t="n">
        <v>769</v>
      </c>
      <c r="B770" s="5" t="inlineStr">
        <is>
          <t>128</t>
        </is>
      </c>
      <c r="C770" s="5" t="inlineStr">
        <is>
          <t>region between joints</t>
        </is>
      </c>
      <c r="D770" s="5" t="inlineStr">
        <is>
          <t>band</t>
        </is>
      </c>
      <c r="E770" s="5" t="n">
        <v>2</v>
      </c>
      <c r="F770" s="5" t="inlineStr">
        <is>
          <t>grade_beam</t>
        </is>
      </c>
      <c r="G770" s="5" t="inlineStr">
        <is>
          <t>label vote</t>
        </is>
      </c>
      <c r="H770" s="5" t="inlineStr">
        <is>
          <t>LG25x40</t>
        </is>
      </c>
      <c r="I770" s="5" t="inlineStr">
        <is>
          <t>printed label</t>
        </is>
      </c>
      <c r="J770" s="5" t="inlineStr">
        <is>
          <t>LG 25X40</t>
        </is>
      </c>
      <c r="K770" s="5" t="n">
        <v>431</v>
      </c>
      <c r="L770" s="5" t="n">
        <v>26</v>
      </c>
      <c r="M770" s="10">
        <f>IF(AND(ISNUMBER(K770),L770&gt;0),K770/L770,"")</f>
        <v/>
      </c>
      <c r="N770" s="5" t="n">
        <v>1.121</v>
      </c>
      <c r="O770" s="5" t="n">
        <v>116.7</v>
      </c>
      <c r="P770" s="5" t="n">
        <v>2</v>
      </c>
      <c r="Q770" s="5" t="n">
        <v>0</v>
      </c>
      <c r="R770" s="5" t="n">
        <v>0</v>
      </c>
      <c r="S770" s="5" t="n">
        <v>0</v>
      </c>
      <c r="T770" s="5" t="n">
        <v>0</v>
      </c>
      <c r="U770" s="5" t="n">
        <v>0</v>
      </c>
      <c r="V770" s="5" t="n">
        <v>7</v>
      </c>
      <c r="W770" s="5" t="n">
        <v>2.43</v>
      </c>
      <c r="X770" s="5" t="inlineStr"/>
      <c r="Y770" s="5" t="n">
        <v>977.3</v>
      </c>
      <c r="Z770" s="5" t="n">
        <v>2731.1</v>
      </c>
      <c r="AA770" s="5" t="n">
        <v>1041.3</v>
      </c>
      <c r="AB770" s="5" t="n">
        <v>2848.3</v>
      </c>
      <c r="AC770" s="5" t="inlineStr"/>
      <c r="AD770" s="5">
        <f>IF(AC770="","",IF(OR(AC770=F770,AND(AC770="crane_footing",F770="isolated_footing")),"yes","no"))</f>
        <v/>
      </c>
    </row>
    <row r="771">
      <c r="A771" s="5" t="n">
        <v>770</v>
      </c>
      <c r="B771" s="5" t="inlineStr">
        <is>
          <t>128</t>
        </is>
      </c>
      <c r="C771" s="5" t="inlineStr">
        <is>
          <t>region between joints</t>
        </is>
      </c>
      <c r="D771" s="5" t="inlineStr">
        <is>
          <t>band</t>
        </is>
      </c>
      <c r="E771" s="5" t="n">
        <v>2</v>
      </c>
      <c r="F771" s="5" t="inlineStr">
        <is>
          <t>grade_beam</t>
        </is>
      </c>
      <c r="G771" s="5" t="inlineStr">
        <is>
          <t>label vote</t>
        </is>
      </c>
      <c r="H771" s="5" t="inlineStr">
        <is>
          <t>LG25x40</t>
        </is>
      </c>
      <c r="I771" s="5" t="inlineStr">
        <is>
          <t>printed label</t>
        </is>
      </c>
      <c r="J771" s="5" t="inlineStr">
        <is>
          <t>LG 25x40</t>
        </is>
      </c>
      <c r="K771" s="5" t="n">
        <v>334</v>
      </c>
      <c r="L771" s="5" t="n">
        <v>26</v>
      </c>
      <c r="M771" s="10">
        <f>IF(AND(ISNUMBER(K771),L771&gt;0),K771/L771,"")</f>
        <v/>
      </c>
      <c r="N771" s="5" t="n">
        <v>0.87</v>
      </c>
      <c r="O771" s="5" t="n">
        <v>51</v>
      </c>
      <c r="P771" s="5" t="n">
        <v>1</v>
      </c>
      <c r="Q771" s="5" t="n">
        <v>1</v>
      </c>
      <c r="R771" s="5" t="n">
        <v>0</v>
      </c>
      <c r="S771" s="5" t="n">
        <v>0</v>
      </c>
      <c r="T771" s="5" t="n">
        <v>0</v>
      </c>
      <c r="U771" s="5" t="n">
        <v>4</v>
      </c>
      <c r="V771" s="5" t="n">
        <v>12</v>
      </c>
      <c r="W771" s="5" t="n">
        <v>1.44</v>
      </c>
      <c r="X771" s="5" t="inlineStr"/>
      <c r="Y771" s="5" t="n">
        <v>1235.6</v>
      </c>
      <c r="Z771" s="5" t="n">
        <v>2428.6</v>
      </c>
      <c r="AA771" s="5" t="n">
        <v>1303.7</v>
      </c>
      <c r="AB771" s="5" t="n">
        <v>2510.2</v>
      </c>
      <c r="AC771" s="5" t="inlineStr"/>
      <c r="AD771" s="5">
        <f>IF(AC771="","",IF(OR(AC771=F771,AND(AC771="crane_footing",F771="isolated_footing")),"yes","no"))</f>
        <v/>
      </c>
    </row>
    <row r="772">
      <c r="A772" s="5" t="n">
        <v>771</v>
      </c>
      <c r="B772" s="5" t="inlineStr">
        <is>
          <t>128</t>
        </is>
      </c>
      <c r="C772" s="5" t="inlineStr">
        <is>
          <t>region between joints</t>
        </is>
      </c>
      <c r="D772" s="5" t="inlineStr">
        <is>
          <t>band</t>
        </is>
      </c>
      <c r="E772" s="5" t="n">
        <v>4</v>
      </c>
      <c r="F772" s="5" t="inlineStr">
        <is>
          <t>grade_beam</t>
        </is>
      </c>
      <c r="G772" s="5" t="inlineStr">
        <is>
          <t>label vote</t>
        </is>
      </c>
      <c r="H772" s="5" t="inlineStr">
        <is>
          <t>LG40x15</t>
        </is>
      </c>
      <c r="I772" s="5" t="inlineStr">
        <is>
          <t>printed label</t>
        </is>
      </c>
      <c r="J772" s="5" t="inlineStr">
        <is>
          <t>LG-40x15</t>
        </is>
      </c>
      <c r="K772" s="5" t="n">
        <v>2048</v>
      </c>
      <c r="L772" s="5" t="n">
        <v>41</v>
      </c>
      <c r="M772" s="10">
        <f>IF(AND(ISNUMBER(K772),L772&gt;0),K772/L772,"")</f>
        <v/>
      </c>
      <c r="N772" s="5" t="n">
        <v>8.396000000000001</v>
      </c>
      <c r="O772" s="5" t="n">
        <v>116.6</v>
      </c>
      <c r="P772" s="5" t="n">
        <v>5</v>
      </c>
      <c r="Q772" s="5" t="n">
        <v>0</v>
      </c>
      <c r="R772" s="5" t="n">
        <v>0</v>
      </c>
      <c r="S772" s="5" t="n">
        <v>0</v>
      </c>
      <c r="T772" s="5" t="n">
        <v>2</v>
      </c>
      <c r="U772" s="5" t="n">
        <v>11</v>
      </c>
      <c r="V772" s="5" t="n">
        <v>7</v>
      </c>
      <c r="W772" s="5" t="n">
        <v>14.69</v>
      </c>
      <c r="X772" s="5" t="inlineStr"/>
      <c r="Y772" s="5" t="n">
        <v>1735</v>
      </c>
      <c r="Z772" s="5" t="n">
        <v>2412.4</v>
      </c>
      <c r="AA772" s="5" t="n">
        <v>2016.9</v>
      </c>
      <c r="AB772" s="5" t="n">
        <v>2958.3</v>
      </c>
      <c r="AC772" s="5" t="inlineStr"/>
      <c r="AD772" s="5">
        <f>IF(AC772="","",IF(OR(AC772=F772,AND(AC772="crane_footing",F772="isolated_footing")),"yes","no"))</f>
        <v/>
      </c>
    </row>
    <row r="773">
      <c r="A773" s="5" t="n">
        <v>772</v>
      </c>
      <c r="B773" s="5" t="inlineStr">
        <is>
          <t>128</t>
        </is>
      </c>
      <c r="C773" s="5" t="inlineStr">
        <is>
          <t>region between joints</t>
        </is>
      </c>
      <c r="D773" s="5" t="inlineStr">
        <is>
          <t>band</t>
        </is>
      </c>
      <c r="E773" s="5" t="n">
        <v>4</v>
      </c>
      <c r="F773" s="5" t="inlineStr">
        <is>
          <t>grade_beam</t>
        </is>
      </c>
      <c r="G773" s="5" t="inlineStr">
        <is>
          <t>label vote</t>
        </is>
      </c>
      <c r="H773" s="5" t="inlineStr">
        <is>
          <t>LG40x15</t>
        </is>
      </c>
      <c r="I773" s="5" t="inlineStr">
        <is>
          <t>printed label</t>
        </is>
      </c>
      <c r="J773" s="5" t="inlineStr">
        <is>
          <t>LG-40x15</t>
        </is>
      </c>
      <c r="K773" s="5" t="n">
        <v>1935</v>
      </c>
      <c r="L773" s="5" t="n">
        <v>41</v>
      </c>
      <c r="M773" s="10">
        <f>IF(AND(ISNUMBER(K773),L773&gt;0),K773/L773,"")</f>
        <v/>
      </c>
      <c r="N773" s="5" t="n">
        <v>7.932</v>
      </c>
      <c r="O773" s="5" t="n">
        <v>26.6</v>
      </c>
      <c r="P773" s="5" t="n">
        <v>2</v>
      </c>
      <c r="Q773" s="5" t="n">
        <v>0</v>
      </c>
      <c r="R773" s="5" t="n">
        <v>0</v>
      </c>
      <c r="S773" s="5" t="n">
        <v>0</v>
      </c>
      <c r="T773" s="5" t="n">
        <v>0</v>
      </c>
      <c r="U773" s="5" t="n">
        <v>89</v>
      </c>
      <c r="V773" s="5" t="n">
        <v>9</v>
      </c>
      <c r="W773" s="5" t="n">
        <v>15.6</v>
      </c>
      <c r="X773" s="5" t="inlineStr"/>
      <c r="Y773" s="5" t="n">
        <v>1438.6</v>
      </c>
      <c r="Z773" s="5" t="n">
        <v>2269.7</v>
      </c>
      <c r="AA773" s="5" t="n">
        <v>1954.6</v>
      </c>
      <c r="AB773" s="5" t="n">
        <v>2536.6</v>
      </c>
      <c r="AC773" s="5" t="inlineStr"/>
      <c r="AD773" s="5">
        <f>IF(AC773="","",IF(OR(AC773=F773,AND(AC773="crane_footing",F773="isolated_footing")),"yes","no"))</f>
        <v/>
      </c>
    </row>
    <row r="774">
      <c r="A774" s="5" t="n">
        <v>773</v>
      </c>
      <c r="B774" s="5" t="inlineStr">
        <is>
          <t>128</t>
        </is>
      </c>
      <c r="C774" s="5" t="inlineStr">
        <is>
          <t>region between joints</t>
        </is>
      </c>
      <c r="D774" s="5" t="inlineStr">
        <is>
          <t>band</t>
        </is>
      </c>
      <c r="E774" s="5" t="n">
        <v>4</v>
      </c>
      <c r="F774" s="5" t="inlineStr">
        <is>
          <t>grade_beam</t>
        </is>
      </c>
      <c r="G774" s="5" t="inlineStr">
        <is>
          <t>label vote</t>
        </is>
      </c>
      <c r="H774" s="5" t="inlineStr">
        <is>
          <t>LG40x15</t>
        </is>
      </c>
      <c r="I774" s="5" t="inlineStr">
        <is>
          <t>printed label</t>
        </is>
      </c>
      <c r="J774" s="5" t="inlineStr">
        <is>
          <t>LG-40x15</t>
        </is>
      </c>
      <c r="K774" s="5" t="n">
        <v>1334</v>
      </c>
      <c r="L774" s="5" t="n">
        <v>41</v>
      </c>
      <c r="M774" s="10">
        <f>IF(AND(ISNUMBER(K774),L774&gt;0),K774/L774,"")</f>
        <v/>
      </c>
      <c r="N774" s="5" t="n">
        <v>5.471</v>
      </c>
      <c r="O774" s="5" t="n">
        <v>140.9</v>
      </c>
      <c r="P774" s="5" t="n">
        <v>3</v>
      </c>
      <c r="Q774" s="5" t="n">
        <v>0</v>
      </c>
      <c r="R774" s="5" t="n">
        <v>0</v>
      </c>
      <c r="S774" s="5" t="n">
        <v>0</v>
      </c>
      <c r="T774" s="5" t="n">
        <v>1</v>
      </c>
      <c r="U774" s="5" t="n">
        <v>36</v>
      </c>
      <c r="V774" s="5" t="n">
        <v>5</v>
      </c>
      <c r="W774" s="5" t="n">
        <v>8.09</v>
      </c>
      <c r="X774" s="5" t="inlineStr"/>
      <c r="Y774" s="5" t="n">
        <v>1236.7</v>
      </c>
      <c r="Z774" s="5" t="n">
        <v>2174.4</v>
      </c>
      <c r="AA774" s="5" t="n">
        <v>1550</v>
      </c>
      <c r="AB774" s="5" t="n">
        <v>2432.2</v>
      </c>
      <c r="AC774" s="5" t="inlineStr"/>
      <c r="AD774" s="5">
        <f>IF(AC774="","",IF(OR(AC774=F774,AND(AC774="crane_footing",F774="isolated_footing")),"yes","no"))</f>
        <v/>
      </c>
    </row>
    <row r="775">
      <c r="A775" s="5" t="n">
        <v>774</v>
      </c>
      <c r="B775" s="5" t="inlineStr">
        <is>
          <t>128</t>
        </is>
      </c>
      <c r="C775" s="5" t="inlineStr">
        <is>
          <t>region between joints</t>
        </is>
      </c>
      <c r="D775" s="5" t="inlineStr">
        <is>
          <t>band</t>
        </is>
      </c>
      <c r="E775" s="5" t="n">
        <v>4</v>
      </c>
      <c r="F775" s="5" t="inlineStr">
        <is>
          <t>grade_beam</t>
        </is>
      </c>
      <c r="G775" s="5" t="inlineStr">
        <is>
          <t>label vote</t>
        </is>
      </c>
      <c r="H775" s="5" t="inlineStr">
        <is>
          <t>LG40x15</t>
        </is>
      </c>
      <c r="I775" s="5" t="inlineStr">
        <is>
          <t>printed label</t>
        </is>
      </c>
      <c r="J775" s="5" t="inlineStr">
        <is>
          <t>LG-40x15</t>
        </is>
      </c>
      <c r="K775" s="5" t="n">
        <v>1289</v>
      </c>
      <c r="L775" s="5" t="n">
        <v>41</v>
      </c>
      <c r="M775" s="10">
        <f>IF(AND(ISNUMBER(K775),L775&gt;0),K775/L775,"")</f>
        <v/>
      </c>
      <c r="N775" s="5" t="n">
        <v>5.283</v>
      </c>
      <c r="O775" s="5" t="n">
        <v>116.6</v>
      </c>
      <c r="P775" s="5" t="n">
        <v>2</v>
      </c>
      <c r="Q775" s="5" t="n">
        <v>0</v>
      </c>
      <c r="R775" s="5" t="n">
        <v>0</v>
      </c>
      <c r="S775" s="5" t="n">
        <v>0</v>
      </c>
      <c r="T775" s="5" t="n">
        <v>1</v>
      </c>
      <c r="U775" s="5" t="n">
        <v>21</v>
      </c>
      <c r="V775" s="5" t="n">
        <v>4</v>
      </c>
      <c r="W775" s="5" t="n">
        <v>9.390000000000001</v>
      </c>
      <c r="X775" s="5" t="inlineStr"/>
      <c r="Y775" s="5" t="n">
        <v>1632.6</v>
      </c>
      <c r="Z775" s="5" t="n">
        <v>2310.7</v>
      </c>
      <c r="AA775" s="5" t="n">
        <v>1814.1</v>
      </c>
      <c r="AB775" s="5" t="n">
        <v>2656.2</v>
      </c>
      <c r="AC775" s="5" t="inlineStr"/>
      <c r="AD775" s="5">
        <f>IF(AC775="","",IF(OR(AC775=F775,AND(AC775="crane_footing",F775="isolated_footing")),"yes","no"))</f>
        <v/>
      </c>
    </row>
    <row r="776">
      <c r="A776" s="5" t="n">
        <v>775</v>
      </c>
      <c r="B776" s="5" t="inlineStr">
        <is>
          <t>128</t>
        </is>
      </c>
      <c r="C776" s="5" t="inlineStr">
        <is>
          <t>region between joints</t>
        </is>
      </c>
      <c r="D776" s="5" t="inlineStr">
        <is>
          <t>band</t>
        </is>
      </c>
      <c r="E776" s="5" t="n">
        <v>4</v>
      </c>
      <c r="F776" s="5" t="inlineStr">
        <is>
          <t>grade_beam</t>
        </is>
      </c>
      <c r="G776" s="5" t="inlineStr">
        <is>
          <t>label vote</t>
        </is>
      </c>
      <c r="H776" s="5" t="inlineStr">
        <is>
          <t>LG40x15</t>
        </is>
      </c>
      <c r="I776" s="5" t="inlineStr">
        <is>
          <t>printed label</t>
        </is>
      </c>
      <c r="J776" s="5" t="inlineStr">
        <is>
          <t>LG-40x15</t>
        </is>
      </c>
      <c r="K776" s="5" t="n">
        <v>813</v>
      </c>
      <c r="L776" s="5" t="n">
        <v>41</v>
      </c>
      <c r="M776" s="10">
        <f>IF(AND(ISNUMBER(K776),L776&gt;0),K776/L776,"")</f>
        <v/>
      </c>
      <c r="N776" s="5" t="n">
        <v>3.332</v>
      </c>
      <c r="O776" s="5" t="n">
        <v>26.6</v>
      </c>
      <c r="P776" s="5" t="n">
        <v>2</v>
      </c>
      <c r="Q776" s="5" t="n">
        <v>0</v>
      </c>
      <c r="R776" s="5" t="n">
        <v>0</v>
      </c>
      <c r="S776" s="5" t="n">
        <v>0</v>
      </c>
      <c r="T776" s="5" t="n">
        <v>0</v>
      </c>
      <c r="U776" s="5" t="n">
        <v>0</v>
      </c>
      <c r="V776" s="5" t="n">
        <v>1</v>
      </c>
      <c r="W776" s="5" t="n">
        <v>8.130000000000001</v>
      </c>
      <c r="X776" s="5" t="inlineStr"/>
      <c r="Y776" s="5" t="n">
        <v>1442.8</v>
      </c>
      <c r="Z776" s="5" t="n">
        <v>2558.2</v>
      </c>
      <c r="AA776" s="5" t="n">
        <v>1662.8</v>
      </c>
      <c r="AB776" s="5" t="n">
        <v>2676.5</v>
      </c>
      <c r="AC776" s="5" t="inlineStr"/>
      <c r="AD776" s="5">
        <f>IF(AC776="","",IF(OR(AC776=F776,AND(AC776="crane_footing",F776="isolated_footing")),"yes","no"))</f>
        <v/>
      </c>
    </row>
    <row r="777">
      <c r="A777" s="5" t="n">
        <v>776</v>
      </c>
      <c r="B777" s="5" t="inlineStr">
        <is>
          <t>128</t>
        </is>
      </c>
      <c r="C777" s="5" t="inlineStr">
        <is>
          <t>region between joints</t>
        </is>
      </c>
      <c r="D777" s="5" t="inlineStr">
        <is>
          <t>band</t>
        </is>
      </c>
      <c r="E777" s="5" t="n">
        <v>4</v>
      </c>
      <c r="F777" s="5" t="inlineStr">
        <is>
          <t>grade_beam</t>
        </is>
      </c>
      <c r="G777" s="5" t="inlineStr">
        <is>
          <t>label vote</t>
        </is>
      </c>
      <c r="H777" s="5" t="inlineStr">
        <is>
          <t>LG40x15</t>
        </is>
      </c>
      <c r="I777" s="5" t="inlineStr">
        <is>
          <t>printed label</t>
        </is>
      </c>
      <c r="J777" s="5" t="inlineStr">
        <is>
          <t>LG-40x15</t>
        </is>
      </c>
      <c r="K777" s="5" t="n">
        <v>514</v>
      </c>
      <c r="L777" s="5" t="n">
        <v>41</v>
      </c>
      <c r="M777" s="10">
        <f>IF(AND(ISNUMBER(K777),L777&gt;0),K777/L777,"")</f>
        <v/>
      </c>
      <c r="N777" s="5" t="n">
        <v>2.109</v>
      </c>
      <c r="O777" s="5" t="n">
        <v>116.6</v>
      </c>
      <c r="P777" s="5" t="n">
        <v>2</v>
      </c>
      <c r="Q777" s="5" t="n">
        <v>0</v>
      </c>
      <c r="R777" s="5" t="n">
        <v>0</v>
      </c>
      <c r="S777" s="5" t="n">
        <v>0</v>
      </c>
      <c r="T777" s="5" t="n">
        <v>0</v>
      </c>
      <c r="U777" s="5" t="n">
        <v>24</v>
      </c>
      <c r="V777" s="5" t="n">
        <v>0</v>
      </c>
      <c r="W777" s="5" t="n">
        <v>3.19</v>
      </c>
      <c r="X777" s="5" t="inlineStr"/>
      <c r="Y777" s="5" t="n">
        <v>1560.1</v>
      </c>
      <c r="Z777" s="5" t="n">
        <v>2729.3</v>
      </c>
      <c r="AA777" s="5" t="n">
        <v>1639.1</v>
      </c>
      <c r="AB777" s="5" t="n">
        <v>2870.5</v>
      </c>
      <c r="AC777" s="5" t="inlineStr"/>
      <c r="AD777" s="5">
        <f>IF(AC777="","",IF(OR(AC777=F777,AND(AC777="crane_footing",F777="isolated_footing")),"yes","no"))</f>
        <v/>
      </c>
    </row>
    <row r="778">
      <c r="A778" s="5" t="n">
        <v>777</v>
      </c>
      <c r="B778" s="5" t="inlineStr">
        <is>
          <t>128</t>
        </is>
      </c>
      <c r="C778" s="5" t="inlineStr">
        <is>
          <t>region between joints</t>
        </is>
      </c>
      <c r="D778" s="5" t="inlineStr">
        <is>
          <t>band</t>
        </is>
      </c>
      <c r="E778" s="5" t="n">
        <v>2</v>
      </c>
      <c r="F778" s="5" t="inlineStr">
        <is>
          <t>grade_beam</t>
        </is>
      </c>
      <c r="G778" s="5" t="inlineStr">
        <is>
          <t>label vote</t>
        </is>
      </c>
      <c r="H778" s="5" t="inlineStr">
        <is>
          <t>(none)</t>
        </is>
      </c>
      <c r="I778" s="5" t="inlineStr"/>
      <c r="J778" s="5" t="inlineStr"/>
      <c r="K778" s="5" t="n">
        <v>87</v>
      </c>
      <c r="L778" s="5" t="n">
        <v>26</v>
      </c>
      <c r="M778" s="10">
        <f>IF(AND(ISNUMBER(K778),L778&gt;0),K778/L778,"")</f>
        <v/>
      </c>
      <c r="N778" s="5" t="n">
        <v>0.226</v>
      </c>
      <c r="O778" s="5" t="n">
        <v>116.6</v>
      </c>
      <c r="P778" s="5" t="n">
        <v>2</v>
      </c>
      <c r="Q778" s="5" t="n">
        <v>1</v>
      </c>
      <c r="R778" s="5" t="n">
        <v>0</v>
      </c>
      <c r="S778" s="5" t="n">
        <v>1</v>
      </c>
      <c r="T778" s="5" t="n">
        <v>0</v>
      </c>
      <c r="U778" s="5" t="n">
        <v>2</v>
      </c>
      <c r="V778" s="5" t="n">
        <v>3</v>
      </c>
      <c r="W778" s="5" t="n">
        <v>0</v>
      </c>
      <c r="X778" s="5" t="inlineStr"/>
      <c r="Y778" s="5" t="n">
        <v>1409.7</v>
      </c>
      <c r="Z778" s="5" t="n">
        <v>2692.6</v>
      </c>
      <c r="AA778" s="5" t="n">
        <v>1428</v>
      </c>
      <c r="AB778" s="5" t="n">
        <v>2719</v>
      </c>
      <c r="AC778" s="5" t="inlineStr"/>
      <c r="AD778" s="5">
        <f>IF(AC778="","",IF(OR(AC778=F778,AND(AC778="crane_footing",F778="isolated_footing")),"yes","no"))</f>
        <v/>
      </c>
    </row>
    <row r="779">
      <c r="A779" s="5" t="n">
        <v>778</v>
      </c>
      <c r="B779" s="5" t="inlineStr">
        <is>
          <t>128</t>
        </is>
      </c>
      <c r="C779" s="5" t="inlineStr">
        <is>
          <t>region between joints</t>
        </is>
      </c>
      <c r="D779" s="5" t="inlineStr">
        <is>
          <t>stamped_region</t>
        </is>
      </c>
      <c r="E779" s="5" t="n">
        <v>39</v>
      </c>
      <c r="F779" s="5" t="inlineStr">
        <is>
          <t>raft</t>
        </is>
      </c>
      <c r="G779" s="5" t="inlineStr">
        <is>
          <t>label vote</t>
        </is>
      </c>
      <c r="H779" s="5" t="inlineStr">
        <is>
          <t>Radier 100</t>
        </is>
      </c>
      <c r="I779" s="5" t="inlineStr">
        <is>
          <t>printed label</t>
        </is>
      </c>
      <c r="J779" s="5" t="inlineStr">
        <is>
          <t>Radier</t>
        </is>
      </c>
      <c r="K779" s="5" t="n">
        <v>1902</v>
      </c>
      <c r="L779" s="5" t="n">
        <v>759</v>
      </c>
      <c r="M779" s="10">
        <f>IF(AND(ISNUMBER(K779),L779&gt;0),K779/L779,"")</f>
        <v/>
      </c>
      <c r="N779" s="5" t="n">
        <v>121.586</v>
      </c>
      <c r="O779" s="5" t="n">
        <v>116.6</v>
      </c>
      <c r="P779" s="5" t="n">
        <v>16</v>
      </c>
      <c r="Q779" s="5" t="n">
        <v>0</v>
      </c>
      <c r="R779" s="5" t="n">
        <v>0</v>
      </c>
      <c r="S779" s="5" t="n">
        <v>0</v>
      </c>
      <c r="T779" s="5" t="n">
        <v>14</v>
      </c>
      <c r="U779" s="5" t="n">
        <v>290</v>
      </c>
      <c r="V779" s="5" t="n">
        <v>57</v>
      </c>
      <c r="W779" s="5" t="n"/>
      <c r="X779" s="5" t="inlineStr">
        <is>
          <t>traced outline</t>
        </is>
      </c>
      <c r="Y779" s="5" t="n">
        <v>1094.7</v>
      </c>
      <c r="Z779" s="5" t="n">
        <v>2469.1</v>
      </c>
      <c r="AA779" s="5" t="n">
        <v>1546.4</v>
      </c>
      <c r="AB779" s="5" t="n">
        <v>3030.8</v>
      </c>
      <c r="AC779" s="5" t="inlineStr"/>
      <c r="AD779" s="5">
        <f>IF(AC779="","",IF(OR(AC779=F779,AND(AC779="crane_footing",F779="isolated_footing")),"yes","no"))</f>
        <v/>
      </c>
    </row>
    <row r="780">
      <c r="A780" s="5" t="n">
        <v>779</v>
      </c>
      <c r="B780" s="5" t="inlineStr">
        <is>
          <t>128</t>
        </is>
      </c>
      <c r="C780" s="5" t="inlineStr">
        <is>
          <t>region between joints</t>
        </is>
      </c>
      <c r="D780" s="5" t="inlineStr">
        <is>
          <t>stamped_region</t>
        </is>
      </c>
      <c r="E780" s="5" t="n">
        <v>39</v>
      </c>
      <c r="F780" s="5" t="inlineStr">
        <is>
          <t>raft</t>
        </is>
      </c>
      <c r="G780" s="5" t="inlineStr">
        <is>
          <t>label vote</t>
        </is>
      </c>
      <c r="H780" s="5" t="inlineStr">
        <is>
          <t>Radier 100</t>
        </is>
      </c>
      <c r="I780" s="5" t="inlineStr">
        <is>
          <t>printed label</t>
        </is>
      </c>
      <c r="J780" s="5" t="inlineStr">
        <is>
          <t>Radier1</t>
        </is>
      </c>
      <c r="K780" s="5" t="n">
        <v>1006</v>
      </c>
      <c r="L780" s="5" t="n">
        <v>453</v>
      </c>
      <c r="M780" s="10">
        <f>IF(AND(ISNUMBER(K780),L780&gt;0),K780/L780,"")</f>
        <v/>
      </c>
      <c r="N780" s="5" t="n">
        <v>45.223</v>
      </c>
      <c r="O780" s="5" t="n">
        <v>26.7</v>
      </c>
      <c r="P780" s="5" t="n">
        <v>4</v>
      </c>
      <c r="Q780" s="5" t="n">
        <v>0</v>
      </c>
      <c r="R780" s="5" t="n">
        <v>0</v>
      </c>
      <c r="S780" s="5" t="n">
        <v>0</v>
      </c>
      <c r="T780" s="5" t="n">
        <v>4</v>
      </c>
      <c r="U780" s="5" t="n">
        <v>33</v>
      </c>
      <c r="V780" s="5" t="n">
        <v>7</v>
      </c>
      <c r="W780" s="5" t="n"/>
      <c r="X780" s="5" t="inlineStr">
        <is>
          <t>traced outline</t>
        </is>
      </c>
      <c r="Y780" s="5" t="n">
        <v>1593.7</v>
      </c>
      <c r="Z780" s="5" t="n">
        <v>2593.9</v>
      </c>
      <c r="AA780" s="5" t="n">
        <v>1919.2</v>
      </c>
      <c r="AB780" s="5" t="n">
        <v>2844.8</v>
      </c>
      <c r="AC780" s="5" t="inlineStr"/>
      <c r="AD780" s="5">
        <f>IF(AC780="","",IF(OR(AC780=F780,AND(AC780="crane_footing",F780="isolated_footing")),"yes","no"))</f>
        <v/>
      </c>
    </row>
    <row r="781">
      <c r="A781" s="5" t="n">
        <v>780</v>
      </c>
      <c r="B781" s="5" t="inlineStr">
        <is>
          <t>128</t>
        </is>
      </c>
      <c r="C781" s="5" t="inlineStr">
        <is>
          <t>region between joints</t>
        </is>
      </c>
      <c r="D781" s="5" t="inlineStr">
        <is>
          <t>solid</t>
        </is>
      </c>
      <c r="E781" s="5" t="n">
        <v>38</v>
      </c>
      <c r="F781" s="5" t="inlineStr">
        <is>
          <t>unnamed</t>
        </is>
      </c>
      <c r="G781" s="5" t="inlineStr">
        <is>
          <t>no label votes</t>
        </is>
      </c>
      <c r="H781" s="5" t="inlineStr">
        <is>
          <t>(none)</t>
        </is>
      </c>
      <c r="I781" s="5" t="inlineStr"/>
      <c r="J781" s="5" t="inlineStr"/>
      <c r="K781" s="5" t="n">
        <v>116</v>
      </c>
      <c r="L781" s="5" t="n">
        <v>20</v>
      </c>
      <c r="M781" s="10">
        <f>IF(AND(ISNUMBER(K781),L781&gt;0),K781/L781,"")</f>
        <v/>
      </c>
      <c r="N781" s="5" t="n">
        <v>0.232</v>
      </c>
      <c r="O781" s="5" t="n">
        <v>26.6</v>
      </c>
      <c r="P781" s="5" t="n">
        <v>2</v>
      </c>
      <c r="Q781" s="5" t="n">
        <v>0</v>
      </c>
      <c r="R781" s="5" t="n">
        <v>0</v>
      </c>
      <c r="S781" s="5" t="n">
        <v>1</v>
      </c>
      <c r="T781" s="5" t="n">
        <v>0</v>
      </c>
      <c r="U781" s="5" t="n">
        <v>1</v>
      </c>
      <c r="V781" s="5" t="n">
        <v>3</v>
      </c>
      <c r="W781" s="5" t="n"/>
      <c r="X781" s="5" t="inlineStr"/>
      <c r="Y781" s="5" t="n">
        <v>1292.4</v>
      </c>
      <c r="Z781" s="5" t="n">
        <v>2852.3</v>
      </c>
      <c r="AA781" s="5" t="n">
        <v>1325.7</v>
      </c>
      <c r="AB781" s="5" t="n">
        <v>2872.9</v>
      </c>
      <c r="AC781" s="5" t="inlineStr"/>
      <c r="AD781" s="5">
        <f>IF(AC781="","",IF(OR(AC781=F781,AND(AC781="crane_footing",F781="isolated_footing")),"yes","no"))</f>
        <v/>
      </c>
    </row>
    <row r="782">
      <c r="A782" s="5" t="n">
        <v>781</v>
      </c>
      <c r="B782" s="5" t="inlineStr">
        <is>
          <t>128</t>
        </is>
      </c>
      <c r="C782" s="5" t="inlineStr">
        <is>
          <t>region between joints</t>
        </is>
      </c>
      <c r="D782" s="5" t="inlineStr">
        <is>
          <t>solid</t>
        </is>
      </c>
      <c r="E782" s="5" t="n">
        <v>34</v>
      </c>
      <c r="F782" s="5" t="inlineStr">
        <is>
          <t>unnamed</t>
        </is>
      </c>
      <c r="G782" s="5" t="inlineStr">
        <is>
          <t>no label votes</t>
        </is>
      </c>
      <c r="H782" s="5" t="inlineStr">
        <is>
          <t>(none)</t>
        </is>
      </c>
      <c r="I782" s="5" t="inlineStr"/>
      <c r="J782" s="5" t="inlineStr"/>
      <c r="K782" s="5" t="n">
        <v>312</v>
      </c>
      <c r="L782" s="5" t="n">
        <v>20</v>
      </c>
      <c r="M782" s="10">
        <f>IF(AND(ISNUMBER(K782),L782&gt;0),K782/L782,"")</f>
        <v/>
      </c>
      <c r="N782" s="5" t="n">
        <v>0.624</v>
      </c>
      <c r="O782" s="5" t="n">
        <v>51.3</v>
      </c>
      <c r="P782" s="5" t="n">
        <v>0</v>
      </c>
      <c r="Q782" s="5" t="n">
        <v>0</v>
      </c>
      <c r="R782" s="5" t="n">
        <v>0</v>
      </c>
      <c r="S782" s="5" t="n">
        <v>0</v>
      </c>
      <c r="T782" s="5" t="n">
        <v>0</v>
      </c>
      <c r="U782" s="5" t="n">
        <v>1</v>
      </c>
      <c r="V782" s="5" t="n">
        <v>7</v>
      </c>
      <c r="W782" s="5" t="n"/>
      <c r="X782" s="5" t="inlineStr"/>
      <c r="Y782" s="5" t="n">
        <v>848.6</v>
      </c>
      <c r="Z782" s="5" t="n">
        <v>2751.2</v>
      </c>
      <c r="AA782" s="5" t="n">
        <v>910.9</v>
      </c>
      <c r="AB782" s="5" t="n">
        <v>2826.8</v>
      </c>
      <c r="AC782" s="5" t="inlineStr"/>
      <c r="AD782" s="5">
        <f>IF(AC782="","",IF(OR(AC782=F782,AND(AC782="crane_footing",F782="isolated_footing")),"yes","no"))</f>
        <v/>
      </c>
    </row>
    <row r="783">
      <c r="A783" s="5" t="n">
        <v>782</v>
      </c>
      <c r="B783" s="5" t="inlineStr">
        <is>
          <t>128</t>
        </is>
      </c>
      <c r="C783" s="5" t="inlineStr">
        <is>
          <t>region between joints</t>
        </is>
      </c>
      <c r="D783" s="5" t="inlineStr">
        <is>
          <t>cross_hatch</t>
        </is>
      </c>
      <c r="E783" s="5" t="n">
        <v>14</v>
      </c>
      <c r="F783" s="5" t="inlineStr">
        <is>
          <t>unnamed</t>
        </is>
      </c>
      <c r="G783" s="5" t="inlineStr">
        <is>
          <t>no label votes</t>
        </is>
      </c>
      <c r="H783" s="5" t="inlineStr">
        <is>
          <t>(none)</t>
        </is>
      </c>
      <c r="I783" s="5" t="inlineStr"/>
      <c r="J783" s="5" t="inlineStr"/>
      <c r="K783" s="5" t="n">
        <v>1035</v>
      </c>
      <c r="L783" s="5" t="n">
        <v>20</v>
      </c>
      <c r="M783" s="10">
        <f>IF(AND(ISNUMBER(K783),L783&gt;0),K783/L783,"")</f>
        <v/>
      </c>
      <c r="N783" s="5" t="n">
        <v>2.093</v>
      </c>
      <c r="O783" s="5" t="n">
        <v>127.6</v>
      </c>
      <c r="P783" s="5" t="n">
        <v>0</v>
      </c>
      <c r="Q783" s="5" t="n">
        <v>0</v>
      </c>
      <c r="R783" s="5" t="n">
        <v>0</v>
      </c>
      <c r="S783" s="5" t="n">
        <v>1</v>
      </c>
      <c r="T783" s="5" t="n">
        <v>0</v>
      </c>
      <c r="U783" s="5" t="n">
        <v>7</v>
      </c>
      <c r="V783" s="5" t="n">
        <v>7</v>
      </c>
      <c r="W783" s="5" t="n"/>
      <c r="X783" s="5" t="inlineStr"/>
      <c r="Y783" s="5" t="n">
        <v>1297</v>
      </c>
      <c r="Z783" s="5" t="n">
        <v>2598.1</v>
      </c>
      <c r="AA783" s="5" t="n">
        <v>1428.7</v>
      </c>
      <c r="AB783" s="5" t="n">
        <v>2850.4</v>
      </c>
      <c r="AC783" s="5" t="inlineStr"/>
      <c r="AD783" s="5">
        <f>IF(AC783="","",IF(OR(AC783=F783,AND(AC783="crane_footing",F783="isolated_footing")),"yes","no"))</f>
        <v/>
      </c>
    </row>
    <row r="784">
      <c r="A784" s="5" t="n">
        <v>783</v>
      </c>
      <c r="B784" s="5" t="inlineStr">
        <is>
          <t>128</t>
        </is>
      </c>
      <c r="C784" s="5" t="inlineStr">
        <is>
          <t>region between joints</t>
        </is>
      </c>
      <c r="D784" s="5" t="inlineStr">
        <is>
          <t>outline</t>
        </is>
      </c>
      <c r="E784" s="5" t="n">
        <v>21</v>
      </c>
      <c r="F784" s="5" t="inlineStr">
        <is>
          <t>unnamed</t>
        </is>
      </c>
      <c r="G784" s="5" t="inlineStr">
        <is>
          <t>no label votes</t>
        </is>
      </c>
      <c r="H784" s="5" t="inlineStr">
        <is>
          <t>(none)</t>
        </is>
      </c>
      <c r="I784" s="5" t="inlineStr"/>
      <c r="J784" s="5" t="inlineStr"/>
      <c r="K784" s="5" t="n">
        <v>337</v>
      </c>
      <c r="L784" s="5" t="n">
        <v>20</v>
      </c>
      <c r="M784" s="10">
        <f>IF(AND(ISNUMBER(K784),L784&gt;0),K784/L784,"")</f>
        <v/>
      </c>
      <c r="N784" s="5" t="n">
        <v>0.672</v>
      </c>
      <c r="O784" s="5" t="n">
        <v>116.6</v>
      </c>
      <c r="P784" s="5" t="n">
        <v>2</v>
      </c>
      <c r="Q784" s="5" t="n">
        <v>0</v>
      </c>
      <c r="R784" s="5" t="n">
        <v>0</v>
      </c>
      <c r="S784" s="5" t="n">
        <v>1</v>
      </c>
      <c r="T784" s="5" t="n">
        <v>0</v>
      </c>
      <c r="U784" s="5" t="n">
        <v>3</v>
      </c>
      <c r="V784" s="5" t="n">
        <v>5</v>
      </c>
      <c r="W784" s="5" t="n"/>
      <c r="X784" s="5" t="inlineStr"/>
      <c r="Y784" s="5" t="n">
        <v>1256.2</v>
      </c>
      <c r="Z784" s="5" t="n">
        <v>2742</v>
      </c>
      <c r="AA784" s="5" t="n">
        <v>1306.1</v>
      </c>
      <c r="AB784" s="5" t="n">
        <v>2833.7</v>
      </c>
      <c r="AC784" s="5" t="inlineStr"/>
      <c r="AD784" s="5">
        <f>IF(AC784="","",IF(OR(AC784=F784,AND(AC784="crane_footing",F784="isolated_footing")),"yes","no"))</f>
        <v/>
      </c>
    </row>
    <row r="785">
      <c r="A785" s="5" t="n">
        <v>784</v>
      </c>
      <c r="B785" s="5" t="inlineStr">
        <is>
          <t>128</t>
        </is>
      </c>
      <c r="C785" s="5" t="inlineStr">
        <is>
          <t>region between joints</t>
        </is>
      </c>
      <c r="D785" s="5" t="inlineStr">
        <is>
          <t>outline</t>
        </is>
      </c>
      <c r="E785" s="5" t="n">
        <v>24</v>
      </c>
      <c r="F785" s="5" t="inlineStr">
        <is>
          <t>unnamed</t>
        </is>
      </c>
      <c r="G785" s="5" t="inlineStr">
        <is>
          <t>no label votes</t>
        </is>
      </c>
      <c r="H785" s="5" t="inlineStr">
        <is>
          <t>(none)</t>
        </is>
      </c>
      <c r="I785" s="5" t="inlineStr"/>
      <c r="J785" s="5" t="inlineStr"/>
      <c r="K785" s="5" t="n">
        <v>60</v>
      </c>
      <c r="L785" s="5" t="n">
        <v>60</v>
      </c>
      <c r="M785" s="10">
        <f>IF(AND(ISNUMBER(K785),L785&gt;0),K785/L785,"")</f>
        <v/>
      </c>
      <c r="N785" s="5" t="n">
        <v>0.361</v>
      </c>
      <c r="O785" s="5" t="n">
        <v>116.6</v>
      </c>
      <c r="P785" s="5" t="n">
        <v>0</v>
      </c>
      <c r="Q785" s="5" t="n">
        <v>1</v>
      </c>
      <c r="R785" s="5" t="n">
        <v>0</v>
      </c>
      <c r="S785" s="5" t="n">
        <v>0</v>
      </c>
      <c r="T785" s="5" t="n">
        <v>0</v>
      </c>
      <c r="U785" s="5" t="n">
        <v>91</v>
      </c>
      <c r="V785" s="5" t="n">
        <v>4</v>
      </c>
      <c r="W785" s="5" t="n"/>
      <c r="X785" s="5" t="inlineStr"/>
      <c r="Y785" s="5" t="n">
        <v>1581.4</v>
      </c>
      <c r="Z785" s="5" t="n">
        <v>2332.8</v>
      </c>
      <c r="AA785" s="5" t="n">
        <v>1605.2</v>
      </c>
      <c r="AB785" s="5" t="n">
        <v>2356.6</v>
      </c>
      <c r="AC785" s="5" t="inlineStr">
        <is>
          <t>mass_concrete_pad</t>
        </is>
      </c>
      <c r="AD785" s="5">
        <f>IF(AC785="","",IF(OR(AC785=F785,AND(AC785="crane_footing",F785="isolated_footing")),"yes","no"))</f>
        <v/>
      </c>
    </row>
    <row r="786">
      <c r="A786" s="5" t="n">
        <v>785</v>
      </c>
      <c r="B786" s="5" t="inlineStr">
        <is>
          <t>128</t>
        </is>
      </c>
      <c r="C786" s="5" t="inlineStr">
        <is>
          <t>region between joints</t>
        </is>
      </c>
      <c r="D786" s="5" t="inlineStr">
        <is>
          <t>outline</t>
        </is>
      </c>
      <c r="E786" s="5" t="n">
        <v>24</v>
      </c>
      <c r="F786" s="5" t="inlineStr">
        <is>
          <t>unnamed</t>
        </is>
      </c>
      <c r="G786" s="5" t="inlineStr">
        <is>
          <t>no label votes</t>
        </is>
      </c>
      <c r="H786" s="5" t="inlineStr">
        <is>
          <t>(none)</t>
        </is>
      </c>
      <c r="I786" s="5" t="inlineStr"/>
      <c r="J786" s="5" t="inlineStr"/>
      <c r="K786" s="5" t="n">
        <v>60</v>
      </c>
      <c r="L786" s="5" t="n">
        <v>60</v>
      </c>
      <c r="M786" s="10">
        <f>IF(AND(ISNUMBER(K786),L786&gt;0),K786/L786,"")</f>
        <v/>
      </c>
      <c r="N786" s="5" t="n">
        <v>0.359</v>
      </c>
      <c r="O786" s="5" t="n">
        <v>26.7</v>
      </c>
      <c r="P786" s="5" t="n">
        <v>0</v>
      </c>
      <c r="Q786" s="5" t="n">
        <v>1</v>
      </c>
      <c r="R786" s="5" t="n">
        <v>0</v>
      </c>
      <c r="S786" s="5" t="n">
        <v>0</v>
      </c>
      <c r="T786" s="5" t="n">
        <v>0</v>
      </c>
      <c r="U786" s="5" t="n">
        <v>86</v>
      </c>
      <c r="V786" s="5" t="n">
        <v>4</v>
      </c>
      <c r="W786" s="5" t="n"/>
      <c r="X786" s="5" t="inlineStr"/>
      <c r="Y786" s="5" t="n">
        <v>1578.7</v>
      </c>
      <c r="Z786" s="5" t="n">
        <v>2338.1</v>
      </c>
      <c r="AA786" s="5" t="n">
        <v>1602.5</v>
      </c>
      <c r="AB786" s="5" t="n">
        <v>2361.9</v>
      </c>
      <c r="AC786" s="5" t="inlineStr"/>
      <c r="AD786" s="5">
        <f>IF(AC786="","",IF(OR(AC786=F786,AND(AC786="crane_footing",F786="isolated_footing")),"yes","no"))</f>
        <v/>
      </c>
    </row>
    <row r="787">
      <c r="A787" s="5" t="n">
        <v>786</v>
      </c>
      <c r="B787" s="5" t="inlineStr">
        <is>
          <t>128</t>
        </is>
      </c>
      <c r="C787" s="5" t="inlineStr">
        <is>
          <t>region between joints</t>
        </is>
      </c>
      <c r="D787" s="5" t="inlineStr">
        <is>
          <t>outline</t>
        </is>
      </c>
      <c r="E787" s="5" t="n">
        <v>22</v>
      </c>
      <c r="F787" s="5" t="inlineStr">
        <is>
          <t>unnamed</t>
        </is>
      </c>
      <c r="G787" s="5" t="inlineStr">
        <is>
          <t>no label votes</t>
        </is>
      </c>
      <c r="H787" s="5" t="inlineStr">
        <is>
          <t>(none)</t>
        </is>
      </c>
      <c r="I787" s="5" t="inlineStr"/>
      <c r="J787" s="5" t="inlineStr"/>
      <c r="K787" s="5" t="n">
        <v>87</v>
      </c>
      <c r="L787" s="5" t="n">
        <v>25</v>
      </c>
      <c r="M787" s="10">
        <f>IF(AND(ISNUMBER(K787),L787&gt;0),K787/L787,"")</f>
        <v/>
      </c>
      <c r="N787" s="5" t="n">
        <v>0.218</v>
      </c>
      <c r="O787" s="5" t="n">
        <v>116.7</v>
      </c>
      <c r="P787" s="5" t="n">
        <v>2</v>
      </c>
      <c r="Q787" s="5" t="n">
        <v>0</v>
      </c>
      <c r="R787" s="5" t="n">
        <v>0</v>
      </c>
      <c r="S787" s="5" t="n">
        <v>1</v>
      </c>
      <c r="T787" s="5" t="n">
        <v>0</v>
      </c>
      <c r="U787" s="5" t="n">
        <v>2</v>
      </c>
      <c r="V787" s="5" t="n">
        <v>4</v>
      </c>
      <c r="W787" s="5" t="n"/>
      <c r="X787" s="5" t="inlineStr"/>
      <c r="Y787" s="5" t="n">
        <v>1409.8</v>
      </c>
      <c r="Z787" s="5" t="n">
        <v>2692.7</v>
      </c>
      <c r="AA787" s="5" t="n">
        <v>1427.9</v>
      </c>
      <c r="AB787" s="5" t="n">
        <v>2719</v>
      </c>
      <c r="AC787" s="5" t="inlineStr"/>
      <c r="AD787" s="5">
        <f>IF(AC787="","",IF(OR(AC787=F787,AND(AC787="crane_footing",F787="isolated_footing")),"yes","no"))</f>
        <v/>
      </c>
    </row>
    <row r="788">
      <c r="A788" s="5" t="n">
        <v>787</v>
      </c>
      <c r="B788" s="5" t="inlineStr">
        <is>
          <t>128</t>
        </is>
      </c>
      <c r="C788" s="5" t="inlineStr">
        <is>
          <t>region between joints</t>
        </is>
      </c>
      <c r="D788" s="5" t="inlineStr">
        <is>
          <t>outline</t>
        </is>
      </c>
      <c r="E788" s="5" t="n">
        <v>22</v>
      </c>
      <c r="F788" s="5" t="inlineStr">
        <is>
          <t>unnamed</t>
        </is>
      </c>
      <c r="G788" s="5" t="inlineStr">
        <is>
          <t>no label votes</t>
        </is>
      </c>
      <c r="H788" s="5" t="inlineStr">
        <is>
          <t>(none)</t>
        </is>
      </c>
      <c r="I788" s="5" t="inlineStr"/>
      <c r="J788" s="5" t="inlineStr"/>
      <c r="K788" s="5" t="n">
        <v>109</v>
      </c>
      <c r="L788" s="5" t="n">
        <v>20</v>
      </c>
      <c r="M788" s="10">
        <f>IF(AND(ISNUMBER(K788),L788&gt;0),K788/L788,"")</f>
        <v/>
      </c>
      <c r="N788" s="5" t="n">
        <v>0.216</v>
      </c>
      <c r="O788" s="5" t="n">
        <v>26.6</v>
      </c>
      <c r="P788" s="5" t="n">
        <v>1</v>
      </c>
      <c r="Q788" s="5" t="n">
        <v>0</v>
      </c>
      <c r="R788" s="5" t="n">
        <v>0</v>
      </c>
      <c r="S788" s="5" t="n">
        <v>1</v>
      </c>
      <c r="T788" s="5" t="n">
        <v>0</v>
      </c>
      <c r="U788" s="5" t="n">
        <v>1</v>
      </c>
      <c r="V788" s="5" t="n">
        <v>2</v>
      </c>
      <c r="W788" s="5" t="n"/>
      <c r="X788" s="5" t="inlineStr"/>
      <c r="Y788" s="5" t="n">
        <v>1262.9</v>
      </c>
      <c r="Z788" s="5" t="n">
        <v>2835.8</v>
      </c>
      <c r="AA788" s="5" t="n">
        <v>1294.2</v>
      </c>
      <c r="AB788" s="5" t="n">
        <v>2855.4</v>
      </c>
      <c r="AC788" s="5" t="inlineStr"/>
      <c r="AD788" s="5">
        <f>IF(AC788="","",IF(OR(AC788=F788,AND(AC788="crane_footing",F788="isolated_footing")),"yes","no"))</f>
        <v/>
      </c>
    </row>
    <row r="789">
      <c r="A789" s="5" t="n">
        <v>788</v>
      </c>
      <c r="B789" s="5" t="inlineStr">
        <is>
          <t>128</t>
        </is>
      </c>
      <c r="C789" s="5" t="inlineStr">
        <is>
          <t>nearest labels</t>
        </is>
      </c>
      <c r="D789" s="5" t="inlineStr">
        <is>
          <t>band</t>
        </is>
      </c>
      <c r="E789" s="5" t="n">
        <v>0</v>
      </c>
      <c r="F789" s="5" t="inlineStr">
        <is>
          <t>unnamed</t>
        </is>
      </c>
      <c r="G789" s="5" t="inlineStr">
        <is>
          <t>no label votes</t>
        </is>
      </c>
      <c r="H789" s="5" t="inlineStr">
        <is>
          <t>(none)</t>
        </is>
      </c>
      <c r="I789" s="5" t="inlineStr"/>
      <c r="J789" s="5" t="inlineStr"/>
      <c r="K789" s="5" t="n">
        <v>1334</v>
      </c>
      <c r="L789" s="5" t="n">
        <v>11</v>
      </c>
      <c r="M789" s="10">
        <f>IF(AND(ISNUMBER(K789),L789&gt;0),K789/L789,"")</f>
        <v/>
      </c>
      <c r="N789" s="5" t="n">
        <v>1.467</v>
      </c>
      <c r="O789" s="5" t="n">
        <v>140.9</v>
      </c>
      <c r="P789" s="5" t="n">
        <v>5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13</v>
      </c>
      <c r="V789" s="5" t="n">
        <v>4</v>
      </c>
      <c r="W789" s="5" t="n">
        <v>8.09</v>
      </c>
      <c r="X789" s="5" t="inlineStr"/>
      <c r="Y789" s="5" t="n">
        <v>1234.8</v>
      </c>
      <c r="Z789" s="5" t="n">
        <v>2172.2</v>
      </c>
      <c r="AA789" s="5" t="n">
        <v>1542.5</v>
      </c>
      <c r="AB789" s="5" t="n">
        <v>2423.1</v>
      </c>
      <c r="AC789" s="5" t="inlineStr"/>
      <c r="AD789" s="5">
        <f>IF(AC789="","",IF(OR(AC789=F789,AND(AC789="crane_footing",F789="isolated_footing")),"yes","no"))</f>
        <v/>
      </c>
    </row>
    <row r="790">
      <c r="A790" s="5" t="n">
        <v>789</v>
      </c>
      <c r="B790" s="5" t="inlineStr">
        <is>
          <t>128</t>
        </is>
      </c>
      <c r="C790" s="5" t="inlineStr">
        <is>
          <t>region between joints</t>
        </is>
      </c>
      <c r="D790" s="5" t="inlineStr">
        <is>
          <t>band</t>
        </is>
      </c>
      <c r="E790" s="5" t="n">
        <v>0</v>
      </c>
      <c r="F790" s="5" t="inlineStr">
        <is>
          <t>unnamed</t>
        </is>
      </c>
      <c r="G790" s="5" t="inlineStr">
        <is>
          <t>no label votes</t>
        </is>
      </c>
      <c r="H790" s="5" t="inlineStr">
        <is>
          <t>(none)</t>
        </is>
      </c>
      <c r="I790" s="5" t="inlineStr"/>
      <c r="J790" s="5" t="inlineStr"/>
      <c r="K790" s="5" t="n">
        <v>60</v>
      </c>
      <c r="L790" s="5" t="n">
        <v>11</v>
      </c>
      <c r="M790" s="10">
        <f>IF(AND(ISNUMBER(K790),L790&gt;0),K790/L790,"")</f>
        <v/>
      </c>
      <c r="N790" s="5" t="n">
        <v>0.066</v>
      </c>
      <c r="O790" s="5" t="n">
        <v>26.6</v>
      </c>
      <c r="P790" s="5" t="n">
        <v>0</v>
      </c>
      <c r="Q790" s="5" t="n">
        <v>1</v>
      </c>
      <c r="R790" s="5" t="n">
        <v>0</v>
      </c>
      <c r="S790" s="5" t="n">
        <v>0</v>
      </c>
      <c r="T790" s="5" t="n">
        <v>0</v>
      </c>
      <c r="U790" s="5" t="n">
        <v>17</v>
      </c>
      <c r="V790" s="5" t="n">
        <v>3</v>
      </c>
      <c r="W790" s="5" t="n">
        <v>0</v>
      </c>
      <c r="X790" s="5" t="inlineStr"/>
      <c r="Y790" s="5" t="n">
        <v>1585.3</v>
      </c>
      <c r="Z790" s="5" t="n">
        <v>2338</v>
      </c>
      <c r="AA790" s="5" t="n">
        <v>1602.6</v>
      </c>
      <c r="AB790" s="5" t="n">
        <v>2348.8</v>
      </c>
      <c r="AC790" s="5" t="inlineStr"/>
      <c r="AD790" s="5">
        <f>IF(AC790="","",IF(OR(AC790=F790,AND(AC790="crane_footing",F790="isolated_footing")),"yes","no"))</f>
        <v/>
      </c>
    </row>
    <row r="791">
      <c r="A791" s="5" t="n">
        <v>790</v>
      </c>
      <c r="B791" s="5" t="inlineStr">
        <is>
          <t>128</t>
        </is>
      </c>
      <c r="C791" s="5" t="inlineStr">
        <is>
          <t>region between joints</t>
        </is>
      </c>
      <c r="D791" s="5" t="inlineStr">
        <is>
          <t>band</t>
        </is>
      </c>
      <c r="E791" s="5" t="n">
        <v>1</v>
      </c>
      <c r="F791" s="5" t="inlineStr">
        <is>
          <t>unnamed</t>
        </is>
      </c>
      <c r="G791" s="5" t="inlineStr">
        <is>
          <t>no label votes</t>
        </is>
      </c>
      <c r="H791" s="5" t="inlineStr">
        <is>
          <t>(none)</t>
        </is>
      </c>
      <c r="I791" s="5" t="inlineStr"/>
      <c r="J791" s="5" t="inlineStr"/>
      <c r="K791" s="5" t="n">
        <v>967</v>
      </c>
      <c r="L791" s="5" t="n">
        <v>20</v>
      </c>
      <c r="M791" s="10">
        <f>IF(AND(ISNUMBER(K791),L791&gt;0),K791/L791,"")</f>
        <v/>
      </c>
      <c r="N791" s="5" t="n">
        <v>1.935</v>
      </c>
      <c r="O791" s="5" t="n">
        <v>116.6</v>
      </c>
      <c r="P791" s="5" t="n">
        <v>0</v>
      </c>
      <c r="Q791" s="5" t="n">
        <v>0</v>
      </c>
      <c r="R791" s="5" t="n">
        <v>0</v>
      </c>
      <c r="S791" s="5" t="n">
        <v>1</v>
      </c>
      <c r="T791" s="5" t="n">
        <v>0</v>
      </c>
      <c r="U791" s="5" t="n">
        <v>8</v>
      </c>
      <c r="V791" s="5" t="n">
        <v>6</v>
      </c>
      <c r="W791" s="5" t="n">
        <v>9.67</v>
      </c>
      <c r="X791" s="5" t="inlineStr"/>
      <c r="Y791" s="5" t="n">
        <v>1295.7</v>
      </c>
      <c r="Z791" s="5" t="n">
        <v>2595.6</v>
      </c>
      <c r="AA791" s="5" t="n">
        <v>1429.1</v>
      </c>
      <c r="AB791" s="5" t="n">
        <v>2853.6</v>
      </c>
      <c r="AC791" s="5" t="inlineStr"/>
      <c r="AD791" s="5">
        <f>IF(AC791="","",IF(OR(AC791=F791,AND(AC791="crane_footing",F791="isolated_footing")),"yes","no"))</f>
        <v/>
      </c>
    </row>
    <row r="792">
      <c r="A792" s="5" t="n">
        <v>791</v>
      </c>
      <c r="B792" s="5" t="inlineStr">
        <is>
          <t>128</t>
        </is>
      </c>
      <c r="C792" s="5" t="inlineStr">
        <is>
          <t>region between joints</t>
        </is>
      </c>
      <c r="D792" s="5" t="inlineStr">
        <is>
          <t>band</t>
        </is>
      </c>
      <c r="E792" s="5" t="n">
        <v>1</v>
      </c>
      <c r="F792" s="5" t="inlineStr">
        <is>
          <t>unnamed</t>
        </is>
      </c>
      <c r="G792" s="5" t="inlineStr">
        <is>
          <t>no label votes</t>
        </is>
      </c>
      <c r="H792" s="5" t="inlineStr">
        <is>
          <t>(none)</t>
        </is>
      </c>
      <c r="I792" s="5" t="inlineStr"/>
      <c r="J792" s="5" t="inlineStr"/>
      <c r="K792" s="5" t="n">
        <v>604</v>
      </c>
      <c r="L792" s="5" t="n">
        <v>20</v>
      </c>
      <c r="M792" s="10">
        <f>IF(AND(ISNUMBER(K792),L792&gt;0),K792/L792,"")</f>
        <v/>
      </c>
      <c r="N792" s="5" t="n">
        <v>1.207</v>
      </c>
      <c r="O792" s="5" t="n">
        <v>26.6</v>
      </c>
      <c r="P792" s="5" t="n">
        <v>0</v>
      </c>
      <c r="Q792" s="5" t="n">
        <v>0</v>
      </c>
      <c r="R792" s="5" t="n">
        <v>0</v>
      </c>
      <c r="S792" s="5" t="n">
        <v>1</v>
      </c>
      <c r="T792" s="5" t="n">
        <v>0</v>
      </c>
      <c r="U792" s="5" t="n">
        <v>4</v>
      </c>
      <c r="V792" s="5" t="n">
        <v>2</v>
      </c>
      <c r="W792" s="5" t="n">
        <v>6.04</v>
      </c>
      <c r="X792" s="5" t="inlineStr"/>
      <c r="Y792" s="5" t="n">
        <v>1097</v>
      </c>
      <c r="Z792" s="5" t="n">
        <v>2944.5</v>
      </c>
      <c r="AA792" s="5" t="n">
        <v>1258.9</v>
      </c>
      <c r="AB792" s="5" t="n">
        <v>3029.7</v>
      </c>
      <c r="AC792" s="5" t="inlineStr"/>
      <c r="AD792" s="5">
        <f>IF(AC792="","",IF(OR(AC792=F792,AND(AC792="crane_footing",F792="isolated_footing")),"yes","no"))</f>
        <v/>
      </c>
    </row>
    <row r="793">
      <c r="A793" s="5" t="n">
        <v>792</v>
      </c>
      <c r="B793" s="5" t="inlineStr">
        <is>
          <t>128</t>
        </is>
      </c>
      <c r="C793" s="5" t="inlineStr">
        <is>
          <t>region between joints</t>
        </is>
      </c>
      <c r="D793" s="5" t="inlineStr">
        <is>
          <t>band</t>
        </is>
      </c>
      <c r="E793" s="5" t="n">
        <v>1</v>
      </c>
      <c r="F793" s="5" t="inlineStr">
        <is>
          <t>unnamed</t>
        </is>
      </c>
      <c r="G793" s="5" t="inlineStr">
        <is>
          <t>no label votes</t>
        </is>
      </c>
      <c r="H793" s="5" t="inlineStr">
        <is>
          <t>(none)</t>
        </is>
      </c>
      <c r="I793" s="5" t="inlineStr"/>
      <c r="J793" s="5" t="inlineStr"/>
      <c r="K793" s="5" t="n">
        <v>337</v>
      </c>
      <c r="L793" s="5" t="n">
        <v>20</v>
      </c>
      <c r="M793" s="10">
        <f>IF(AND(ISNUMBER(K793),L793&gt;0),K793/L793,"")</f>
        <v/>
      </c>
      <c r="N793" s="5" t="n">
        <v>0.674</v>
      </c>
      <c r="O793" s="5" t="n">
        <v>116.6</v>
      </c>
      <c r="P793" s="5" t="n">
        <v>2</v>
      </c>
      <c r="Q793" s="5" t="n">
        <v>1</v>
      </c>
      <c r="R793" s="5" t="n">
        <v>0</v>
      </c>
      <c r="S793" s="5" t="n">
        <v>1</v>
      </c>
      <c r="T793" s="5" t="n">
        <v>0</v>
      </c>
      <c r="U793" s="5" t="n">
        <v>3</v>
      </c>
      <c r="V793" s="5" t="n">
        <v>4</v>
      </c>
      <c r="W793" s="5" t="n">
        <v>0</v>
      </c>
      <c r="X793" s="5" t="inlineStr"/>
      <c r="Y793" s="5" t="n">
        <v>1256.2</v>
      </c>
      <c r="Z793" s="5" t="n">
        <v>2742</v>
      </c>
      <c r="AA793" s="5" t="n">
        <v>1306.1</v>
      </c>
      <c r="AB793" s="5" t="n">
        <v>2833.7</v>
      </c>
      <c r="AC793" s="5" t="inlineStr"/>
      <c r="AD793" s="5">
        <f>IF(AC793="","",IF(OR(AC793=F793,AND(AC793="crane_footing",F793="isolated_footing")),"yes","no"))</f>
        <v/>
      </c>
    </row>
    <row r="794">
      <c r="A794" s="5" t="n">
        <v>793</v>
      </c>
      <c r="B794" s="5" t="inlineStr">
        <is>
          <t>128</t>
        </is>
      </c>
      <c r="C794" s="5" t="inlineStr">
        <is>
          <t>region between joints</t>
        </is>
      </c>
      <c r="D794" s="5" t="inlineStr">
        <is>
          <t>band</t>
        </is>
      </c>
      <c r="E794" s="5" t="n">
        <v>1</v>
      </c>
      <c r="F794" s="5" t="inlineStr">
        <is>
          <t>unnamed</t>
        </is>
      </c>
      <c r="G794" s="5" t="inlineStr">
        <is>
          <t>no label votes</t>
        </is>
      </c>
      <c r="H794" s="5" t="inlineStr">
        <is>
          <t>(none)</t>
        </is>
      </c>
      <c r="I794" s="5" t="inlineStr"/>
      <c r="J794" s="5" t="inlineStr"/>
      <c r="K794" s="5" t="n">
        <v>130</v>
      </c>
      <c r="L794" s="5" t="n">
        <v>20</v>
      </c>
      <c r="M794" s="10">
        <f>IF(AND(ISNUMBER(K794),L794&gt;0),K794/L794,"")</f>
        <v/>
      </c>
      <c r="N794" s="5" t="n">
        <v>0.26</v>
      </c>
      <c r="O794" s="5" t="n">
        <v>26.6</v>
      </c>
      <c r="P794" s="5" t="n">
        <v>1</v>
      </c>
      <c r="Q794" s="5" t="n">
        <v>0</v>
      </c>
      <c r="R794" s="5" t="n">
        <v>0</v>
      </c>
      <c r="S794" s="5" t="n">
        <v>1</v>
      </c>
      <c r="T794" s="5" t="n">
        <v>0</v>
      </c>
      <c r="U794" s="5" t="n">
        <v>3</v>
      </c>
      <c r="V794" s="5" t="n">
        <v>2</v>
      </c>
      <c r="W794" s="5" t="n">
        <v>1.3</v>
      </c>
      <c r="X794" s="5" t="inlineStr"/>
      <c r="Y794" s="5" t="n">
        <v>1306.6</v>
      </c>
      <c r="Z794" s="5" t="n">
        <v>2738.3</v>
      </c>
      <c r="AA794" s="5" t="n">
        <v>1343.6</v>
      </c>
      <c r="AB794" s="5" t="n">
        <v>2760.8</v>
      </c>
      <c r="AC794" s="5" t="inlineStr"/>
      <c r="AD794" s="5">
        <f>IF(AC794="","",IF(OR(AC794=F794,AND(AC794="crane_footing",F794="isolated_footing")),"yes","no"))</f>
        <v/>
      </c>
    </row>
    <row r="795">
      <c r="A795" s="5" t="n">
        <v>794</v>
      </c>
      <c r="B795" s="5" t="inlineStr">
        <is>
          <t>128</t>
        </is>
      </c>
      <c r="C795" s="5" t="inlineStr">
        <is>
          <t>region between joints</t>
        </is>
      </c>
      <c r="D795" s="5" t="inlineStr">
        <is>
          <t>band</t>
        </is>
      </c>
      <c r="E795" s="5" t="n">
        <v>1</v>
      </c>
      <c r="F795" s="5" t="inlineStr">
        <is>
          <t>unnamed</t>
        </is>
      </c>
      <c r="G795" s="5" t="inlineStr">
        <is>
          <t>no label votes</t>
        </is>
      </c>
      <c r="H795" s="5" t="inlineStr">
        <is>
          <t>(none)</t>
        </is>
      </c>
      <c r="I795" s="5" t="inlineStr"/>
      <c r="J795" s="5" t="inlineStr"/>
      <c r="K795" s="5" t="n">
        <v>108</v>
      </c>
      <c r="L795" s="5" t="n">
        <v>20</v>
      </c>
      <c r="M795" s="10">
        <f>IF(AND(ISNUMBER(K795),L795&gt;0),K795/L795,"")</f>
        <v/>
      </c>
      <c r="N795" s="5" t="n">
        <v>0.217</v>
      </c>
      <c r="O795" s="5" t="n">
        <v>26.6</v>
      </c>
      <c r="P795" s="5" t="n">
        <v>1</v>
      </c>
      <c r="Q795" s="5" t="n">
        <v>1</v>
      </c>
      <c r="R795" s="5" t="n">
        <v>0</v>
      </c>
      <c r="S795" s="5" t="n">
        <v>1</v>
      </c>
      <c r="T795" s="5" t="n">
        <v>0</v>
      </c>
      <c r="U795" s="5" t="n">
        <v>2</v>
      </c>
      <c r="V795" s="5" t="n">
        <v>1</v>
      </c>
      <c r="W795" s="5" t="n">
        <v>0</v>
      </c>
      <c r="X795" s="5" t="inlineStr"/>
      <c r="Y795" s="5" t="n">
        <v>1262.9</v>
      </c>
      <c r="Z795" s="5" t="n">
        <v>2835.8</v>
      </c>
      <c r="AA795" s="5" t="n">
        <v>1294.1</v>
      </c>
      <c r="AB795" s="5" t="n">
        <v>2855.4</v>
      </c>
      <c r="AC795" s="5" t="inlineStr"/>
      <c r="AD795" s="5">
        <f>IF(AC795="","",IF(OR(AC795=F795,AND(AC795="crane_footing",F795="isolated_footing")),"yes","no"))</f>
        <v/>
      </c>
    </row>
    <row r="796">
      <c r="A796" s="5" t="n">
        <v>795</v>
      </c>
      <c r="B796" s="5" t="inlineStr">
        <is>
          <t>128</t>
        </is>
      </c>
      <c r="C796" s="5" t="inlineStr">
        <is>
          <t>region between joints</t>
        </is>
      </c>
      <c r="D796" s="5" t="inlineStr">
        <is>
          <t>band</t>
        </is>
      </c>
      <c r="E796" s="5" t="n">
        <v>1</v>
      </c>
      <c r="F796" s="5" t="inlineStr">
        <is>
          <t>unnamed</t>
        </is>
      </c>
      <c r="G796" s="5" t="inlineStr">
        <is>
          <t>no label votes</t>
        </is>
      </c>
      <c r="H796" s="5" t="inlineStr">
        <is>
          <t>(none)</t>
        </is>
      </c>
      <c r="I796" s="5" t="inlineStr"/>
      <c r="J796" s="5" t="inlineStr"/>
      <c r="K796" s="5" t="n">
        <v>60</v>
      </c>
      <c r="L796" s="5" t="n">
        <v>20</v>
      </c>
      <c r="M796" s="10">
        <f>IF(AND(ISNUMBER(K796),L796&gt;0),K796/L796,"")</f>
        <v/>
      </c>
      <c r="N796" s="5" t="n">
        <v>0.12</v>
      </c>
      <c r="O796" s="5" t="n">
        <v>26.6</v>
      </c>
      <c r="P796" s="5" t="n">
        <v>0</v>
      </c>
      <c r="Q796" s="5" t="n">
        <v>1</v>
      </c>
      <c r="R796" s="5" t="n">
        <v>0</v>
      </c>
      <c r="S796" s="5" t="n">
        <v>0</v>
      </c>
      <c r="T796" s="5" t="n">
        <v>0</v>
      </c>
      <c r="U796" s="5" t="n">
        <v>23</v>
      </c>
      <c r="V796" s="5" t="n">
        <v>3</v>
      </c>
      <c r="W796" s="5" t="n">
        <v>0</v>
      </c>
      <c r="X796" s="5" t="inlineStr"/>
      <c r="Y796" s="5" t="n">
        <v>1586.7</v>
      </c>
      <c r="Z796" s="5" t="n">
        <v>2332.8</v>
      </c>
      <c r="AA796" s="5" t="n">
        <v>1605.2</v>
      </c>
      <c r="AB796" s="5" t="n">
        <v>2346</v>
      </c>
      <c r="AC796" s="5" t="inlineStr"/>
      <c r="AD796" s="5">
        <f>IF(AC796="","",IF(OR(AC796=F796,AND(AC796="crane_footing",F796="isolated_footing")),"yes","no"))</f>
        <v/>
      </c>
    </row>
    <row r="797">
      <c r="A797" s="5" t="n">
        <v>796</v>
      </c>
      <c r="B797" s="5" t="inlineStr">
        <is>
          <t>128</t>
        </is>
      </c>
      <c r="C797" s="5" t="inlineStr">
        <is>
          <t>region between joints</t>
        </is>
      </c>
      <c r="D797" s="5" t="inlineStr">
        <is>
          <t>band</t>
        </is>
      </c>
      <c r="E797" s="5" t="n">
        <v>3</v>
      </c>
      <c r="F797" s="5" t="inlineStr">
        <is>
          <t>unnamed</t>
        </is>
      </c>
      <c r="G797" s="5" t="inlineStr">
        <is>
          <t>no label votes</t>
        </is>
      </c>
      <c r="H797" s="5" t="inlineStr">
        <is>
          <t>(none)</t>
        </is>
      </c>
      <c r="I797" s="5" t="inlineStr"/>
      <c r="J797" s="5" t="inlineStr"/>
      <c r="K797" s="5" t="n">
        <v>232</v>
      </c>
      <c r="L797" s="5" t="n">
        <v>31</v>
      </c>
      <c r="M797" s="10">
        <f>IF(AND(ISNUMBER(K797),L797&gt;0),K797/L797,"")</f>
        <v/>
      </c>
      <c r="N797" s="5" t="n">
        <v>0.72</v>
      </c>
      <c r="O797" s="5" t="n">
        <v>1.7</v>
      </c>
      <c r="P797" s="5" t="n">
        <v>1</v>
      </c>
      <c r="Q797" s="5" t="n">
        <v>0</v>
      </c>
      <c r="R797" s="5" t="n">
        <v>0</v>
      </c>
      <c r="S797" s="5" t="n">
        <v>0</v>
      </c>
      <c r="T797" s="5" t="n">
        <v>0</v>
      </c>
      <c r="U797" s="5" t="n">
        <v>0</v>
      </c>
      <c r="V797" s="5" t="n">
        <v>4</v>
      </c>
      <c r="W797" s="5" t="n">
        <v>1.27</v>
      </c>
      <c r="X797" s="5" t="inlineStr"/>
      <c r="Y797" s="5" t="n">
        <v>876.5</v>
      </c>
      <c r="Z797" s="5" t="n">
        <v>2722.9</v>
      </c>
      <c r="AA797" s="5" t="n">
        <v>945.4</v>
      </c>
      <c r="AB797" s="5" t="n">
        <v>2734</v>
      </c>
      <c r="AC797" s="5" t="inlineStr"/>
      <c r="AD797" s="5">
        <f>IF(AC797="","",IF(OR(AC797=F797,AND(AC797="crane_footing",F797="isolated_footing")),"yes","no"))</f>
        <v/>
      </c>
    </row>
    <row r="798">
      <c r="A798" s="5" t="n">
        <v>797</v>
      </c>
      <c r="B798" s="5" t="inlineStr">
        <is>
          <t>128</t>
        </is>
      </c>
      <c r="C798" s="5" t="inlineStr">
        <is>
          <t>region between joints</t>
        </is>
      </c>
      <c r="D798" s="5" t="inlineStr">
        <is>
          <t>band</t>
        </is>
      </c>
      <c r="E798" s="5" t="n">
        <v>3</v>
      </c>
      <c r="F798" s="5" t="inlineStr">
        <is>
          <t>unnamed</t>
        </is>
      </c>
      <c r="G798" s="5" t="inlineStr">
        <is>
          <t>no label votes</t>
        </is>
      </c>
      <c r="H798" s="5" t="inlineStr">
        <is>
          <t>(none)</t>
        </is>
      </c>
      <c r="I798" s="5" t="inlineStr"/>
      <c r="J798" s="5" t="inlineStr"/>
      <c r="K798" s="5" t="n">
        <v>232</v>
      </c>
      <c r="L798" s="5" t="n">
        <v>31</v>
      </c>
      <c r="M798" s="10">
        <f>IF(AND(ISNUMBER(K798),L798&gt;0),K798/L798,"")</f>
        <v/>
      </c>
      <c r="N798" s="5" t="n">
        <v>0.72</v>
      </c>
      <c r="O798" s="5" t="n">
        <v>1.7</v>
      </c>
      <c r="P798" s="5" t="n">
        <v>1</v>
      </c>
      <c r="Q798" s="5" t="n">
        <v>0</v>
      </c>
      <c r="R798" s="5" t="n">
        <v>0</v>
      </c>
      <c r="S798" s="5" t="n">
        <v>0</v>
      </c>
      <c r="T798" s="5" t="n">
        <v>0</v>
      </c>
      <c r="U798" s="5" t="n">
        <v>0</v>
      </c>
      <c r="V798" s="5" t="n">
        <v>5</v>
      </c>
      <c r="W798" s="5" t="n">
        <v>1.91</v>
      </c>
      <c r="X798" s="5" t="inlineStr"/>
      <c r="Y798" s="5" t="n">
        <v>887.7</v>
      </c>
      <c r="Z798" s="5" t="n">
        <v>2713.8</v>
      </c>
      <c r="AA798" s="5" t="n">
        <v>956.5</v>
      </c>
      <c r="AB798" s="5" t="n">
        <v>2724.9</v>
      </c>
      <c r="AC798" s="5" t="inlineStr"/>
      <c r="AD798" s="5">
        <f>IF(AC798="","",IF(OR(AC798=F798,AND(AC798="crane_footing",F798="isolated_footing")),"yes","no"))</f>
        <v/>
      </c>
    </row>
    <row r="799">
      <c r="A799" s="5" t="n">
        <v>798</v>
      </c>
      <c r="B799" s="5" t="inlineStr">
        <is>
          <t>128</t>
        </is>
      </c>
      <c r="C799" s="5" t="inlineStr">
        <is>
          <t>region between joints</t>
        </is>
      </c>
      <c r="D799" s="5" t="inlineStr">
        <is>
          <t>band</t>
        </is>
      </c>
      <c r="E799" s="5" t="n">
        <v>3</v>
      </c>
      <c r="F799" s="5" t="inlineStr">
        <is>
          <t>unnamed</t>
        </is>
      </c>
      <c r="G799" s="5" t="inlineStr">
        <is>
          <t>no label votes</t>
        </is>
      </c>
      <c r="H799" s="5" t="inlineStr">
        <is>
          <t>(none)</t>
        </is>
      </c>
      <c r="I799" s="5" t="inlineStr"/>
      <c r="J799" s="5" t="inlineStr"/>
      <c r="K799" s="5" t="n">
        <v>232</v>
      </c>
      <c r="L799" s="5" t="n">
        <v>31</v>
      </c>
      <c r="M799" s="10">
        <f>IF(AND(ISNUMBER(K799),L799&gt;0),K799/L799,"")</f>
        <v/>
      </c>
      <c r="N799" s="5" t="n">
        <v>0.718</v>
      </c>
      <c r="O799" s="5" t="n">
        <v>1.7</v>
      </c>
      <c r="P799" s="5" t="n">
        <v>1</v>
      </c>
      <c r="Q799" s="5" t="n">
        <v>0</v>
      </c>
      <c r="R799" s="5" t="n">
        <v>0</v>
      </c>
      <c r="S799" s="5" t="n">
        <v>0</v>
      </c>
      <c r="T799" s="5" t="n">
        <v>0</v>
      </c>
      <c r="U799" s="5" t="n">
        <v>0</v>
      </c>
      <c r="V799" s="5" t="n">
        <v>5</v>
      </c>
      <c r="W799" s="5" t="n">
        <v>2.32</v>
      </c>
      <c r="X799" s="5" t="inlineStr"/>
      <c r="Y799" s="5" t="n">
        <v>898.9</v>
      </c>
      <c r="Z799" s="5" t="n">
        <v>2704.7</v>
      </c>
      <c r="AA799" s="5" t="n">
        <v>967.5</v>
      </c>
      <c r="AB799" s="5" t="n">
        <v>2715.9</v>
      </c>
      <c r="AC799" s="5" t="inlineStr"/>
      <c r="AD799" s="5">
        <f>IF(AC799="","",IF(OR(AC799=F799,AND(AC799="crane_footing",F799="isolated_footing")),"yes","no"))</f>
        <v/>
      </c>
    </row>
    <row r="800">
      <c r="A800" s="5" t="n">
        <v>799</v>
      </c>
      <c r="B800" s="5" t="inlineStr">
        <is>
          <t>128</t>
        </is>
      </c>
      <c r="C800" s="5" t="inlineStr">
        <is>
          <t>region between joints</t>
        </is>
      </c>
      <c r="D800" s="5" t="inlineStr">
        <is>
          <t>band</t>
        </is>
      </c>
      <c r="E800" s="5" t="n">
        <v>3</v>
      </c>
      <c r="F800" s="5" t="inlineStr">
        <is>
          <t>unnamed</t>
        </is>
      </c>
      <c r="G800" s="5" t="inlineStr">
        <is>
          <t>no label votes</t>
        </is>
      </c>
      <c r="H800" s="5" t="inlineStr">
        <is>
          <t>(none)</t>
        </is>
      </c>
      <c r="I800" s="5" t="inlineStr"/>
      <c r="J800" s="5" t="inlineStr"/>
      <c r="K800" s="5" t="n">
        <v>231</v>
      </c>
      <c r="L800" s="5" t="n">
        <v>31</v>
      </c>
      <c r="M800" s="10">
        <f>IF(AND(ISNUMBER(K800),L800&gt;0),K800/L800,"")</f>
        <v/>
      </c>
      <c r="N800" s="5" t="n">
        <v>0.717</v>
      </c>
      <c r="O800" s="5" t="n">
        <v>1.7</v>
      </c>
      <c r="P800" s="5" t="n">
        <v>1</v>
      </c>
      <c r="Q800" s="5" t="n">
        <v>0</v>
      </c>
      <c r="R800" s="5" t="n">
        <v>0</v>
      </c>
      <c r="S800" s="5" t="n">
        <v>0</v>
      </c>
      <c r="T800" s="5" t="n">
        <v>0</v>
      </c>
      <c r="U800" s="5" t="n">
        <v>0</v>
      </c>
      <c r="V800" s="5" t="n">
        <v>5</v>
      </c>
      <c r="W800" s="5" t="n">
        <v>2.31</v>
      </c>
      <c r="X800" s="5" t="inlineStr"/>
      <c r="Y800" s="5" t="n">
        <v>910</v>
      </c>
      <c r="Z800" s="5" t="n">
        <v>2695.7</v>
      </c>
      <c r="AA800" s="5" t="n">
        <v>978.6</v>
      </c>
      <c r="AB800" s="5" t="n">
        <v>2706.8</v>
      </c>
      <c r="AC800" s="5" t="inlineStr"/>
      <c r="AD800" s="5">
        <f>IF(AC800="","",IF(OR(AC800=F800,AND(AC800="crane_footing",F800="isolated_footing")),"yes","no"))</f>
        <v/>
      </c>
    </row>
    <row r="801">
      <c r="A801" s="5" t="n">
        <v>800</v>
      </c>
      <c r="B801" s="5" t="inlineStr">
        <is>
          <t>128</t>
        </is>
      </c>
      <c r="C801" s="5" t="inlineStr">
        <is>
          <t>region between joints</t>
        </is>
      </c>
      <c r="D801" s="5" t="inlineStr">
        <is>
          <t>band</t>
        </is>
      </c>
      <c r="E801" s="5" t="n">
        <v>3</v>
      </c>
      <c r="F801" s="5" t="inlineStr">
        <is>
          <t>unnamed</t>
        </is>
      </c>
      <c r="G801" s="5" t="inlineStr">
        <is>
          <t>no label votes</t>
        </is>
      </c>
      <c r="H801" s="5" t="inlineStr">
        <is>
          <t>(none)</t>
        </is>
      </c>
      <c r="I801" s="5" t="inlineStr"/>
      <c r="J801" s="5" t="inlineStr"/>
      <c r="K801" s="5" t="n">
        <v>231</v>
      </c>
      <c r="L801" s="5" t="n">
        <v>31</v>
      </c>
      <c r="M801" s="10">
        <f>IF(AND(ISNUMBER(K801),L801&gt;0),K801/L801,"")</f>
        <v/>
      </c>
      <c r="N801" s="5" t="n">
        <v>0.716</v>
      </c>
      <c r="O801" s="5" t="n">
        <v>1.6</v>
      </c>
      <c r="P801" s="5" t="n">
        <v>1</v>
      </c>
      <c r="Q801" s="5" t="n">
        <v>0</v>
      </c>
      <c r="R801" s="5" t="n">
        <v>0</v>
      </c>
      <c r="S801" s="5" t="n">
        <v>0</v>
      </c>
      <c r="T801" s="5" t="n">
        <v>0</v>
      </c>
      <c r="U801" s="5" t="n">
        <v>1</v>
      </c>
      <c r="V801" s="5" t="n">
        <v>6</v>
      </c>
      <c r="W801" s="5" t="n">
        <v>2.31</v>
      </c>
      <c r="X801" s="5" t="inlineStr"/>
      <c r="Y801" s="5" t="n">
        <v>921.2</v>
      </c>
      <c r="Z801" s="5" t="n">
        <v>2686.6</v>
      </c>
      <c r="AA801" s="5" t="n">
        <v>989.7</v>
      </c>
      <c r="AB801" s="5" t="n">
        <v>2697.7</v>
      </c>
      <c r="AC801" s="5" t="inlineStr"/>
      <c r="AD801" s="5">
        <f>IF(AC801="","",IF(OR(AC801=F801,AND(AC801="crane_footing",F801="isolated_footing")),"yes","no"))</f>
        <v/>
      </c>
    </row>
    <row r="802">
      <c r="A802" s="5" t="n">
        <v>801</v>
      </c>
      <c r="B802" s="5" t="inlineStr">
        <is>
          <t>128</t>
        </is>
      </c>
      <c r="C802" s="5" t="inlineStr">
        <is>
          <t>region between joints</t>
        </is>
      </c>
      <c r="D802" s="5" t="inlineStr">
        <is>
          <t>band</t>
        </is>
      </c>
      <c r="E802" s="5" t="n">
        <v>3</v>
      </c>
      <c r="F802" s="5" t="inlineStr">
        <is>
          <t>unnamed</t>
        </is>
      </c>
      <c r="G802" s="5" t="inlineStr">
        <is>
          <t>no label votes</t>
        </is>
      </c>
      <c r="H802" s="5" t="inlineStr">
        <is>
          <t>(none)</t>
        </is>
      </c>
      <c r="I802" s="5" t="inlineStr"/>
      <c r="J802" s="5" t="inlineStr"/>
      <c r="K802" s="5" t="n">
        <v>231</v>
      </c>
      <c r="L802" s="5" t="n">
        <v>31</v>
      </c>
      <c r="M802" s="10">
        <f>IF(AND(ISNUMBER(K802),L802&gt;0),K802/L802,"")</f>
        <v/>
      </c>
      <c r="N802" s="5" t="n">
        <v>0.716</v>
      </c>
      <c r="O802" s="5" t="n">
        <v>1.6</v>
      </c>
      <c r="P802" s="5" t="n">
        <v>1</v>
      </c>
      <c r="Q802" s="5" t="n">
        <v>1</v>
      </c>
      <c r="R802" s="5" t="n">
        <v>0</v>
      </c>
      <c r="S802" s="5" t="n">
        <v>0</v>
      </c>
      <c r="T802" s="5" t="n">
        <v>0</v>
      </c>
      <c r="U802" s="5" t="n">
        <v>0</v>
      </c>
      <c r="V802" s="5" t="n">
        <v>4</v>
      </c>
      <c r="W802" s="5" t="n">
        <v>0.63</v>
      </c>
      <c r="X802" s="5" t="inlineStr"/>
      <c r="Y802" s="5" t="n">
        <v>865.9</v>
      </c>
      <c r="Z802" s="5" t="n">
        <v>2732</v>
      </c>
      <c r="AA802" s="5" t="n">
        <v>934.3</v>
      </c>
      <c r="AB802" s="5" t="n">
        <v>2743.1</v>
      </c>
      <c r="AC802" s="5" t="inlineStr"/>
      <c r="AD802" s="5">
        <f>IF(AC802="","",IF(OR(AC802=F802,AND(AC802="crane_footing",F802="isolated_footing")),"yes","no"))</f>
        <v/>
      </c>
    </row>
    <row r="803">
      <c r="A803" s="5" t="n">
        <v>802</v>
      </c>
      <c r="B803" s="5" t="inlineStr">
        <is>
          <t>128</t>
        </is>
      </c>
      <c r="C803" s="5" t="inlineStr">
        <is>
          <t>region between joints</t>
        </is>
      </c>
      <c r="D803" s="5" t="inlineStr">
        <is>
          <t>band</t>
        </is>
      </c>
      <c r="E803" s="5" t="n">
        <v>3</v>
      </c>
      <c r="F803" s="5" t="inlineStr">
        <is>
          <t>unnamed</t>
        </is>
      </c>
      <c r="G803" s="5" t="inlineStr">
        <is>
          <t>no label votes</t>
        </is>
      </c>
      <c r="H803" s="5" t="inlineStr">
        <is>
          <t>(none)</t>
        </is>
      </c>
      <c r="I803" s="5" t="inlineStr"/>
      <c r="J803" s="5" t="inlineStr"/>
      <c r="K803" s="5" t="n">
        <v>231</v>
      </c>
      <c r="L803" s="5" t="n">
        <v>31</v>
      </c>
      <c r="M803" s="10">
        <f>IF(AND(ISNUMBER(K803),L803&gt;0),K803/L803,"")</f>
        <v/>
      </c>
      <c r="N803" s="5" t="n">
        <v>0.715</v>
      </c>
      <c r="O803" s="5" t="n">
        <v>1.6</v>
      </c>
      <c r="P803" s="5" t="n">
        <v>1</v>
      </c>
      <c r="Q803" s="5" t="n">
        <v>0</v>
      </c>
      <c r="R803" s="5" t="n">
        <v>0</v>
      </c>
      <c r="S803" s="5" t="n">
        <v>0</v>
      </c>
      <c r="T803" s="5" t="n">
        <v>0</v>
      </c>
      <c r="U803" s="5" t="n">
        <v>0</v>
      </c>
      <c r="V803" s="5" t="n">
        <v>6</v>
      </c>
      <c r="W803" s="5" t="n">
        <v>2.31</v>
      </c>
      <c r="X803" s="5" t="inlineStr"/>
      <c r="Y803" s="5" t="n">
        <v>932.4</v>
      </c>
      <c r="Z803" s="5" t="n">
        <v>2677.6</v>
      </c>
      <c r="AA803" s="5" t="n">
        <v>1000.8</v>
      </c>
      <c r="AB803" s="5" t="n">
        <v>2688.7</v>
      </c>
      <c r="AC803" s="5" t="inlineStr"/>
      <c r="AD803" s="5">
        <f>IF(AC803="","",IF(OR(AC803=F803,AND(AC803="crane_footing",F803="isolated_footing")),"yes","no"))</f>
        <v/>
      </c>
    </row>
    <row r="804">
      <c r="A804" s="5" t="n">
        <v>803</v>
      </c>
      <c r="B804" s="5" t="inlineStr">
        <is>
          <t>128</t>
        </is>
      </c>
      <c r="C804" s="5" t="inlineStr">
        <is>
          <t>region between joints</t>
        </is>
      </c>
      <c r="D804" s="5" t="inlineStr">
        <is>
          <t>band</t>
        </is>
      </c>
      <c r="E804" s="5" t="n">
        <v>3</v>
      </c>
      <c r="F804" s="5" t="inlineStr">
        <is>
          <t>unnamed</t>
        </is>
      </c>
      <c r="G804" s="5" t="inlineStr">
        <is>
          <t>no label votes</t>
        </is>
      </c>
      <c r="H804" s="5" t="inlineStr">
        <is>
          <t>(none)</t>
        </is>
      </c>
      <c r="I804" s="5" t="inlineStr"/>
      <c r="J804" s="5" t="inlineStr"/>
      <c r="K804" s="5" t="n">
        <v>230</v>
      </c>
      <c r="L804" s="5" t="n">
        <v>31</v>
      </c>
      <c r="M804" s="10">
        <f>IF(AND(ISNUMBER(K804),L804&gt;0),K804/L804,"")</f>
        <v/>
      </c>
      <c r="N804" s="5" t="n">
        <v>0.714</v>
      </c>
      <c r="O804" s="5" t="n">
        <v>1.6</v>
      </c>
      <c r="P804" s="5" t="n">
        <v>1</v>
      </c>
      <c r="Q804" s="5" t="n">
        <v>0</v>
      </c>
      <c r="R804" s="5" t="n">
        <v>0</v>
      </c>
      <c r="S804" s="5" t="n">
        <v>0</v>
      </c>
      <c r="T804" s="5" t="n">
        <v>0</v>
      </c>
      <c r="U804" s="5" t="n">
        <v>1</v>
      </c>
      <c r="V804" s="5" t="n">
        <v>6</v>
      </c>
      <c r="W804" s="5" t="n">
        <v>2.19</v>
      </c>
      <c r="X804" s="5" t="inlineStr"/>
      <c r="Y804" s="5" t="n">
        <v>943.6</v>
      </c>
      <c r="Z804" s="5" t="n">
        <v>2668.5</v>
      </c>
      <c r="AA804" s="5" t="n">
        <v>1011.8</v>
      </c>
      <c r="AB804" s="5" t="n">
        <v>2679.6</v>
      </c>
      <c r="AC804" s="5" t="inlineStr"/>
      <c r="AD804" s="5">
        <f>IF(AC804="","",IF(OR(AC804=F804,AND(AC804="crane_footing",F804="isolated_footing")),"yes","no"))</f>
        <v/>
      </c>
    </row>
    <row r="805">
      <c r="A805" s="5" t="n">
        <v>804</v>
      </c>
      <c r="B805" s="5" t="inlineStr">
        <is>
          <t>128</t>
        </is>
      </c>
      <c r="C805" s="5" t="inlineStr">
        <is>
          <t>region between joints</t>
        </is>
      </c>
      <c r="D805" s="5" t="inlineStr">
        <is>
          <t>band</t>
        </is>
      </c>
      <c r="E805" s="5" t="n">
        <v>3</v>
      </c>
      <c r="F805" s="5" t="inlineStr">
        <is>
          <t>unnamed</t>
        </is>
      </c>
      <c r="G805" s="5" t="inlineStr">
        <is>
          <t>no label votes</t>
        </is>
      </c>
      <c r="H805" s="5" t="inlineStr">
        <is>
          <t>(none)</t>
        </is>
      </c>
      <c r="I805" s="5" t="inlineStr"/>
      <c r="J805" s="5" t="inlineStr"/>
      <c r="K805" s="5" t="n">
        <v>230</v>
      </c>
      <c r="L805" s="5" t="n">
        <v>31</v>
      </c>
      <c r="M805" s="10">
        <f>IF(AND(ISNUMBER(K805),L805&gt;0),K805/L805,"")</f>
        <v/>
      </c>
      <c r="N805" s="5" t="n">
        <v>0.713</v>
      </c>
      <c r="O805" s="5" t="n">
        <v>1.6</v>
      </c>
      <c r="P805" s="5" t="n">
        <v>1</v>
      </c>
      <c r="Q805" s="5" t="n">
        <v>0</v>
      </c>
      <c r="R805" s="5" t="n">
        <v>0</v>
      </c>
      <c r="S805" s="5" t="n">
        <v>0</v>
      </c>
      <c r="T805" s="5" t="n">
        <v>0</v>
      </c>
      <c r="U805" s="5" t="n">
        <v>0</v>
      </c>
      <c r="V805" s="5" t="n">
        <v>6</v>
      </c>
      <c r="W805" s="5" t="n">
        <v>1.55</v>
      </c>
      <c r="X805" s="5" t="inlineStr"/>
      <c r="Y805" s="5" t="n">
        <v>954.7</v>
      </c>
      <c r="Z805" s="5" t="n">
        <v>2659.5</v>
      </c>
      <c r="AA805" s="5" t="n">
        <v>1022.9</v>
      </c>
      <c r="AB805" s="5" t="n">
        <v>2670.6</v>
      </c>
      <c r="AC805" s="5" t="inlineStr"/>
      <c r="AD805" s="5">
        <f>IF(AC805="","",IF(OR(AC805=F805,AND(AC805="crane_footing",F805="isolated_footing")),"yes","no"))</f>
        <v/>
      </c>
    </row>
    <row r="806">
      <c r="A806" s="5" t="n">
        <v>805</v>
      </c>
      <c r="B806" s="5" t="inlineStr">
        <is>
          <t>128</t>
        </is>
      </c>
      <c r="C806" s="5" t="inlineStr">
        <is>
          <t>region between joints</t>
        </is>
      </c>
      <c r="D806" s="5" t="inlineStr">
        <is>
          <t>band</t>
        </is>
      </c>
      <c r="E806" s="5" t="n">
        <v>3</v>
      </c>
      <c r="F806" s="5" t="inlineStr">
        <is>
          <t>unnamed</t>
        </is>
      </c>
      <c r="G806" s="5" t="inlineStr">
        <is>
          <t>no label votes</t>
        </is>
      </c>
      <c r="H806" s="5" t="inlineStr">
        <is>
          <t>(none)</t>
        </is>
      </c>
      <c r="I806" s="5" t="inlineStr"/>
      <c r="J806" s="5" t="inlineStr"/>
      <c r="K806" s="5" t="n">
        <v>230</v>
      </c>
      <c r="L806" s="5" t="n">
        <v>31</v>
      </c>
      <c r="M806" s="10">
        <f>IF(AND(ISNUMBER(K806),L806&gt;0),K806/L806,"")</f>
        <v/>
      </c>
      <c r="N806" s="5" t="n">
        <v>0.712</v>
      </c>
      <c r="O806" s="5" t="n">
        <v>1.6</v>
      </c>
      <c r="P806" s="5" t="n">
        <v>1</v>
      </c>
      <c r="Q806" s="5" t="n">
        <v>1</v>
      </c>
      <c r="R806" s="5" t="n">
        <v>0</v>
      </c>
      <c r="S806" s="5" t="n">
        <v>0</v>
      </c>
      <c r="T806" s="5" t="n">
        <v>0</v>
      </c>
      <c r="U806" s="5" t="n">
        <v>0</v>
      </c>
      <c r="V806" s="5" t="n">
        <v>5</v>
      </c>
      <c r="W806" s="5" t="n">
        <v>0.9</v>
      </c>
      <c r="X806" s="5" t="inlineStr"/>
      <c r="Y806" s="5" t="n">
        <v>965.9</v>
      </c>
      <c r="Z806" s="5" t="n">
        <v>2650.4</v>
      </c>
      <c r="AA806" s="5" t="n">
        <v>1034</v>
      </c>
      <c r="AB806" s="5" t="n">
        <v>2661.5</v>
      </c>
      <c r="AC806" s="5" t="inlineStr"/>
      <c r="AD806" s="5">
        <f>IF(AC806="","",IF(OR(AC806=F806,AND(AC806="crane_footing",F806="isolated_footing")),"yes","no"))</f>
        <v/>
      </c>
    </row>
    <row r="807">
      <c r="A807" s="5" t="n">
        <v>806</v>
      </c>
      <c r="B807" s="5" t="inlineStr">
        <is>
          <t>128</t>
        </is>
      </c>
      <c r="C807" s="5" t="inlineStr">
        <is>
          <t>region between joints</t>
        </is>
      </c>
      <c r="D807" s="5" t="inlineStr">
        <is>
          <t>band</t>
        </is>
      </c>
      <c r="E807" s="5" t="n">
        <v>3</v>
      </c>
      <c r="F807" s="5" t="inlineStr">
        <is>
          <t>unnamed</t>
        </is>
      </c>
      <c r="G807" s="5" t="inlineStr">
        <is>
          <t>no label votes</t>
        </is>
      </c>
      <c r="H807" s="5" t="inlineStr">
        <is>
          <t>(none)</t>
        </is>
      </c>
      <c r="I807" s="5" t="inlineStr"/>
      <c r="J807" s="5" t="inlineStr"/>
      <c r="K807" s="5" t="n">
        <v>229</v>
      </c>
      <c r="L807" s="5" t="n">
        <v>31</v>
      </c>
      <c r="M807" s="10">
        <f>IF(AND(ISNUMBER(K807),L807&gt;0),K807/L807,"")</f>
        <v/>
      </c>
      <c r="N807" s="5" t="n">
        <v>0.71</v>
      </c>
      <c r="O807" s="5" t="n">
        <v>1.6</v>
      </c>
      <c r="P807" s="5" t="n">
        <v>1</v>
      </c>
      <c r="Q807" s="5" t="n">
        <v>1</v>
      </c>
      <c r="R807" s="5" t="n">
        <v>0</v>
      </c>
      <c r="S807" s="5" t="n">
        <v>0</v>
      </c>
      <c r="T807" s="5" t="n">
        <v>0</v>
      </c>
      <c r="U807" s="5" t="n">
        <v>0</v>
      </c>
      <c r="V807" s="5" t="n">
        <v>5</v>
      </c>
      <c r="W807" s="5" t="n">
        <v>0.26</v>
      </c>
      <c r="X807" s="5" t="inlineStr"/>
      <c r="Y807" s="5" t="n">
        <v>977.1</v>
      </c>
      <c r="Z807" s="5" t="n">
        <v>2641.3</v>
      </c>
      <c r="AA807" s="5" t="n">
        <v>1045</v>
      </c>
      <c r="AB807" s="5" t="n">
        <v>2652.4</v>
      </c>
      <c r="AC807" s="5" t="inlineStr"/>
      <c r="AD807" s="5">
        <f>IF(AC807="","",IF(OR(AC807=F807,AND(AC807="crane_footing",F807="isolated_footing")),"yes","no"))</f>
        <v/>
      </c>
    </row>
    <row r="808">
      <c r="A808" s="5" t="n">
        <v>807</v>
      </c>
      <c r="B808" s="5" t="inlineStr">
        <is>
          <t>128</t>
        </is>
      </c>
      <c r="C808" s="5" t="inlineStr">
        <is>
          <t>region between joints</t>
        </is>
      </c>
      <c r="D808" s="5" t="inlineStr">
        <is>
          <t>band</t>
        </is>
      </c>
      <c r="E808" s="5" t="n">
        <v>3</v>
      </c>
      <c r="F808" s="5" t="inlineStr">
        <is>
          <t>unnamed</t>
        </is>
      </c>
      <c r="G808" s="5" t="inlineStr">
        <is>
          <t>no label votes</t>
        </is>
      </c>
      <c r="H808" s="5" t="inlineStr">
        <is>
          <t>(none)</t>
        </is>
      </c>
      <c r="I808" s="5" t="inlineStr"/>
      <c r="J808" s="5" t="inlineStr"/>
      <c r="K808" s="5" t="n">
        <v>229</v>
      </c>
      <c r="L808" s="5" t="n">
        <v>31</v>
      </c>
      <c r="M808" s="10">
        <f>IF(AND(ISNUMBER(K808),L808&gt;0),K808/L808,"")</f>
        <v/>
      </c>
      <c r="N808" s="5" t="n">
        <v>0.709</v>
      </c>
      <c r="O808" s="5" t="n">
        <v>1.6</v>
      </c>
      <c r="P808" s="5" t="n">
        <v>1</v>
      </c>
      <c r="Q808" s="5" t="n">
        <v>1</v>
      </c>
      <c r="R808" s="5" t="n">
        <v>0</v>
      </c>
      <c r="S808" s="5" t="n">
        <v>0</v>
      </c>
      <c r="T808" s="5" t="n">
        <v>0</v>
      </c>
      <c r="U808" s="5" t="n">
        <v>7</v>
      </c>
      <c r="V808" s="5" t="n">
        <v>3</v>
      </c>
      <c r="W808" s="5" t="n">
        <v>0</v>
      </c>
      <c r="X808" s="5" t="inlineStr"/>
      <c r="Y808" s="5" t="n">
        <v>988.3</v>
      </c>
      <c r="Z808" s="5" t="n">
        <v>2632.3</v>
      </c>
      <c r="AA808" s="5" t="n">
        <v>1056.1</v>
      </c>
      <c r="AB808" s="5" t="n">
        <v>2643.4</v>
      </c>
      <c r="AC808" s="5" t="inlineStr"/>
      <c r="AD808" s="5">
        <f>IF(AC808="","",IF(OR(AC808=F808,AND(AC808="crane_footing",F808="isolated_footing")),"yes","no"))</f>
        <v/>
      </c>
    </row>
    <row r="809">
      <c r="A809" s="5" t="n">
        <v>808</v>
      </c>
      <c r="B809" s="5" t="inlineStr">
        <is>
          <t>128</t>
        </is>
      </c>
      <c r="C809" s="5" t="inlineStr">
        <is>
          <t>region between joints</t>
        </is>
      </c>
      <c r="D809" s="5" t="inlineStr">
        <is>
          <t>band</t>
        </is>
      </c>
      <c r="E809" s="5" t="n">
        <v>3</v>
      </c>
      <c r="F809" s="5" t="inlineStr">
        <is>
          <t>unnamed</t>
        </is>
      </c>
      <c r="G809" s="5" t="inlineStr">
        <is>
          <t>no label votes</t>
        </is>
      </c>
      <c r="H809" s="5" t="inlineStr">
        <is>
          <t>(none)</t>
        </is>
      </c>
      <c r="I809" s="5" t="inlineStr"/>
      <c r="J809" s="5" t="inlineStr"/>
      <c r="K809" s="5" t="n">
        <v>229</v>
      </c>
      <c r="L809" s="5" t="n">
        <v>31</v>
      </c>
      <c r="M809" s="10">
        <f>IF(AND(ISNUMBER(K809),L809&gt;0),K809/L809,"")</f>
        <v/>
      </c>
      <c r="N809" s="5" t="n">
        <v>0.709</v>
      </c>
      <c r="O809" s="5" t="n">
        <v>101.6</v>
      </c>
      <c r="P809" s="5" t="n">
        <v>0</v>
      </c>
      <c r="Q809" s="5" t="n">
        <v>0</v>
      </c>
      <c r="R809" s="5" t="n">
        <v>0</v>
      </c>
      <c r="S809" s="5" t="n">
        <v>0</v>
      </c>
      <c r="T809" s="5" t="n">
        <v>0</v>
      </c>
      <c r="U809" s="5" t="n">
        <v>0</v>
      </c>
      <c r="V809" s="5" t="n">
        <v>6</v>
      </c>
      <c r="W809" s="5" t="n">
        <v>2.08</v>
      </c>
      <c r="X809" s="5" t="inlineStr"/>
      <c r="Y809" s="5" t="n">
        <v>1246.4</v>
      </c>
      <c r="Z809" s="5" t="n">
        <v>2476.4</v>
      </c>
      <c r="AA809" s="5" t="n">
        <v>1269</v>
      </c>
      <c r="AB809" s="5" t="n">
        <v>2544.3</v>
      </c>
      <c r="AC809" s="5" t="inlineStr"/>
      <c r="AD809" s="5">
        <f>IF(AC809="","",IF(OR(AC809=F809,AND(AC809="crane_footing",F809="isolated_footing")),"yes","no"))</f>
        <v/>
      </c>
    </row>
    <row r="810">
      <c r="A810" s="5" t="n">
        <v>809</v>
      </c>
      <c r="B810" s="5" t="inlineStr">
        <is>
          <t>128</t>
        </is>
      </c>
      <c r="C810" s="5" t="inlineStr">
        <is>
          <t>region between joints</t>
        </is>
      </c>
      <c r="D810" s="5" t="inlineStr">
        <is>
          <t>band</t>
        </is>
      </c>
      <c r="E810" s="5" t="n">
        <v>3</v>
      </c>
      <c r="F810" s="5" t="inlineStr">
        <is>
          <t>unnamed</t>
        </is>
      </c>
      <c r="G810" s="5" t="inlineStr">
        <is>
          <t>no label votes</t>
        </is>
      </c>
      <c r="H810" s="5" t="inlineStr">
        <is>
          <t>(none)</t>
        </is>
      </c>
      <c r="I810" s="5" t="inlineStr"/>
      <c r="J810" s="5" t="inlineStr"/>
      <c r="K810" s="5" t="n">
        <v>228</v>
      </c>
      <c r="L810" s="5" t="n">
        <v>31</v>
      </c>
      <c r="M810" s="10">
        <f>IF(AND(ISNUMBER(K810),L810&gt;0),K810/L810,"")</f>
        <v/>
      </c>
      <c r="N810" s="5" t="n">
        <v>0.707</v>
      </c>
      <c r="O810" s="5" t="n">
        <v>101.6</v>
      </c>
      <c r="P810" s="5" t="n">
        <v>0</v>
      </c>
      <c r="Q810" s="5" t="n">
        <v>0</v>
      </c>
      <c r="R810" s="5" t="n">
        <v>0</v>
      </c>
      <c r="S810" s="5" t="n">
        <v>0</v>
      </c>
      <c r="T810" s="5" t="n">
        <v>0</v>
      </c>
      <c r="U810" s="5" t="n">
        <v>0</v>
      </c>
      <c r="V810" s="5" t="n">
        <v>6</v>
      </c>
      <c r="W810" s="5" t="n">
        <v>2.08</v>
      </c>
      <c r="X810" s="5" t="inlineStr"/>
      <c r="Y810" s="5" t="n">
        <v>1235</v>
      </c>
      <c r="Z810" s="5" t="n">
        <v>2485.8</v>
      </c>
      <c r="AA810" s="5" t="n">
        <v>1257.5</v>
      </c>
      <c r="AB810" s="5" t="n">
        <v>2553.6</v>
      </c>
      <c r="AC810" s="5" t="inlineStr"/>
      <c r="AD810" s="5">
        <f>IF(AC810="","",IF(OR(AC810=F810,AND(AC810="crane_footing",F810="isolated_footing")),"yes","no"))</f>
        <v/>
      </c>
    </row>
    <row r="811">
      <c r="A811" s="5" t="n">
        <v>810</v>
      </c>
      <c r="B811" s="5" t="inlineStr">
        <is>
          <t>128</t>
        </is>
      </c>
      <c r="C811" s="5" t="inlineStr">
        <is>
          <t>region between joints</t>
        </is>
      </c>
      <c r="D811" s="5" t="inlineStr">
        <is>
          <t>band</t>
        </is>
      </c>
      <c r="E811" s="5" t="n">
        <v>3</v>
      </c>
      <c r="F811" s="5" t="inlineStr">
        <is>
          <t>unnamed</t>
        </is>
      </c>
      <c r="G811" s="5" t="inlineStr">
        <is>
          <t>no label votes</t>
        </is>
      </c>
      <c r="H811" s="5" t="inlineStr">
        <is>
          <t>(none)</t>
        </is>
      </c>
      <c r="I811" s="5" t="inlineStr"/>
      <c r="J811" s="5" t="inlineStr"/>
      <c r="K811" s="5" t="n">
        <v>228</v>
      </c>
      <c r="L811" s="5" t="n">
        <v>31</v>
      </c>
      <c r="M811" s="10">
        <f>IF(AND(ISNUMBER(K811),L811&gt;0),K811/L811,"")</f>
        <v/>
      </c>
      <c r="N811" s="5" t="n">
        <v>0.705</v>
      </c>
      <c r="O811" s="5" t="n">
        <v>101.7</v>
      </c>
      <c r="P811" s="5" t="n">
        <v>0</v>
      </c>
      <c r="Q811" s="5" t="n">
        <v>0</v>
      </c>
      <c r="R811" s="5" t="n">
        <v>0</v>
      </c>
      <c r="S811" s="5" t="n">
        <v>0</v>
      </c>
      <c r="T811" s="5" t="n">
        <v>0</v>
      </c>
      <c r="U811" s="5" t="n">
        <v>1</v>
      </c>
      <c r="V811" s="5" t="n">
        <v>7</v>
      </c>
      <c r="W811" s="5" t="n">
        <v>2.08</v>
      </c>
      <c r="X811" s="5" t="inlineStr"/>
      <c r="Y811" s="5" t="n">
        <v>1223.5</v>
      </c>
      <c r="Z811" s="5" t="n">
        <v>2495.3</v>
      </c>
      <c r="AA811" s="5" t="n">
        <v>1246</v>
      </c>
      <c r="AB811" s="5" t="n">
        <v>2562.9</v>
      </c>
      <c r="AC811" s="5" t="inlineStr"/>
      <c r="AD811" s="5">
        <f>IF(AC811="","",IF(OR(AC811=F811,AND(AC811="crane_footing",F811="isolated_footing")),"yes","no"))</f>
        <v/>
      </c>
    </row>
    <row r="812">
      <c r="A812" s="5" t="n">
        <v>811</v>
      </c>
      <c r="B812" s="5" t="inlineStr">
        <is>
          <t>128</t>
        </is>
      </c>
      <c r="C812" s="5" t="inlineStr">
        <is>
          <t>region between joints</t>
        </is>
      </c>
      <c r="D812" s="5" t="inlineStr">
        <is>
          <t>band</t>
        </is>
      </c>
      <c r="E812" s="5" t="n">
        <v>3</v>
      </c>
      <c r="F812" s="5" t="inlineStr">
        <is>
          <t>unnamed</t>
        </is>
      </c>
      <c r="G812" s="5" t="inlineStr">
        <is>
          <t>no label votes</t>
        </is>
      </c>
      <c r="H812" s="5" t="inlineStr">
        <is>
          <t>(none)</t>
        </is>
      </c>
      <c r="I812" s="5" t="inlineStr"/>
      <c r="J812" s="5" t="inlineStr"/>
      <c r="K812" s="5" t="n">
        <v>227</v>
      </c>
      <c r="L812" s="5" t="n">
        <v>31</v>
      </c>
      <c r="M812" s="10">
        <f>IF(AND(ISNUMBER(K812),L812&gt;0),K812/L812,"")</f>
        <v/>
      </c>
      <c r="N812" s="5" t="n">
        <v>0.704</v>
      </c>
      <c r="O812" s="5" t="n">
        <v>101.7</v>
      </c>
      <c r="P812" s="5" t="n">
        <v>0</v>
      </c>
      <c r="Q812" s="5" t="n">
        <v>0</v>
      </c>
      <c r="R812" s="5" t="n">
        <v>0</v>
      </c>
      <c r="S812" s="5" t="n">
        <v>0</v>
      </c>
      <c r="T812" s="5" t="n">
        <v>0</v>
      </c>
      <c r="U812" s="5" t="n">
        <v>0</v>
      </c>
      <c r="V812" s="5" t="n">
        <v>7</v>
      </c>
      <c r="W812" s="5" t="n">
        <v>2.08</v>
      </c>
      <c r="X812" s="5" t="inlineStr"/>
      <c r="Y812" s="5" t="n">
        <v>1212</v>
      </c>
      <c r="Z812" s="5" t="n">
        <v>2504.6</v>
      </c>
      <c r="AA812" s="5" t="n">
        <v>1234.5</v>
      </c>
      <c r="AB812" s="5" t="n">
        <v>2572.1</v>
      </c>
      <c r="AC812" s="5" t="inlineStr"/>
      <c r="AD812" s="5">
        <f>IF(AC812="","",IF(OR(AC812=F812,AND(AC812="crane_footing",F812="isolated_footing")),"yes","no"))</f>
        <v/>
      </c>
    </row>
    <row r="813">
      <c r="A813" s="5" t="n">
        <v>812</v>
      </c>
      <c r="B813" s="5" t="inlineStr">
        <is>
          <t>128</t>
        </is>
      </c>
      <c r="C813" s="5" t="inlineStr">
        <is>
          <t>region between joints</t>
        </is>
      </c>
      <c r="D813" s="5" t="inlineStr">
        <is>
          <t>band</t>
        </is>
      </c>
      <c r="E813" s="5" t="n">
        <v>3</v>
      </c>
      <c r="F813" s="5" t="inlineStr">
        <is>
          <t>unnamed</t>
        </is>
      </c>
      <c r="G813" s="5" t="inlineStr">
        <is>
          <t>no label votes</t>
        </is>
      </c>
      <c r="H813" s="5" t="inlineStr">
        <is>
          <t>(none)</t>
        </is>
      </c>
      <c r="I813" s="5" t="inlineStr"/>
      <c r="J813" s="5" t="inlineStr"/>
      <c r="K813" s="5" t="n">
        <v>227</v>
      </c>
      <c r="L813" s="5" t="n">
        <v>31</v>
      </c>
      <c r="M813" s="10">
        <f>IF(AND(ISNUMBER(K813),L813&gt;0),K813/L813,"")</f>
        <v/>
      </c>
      <c r="N813" s="5" t="n">
        <v>0.703</v>
      </c>
      <c r="O813" s="5" t="n">
        <v>101.6</v>
      </c>
      <c r="P813" s="5" t="n">
        <v>0</v>
      </c>
      <c r="Q813" s="5" t="n">
        <v>0</v>
      </c>
      <c r="R813" s="5" t="n">
        <v>0</v>
      </c>
      <c r="S813" s="5" t="n">
        <v>0</v>
      </c>
      <c r="T813" s="5" t="n">
        <v>0</v>
      </c>
      <c r="U813" s="5" t="n">
        <v>0</v>
      </c>
      <c r="V813" s="5" t="n">
        <v>6</v>
      </c>
      <c r="W813" s="5" t="n">
        <v>2.07</v>
      </c>
      <c r="X813" s="5" t="inlineStr"/>
      <c r="Y813" s="5" t="n">
        <v>1200.5</v>
      </c>
      <c r="Z813" s="5" t="n">
        <v>2514.1</v>
      </c>
      <c r="AA813" s="5" t="n">
        <v>1223</v>
      </c>
      <c r="AB813" s="5" t="n">
        <v>2581.5</v>
      </c>
      <c r="AC813" s="5" t="inlineStr"/>
      <c r="AD813" s="5">
        <f>IF(AC813="","",IF(OR(AC813=F813,AND(AC813="crane_footing",F813="isolated_footing")),"yes","no"))</f>
        <v/>
      </c>
    </row>
    <row r="814">
      <c r="A814" s="5" t="n">
        <v>813</v>
      </c>
      <c r="B814" s="5" t="inlineStr">
        <is>
          <t>128</t>
        </is>
      </c>
      <c r="C814" s="5" t="inlineStr">
        <is>
          <t>region between joints</t>
        </is>
      </c>
      <c r="D814" s="5" t="inlineStr">
        <is>
          <t>band</t>
        </is>
      </c>
      <c r="E814" s="5" t="n">
        <v>3</v>
      </c>
      <c r="F814" s="5" t="inlineStr">
        <is>
          <t>unnamed</t>
        </is>
      </c>
      <c r="G814" s="5" t="inlineStr">
        <is>
          <t>no label votes</t>
        </is>
      </c>
      <c r="H814" s="5" t="inlineStr">
        <is>
          <t>(none)</t>
        </is>
      </c>
      <c r="I814" s="5" t="inlineStr"/>
      <c r="J814" s="5" t="inlineStr"/>
      <c r="K814" s="5" t="n">
        <v>227</v>
      </c>
      <c r="L814" s="5" t="n">
        <v>31</v>
      </c>
      <c r="M814" s="10">
        <f>IF(AND(ISNUMBER(K814),L814&gt;0),K814/L814,"")</f>
        <v/>
      </c>
      <c r="N814" s="5" t="n">
        <v>0.703</v>
      </c>
      <c r="O814" s="5" t="n">
        <v>1.7</v>
      </c>
      <c r="P814" s="5" t="n">
        <v>1</v>
      </c>
      <c r="Q814" s="5" t="n">
        <v>1</v>
      </c>
      <c r="R814" s="5" t="n">
        <v>0</v>
      </c>
      <c r="S814" s="5" t="n">
        <v>0</v>
      </c>
      <c r="T814" s="5" t="n">
        <v>0</v>
      </c>
      <c r="U814" s="5" t="n">
        <v>1</v>
      </c>
      <c r="V814" s="5" t="n">
        <v>4</v>
      </c>
      <c r="W814" s="5" t="n">
        <v>0</v>
      </c>
      <c r="X814" s="5" t="inlineStr"/>
      <c r="Y814" s="5" t="n">
        <v>1055.4</v>
      </c>
      <c r="Z814" s="5" t="n">
        <v>2577.9</v>
      </c>
      <c r="AA814" s="5" t="n">
        <v>1122.5</v>
      </c>
      <c r="AB814" s="5" t="n">
        <v>2589</v>
      </c>
      <c r="AC814" s="5" t="inlineStr"/>
      <c r="AD814" s="5">
        <f>IF(AC814="","",IF(OR(AC814=F814,AND(AC814="crane_footing",F814="isolated_footing")),"yes","no"))</f>
        <v/>
      </c>
    </row>
    <row r="815">
      <c r="A815" s="5" t="n">
        <v>814</v>
      </c>
      <c r="B815" s="5" t="inlineStr">
        <is>
          <t>128</t>
        </is>
      </c>
      <c r="C815" s="5" t="inlineStr">
        <is>
          <t>region between joints</t>
        </is>
      </c>
      <c r="D815" s="5" t="inlineStr">
        <is>
          <t>band</t>
        </is>
      </c>
      <c r="E815" s="5" t="n">
        <v>3</v>
      </c>
      <c r="F815" s="5" t="inlineStr">
        <is>
          <t>unnamed</t>
        </is>
      </c>
      <c r="G815" s="5" t="inlineStr">
        <is>
          <t>no label votes</t>
        </is>
      </c>
      <c r="H815" s="5" t="inlineStr">
        <is>
          <t>(none)</t>
        </is>
      </c>
      <c r="I815" s="5" t="inlineStr"/>
      <c r="J815" s="5" t="inlineStr"/>
      <c r="K815" s="5" t="n">
        <v>226</v>
      </c>
      <c r="L815" s="5" t="n">
        <v>31</v>
      </c>
      <c r="M815" s="10">
        <f>IF(AND(ISNUMBER(K815),L815&gt;0),K815/L815,"")</f>
        <v/>
      </c>
      <c r="N815" s="5" t="n">
        <v>0.701</v>
      </c>
      <c r="O815" s="5" t="n">
        <v>1.7</v>
      </c>
      <c r="P815" s="5" t="n">
        <v>1</v>
      </c>
      <c r="Q815" s="5" t="n">
        <v>1</v>
      </c>
      <c r="R815" s="5" t="n">
        <v>0</v>
      </c>
      <c r="S815" s="5" t="n">
        <v>0</v>
      </c>
      <c r="T815" s="5" t="n">
        <v>0</v>
      </c>
      <c r="U815" s="5" t="n">
        <v>0</v>
      </c>
      <c r="V815" s="5" t="n">
        <v>4</v>
      </c>
      <c r="W815" s="5" t="n">
        <v>0.55</v>
      </c>
      <c r="X815" s="5" t="inlineStr"/>
      <c r="Y815" s="5" t="n">
        <v>1066.5</v>
      </c>
      <c r="Z815" s="5" t="n">
        <v>2568.8</v>
      </c>
      <c r="AA815" s="5" t="n">
        <v>1133.6</v>
      </c>
      <c r="AB815" s="5" t="n">
        <v>2579.9</v>
      </c>
      <c r="AC815" s="5" t="inlineStr"/>
      <c r="AD815" s="5">
        <f>IF(AC815="","",IF(OR(AC815=F815,AND(AC815="crane_footing",F815="isolated_footing")),"yes","no"))</f>
        <v/>
      </c>
    </row>
    <row r="816">
      <c r="A816" s="5" t="n">
        <v>815</v>
      </c>
      <c r="B816" s="5" t="inlineStr">
        <is>
          <t>128</t>
        </is>
      </c>
      <c r="C816" s="5" t="inlineStr">
        <is>
          <t>region between joints</t>
        </is>
      </c>
      <c r="D816" s="5" t="inlineStr">
        <is>
          <t>band</t>
        </is>
      </c>
      <c r="E816" s="5" t="n">
        <v>3</v>
      </c>
      <c r="F816" s="5" t="inlineStr">
        <is>
          <t>unnamed</t>
        </is>
      </c>
      <c r="G816" s="5" t="inlineStr">
        <is>
          <t>no label votes</t>
        </is>
      </c>
      <c r="H816" s="5" t="inlineStr">
        <is>
          <t>(none)</t>
        </is>
      </c>
      <c r="I816" s="5" t="inlineStr"/>
      <c r="J816" s="5" t="inlineStr"/>
      <c r="K816" s="5" t="n">
        <v>226</v>
      </c>
      <c r="L816" s="5" t="n">
        <v>31</v>
      </c>
      <c r="M816" s="10">
        <f>IF(AND(ISNUMBER(K816),L816&gt;0),K816/L816,"")</f>
        <v/>
      </c>
      <c r="N816" s="5" t="n">
        <v>0.701</v>
      </c>
      <c r="O816" s="5" t="n">
        <v>101.6</v>
      </c>
      <c r="P816" s="5" t="n">
        <v>0</v>
      </c>
      <c r="Q816" s="5" t="n">
        <v>0</v>
      </c>
      <c r="R816" s="5" t="n">
        <v>0</v>
      </c>
      <c r="S816" s="5" t="n">
        <v>0</v>
      </c>
      <c r="T816" s="5" t="n">
        <v>0</v>
      </c>
      <c r="U816" s="5" t="n">
        <v>0</v>
      </c>
      <c r="V816" s="5" t="n">
        <v>6</v>
      </c>
      <c r="W816" s="5" t="n">
        <v>2.07</v>
      </c>
      <c r="X816" s="5" t="inlineStr"/>
      <c r="Y816" s="5" t="n">
        <v>1189</v>
      </c>
      <c r="Z816" s="5" t="n">
        <v>2523.5</v>
      </c>
      <c r="AA816" s="5" t="n">
        <v>1211.4</v>
      </c>
      <c r="AB816" s="5" t="n">
        <v>2590.7</v>
      </c>
      <c r="AC816" s="5" t="inlineStr"/>
      <c r="AD816" s="5">
        <f>IF(AC816="","",IF(OR(AC816=F816,AND(AC816="crane_footing",F816="isolated_footing")),"yes","no"))</f>
        <v/>
      </c>
    </row>
    <row r="817">
      <c r="A817" s="5" t="n">
        <v>816</v>
      </c>
      <c r="B817" s="5" t="inlineStr">
        <is>
          <t>128</t>
        </is>
      </c>
      <c r="C817" s="5" t="inlineStr">
        <is>
          <t>region between joints</t>
        </is>
      </c>
      <c r="D817" s="5" t="inlineStr">
        <is>
          <t>band</t>
        </is>
      </c>
      <c r="E817" s="5" t="n">
        <v>3</v>
      </c>
      <c r="F817" s="5" t="inlineStr">
        <is>
          <t>unnamed</t>
        </is>
      </c>
      <c r="G817" s="5" t="inlineStr">
        <is>
          <t>no label votes</t>
        </is>
      </c>
      <c r="H817" s="5" t="inlineStr">
        <is>
          <t>(none)</t>
        </is>
      </c>
      <c r="I817" s="5" t="inlineStr"/>
      <c r="J817" s="5" t="inlineStr"/>
      <c r="K817" s="5" t="n">
        <v>226</v>
      </c>
      <c r="L817" s="5" t="n">
        <v>31</v>
      </c>
      <c r="M817" s="10">
        <f>IF(AND(ISNUMBER(K817),L817&gt;0),K817/L817,"")</f>
        <v/>
      </c>
      <c r="N817" s="5" t="n">
        <v>0.7</v>
      </c>
      <c r="O817" s="5" t="n">
        <v>1.7</v>
      </c>
      <c r="P817" s="5" t="n">
        <v>1</v>
      </c>
      <c r="Q817" s="5" t="n">
        <v>0</v>
      </c>
      <c r="R817" s="5" t="n">
        <v>0</v>
      </c>
      <c r="S817" s="5" t="n">
        <v>0</v>
      </c>
      <c r="T817" s="5" t="n">
        <v>0</v>
      </c>
      <c r="U817" s="5" t="n">
        <v>2</v>
      </c>
      <c r="V817" s="5" t="n">
        <v>4</v>
      </c>
      <c r="W817" s="5" t="n">
        <v>1.19</v>
      </c>
      <c r="X817" s="5" t="inlineStr"/>
      <c r="Y817" s="5" t="n">
        <v>1077.7</v>
      </c>
      <c r="Z817" s="5" t="n">
        <v>2559.8</v>
      </c>
      <c r="AA817" s="5" t="n">
        <v>1144.6</v>
      </c>
      <c r="AB817" s="5" t="n">
        <v>2570.9</v>
      </c>
      <c r="AC817" s="5" t="inlineStr"/>
      <c r="AD817" s="5">
        <f>IF(AC817="","",IF(OR(AC817=F817,AND(AC817="crane_footing",F817="isolated_footing")),"yes","no"))</f>
        <v/>
      </c>
    </row>
    <row r="818">
      <c r="A818" s="5" t="n">
        <v>817</v>
      </c>
      <c r="B818" s="5" t="inlineStr">
        <is>
          <t>128</t>
        </is>
      </c>
      <c r="C818" s="5" t="inlineStr">
        <is>
          <t>region between joints</t>
        </is>
      </c>
      <c r="D818" s="5" t="inlineStr">
        <is>
          <t>band</t>
        </is>
      </c>
      <c r="E818" s="5" t="n">
        <v>3</v>
      </c>
      <c r="F818" s="5" t="inlineStr">
        <is>
          <t>unnamed</t>
        </is>
      </c>
      <c r="G818" s="5" t="inlineStr">
        <is>
          <t>no label votes</t>
        </is>
      </c>
      <c r="H818" s="5" t="inlineStr">
        <is>
          <t>(none)</t>
        </is>
      </c>
      <c r="I818" s="5" t="inlineStr"/>
      <c r="J818" s="5" t="inlineStr"/>
      <c r="K818" s="5" t="n">
        <v>226</v>
      </c>
      <c r="L818" s="5" t="n">
        <v>31</v>
      </c>
      <c r="M818" s="10">
        <f>IF(AND(ISNUMBER(K818),L818&gt;0),K818/L818,"")</f>
        <v/>
      </c>
      <c r="N818" s="5" t="n">
        <v>0.699</v>
      </c>
      <c r="O818" s="5" t="n">
        <v>1.7</v>
      </c>
      <c r="P818" s="5" t="n">
        <v>1</v>
      </c>
      <c r="Q818" s="5" t="n">
        <v>0</v>
      </c>
      <c r="R818" s="5" t="n">
        <v>0</v>
      </c>
      <c r="S818" s="5" t="n">
        <v>0</v>
      </c>
      <c r="T818" s="5" t="n">
        <v>0</v>
      </c>
      <c r="U818" s="5" t="n">
        <v>0</v>
      </c>
      <c r="V818" s="5" t="n">
        <v>4</v>
      </c>
      <c r="W818" s="5" t="n">
        <v>1.83</v>
      </c>
      <c r="X818" s="5" t="inlineStr"/>
      <c r="Y818" s="5" t="n">
        <v>1088.9</v>
      </c>
      <c r="Z818" s="5" t="n">
        <v>2550.7</v>
      </c>
      <c r="AA818" s="5" t="n">
        <v>1155.7</v>
      </c>
      <c r="AB818" s="5" t="n">
        <v>2561.8</v>
      </c>
      <c r="AC818" s="5" t="inlineStr"/>
      <c r="AD818" s="5">
        <f>IF(AC818="","",IF(OR(AC818=F818,AND(AC818="crane_footing",F818="isolated_footing")),"yes","no"))</f>
        <v/>
      </c>
    </row>
    <row r="819">
      <c r="A819" s="5" t="n">
        <v>818</v>
      </c>
      <c r="B819" s="5" t="inlineStr">
        <is>
          <t>128</t>
        </is>
      </c>
      <c r="C819" s="5" t="inlineStr">
        <is>
          <t>region between joints</t>
        </is>
      </c>
      <c r="D819" s="5" t="inlineStr">
        <is>
          <t>band</t>
        </is>
      </c>
      <c r="E819" s="5" t="n">
        <v>3</v>
      </c>
      <c r="F819" s="5" t="inlineStr">
        <is>
          <t>unnamed</t>
        </is>
      </c>
      <c r="G819" s="5" t="inlineStr">
        <is>
          <t>no label votes</t>
        </is>
      </c>
      <c r="H819" s="5" t="inlineStr">
        <is>
          <t>(none)</t>
        </is>
      </c>
      <c r="I819" s="5" t="inlineStr"/>
      <c r="J819" s="5" t="inlineStr"/>
      <c r="K819" s="5" t="n">
        <v>226</v>
      </c>
      <c r="L819" s="5" t="n">
        <v>31</v>
      </c>
      <c r="M819" s="10">
        <f>IF(AND(ISNUMBER(K819),L819&gt;0),K819/L819,"")</f>
        <v/>
      </c>
      <c r="N819" s="5" t="n">
        <v>0.699</v>
      </c>
      <c r="O819" s="5" t="n">
        <v>101.7</v>
      </c>
      <c r="P819" s="5" t="n">
        <v>0</v>
      </c>
      <c r="Q819" s="5" t="n">
        <v>0</v>
      </c>
      <c r="R819" s="5" t="n">
        <v>0</v>
      </c>
      <c r="S819" s="5" t="n">
        <v>0</v>
      </c>
      <c r="T819" s="5" t="n">
        <v>0</v>
      </c>
      <c r="U819" s="5" t="n">
        <v>0</v>
      </c>
      <c r="V819" s="5" t="n">
        <v>7</v>
      </c>
      <c r="W819" s="5" t="n">
        <v>2.07</v>
      </c>
      <c r="X819" s="5" t="inlineStr"/>
      <c r="Y819" s="5" t="n">
        <v>1177.5</v>
      </c>
      <c r="Z819" s="5" t="n">
        <v>2532.9</v>
      </c>
      <c r="AA819" s="5" t="n">
        <v>1199.9</v>
      </c>
      <c r="AB819" s="5" t="n">
        <v>2600</v>
      </c>
      <c r="AC819" s="5" t="inlineStr"/>
      <c r="AD819" s="5">
        <f>IF(AC819="","",IF(OR(AC819=F819,AND(AC819="crane_footing",F819="isolated_footing")),"yes","no"))</f>
        <v/>
      </c>
    </row>
    <row r="820">
      <c r="A820" s="5" t="n">
        <v>819</v>
      </c>
      <c r="B820" s="5" t="inlineStr">
        <is>
          <t>128</t>
        </is>
      </c>
      <c r="C820" s="5" t="inlineStr">
        <is>
          <t>region between joints</t>
        </is>
      </c>
      <c r="D820" s="5" t="inlineStr">
        <is>
          <t>band</t>
        </is>
      </c>
      <c r="E820" s="5" t="n">
        <v>3</v>
      </c>
      <c r="F820" s="5" t="inlineStr">
        <is>
          <t>unnamed</t>
        </is>
      </c>
      <c r="G820" s="5" t="inlineStr">
        <is>
          <t>no label votes</t>
        </is>
      </c>
      <c r="H820" s="5" t="inlineStr">
        <is>
          <t>(none)</t>
        </is>
      </c>
      <c r="I820" s="5" t="inlineStr"/>
      <c r="J820" s="5" t="inlineStr"/>
      <c r="K820" s="5" t="n">
        <v>225</v>
      </c>
      <c r="L820" s="5" t="n">
        <v>31</v>
      </c>
      <c r="M820" s="10">
        <f>IF(AND(ISNUMBER(K820),L820&gt;0),K820/L820,"")</f>
        <v/>
      </c>
      <c r="N820" s="5" t="n">
        <v>0.698</v>
      </c>
      <c r="O820" s="5" t="n">
        <v>1.7</v>
      </c>
      <c r="P820" s="5" t="n">
        <v>1</v>
      </c>
      <c r="Q820" s="5" t="n">
        <v>0</v>
      </c>
      <c r="R820" s="5" t="n">
        <v>0</v>
      </c>
      <c r="S820" s="5" t="n">
        <v>0</v>
      </c>
      <c r="T820" s="5" t="n">
        <v>0</v>
      </c>
      <c r="U820" s="5" t="n">
        <v>0</v>
      </c>
      <c r="V820" s="5" t="n">
        <v>4</v>
      </c>
      <c r="W820" s="5" t="n">
        <v>2.25</v>
      </c>
      <c r="X820" s="5" t="inlineStr"/>
      <c r="Y820" s="5" t="n">
        <v>1100</v>
      </c>
      <c r="Z820" s="5" t="n">
        <v>2541.7</v>
      </c>
      <c r="AA820" s="5" t="n">
        <v>1166.8</v>
      </c>
      <c r="AB820" s="5" t="n">
        <v>2552.7</v>
      </c>
      <c r="AC820" s="5" t="inlineStr"/>
      <c r="AD820" s="5">
        <f>IF(AC820="","",IF(OR(AC820=F820,AND(AC820="crane_footing",F820="isolated_footing")),"yes","no"))</f>
        <v/>
      </c>
    </row>
    <row r="821">
      <c r="A821" s="5" t="n">
        <v>820</v>
      </c>
      <c r="B821" s="5" t="inlineStr">
        <is>
          <t>128</t>
        </is>
      </c>
      <c r="C821" s="5" t="inlineStr">
        <is>
          <t>region between joints</t>
        </is>
      </c>
      <c r="D821" s="5" t="inlineStr">
        <is>
          <t>band</t>
        </is>
      </c>
      <c r="E821" s="5" t="n">
        <v>3</v>
      </c>
      <c r="F821" s="5" t="inlineStr">
        <is>
          <t>unnamed</t>
        </is>
      </c>
      <c r="G821" s="5" t="inlineStr">
        <is>
          <t>no label votes</t>
        </is>
      </c>
      <c r="H821" s="5" t="inlineStr">
        <is>
          <t>(none)</t>
        </is>
      </c>
      <c r="I821" s="5" t="inlineStr"/>
      <c r="J821" s="5" t="inlineStr"/>
      <c r="K821" s="5" t="n">
        <v>225</v>
      </c>
      <c r="L821" s="5" t="n">
        <v>31</v>
      </c>
      <c r="M821" s="10">
        <f>IF(AND(ISNUMBER(K821),L821&gt;0),K821/L821,"")</f>
        <v/>
      </c>
      <c r="N821" s="5" t="n">
        <v>0.698</v>
      </c>
      <c r="O821" s="5" t="n">
        <v>101.7</v>
      </c>
      <c r="P821" s="5" t="n">
        <v>0</v>
      </c>
      <c r="Q821" s="5" t="n">
        <v>0</v>
      </c>
      <c r="R821" s="5" t="n">
        <v>0</v>
      </c>
      <c r="S821" s="5" t="n">
        <v>0</v>
      </c>
      <c r="T821" s="5" t="n">
        <v>0</v>
      </c>
      <c r="U821" s="5" t="n">
        <v>0</v>
      </c>
      <c r="V821" s="5" t="n">
        <v>7</v>
      </c>
      <c r="W821" s="5" t="n">
        <v>2.25</v>
      </c>
      <c r="X821" s="5" t="inlineStr"/>
      <c r="Y821" s="5" t="n">
        <v>1166</v>
      </c>
      <c r="Z821" s="5" t="n">
        <v>2542.3</v>
      </c>
      <c r="AA821" s="5" t="n">
        <v>1188.4</v>
      </c>
      <c r="AB821" s="5" t="n">
        <v>2609.3</v>
      </c>
      <c r="AC821" s="5" t="inlineStr"/>
      <c r="AD821" s="5">
        <f>IF(AC821="","",IF(OR(AC821=F821,AND(AC821="crane_footing",F821="isolated_footing")),"yes","no"))</f>
        <v/>
      </c>
    </row>
    <row r="822">
      <c r="A822" s="5" t="n">
        <v>821</v>
      </c>
      <c r="B822" s="5" t="inlineStr">
        <is>
          <t>128</t>
        </is>
      </c>
      <c r="C822" s="5" t="inlineStr">
        <is>
          <t>region between joints</t>
        </is>
      </c>
      <c r="D822" s="5" t="inlineStr">
        <is>
          <t>band</t>
        </is>
      </c>
      <c r="E822" s="5" t="n">
        <v>3</v>
      </c>
      <c r="F822" s="5" t="inlineStr">
        <is>
          <t>unnamed</t>
        </is>
      </c>
      <c r="G822" s="5" t="inlineStr">
        <is>
          <t>no label votes</t>
        </is>
      </c>
      <c r="H822" s="5" t="inlineStr">
        <is>
          <t>(none)</t>
        </is>
      </c>
      <c r="I822" s="5" t="inlineStr"/>
      <c r="J822" s="5" t="inlineStr"/>
      <c r="K822" s="5" t="n">
        <v>225</v>
      </c>
      <c r="L822" s="5" t="n">
        <v>31</v>
      </c>
      <c r="M822" s="10">
        <f>IF(AND(ISNUMBER(K822),L822&gt;0),K822/L822,"")</f>
        <v/>
      </c>
      <c r="N822" s="5" t="n">
        <v>0.697</v>
      </c>
      <c r="O822" s="5" t="n">
        <v>1.7</v>
      </c>
      <c r="P822" s="5" t="n">
        <v>1</v>
      </c>
      <c r="Q822" s="5" t="n">
        <v>0</v>
      </c>
      <c r="R822" s="5" t="n">
        <v>0</v>
      </c>
      <c r="S822" s="5" t="n">
        <v>0</v>
      </c>
      <c r="T822" s="5" t="n">
        <v>0</v>
      </c>
      <c r="U822" s="5" t="n">
        <v>0</v>
      </c>
      <c r="V822" s="5" t="n">
        <v>4</v>
      </c>
      <c r="W822" s="5" t="n">
        <v>2.25</v>
      </c>
      <c r="X822" s="5" t="inlineStr"/>
      <c r="Y822" s="5" t="n">
        <v>1111.2</v>
      </c>
      <c r="Z822" s="5" t="n">
        <v>2532.6</v>
      </c>
      <c r="AA822" s="5" t="n">
        <v>1177.9</v>
      </c>
      <c r="AB822" s="5" t="n">
        <v>2543.7</v>
      </c>
      <c r="AC822" s="5" t="inlineStr"/>
      <c r="AD822" s="5">
        <f>IF(AC822="","",IF(OR(AC822=F822,AND(AC822="crane_footing",F822="isolated_footing")),"yes","no"))</f>
        <v/>
      </c>
    </row>
    <row r="823">
      <c r="A823" s="5" t="n">
        <v>822</v>
      </c>
      <c r="B823" s="5" t="inlineStr">
        <is>
          <t>128</t>
        </is>
      </c>
      <c r="C823" s="5" t="inlineStr">
        <is>
          <t>region between joints</t>
        </is>
      </c>
      <c r="D823" s="5" t="inlineStr">
        <is>
          <t>band</t>
        </is>
      </c>
      <c r="E823" s="5" t="n">
        <v>3</v>
      </c>
      <c r="F823" s="5" t="inlineStr">
        <is>
          <t>unnamed</t>
        </is>
      </c>
      <c r="G823" s="5" t="inlineStr">
        <is>
          <t>no label votes</t>
        </is>
      </c>
      <c r="H823" s="5" t="inlineStr">
        <is>
          <t>(none)</t>
        </is>
      </c>
      <c r="I823" s="5" t="inlineStr"/>
      <c r="J823" s="5" t="inlineStr"/>
      <c r="K823" s="5" t="n">
        <v>225</v>
      </c>
      <c r="L823" s="5" t="n">
        <v>31</v>
      </c>
      <c r="M823" s="10">
        <f>IF(AND(ISNUMBER(K823),L823&gt;0),K823/L823,"")</f>
        <v/>
      </c>
      <c r="N823" s="5" t="n">
        <v>0.697</v>
      </c>
      <c r="O823" s="5" t="n">
        <v>101.6</v>
      </c>
      <c r="P823" s="5" t="n">
        <v>0</v>
      </c>
      <c r="Q823" s="5" t="n">
        <v>0</v>
      </c>
      <c r="R823" s="5" t="n">
        <v>0</v>
      </c>
      <c r="S823" s="5" t="n">
        <v>0</v>
      </c>
      <c r="T823" s="5" t="n">
        <v>0</v>
      </c>
      <c r="U823" s="5" t="n">
        <v>0</v>
      </c>
      <c r="V823" s="5" t="n">
        <v>7</v>
      </c>
      <c r="W823" s="5" t="n">
        <v>2.25</v>
      </c>
      <c r="X823" s="5" t="inlineStr"/>
      <c r="Y823" s="5" t="n">
        <v>1154.6</v>
      </c>
      <c r="Z823" s="5" t="n">
        <v>2551.7</v>
      </c>
      <c r="AA823" s="5" t="n">
        <v>1176.9</v>
      </c>
      <c r="AB823" s="5" t="n">
        <v>2618.6</v>
      </c>
      <c r="AC823" s="5" t="inlineStr"/>
      <c r="AD823" s="5">
        <f>IF(AC823="","",IF(OR(AC823=F823,AND(AC823="crane_footing",F823="isolated_footing")),"yes","no"))</f>
        <v/>
      </c>
    </row>
    <row r="824">
      <c r="A824" s="5" t="n">
        <v>823</v>
      </c>
      <c r="B824" s="5" t="inlineStr">
        <is>
          <t>128</t>
        </is>
      </c>
      <c r="C824" s="5" t="inlineStr">
        <is>
          <t>region between joints</t>
        </is>
      </c>
      <c r="D824" s="5" t="inlineStr">
        <is>
          <t>band</t>
        </is>
      </c>
      <c r="E824" s="5" t="n">
        <v>3</v>
      </c>
      <c r="F824" s="5" t="inlineStr">
        <is>
          <t>unnamed</t>
        </is>
      </c>
      <c r="G824" s="5" t="inlineStr">
        <is>
          <t>no label votes</t>
        </is>
      </c>
      <c r="H824" s="5" t="inlineStr">
        <is>
          <t>(none)</t>
        </is>
      </c>
      <c r="I824" s="5" t="inlineStr"/>
      <c r="J824" s="5" t="inlineStr"/>
      <c r="K824" s="5" t="n">
        <v>225</v>
      </c>
      <c r="L824" s="5" t="n">
        <v>31</v>
      </c>
      <c r="M824" s="10">
        <f>IF(AND(ISNUMBER(K824),L824&gt;0),K824/L824,"")</f>
        <v/>
      </c>
      <c r="N824" s="5" t="n">
        <v>0.696</v>
      </c>
      <c r="O824" s="5" t="n">
        <v>1.7</v>
      </c>
      <c r="P824" s="5" t="n">
        <v>1</v>
      </c>
      <c r="Q824" s="5" t="n">
        <v>0</v>
      </c>
      <c r="R824" s="5" t="n">
        <v>0</v>
      </c>
      <c r="S824" s="5" t="n">
        <v>0</v>
      </c>
      <c r="T824" s="5" t="n">
        <v>0</v>
      </c>
      <c r="U824" s="5" t="n">
        <v>0</v>
      </c>
      <c r="V824" s="5" t="n">
        <v>4</v>
      </c>
      <c r="W824" s="5" t="n">
        <v>1.98</v>
      </c>
      <c r="X824" s="5" t="inlineStr"/>
      <c r="Y824" s="5" t="n">
        <v>1122.4</v>
      </c>
      <c r="Z824" s="5" t="n">
        <v>2523.5</v>
      </c>
      <c r="AA824" s="5" t="n">
        <v>1189</v>
      </c>
      <c r="AB824" s="5" t="n">
        <v>2534.6</v>
      </c>
      <c r="AC824" s="5" t="inlineStr"/>
      <c r="AD824" s="5">
        <f>IF(AC824="","",IF(OR(AC824=F824,AND(AC824="crane_footing",F824="isolated_footing")),"yes","no"))</f>
        <v/>
      </c>
    </row>
    <row r="825">
      <c r="A825" s="5" t="n">
        <v>824</v>
      </c>
      <c r="B825" s="5" t="inlineStr">
        <is>
          <t>128</t>
        </is>
      </c>
      <c r="C825" s="5" t="inlineStr">
        <is>
          <t>region between joints</t>
        </is>
      </c>
      <c r="D825" s="5" t="inlineStr">
        <is>
          <t>band</t>
        </is>
      </c>
      <c r="E825" s="5" t="n">
        <v>3</v>
      </c>
      <c r="F825" s="5" t="inlineStr">
        <is>
          <t>unnamed</t>
        </is>
      </c>
      <c r="G825" s="5" t="inlineStr">
        <is>
          <t>no label votes</t>
        </is>
      </c>
      <c r="H825" s="5" t="inlineStr">
        <is>
          <t>(none)</t>
        </is>
      </c>
      <c r="I825" s="5" t="inlineStr"/>
      <c r="J825" s="5" t="inlineStr"/>
      <c r="K825" s="5" t="n">
        <v>224</v>
      </c>
      <c r="L825" s="5" t="n">
        <v>31</v>
      </c>
      <c r="M825" s="10">
        <f>IF(AND(ISNUMBER(K825),L825&gt;0),K825/L825,"")</f>
        <v/>
      </c>
      <c r="N825" s="5" t="n">
        <v>0.695</v>
      </c>
      <c r="O825" s="5" t="n">
        <v>1.7</v>
      </c>
      <c r="P825" s="5" t="n">
        <v>1</v>
      </c>
      <c r="Q825" s="5" t="n">
        <v>0</v>
      </c>
      <c r="R825" s="5" t="n">
        <v>0</v>
      </c>
      <c r="S825" s="5" t="n">
        <v>0</v>
      </c>
      <c r="T825" s="5" t="n">
        <v>0</v>
      </c>
      <c r="U825" s="5" t="n">
        <v>0</v>
      </c>
      <c r="V825" s="5" t="n">
        <v>4</v>
      </c>
      <c r="W825" s="5" t="n">
        <v>1.33</v>
      </c>
      <c r="X825" s="5" t="inlineStr"/>
      <c r="Y825" s="5" t="n">
        <v>1133.6</v>
      </c>
      <c r="Z825" s="5" t="n">
        <v>2514.5</v>
      </c>
      <c r="AA825" s="5" t="n">
        <v>1200</v>
      </c>
      <c r="AB825" s="5" t="n">
        <v>2525.6</v>
      </c>
      <c r="AC825" s="5" t="inlineStr"/>
      <c r="AD825" s="5">
        <f>IF(AC825="","",IF(OR(AC825=F825,AND(AC825="crane_footing",F825="isolated_footing")),"yes","no"))</f>
        <v/>
      </c>
    </row>
    <row r="826">
      <c r="A826" s="5" t="n">
        <v>825</v>
      </c>
      <c r="B826" s="5" t="inlineStr">
        <is>
          <t>128</t>
        </is>
      </c>
      <c r="C826" s="5" t="inlineStr">
        <is>
          <t>region between joints</t>
        </is>
      </c>
      <c r="D826" s="5" t="inlineStr">
        <is>
          <t>band</t>
        </is>
      </c>
      <c r="E826" s="5" t="n">
        <v>3</v>
      </c>
      <c r="F826" s="5" t="inlineStr">
        <is>
          <t>unnamed</t>
        </is>
      </c>
      <c r="G826" s="5" t="inlineStr">
        <is>
          <t>no label votes</t>
        </is>
      </c>
      <c r="H826" s="5" t="inlineStr">
        <is>
          <t>(none)</t>
        </is>
      </c>
      <c r="I826" s="5" t="inlineStr"/>
      <c r="J826" s="5" t="inlineStr"/>
      <c r="K826" s="5" t="n">
        <v>224</v>
      </c>
      <c r="L826" s="5" t="n">
        <v>31</v>
      </c>
      <c r="M826" s="10">
        <f>IF(AND(ISNUMBER(K826),L826&gt;0),K826/L826,"")</f>
        <v/>
      </c>
      <c r="N826" s="5" t="n">
        <v>0.695</v>
      </c>
      <c r="O826" s="5" t="n">
        <v>101.6</v>
      </c>
      <c r="P826" s="5" t="n">
        <v>0</v>
      </c>
      <c r="Q826" s="5" t="n">
        <v>0</v>
      </c>
      <c r="R826" s="5" t="n">
        <v>0</v>
      </c>
      <c r="S826" s="5" t="n">
        <v>0</v>
      </c>
      <c r="T826" s="5" t="n">
        <v>0</v>
      </c>
      <c r="U826" s="5" t="n">
        <v>0</v>
      </c>
      <c r="V826" s="5" t="n">
        <v>7</v>
      </c>
      <c r="W826" s="5" t="n">
        <v>2.24</v>
      </c>
      <c r="X826" s="5" t="inlineStr"/>
      <c r="Y826" s="5" t="n">
        <v>1143.1</v>
      </c>
      <c r="Z826" s="5" t="n">
        <v>2561.2</v>
      </c>
      <c r="AA826" s="5" t="n">
        <v>1165.4</v>
      </c>
      <c r="AB826" s="5" t="n">
        <v>2627.8</v>
      </c>
      <c r="AC826" s="5" t="inlineStr"/>
      <c r="AD826" s="5">
        <f>IF(AC826="","",IF(OR(AC826=F826,AND(AC826="crane_footing",F826="isolated_footing")),"yes","no"))</f>
        <v/>
      </c>
    </row>
    <row r="827">
      <c r="A827" s="5" t="n">
        <v>826</v>
      </c>
      <c r="B827" s="5" t="inlineStr">
        <is>
          <t>128</t>
        </is>
      </c>
      <c r="C827" s="5" t="inlineStr">
        <is>
          <t>region between joints</t>
        </is>
      </c>
      <c r="D827" s="5" t="inlineStr">
        <is>
          <t>band</t>
        </is>
      </c>
      <c r="E827" s="5" t="n">
        <v>3</v>
      </c>
      <c r="F827" s="5" t="inlineStr">
        <is>
          <t>unnamed</t>
        </is>
      </c>
      <c r="G827" s="5" t="inlineStr">
        <is>
          <t>no label votes</t>
        </is>
      </c>
      <c r="H827" s="5" t="inlineStr">
        <is>
          <t>(none)</t>
        </is>
      </c>
      <c r="I827" s="5" t="inlineStr"/>
      <c r="J827" s="5" t="inlineStr"/>
      <c r="K827" s="5" t="n">
        <v>224</v>
      </c>
      <c r="L827" s="5" t="n">
        <v>31</v>
      </c>
      <c r="M827" s="10">
        <f>IF(AND(ISNUMBER(K827),L827&gt;0),K827/L827,"")</f>
        <v/>
      </c>
      <c r="N827" s="5" t="n">
        <v>0.694</v>
      </c>
      <c r="O827" s="5" t="n">
        <v>1.7</v>
      </c>
      <c r="P827" s="5" t="n">
        <v>1</v>
      </c>
      <c r="Q827" s="5" t="n">
        <v>1</v>
      </c>
      <c r="R827" s="5" t="n">
        <v>0</v>
      </c>
      <c r="S827" s="5" t="n">
        <v>0</v>
      </c>
      <c r="T827" s="5" t="n">
        <v>0</v>
      </c>
      <c r="U827" s="5" t="n">
        <v>0</v>
      </c>
      <c r="V827" s="5" t="n">
        <v>4</v>
      </c>
      <c r="W827" s="5" t="n">
        <v>0.6899999999999999</v>
      </c>
      <c r="X827" s="5" t="inlineStr"/>
      <c r="Y827" s="5" t="n">
        <v>1144.8</v>
      </c>
      <c r="Z827" s="5" t="n">
        <v>2505.4</v>
      </c>
      <c r="AA827" s="5" t="n">
        <v>1211.1</v>
      </c>
      <c r="AB827" s="5" t="n">
        <v>2516.5</v>
      </c>
      <c r="AC827" s="5" t="inlineStr"/>
      <c r="AD827" s="5">
        <f>IF(AC827="","",IF(OR(AC827=F827,AND(AC827="crane_footing",F827="isolated_footing")),"yes","no"))</f>
        <v/>
      </c>
    </row>
    <row r="828">
      <c r="A828" s="5" t="n">
        <v>827</v>
      </c>
      <c r="B828" s="5" t="inlineStr">
        <is>
          <t>128</t>
        </is>
      </c>
      <c r="C828" s="5" t="inlineStr">
        <is>
          <t>region between joints</t>
        </is>
      </c>
      <c r="D828" s="5" t="inlineStr">
        <is>
          <t>band</t>
        </is>
      </c>
      <c r="E828" s="5" t="n">
        <v>3</v>
      </c>
      <c r="F828" s="5" t="inlineStr">
        <is>
          <t>unnamed</t>
        </is>
      </c>
      <c r="G828" s="5" t="inlineStr">
        <is>
          <t>no label votes</t>
        </is>
      </c>
      <c r="H828" s="5" t="inlineStr">
        <is>
          <t>(none)</t>
        </is>
      </c>
      <c r="I828" s="5" t="inlineStr"/>
      <c r="J828" s="5" t="inlineStr"/>
      <c r="K828" s="5" t="n">
        <v>224</v>
      </c>
      <c r="L828" s="5" t="n">
        <v>31</v>
      </c>
      <c r="M828" s="10">
        <f>IF(AND(ISNUMBER(K828),L828&gt;0),K828/L828,"")</f>
        <v/>
      </c>
      <c r="N828" s="5" t="n">
        <v>0.6929999999999999</v>
      </c>
      <c r="O828" s="5" t="n">
        <v>101.6</v>
      </c>
      <c r="P828" s="5" t="n">
        <v>0</v>
      </c>
      <c r="Q828" s="5" t="n">
        <v>0</v>
      </c>
      <c r="R828" s="5" t="n">
        <v>0</v>
      </c>
      <c r="S828" s="5" t="n">
        <v>0</v>
      </c>
      <c r="T828" s="5" t="n">
        <v>0</v>
      </c>
      <c r="U828" s="5" t="n">
        <v>0</v>
      </c>
      <c r="V828" s="5" t="n">
        <v>7</v>
      </c>
      <c r="W828" s="5" t="n">
        <v>2.24</v>
      </c>
      <c r="X828" s="5" t="inlineStr"/>
      <c r="Y828" s="5" t="n">
        <v>1131.6</v>
      </c>
      <c r="Z828" s="5" t="n">
        <v>2570.6</v>
      </c>
      <c r="AA828" s="5" t="n">
        <v>1153.9</v>
      </c>
      <c r="AB828" s="5" t="n">
        <v>2637.1</v>
      </c>
      <c r="AC828" s="5" t="inlineStr"/>
      <c r="AD828" s="5">
        <f>IF(AC828="","",IF(OR(AC828=F828,AND(AC828="crane_footing",F828="isolated_footing")),"yes","no"))</f>
        <v/>
      </c>
    </row>
    <row r="829">
      <c r="A829" s="5" t="n">
        <v>828</v>
      </c>
      <c r="B829" s="5" t="inlineStr">
        <is>
          <t>128</t>
        </is>
      </c>
      <c r="C829" s="5" t="inlineStr">
        <is>
          <t>region between joints</t>
        </is>
      </c>
      <c r="D829" s="5" t="inlineStr">
        <is>
          <t>band</t>
        </is>
      </c>
      <c r="E829" s="5" t="n">
        <v>3</v>
      </c>
      <c r="F829" s="5" t="inlineStr">
        <is>
          <t>unnamed</t>
        </is>
      </c>
      <c r="G829" s="5" t="inlineStr">
        <is>
          <t>no label votes</t>
        </is>
      </c>
      <c r="H829" s="5" t="inlineStr">
        <is>
          <t>(none)</t>
        </is>
      </c>
      <c r="I829" s="5" t="inlineStr"/>
      <c r="J829" s="5" t="inlineStr"/>
      <c r="K829" s="5" t="n">
        <v>224</v>
      </c>
      <c r="L829" s="5" t="n">
        <v>31</v>
      </c>
      <c r="M829" s="10">
        <f>IF(AND(ISNUMBER(K829),L829&gt;0),K829/L829,"")</f>
        <v/>
      </c>
      <c r="N829" s="5" t="n">
        <v>0.6929999999999999</v>
      </c>
      <c r="O829" s="5" t="n">
        <v>1.7</v>
      </c>
      <c r="P829" s="5" t="n">
        <v>1</v>
      </c>
      <c r="Q829" s="5" t="n">
        <v>1</v>
      </c>
      <c r="R829" s="5" t="n">
        <v>0</v>
      </c>
      <c r="S829" s="5" t="n">
        <v>0</v>
      </c>
      <c r="T829" s="5" t="n">
        <v>0</v>
      </c>
      <c r="U829" s="5" t="n">
        <v>1</v>
      </c>
      <c r="V829" s="5" t="n">
        <v>4</v>
      </c>
      <c r="W829" s="5" t="n">
        <v>0.05</v>
      </c>
      <c r="X829" s="5" t="inlineStr"/>
      <c r="Y829" s="5" t="n">
        <v>1155.9</v>
      </c>
      <c r="Z829" s="5" t="n">
        <v>2496.3</v>
      </c>
      <c r="AA829" s="5" t="n">
        <v>1222.1</v>
      </c>
      <c r="AB829" s="5" t="n">
        <v>2507.4</v>
      </c>
      <c r="AC829" s="5" t="inlineStr"/>
      <c r="AD829" s="5">
        <f>IF(AC829="","",IF(OR(AC829=F829,AND(AC829="crane_footing",F829="isolated_footing")),"yes","no"))</f>
        <v/>
      </c>
    </row>
    <row r="830">
      <c r="A830" s="5" t="n">
        <v>829</v>
      </c>
      <c r="B830" s="5" t="inlineStr">
        <is>
          <t>128</t>
        </is>
      </c>
      <c r="C830" s="5" t="inlineStr">
        <is>
          <t>region between joints</t>
        </is>
      </c>
      <c r="D830" s="5" t="inlineStr">
        <is>
          <t>band</t>
        </is>
      </c>
      <c r="E830" s="5" t="n">
        <v>3</v>
      </c>
      <c r="F830" s="5" t="inlineStr">
        <is>
          <t>unnamed</t>
        </is>
      </c>
      <c r="G830" s="5" t="inlineStr">
        <is>
          <t>no label votes</t>
        </is>
      </c>
      <c r="H830" s="5" t="inlineStr">
        <is>
          <t>(none)</t>
        </is>
      </c>
      <c r="I830" s="5" t="inlineStr"/>
      <c r="J830" s="5" t="inlineStr"/>
      <c r="K830" s="5" t="n">
        <v>223</v>
      </c>
      <c r="L830" s="5" t="n">
        <v>31</v>
      </c>
      <c r="M830" s="10">
        <f>IF(AND(ISNUMBER(K830),L830&gt;0),K830/L830,"")</f>
        <v/>
      </c>
      <c r="N830" s="5" t="n">
        <v>0.6929999999999999</v>
      </c>
      <c r="O830" s="5" t="n">
        <v>1.6</v>
      </c>
      <c r="P830" s="5" t="n">
        <v>0</v>
      </c>
      <c r="Q830" s="5" t="n">
        <v>1</v>
      </c>
      <c r="R830" s="5" t="n">
        <v>0</v>
      </c>
      <c r="S830" s="5" t="n">
        <v>0</v>
      </c>
      <c r="T830" s="5" t="n">
        <v>0</v>
      </c>
      <c r="U830" s="5" t="n">
        <v>1</v>
      </c>
      <c r="V830" s="5" t="n">
        <v>4</v>
      </c>
      <c r="W830" s="5" t="n">
        <v>0.22</v>
      </c>
      <c r="X830" s="5" t="inlineStr"/>
      <c r="Y830" s="5" t="n">
        <v>857</v>
      </c>
      <c r="Z830" s="5" t="n">
        <v>2741.1</v>
      </c>
      <c r="AA830" s="5" t="n">
        <v>923.3</v>
      </c>
      <c r="AB830" s="5" t="n">
        <v>2752.1</v>
      </c>
      <c r="AC830" s="5" t="inlineStr"/>
      <c r="AD830" s="5">
        <f>IF(AC830="","",IF(OR(AC830=F830,AND(AC830="crane_footing",F830="isolated_footing")),"yes","no"))</f>
        <v/>
      </c>
    </row>
    <row r="831">
      <c r="A831" s="5" t="n">
        <v>830</v>
      </c>
      <c r="B831" s="5" t="inlineStr">
        <is>
          <t>128</t>
        </is>
      </c>
      <c r="C831" s="5" t="inlineStr">
        <is>
          <t>region between joints</t>
        </is>
      </c>
      <c r="D831" s="5" t="inlineStr">
        <is>
          <t>band</t>
        </is>
      </c>
      <c r="E831" s="5" t="n">
        <v>3</v>
      </c>
      <c r="F831" s="5" t="inlineStr">
        <is>
          <t>unnamed</t>
        </is>
      </c>
      <c r="G831" s="5" t="inlineStr">
        <is>
          <t>no label votes</t>
        </is>
      </c>
      <c r="H831" s="5" t="inlineStr">
        <is>
          <t>(none)</t>
        </is>
      </c>
      <c r="I831" s="5" t="inlineStr"/>
      <c r="J831" s="5" t="inlineStr"/>
      <c r="K831" s="5" t="n">
        <v>223</v>
      </c>
      <c r="L831" s="5" t="n">
        <v>31</v>
      </c>
      <c r="M831" s="10">
        <f>IF(AND(ISNUMBER(K831),L831&gt;0),K831/L831,"")</f>
        <v/>
      </c>
      <c r="N831" s="5" t="n">
        <v>0.6909999999999999</v>
      </c>
      <c r="O831" s="5" t="n">
        <v>1.6</v>
      </c>
      <c r="P831" s="5" t="n">
        <v>1</v>
      </c>
      <c r="Q831" s="5" t="n">
        <v>1</v>
      </c>
      <c r="R831" s="5" t="n">
        <v>0</v>
      </c>
      <c r="S831" s="5" t="n">
        <v>0</v>
      </c>
      <c r="T831" s="5" t="n">
        <v>0</v>
      </c>
      <c r="U831" s="5" t="n">
        <v>0</v>
      </c>
      <c r="V831" s="5" t="n">
        <v>3</v>
      </c>
      <c r="W831" s="5" t="n">
        <v>0</v>
      </c>
      <c r="X831" s="5" t="inlineStr"/>
      <c r="Y831" s="5" t="n">
        <v>1167.1</v>
      </c>
      <c r="Z831" s="5" t="n">
        <v>2487.3</v>
      </c>
      <c r="AA831" s="5" t="n">
        <v>1233.2</v>
      </c>
      <c r="AB831" s="5" t="n">
        <v>2498.3</v>
      </c>
      <c r="AC831" s="5" t="inlineStr"/>
      <c r="AD831" s="5">
        <f>IF(AC831="","",IF(OR(AC831=F831,AND(AC831="crane_footing",F831="isolated_footing")),"yes","no"))</f>
        <v/>
      </c>
    </row>
    <row r="832">
      <c r="A832" s="5" t="n">
        <v>831</v>
      </c>
      <c r="B832" s="5" t="inlineStr">
        <is>
          <t>128</t>
        </is>
      </c>
      <c r="C832" s="5" t="inlineStr">
        <is>
          <t>region between joints</t>
        </is>
      </c>
      <c r="D832" s="5" t="inlineStr">
        <is>
          <t>band</t>
        </is>
      </c>
      <c r="E832" s="5" t="n">
        <v>3</v>
      </c>
      <c r="F832" s="5" t="inlineStr">
        <is>
          <t>unnamed</t>
        </is>
      </c>
      <c r="G832" s="5" t="inlineStr">
        <is>
          <t>no label votes</t>
        </is>
      </c>
      <c r="H832" s="5" t="inlineStr">
        <is>
          <t>(none)</t>
        </is>
      </c>
      <c r="I832" s="5" t="inlineStr"/>
      <c r="J832" s="5" t="inlineStr"/>
      <c r="K832" s="5" t="n">
        <v>223</v>
      </c>
      <c r="L832" s="5" t="n">
        <v>31</v>
      </c>
      <c r="M832" s="10">
        <f>IF(AND(ISNUMBER(K832),L832&gt;0),K832/L832,"")</f>
        <v/>
      </c>
      <c r="N832" s="5" t="n">
        <v>0.6909999999999999</v>
      </c>
      <c r="O832" s="5" t="n">
        <v>101.6</v>
      </c>
      <c r="P832" s="5" t="n">
        <v>0</v>
      </c>
      <c r="Q832" s="5" t="n">
        <v>0</v>
      </c>
      <c r="R832" s="5" t="n">
        <v>0</v>
      </c>
      <c r="S832" s="5" t="n">
        <v>0</v>
      </c>
      <c r="T832" s="5" t="n">
        <v>0</v>
      </c>
      <c r="U832" s="5" t="n">
        <v>1</v>
      </c>
      <c r="V832" s="5" t="n">
        <v>7</v>
      </c>
      <c r="W832" s="5" t="n">
        <v>2.23</v>
      </c>
      <c r="X832" s="5" t="inlineStr"/>
      <c r="Y832" s="5" t="n">
        <v>1120.1</v>
      </c>
      <c r="Z832" s="5" t="n">
        <v>2580.1</v>
      </c>
      <c r="AA832" s="5" t="n">
        <v>1142.4</v>
      </c>
      <c r="AB832" s="5" t="n">
        <v>2646.4</v>
      </c>
      <c r="AC832" s="5" t="inlineStr"/>
      <c r="AD832" s="5">
        <f>IF(AC832="","",IF(OR(AC832=F832,AND(AC832="crane_footing",F832="isolated_footing")),"yes","no"))</f>
        <v/>
      </c>
    </row>
    <row r="833">
      <c r="A833" s="5" t="n">
        <v>832</v>
      </c>
      <c r="B833" s="5" t="inlineStr">
        <is>
          <t>128</t>
        </is>
      </c>
      <c r="C833" s="5" t="inlineStr">
        <is>
          <t>region between joints</t>
        </is>
      </c>
      <c r="D833" s="5" t="inlineStr">
        <is>
          <t>band</t>
        </is>
      </c>
      <c r="E833" s="5" t="n">
        <v>3</v>
      </c>
      <c r="F833" s="5" t="inlineStr">
        <is>
          <t>unnamed</t>
        </is>
      </c>
      <c r="G833" s="5" t="inlineStr">
        <is>
          <t>no label votes</t>
        </is>
      </c>
      <c r="H833" s="5" t="inlineStr">
        <is>
          <t>(none)</t>
        </is>
      </c>
      <c r="I833" s="5" t="inlineStr"/>
      <c r="J833" s="5" t="inlineStr"/>
      <c r="K833" s="5" t="n">
        <v>223</v>
      </c>
      <c r="L833" s="5" t="n">
        <v>31</v>
      </c>
      <c r="M833" s="10">
        <f>IF(AND(ISNUMBER(K833),L833&gt;0),K833/L833,"")</f>
        <v/>
      </c>
      <c r="N833" s="5" t="n">
        <v>0.6909999999999999</v>
      </c>
      <c r="O833" s="5" t="n">
        <v>101.6</v>
      </c>
      <c r="P833" s="5" t="n">
        <v>1</v>
      </c>
      <c r="Q833" s="5" t="n">
        <v>0</v>
      </c>
      <c r="R833" s="5" t="n">
        <v>0</v>
      </c>
      <c r="S833" s="5" t="n">
        <v>0</v>
      </c>
      <c r="T833" s="5" t="n">
        <v>0</v>
      </c>
      <c r="U833" s="5" t="n">
        <v>0</v>
      </c>
      <c r="V833" s="5" t="n">
        <v>7</v>
      </c>
      <c r="W833" s="5" t="n">
        <v>1.96</v>
      </c>
      <c r="X833" s="5" t="inlineStr"/>
      <c r="Y833" s="5" t="n">
        <v>1108.7</v>
      </c>
      <c r="Z833" s="5" t="n">
        <v>2589.4</v>
      </c>
      <c r="AA833" s="5" t="n">
        <v>1130.9</v>
      </c>
      <c r="AB833" s="5" t="n">
        <v>2655.7</v>
      </c>
      <c r="AC833" s="5" t="inlineStr"/>
      <c r="AD833" s="5">
        <f>IF(AC833="","",IF(OR(AC833=F833,AND(AC833="crane_footing",F833="isolated_footing")),"yes","no"))</f>
        <v/>
      </c>
    </row>
    <row r="834">
      <c r="A834" s="5" t="n">
        <v>833</v>
      </c>
      <c r="B834" s="5" t="inlineStr">
        <is>
          <t>128</t>
        </is>
      </c>
      <c r="C834" s="5" t="inlineStr">
        <is>
          <t>region between joints</t>
        </is>
      </c>
      <c r="D834" s="5" t="inlineStr">
        <is>
          <t>band</t>
        </is>
      </c>
      <c r="E834" s="5" t="n">
        <v>3</v>
      </c>
      <c r="F834" s="5" t="inlineStr">
        <is>
          <t>unnamed</t>
        </is>
      </c>
      <c r="G834" s="5" t="inlineStr">
        <is>
          <t>no label votes</t>
        </is>
      </c>
      <c r="H834" s="5" t="inlineStr">
        <is>
          <t>(none)</t>
        </is>
      </c>
      <c r="I834" s="5" t="inlineStr"/>
      <c r="J834" s="5" t="inlineStr"/>
      <c r="K834" s="5" t="n">
        <v>222</v>
      </c>
      <c r="L834" s="5" t="n">
        <v>31</v>
      </c>
      <c r="M834" s="10">
        <f>IF(AND(ISNUMBER(K834),L834&gt;0),K834/L834,"")</f>
        <v/>
      </c>
      <c r="N834" s="5" t="n">
        <v>0.6889999999999999</v>
      </c>
      <c r="O834" s="5" t="n">
        <v>1.6</v>
      </c>
      <c r="P834" s="5" t="n">
        <v>1</v>
      </c>
      <c r="Q834" s="5" t="n">
        <v>1</v>
      </c>
      <c r="R834" s="5" t="n">
        <v>0</v>
      </c>
      <c r="S834" s="5" t="n">
        <v>0</v>
      </c>
      <c r="T834" s="5" t="n">
        <v>0</v>
      </c>
      <c r="U834" s="5" t="n">
        <v>0</v>
      </c>
      <c r="V834" s="5" t="n">
        <v>4</v>
      </c>
      <c r="W834" s="5" t="n">
        <v>0</v>
      </c>
      <c r="X834" s="5" t="inlineStr"/>
      <c r="Y834" s="5" t="n">
        <v>1189.5</v>
      </c>
      <c r="Z834" s="5" t="n">
        <v>2469.2</v>
      </c>
      <c r="AA834" s="5" t="n">
        <v>1255.3</v>
      </c>
      <c r="AB834" s="5" t="n">
        <v>2480.2</v>
      </c>
      <c r="AC834" s="5" t="inlineStr"/>
      <c r="AD834" s="5">
        <f>IF(AC834="","",IF(OR(AC834=F834,AND(AC834="crane_footing",F834="isolated_footing")),"yes","no"))</f>
        <v/>
      </c>
    </row>
    <row r="835">
      <c r="A835" s="5" t="n">
        <v>834</v>
      </c>
      <c r="B835" s="5" t="inlineStr">
        <is>
          <t>128</t>
        </is>
      </c>
      <c r="C835" s="5" t="inlineStr">
        <is>
          <t>region between joints</t>
        </is>
      </c>
      <c r="D835" s="5" t="inlineStr">
        <is>
          <t>band</t>
        </is>
      </c>
      <c r="E835" s="5" t="n">
        <v>3</v>
      </c>
      <c r="F835" s="5" t="inlineStr">
        <is>
          <t>unnamed</t>
        </is>
      </c>
      <c r="G835" s="5" t="inlineStr">
        <is>
          <t>no label votes</t>
        </is>
      </c>
      <c r="H835" s="5" t="inlineStr">
        <is>
          <t>(none)</t>
        </is>
      </c>
      <c r="I835" s="5" t="inlineStr"/>
      <c r="J835" s="5" t="inlineStr"/>
      <c r="K835" s="5" t="n">
        <v>222</v>
      </c>
      <c r="L835" s="5" t="n">
        <v>31</v>
      </c>
      <c r="M835" s="10">
        <f>IF(AND(ISNUMBER(K835),L835&gt;0),K835/L835,"")</f>
        <v/>
      </c>
      <c r="N835" s="5" t="n">
        <v>0.6889999999999999</v>
      </c>
      <c r="O835" s="5" t="n">
        <v>101.7</v>
      </c>
      <c r="P835" s="5" t="n">
        <v>1</v>
      </c>
      <c r="Q835" s="5" t="n">
        <v>0</v>
      </c>
      <c r="R835" s="5" t="n">
        <v>0</v>
      </c>
      <c r="S835" s="5" t="n">
        <v>0</v>
      </c>
      <c r="T835" s="5" t="n">
        <v>0</v>
      </c>
      <c r="U835" s="5" t="n">
        <v>0</v>
      </c>
      <c r="V835" s="5" t="n">
        <v>7</v>
      </c>
      <c r="W835" s="5" t="n">
        <v>1.96</v>
      </c>
      <c r="X835" s="5" t="inlineStr"/>
      <c r="Y835" s="5" t="n">
        <v>1097.2</v>
      </c>
      <c r="Z835" s="5" t="n">
        <v>2598.9</v>
      </c>
      <c r="AA835" s="5" t="n">
        <v>1119.4</v>
      </c>
      <c r="AB835" s="5" t="n">
        <v>2665</v>
      </c>
      <c r="AC835" s="5" t="inlineStr"/>
      <c r="AD835" s="5">
        <f>IF(AC835="","",IF(OR(AC835=F835,AND(AC835="crane_footing",F835="isolated_footing")),"yes","no"))</f>
        <v/>
      </c>
    </row>
    <row r="836">
      <c r="A836" s="5" t="n">
        <v>835</v>
      </c>
      <c r="B836" s="5" t="inlineStr">
        <is>
          <t>128</t>
        </is>
      </c>
      <c r="C836" s="5" t="inlineStr">
        <is>
          <t>region between joints</t>
        </is>
      </c>
      <c r="D836" s="5" t="inlineStr">
        <is>
          <t>band</t>
        </is>
      </c>
      <c r="E836" s="5" t="n">
        <v>3</v>
      </c>
      <c r="F836" s="5" t="inlineStr">
        <is>
          <t>unnamed</t>
        </is>
      </c>
      <c r="G836" s="5" t="inlineStr">
        <is>
          <t>no label votes</t>
        </is>
      </c>
      <c r="H836" s="5" t="inlineStr">
        <is>
          <t>(none)</t>
        </is>
      </c>
      <c r="I836" s="5" t="inlineStr"/>
      <c r="J836" s="5" t="inlineStr"/>
      <c r="K836" s="5" t="n">
        <v>222</v>
      </c>
      <c r="L836" s="5" t="n">
        <v>31</v>
      </c>
      <c r="M836" s="10">
        <f>IF(AND(ISNUMBER(K836),L836&gt;0),K836/L836,"")</f>
        <v/>
      </c>
      <c r="N836" s="5" t="n">
        <v>0.6870000000000001</v>
      </c>
      <c r="O836" s="5" t="n">
        <v>101.6</v>
      </c>
      <c r="P836" s="5" t="n">
        <v>1</v>
      </c>
      <c r="Q836" s="5" t="n">
        <v>0</v>
      </c>
      <c r="R836" s="5" t="n">
        <v>0</v>
      </c>
      <c r="S836" s="5" t="n">
        <v>0</v>
      </c>
      <c r="T836" s="5" t="n">
        <v>0</v>
      </c>
      <c r="U836" s="5" t="n">
        <v>0</v>
      </c>
      <c r="V836" s="5" t="n">
        <v>7</v>
      </c>
      <c r="W836" s="5" t="n">
        <v>1.96</v>
      </c>
      <c r="X836" s="5" t="inlineStr"/>
      <c r="Y836" s="5" t="n">
        <v>1085.7</v>
      </c>
      <c r="Z836" s="5" t="n">
        <v>2608.3</v>
      </c>
      <c r="AA836" s="5" t="n">
        <v>1107.8</v>
      </c>
      <c r="AB836" s="5" t="n">
        <v>2674.3</v>
      </c>
      <c r="AC836" s="5" t="inlineStr"/>
      <c r="AD836" s="5">
        <f>IF(AC836="","",IF(OR(AC836=F836,AND(AC836="crane_footing",F836="isolated_footing")),"yes","no"))</f>
        <v/>
      </c>
    </row>
    <row r="837">
      <c r="A837" s="5" t="n">
        <v>836</v>
      </c>
      <c r="B837" s="5" t="inlineStr">
        <is>
          <t>128</t>
        </is>
      </c>
      <c r="C837" s="5" t="inlineStr">
        <is>
          <t>region between joints</t>
        </is>
      </c>
      <c r="D837" s="5" t="inlineStr">
        <is>
          <t>band</t>
        </is>
      </c>
      <c r="E837" s="5" t="n">
        <v>3</v>
      </c>
      <c r="F837" s="5" t="inlineStr">
        <is>
          <t>unnamed</t>
        </is>
      </c>
      <c r="G837" s="5" t="inlineStr">
        <is>
          <t>no label votes</t>
        </is>
      </c>
      <c r="H837" s="5" t="inlineStr">
        <is>
          <t>(none)</t>
        </is>
      </c>
      <c r="I837" s="5" t="inlineStr"/>
      <c r="J837" s="5" t="inlineStr"/>
      <c r="K837" s="5" t="n">
        <v>221</v>
      </c>
      <c r="L837" s="5" t="n">
        <v>31</v>
      </c>
      <c r="M837" s="10">
        <f>IF(AND(ISNUMBER(K837),L837&gt;0),K837/L837,"")</f>
        <v/>
      </c>
      <c r="N837" s="5" t="n">
        <v>0.6850000000000001</v>
      </c>
      <c r="O837" s="5" t="n">
        <v>101.6</v>
      </c>
      <c r="P837" s="5" t="n">
        <v>1</v>
      </c>
      <c r="Q837" s="5" t="n">
        <v>0</v>
      </c>
      <c r="R837" s="5" t="n">
        <v>0</v>
      </c>
      <c r="S837" s="5" t="n">
        <v>0</v>
      </c>
      <c r="T837" s="5" t="n">
        <v>0</v>
      </c>
      <c r="U837" s="5" t="n">
        <v>1</v>
      </c>
      <c r="V837" s="5" t="n">
        <v>6</v>
      </c>
      <c r="W837" s="5" t="n">
        <v>1.95</v>
      </c>
      <c r="X837" s="5" t="inlineStr"/>
      <c r="Y837" s="5" t="n">
        <v>1074.2</v>
      </c>
      <c r="Z837" s="5" t="n">
        <v>2617.7</v>
      </c>
      <c r="AA837" s="5" t="n">
        <v>1096.3</v>
      </c>
      <c r="AB837" s="5" t="n">
        <v>2683.5</v>
      </c>
      <c r="AC837" s="5" t="inlineStr"/>
      <c r="AD837" s="5">
        <f>IF(AC837="","",IF(OR(AC837=F837,AND(AC837="crane_footing",F837="isolated_footing")),"yes","no"))</f>
        <v/>
      </c>
    </row>
    <row r="838">
      <c r="A838" s="5" t="n">
        <v>837</v>
      </c>
      <c r="B838" s="5" t="inlineStr">
        <is>
          <t>128</t>
        </is>
      </c>
      <c r="C838" s="5" t="inlineStr">
        <is>
          <t>region between joints</t>
        </is>
      </c>
      <c r="D838" s="5" t="inlineStr">
        <is>
          <t>band</t>
        </is>
      </c>
      <c r="E838" s="5" t="n">
        <v>3</v>
      </c>
      <c r="F838" s="5" t="inlineStr">
        <is>
          <t>unnamed</t>
        </is>
      </c>
      <c r="G838" s="5" t="inlineStr">
        <is>
          <t>no label votes</t>
        </is>
      </c>
      <c r="H838" s="5" t="inlineStr">
        <is>
          <t>(none)</t>
        </is>
      </c>
      <c r="I838" s="5" t="inlineStr"/>
      <c r="J838" s="5" t="inlineStr"/>
      <c r="K838" s="5" t="n">
        <v>221</v>
      </c>
      <c r="L838" s="5" t="n">
        <v>31</v>
      </c>
      <c r="M838" s="10">
        <f>IF(AND(ISNUMBER(K838),L838&gt;0),K838/L838,"")</f>
        <v/>
      </c>
      <c r="N838" s="5" t="n">
        <v>0.6840000000000001</v>
      </c>
      <c r="O838" s="5" t="n">
        <v>101.6</v>
      </c>
      <c r="P838" s="5" t="n">
        <v>1</v>
      </c>
      <c r="Q838" s="5" t="n">
        <v>0</v>
      </c>
      <c r="R838" s="5" t="n">
        <v>0</v>
      </c>
      <c r="S838" s="5" t="n">
        <v>0</v>
      </c>
      <c r="T838" s="5" t="n">
        <v>0</v>
      </c>
      <c r="U838" s="5" t="n">
        <v>1</v>
      </c>
      <c r="V838" s="5" t="n">
        <v>6</v>
      </c>
      <c r="W838" s="5" t="n">
        <v>1.95</v>
      </c>
      <c r="X838" s="5" t="inlineStr"/>
      <c r="Y838" s="5" t="n">
        <v>1062.7</v>
      </c>
      <c r="Z838" s="5" t="n">
        <v>2627.2</v>
      </c>
      <c r="AA838" s="5" t="n">
        <v>1084.8</v>
      </c>
      <c r="AB838" s="5" t="n">
        <v>2692.8</v>
      </c>
      <c r="AC838" s="5" t="inlineStr"/>
      <c r="AD838" s="5">
        <f>IF(AC838="","",IF(OR(AC838=F838,AND(AC838="crane_footing",F838="isolated_footing")),"yes","no"))</f>
        <v/>
      </c>
    </row>
    <row r="839">
      <c r="A839" s="5" t="n">
        <v>838</v>
      </c>
      <c r="B839" s="5" t="inlineStr">
        <is>
          <t>128</t>
        </is>
      </c>
      <c r="C839" s="5" t="inlineStr">
        <is>
          <t>region between joints</t>
        </is>
      </c>
      <c r="D839" s="5" t="inlineStr">
        <is>
          <t>band</t>
        </is>
      </c>
      <c r="E839" s="5" t="n">
        <v>3</v>
      </c>
      <c r="F839" s="5" t="inlineStr">
        <is>
          <t>unnamed</t>
        </is>
      </c>
      <c r="G839" s="5" t="inlineStr">
        <is>
          <t>no label votes</t>
        </is>
      </c>
      <c r="H839" s="5" t="inlineStr">
        <is>
          <t>(none)</t>
        </is>
      </c>
      <c r="I839" s="5" t="inlineStr"/>
      <c r="J839" s="5" t="inlineStr"/>
      <c r="K839" s="5" t="n">
        <v>220</v>
      </c>
      <c r="L839" s="5" t="n">
        <v>31</v>
      </c>
      <c r="M839" s="10">
        <f>IF(AND(ISNUMBER(K839),L839&gt;0),K839/L839,"")</f>
        <v/>
      </c>
      <c r="N839" s="5" t="n">
        <v>0.6830000000000001</v>
      </c>
      <c r="O839" s="5" t="n">
        <v>101.6</v>
      </c>
      <c r="P839" s="5" t="n">
        <v>1</v>
      </c>
      <c r="Q839" s="5" t="n">
        <v>0</v>
      </c>
      <c r="R839" s="5" t="n">
        <v>0</v>
      </c>
      <c r="S839" s="5" t="n">
        <v>0</v>
      </c>
      <c r="T839" s="5" t="n">
        <v>0</v>
      </c>
      <c r="U839" s="5" t="n">
        <v>1</v>
      </c>
      <c r="V839" s="5" t="n">
        <v>6</v>
      </c>
      <c r="W839" s="5" t="n">
        <v>1.95</v>
      </c>
      <c r="X839" s="5" t="inlineStr"/>
      <c r="Y839" s="5" t="n">
        <v>1051.2</v>
      </c>
      <c r="Z839" s="5" t="n">
        <v>2636.6</v>
      </c>
      <c r="AA839" s="5" t="n">
        <v>1073.3</v>
      </c>
      <c r="AB839" s="5" t="n">
        <v>2702.1</v>
      </c>
      <c r="AC839" s="5" t="inlineStr"/>
      <c r="AD839" s="5">
        <f>IF(AC839="","",IF(OR(AC839=F839,AND(AC839="crane_footing",F839="isolated_footing")),"yes","no"))</f>
        <v/>
      </c>
    </row>
    <row r="840">
      <c r="A840" s="5" t="n">
        <v>839</v>
      </c>
      <c r="B840" s="5" t="inlineStr">
        <is>
          <t>128</t>
        </is>
      </c>
      <c r="C840" s="5" t="inlineStr">
        <is>
          <t>region between joints</t>
        </is>
      </c>
      <c r="D840" s="5" t="inlineStr">
        <is>
          <t>band</t>
        </is>
      </c>
      <c r="E840" s="5" t="n">
        <v>3</v>
      </c>
      <c r="F840" s="5" t="inlineStr">
        <is>
          <t>unnamed</t>
        </is>
      </c>
      <c r="G840" s="5" t="inlineStr">
        <is>
          <t>no label votes</t>
        </is>
      </c>
      <c r="H840" s="5" t="inlineStr">
        <is>
          <t>(none)</t>
        </is>
      </c>
      <c r="I840" s="5" t="inlineStr"/>
      <c r="J840" s="5" t="inlineStr"/>
      <c r="K840" s="5" t="n">
        <v>220</v>
      </c>
      <c r="L840" s="5" t="n">
        <v>31</v>
      </c>
      <c r="M840" s="10">
        <f>IF(AND(ISNUMBER(K840),L840&gt;0),K840/L840,"")</f>
        <v/>
      </c>
      <c r="N840" s="5" t="n">
        <v>0.681</v>
      </c>
      <c r="O840" s="5" t="n">
        <v>101.7</v>
      </c>
      <c r="P840" s="5" t="n">
        <v>1</v>
      </c>
      <c r="Q840" s="5" t="n">
        <v>0</v>
      </c>
      <c r="R840" s="5" t="n">
        <v>0</v>
      </c>
      <c r="S840" s="5" t="n">
        <v>0</v>
      </c>
      <c r="T840" s="5" t="n">
        <v>0</v>
      </c>
      <c r="U840" s="5" t="n">
        <v>0</v>
      </c>
      <c r="V840" s="5" t="n">
        <v>6</v>
      </c>
      <c r="W840" s="5" t="n">
        <v>1.95</v>
      </c>
      <c r="X840" s="5" t="inlineStr"/>
      <c r="Y840" s="5" t="n">
        <v>1039.7</v>
      </c>
      <c r="Z840" s="5" t="n">
        <v>2646</v>
      </c>
      <c r="AA840" s="5" t="n">
        <v>1061.8</v>
      </c>
      <c r="AB840" s="5" t="n">
        <v>2711.4</v>
      </c>
      <c r="AC840" s="5" t="inlineStr"/>
      <c r="AD840" s="5">
        <f>IF(AC840="","",IF(OR(AC840=F840,AND(AC840="crane_footing",F840="isolated_footing")),"yes","no"))</f>
        <v/>
      </c>
    </row>
    <row r="841">
      <c r="A841" s="5" t="n">
        <v>840</v>
      </c>
      <c r="B841" s="5" t="inlineStr">
        <is>
          <t>128</t>
        </is>
      </c>
      <c r="C841" s="5" t="inlineStr">
        <is>
          <t>region between joints</t>
        </is>
      </c>
      <c r="D841" s="5" t="inlineStr">
        <is>
          <t>band</t>
        </is>
      </c>
      <c r="E841" s="5" t="n">
        <v>3</v>
      </c>
      <c r="F841" s="5" t="inlineStr">
        <is>
          <t>unnamed</t>
        </is>
      </c>
      <c r="G841" s="5" t="inlineStr">
        <is>
          <t>no label votes</t>
        </is>
      </c>
      <c r="H841" s="5" t="inlineStr">
        <is>
          <t>(none)</t>
        </is>
      </c>
      <c r="I841" s="5" t="inlineStr"/>
      <c r="J841" s="5" t="inlineStr"/>
      <c r="K841" s="5" t="n">
        <v>219</v>
      </c>
      <c r="L841" s="5" t="n">
        <v>31</v>
      </c>
      <c r="M841" s="10">
        <f>IF(AND(ISNUMBER(K841),L841&gt;0),K841/L841,"")</f>
        <v/>
      </c>
      <c r="N841" s="5" t="n">
        <v>0.68</v>
      </c>
      <c r="O841" s="5" t="n">
        <v>101.6</v>
      </c>
      <c r="P841" s="5" t="n">
        <v>1</v>
      </c>
      <c r="Q841" s="5" t="n">
        <v>0</v>
      </c>
      <c r="R841" s="5" t="n">
        <v>0</v>
      </c>
      <c r="S841" s="5" t="n">
        <v>0</v>
      </c>
      <c r="T841" s="5" t="n">
        <v>0</v>
      </c>
      <c r="U841" s="5" t="n">
        <v>1</v>
      </c>
      <c r="V841" s="5" t="n">
        <v>5</v>
      </c>
      <c r="W841" s="5" t="n">
        <v>1.95</v>
      </c>
      <c r="X841" s="5" t="inlineStr"/>
      <c r="Y841" s="5" t="n">
        <v>1028.3</v>
      </c>
      <c r="Z841" s="5" t="n">
        <v>2655.4</v>
      </c>
      <c r="AA841" s="5" t="n">
        <v>1050.3</v>
      </c>
      <c r="AB841" s="5" t="n">
        <v>2720.7</v>
      </c>
      <c r="AC841" s="5" t="inlineStr"/>
      <c r="AD841" s="5">
        <f>IF(AC841="","",IF(OR(AC841=F841,AND(AC841="crane_footing",F841="isolated_footing")),"yes","no"))</f>
        <v/>
      </c>
    </row>
    <row r="842">
      <c r="A842" s="5" t="n">
        <v>841</v>
      </c>
      <c r="B842" s="5" t="inlineStr">
        <is>
          <t>128</t>
        </is>
      </c>
      <c r="C842" s="5" t="inlineStr">
        <is>
          <t>region between joints</t>
        </is>
      </c>
      <c r="D842" s="5" t="inlineStr">
        <is>
          <t>band</t>
        </is>
      </c>
      <c r="E842" s="5" t="n">
        <v>3</v>
      </c>
      <c r="F842" s="5" t="inlineStr">
        <is>
          <t>unnamed</t>
        </is>
      </c>
      <c r="G842" s="5" t="inlineStr">
        <is>
          <t>no label votes</t>
        </is>
      </c>
      <c r="H842" s="5" t="inlineStr">
        <is>
          <t>(none)</t>
        </is>
      </c>
      <c r="I842" s="5" t="inlineStr"/>
      <c r="J842" s="5" t="inlineStr"/>
      <c r="K842" s="5" t="n">
        <v>219</v>
      </c>
      <c r="L842" s="5" t="n">
        <v>31</v>
      </c>
      <c r="M842" s="10">
        <f>IF(AND(ISNUMBER(K842),L842&gt;0),K842/L842,"")</f>
        <v/>
      </c>
      <c r="N842" s="5" t="n">
        <v>0.678</v>
      </c>
      <c r="O842" s="5" t="n">
        <v>101.6</v>
      </c>
      <c r="P842" s="5" t="n">
        <v>1</v>
      </c>
      <c r="Q842" s="5" t="n">
        <v>0</v>
      </c>
      <c r="R842" s="5" t="n">
        <v>0</v>
      </c>
      <c r="S842" s="5" t="n">
        <v>0</v>
      </c>
      <c r="T842" s="5" t="n">
        <v>0</v>
      </c>
      <c r="U842" s="5" t="n">
        <v>1</v>
      </c>
      <c r="V842" s="5" t="n">
        <v>6</v>
      </c>
      <c r="W842" s="5" t="n">
        <v>1.94</v>
      </c>
      <c r="X842" s="5" t="inlineStr"/>
      <c r="Y842" s="5" t="n">
        <v>1016.8</v>
      </c>
      <c r="Z842" s="5" t="n">
        <v>2664.9</v>
      </c>
      <c r="AA842" s="5" t="n">
        <v>1038.8</v>
      </c>
      <c r="AB842" s="5" t="n">
        <v>2730</v>
      </c>
      <c r="AC842" s="5" t="inlineStr"/>
      <c r="AD842" s="5">
        <f>IF(AC842="","",IF(OR(AC842=F842,AND(AC842="crane_footing",F842="isolated_footing")),"yes","no"))</f>
        <v/>
      </c>
    </row>
    <row r="843">
      <c r="A843" s="5" t="n">
        <v>842</v>
      </c>
      <c r="B843" s="5" t="inlineStr">
        <is>
          <t>128</t>
        </is>
      </c>
      <c r="C843" s="5" t="inlineStr">
        <is>
          <t>region between joints</t>
        </is>
      </c>
      <c r="D843" s="5" t="inlineStr">
        <is>
          <t>band</t>
        </is>
      </c>
      <c r="E843" s="5" t="n">
        <v>3</v>
      </c>
      <c r="F843" s="5" t="inlineStr">
        <is>
          <t>unnamed</t>
        </is>
      </c>
      <c r="G843" s="5" t="inlineStr">
        <is>
          <t>no label votes</t>
        </is>
      </c>
      <c r="H843" s="5" t="inlineStr">
        <is>
          <t>(none)</t>
        </is>
      </c>
      <c r="I843" s="5" t="inlineStr"/>
      <c r="J843" s="5" t="inlineStr"/>
      <c r="K843" s="5" t="n">
        <v>218</v>
      </c>
      <c r="L843" s="5" t="n">
        <v>31</v>
      </c>
      <c r="M843" s="10">
        <f>IF(AND(ISNUMBER(K843),L843&gt;0),K843/L843,"")</f>
        <v/>
      </c>
      <c r="N843" s="5" t="n">
        <v>0.676</v>
      </c>
      <c r="O843" s="5" t="n">
        <v>101.7</v>
      </c>
      <c r="P843" s="5" t="n">
        <v>1</v>
      </c>
      <c r="Q843" s="5" t="n">
        <v>0</v>
      </c>
      <c r="R843" s="5" t="n">
        <v>0</v>
      </c>
      <c r="S843" s="5" t="n">
        <v>0</v>
      </c>
      <c r="T843" s="5" t="n">
        <v>0</v>
      </c>
      <c r="U843" s="5" t="n">
        <v>0</v>
      </c>
      <c r="V843" s="5" t="n">
        <v>7</v>
      </c>
      <c r="W843" s="5" t="n">
        <v>1.94</v>
      </c>
      <c r="X843" s="5" t="inlineStr"/>
      <c r="Y843" s="5" t="n">
        <v>1005.3</v>
      </c>
      <c r="Z843" s="5" t="n">
        <v>2674.3</v>
      </c>
      <c r="AA843" s="5" t="n">
        <v>1027.3</v>
      </c>
      <c r="AB843" s="5" t="n">
        <v>2739.3</v>
      </c>
      <c r="AC843" s="5" t="inlineStr"/>
      <c r="AD843" s="5">
        <f>IF(AC843="","",IF(OR(AC843=F843,AND(AC843="crane_footing",F843="isolated_footing")),"yes","no"))</f>
        <v/>
      </c>
    </row>
    <row r="844">
      <c r="A844" s="5" t="n">
        <v>843</v>
      </c>
      <c r="B844" s="5" t="inlineStr">
        <is>
          <t>128</t>
        </is>
      </c>
      <c r="C844" s="5" t="inlineStr">
        <is>
          <t>region between joints</t>
        </is>
      </c>
      <c r="D844" s="5" t="inlineStr">
        <is>
          <t>band</t>
        </is>
      </c>
      <c r="E844" s="5" t="n">
        <v>3</v>
      </c>
      <c r="F844" s="5" t="inlineStr">
        <is>
          <t>unnamed</t>
        </is>
      </c>
      <c r="G844" s="5" t="inlineStr">
        <is>
          <t>no label votes</t>
        </is>
      </c>
      <c r="H844" s="5" t="inlineStr">
        <is>
          <t>(none)</t>
        </is>
      </c>
      <c r="I844" s="5" t="inlineStr"/>
      <c r="J844" s="5" t="inlineStr"/>
      <c r="K844" s="5" t="n">
        <v>218</v>
      </c>
      <c r="L844" s="5" t="n">
        <v>31</v>
      </c>
      <c r="M844" s="10">
        <f>IF(AND(ISNUMBER(K844),L844&gt;0),K844/L844,"")</f>
        <v/>
      </c>
      <c r="N844" s="5" t="n">
        <v>0.675</v>
      </c>
      <c r="O844" s="5" t="n">
        <v>101.6</v>
      </c>
      <c r="P844" s="5" t="n">
        <v>0</v>
      </c>
      <c r="Q844" s="5" t="n">
        <v>0</v>
      </c>
      <c r="R844" s="5" t="n">
        <v>0</v>
      </c>
      <c r="S844" s="5" t="n">
        <v>0</v>
      </c>
      <c r="T844" s="5" t="n">
        <v>0</v>
      </c>
      <c r="U844" s="5" t="n">
        <v>0</v>
      </c>
      <c r="V844" s="5" t="n">
        <v>7</v>
      </c>
      <c r="W844" s="5" t="n">
        <v>2.18</v>
      </c>
      <c r="X844" s="5" t="inlineStr"/>
      <c r="Y844" s="5" t="n">
        <v>993.8</v>
      </c>
      <c r="Z844" s="5" t="n">
        <v>2683.7</v>
      </c>
      <c r="AA844" s="5" t="n">
        <v>1015.8</v>
      </c>
      <c r="AB844" s="5" t="n">
        <v>2748.5</v>
      </c>
      <c r="AC844" s="5" t="inlineStr"/>
      <c r="AD844" s="5">
        <f>IF(AC844="","",IF(OR(AC844=F844,AND(AC844="crane_footing",F844="isolated_footing")),"yes","no"))</f>
        <v/>
      </c>
    </row>
    <row r="845">
      <c r="A845" s="5" t="n">
        <v>844</v>
      </c>
      <c r="B845" s="5" t="inlineStr">
        <is>
          <t>128</t>
        </is>
      </c>
      <c r="C845" s="5" t="inlineStr">
        <is>
          <t>region between joints</t>
        </is>
      </c>
      <c r="D845" s="5" t="inlineStr">
        <is>
          <t>band</t>
        </is>
      </c>
      <c r="E845" s="5" t="n">
        <v>3</v>
      </c>
      <c r="F845" s="5" t="inlineStr">
        <is>
          <t>unnamed</t>
        </is>
      </c>
      <c r="G845" s="5" t="inlineStr">
        <is>
          <t>no label votes</t>
        </is>
      </c>
      <c r="H845" s="5" t="inlineStr">
        <is>
          <t>(none)</t>
        </is>
      </c>
      <c r="I845" s="5" t="inlineStr"/>
      <c r="J845" s="5" t="inlineStr"/>
      <c r="K845" s="5" t="n">
        <v>217</v>
      </c>
      <c r="L845" s="5" t="n">
        <v>31</v>
      </c>
      <c r="M845" s="10">
        <f>IF(AND(ISNUMBER(K845),L845&gt;0),K845/L845,"")</f>
        <v/>
      </c>
      <c r="N845" s="5" t="n">
        <v>0.674</v>
      </c>
      <c r="O845" s="5" t="n">
        <v>101.6</v>
      </c>
      <c r="P845" s="5" t="n">
        <v>0</v>
      </c>
      <c r="Q845" s="5" t="n">
        <v>0</v>
      </c>
      <c r="R845" s="5" t="n">
        <v>0</v>
      </c>
      <c r="S845" s="5" t="n">
        <v>0</v>
      </c>
      <c r="T845" s="5" t="n">
        <v>0</v>
      </c>
      <c r="U845" s="5" t="n">
        <v>0</v>
      </c>
      <c r="V845" s="5" t="n">
        <v>8</v>
      </c>
      <c r="W845" s="5" t="n">
        <v>2.17</v>
      </c>
      <c r="X845" s="5" t="inlineStr"/>
      <c r="Y845" s="5" t="n">
        <v>982.3</v>
      </c>
      <c r="Z845" s="5" t="n">
        <v>2693.1</v>
      </c>
      <c r="AA845" s="5" t="n">
        <v>1004.3</v>
      </c>
      <c r="AB845" s="5" t="n">
        <v>2757.8</v>
      </c>
      <c r="AC845" s="5" t="inlineStr"/>
      <c r="AD845" s="5">
        <f>IF(AC845="","",IF(OR(AC845=F845,AND(AC845="crane_footing",F845="isolated_footing")),"yes","no"))</f>
        <v/>
      </c>
    </row>
    <row r="846">
      <c r="A846" s="5" t="n">
        <v>845</v>
      </c>
      <c r="B846" s="5" t="inlineStr">
        <is>
          <t>128</t>
        </is>
      </c>
      <c r="C846" s="5" t="inlineStr">
        <is>
          <t>region between joints</t>
        </is>
      </c>
      <c r="D846" s="5" t="inlineStr">
        <is>
          <t>band</t>
        </is>
      </c>
      <c r="E846" s="5" t="n">
        <v>3</v>
      </c>
      <c r="F846" s="5" t="inlineStr">
        <is>
          <t>unnamed</t>
        </is>
      </c>
      <c r="G846" s="5" t="inlineStr">
        <is>
          <t>no label votes</t>
        </is>
      </c>
      <c r="H846" s="5" t="inlineStr">
        <is>
          <t>(none)</t>
        </is>
      </c>
      <c r="I846" s="5" t="inlineStr"/>
      <c r="J846" s="5" t="inlineStr"/>
      <c r="K846" s="5" t="n">
        <v>217</v>
      </c>
      <c r="L846" s="5" t="n">
        <v>31</v>
      </c>
      <c r="M846" s="10">
        <f>IF(AND(ISNUMBER(K846),L846&gt;0),K846/L846,"")</f>
        <v/>
      </c>
      <c r="N846" s="5" t="n">
        <v>0.672</v>
      </c>
      <c r="O846" s="5" t="n">
        <v>101.6</v>
      </c>
      <c r="P846" s="5" t="n">
        <v>0</v>
      </c>
      <c r="Q846" s="5" t="n">
        <v>0</v>
      </c>
      <c r="R846" s="5" t="n">
        <v>0</v>
      </c>
      <c r="S846" s="5" t="n">
        <v>0</v>
      </c>
      <c r="T846" s="5" t="n">
        <v>0</v>
      </c>
      <c r="U846" s="5" t="n">
        <v>1</v>
      </c>
      <c r="V846" s="5" t="n">
        <v>8</v>
      </c>
      <c r="W846" s="5" t="n">
        <v>2.17</v>
      </c>
      <c r="X846" s="5" t="inlineStr"/>
      <c r="Y846" s="5" t="n">
        <v>970.9</v>
      </c>
      <c r="Z846" s="5" t="n">
        <v>2702.6</v>
      </c>
      <c r="AA846" s="5" t="n">
        <v>992.7</v>
      </c>
      <c r="AB846" s="5" t="n">
        <v>2767.1</v>
      </c>
      <c r="AC846" s="5" t="inlineStr"/>
      <c r="AD846" s="5">
        <f>IF(AC846="","",IF(OR(AC846=F846,AND(AC846="crane_footing",F846="isolated_footing")),"yes","no"))</f>
        <v/>
      </c>
    </row>
    <row r="847">
      <c r="A847" s="5" t="n">
        <v>846</v>
      </c>
      <c r="B847" s="5" t="inlineStr">
        <is>
          <t>128</t>
        </is>
      </c>
      <c r="C847" s="5" t="inlineStr">
        <is>
          <t>region between joints</t>
        </is>
      </c>
      <c r="D847" s="5" t="inlineStr">
        <is>
          <t>band</t>
        </is>
      </c>
      <c r="E847" s="5" t="n">
        <v>3</v>
      </c>
      <c r="F847" s="5" t="inlineStr">
        <is>
          <t>unnamed</t>
        </is>
      </c>
      <c r="G847" s="5" t="inlineStr">
        <is>
          <t>no label votes</t>
        </is>
      </c>
      <c r="H847" s="5" t="inlineStr">
        <is>
          <t>(none)</t>
        </is>
      </c>
      <c r="I847" s="5" t="inlineStr"/>
      <c r="J847" s="5" t="inlineStr"/>
      <c r="K847" s="5" t="n">
        <v>216</v>
      </c>
      <c r="L847" s="5" t="n">
        <v>31</v>
      </c>
      <c r="M847" s="10">
        <f>IF(AND(ISNUMBER(K847),L847&gt;0),K847/L847,"")</f>
        <v/>
      </c>
      <c r="N847" s="5" t="n">
        <v>0.67</v>
      </c>
      <c r="O847" s="5" t="n">
        <v>101.6</v>
      </c>
      <c r="P847" s="5" t="n">
        <v>0</v>
      </c>
      <c r="Q847" s="5" t="n">
        <v>0</v>
      </c>
      <c r="R847" s="5" t="n">
        <v>0</v>
      </c>
      <c r="S847" s="5" t="n">
        <v>0</v>
      </c>
      <c r="T847" s="5" t="n">
        <v>0</v>
      </c>
      <c r="U847" s="5" t="n">
        <v>0</v>
      </c>
      <c r="V847" s="5" t="n">
        <v>8</v>
      </c>
      <c r="W847" s="5" t="n">
        <v>2.16</v>
      </c>
      <c r="X847" s="5" t="inlineStr"/>
      <c r="Y847" s="5" t="n">
        <v>959.3</v>
      </c>
      <c r="Z847" s="5" t="n">
        <v>2712</v>
      </c>
      <c r="AA847" s="5" t="n">
        <v>981.2</v>
      </c>
      <c r="AB847" s="5" t="n">
        <v>2776.4</v>
      </c>
      <c r="AC847" s="5" t="inlineStr"/>
      <c r="AD847" s="5">
        <f>IF(AC847="","",IF(OR(AC847=F847,AND(AC847="crane_footing",F847="isolated_footing")),"yes","no"))</f>
        <v/>
      </c>
    </row>
    <row r="848">
      <c r="A848" s="5" t="n">
        <v>847</v>
      </c>
      <c r="B848" s="5" t="inlineStr">
        <is>
          <t>128</t>
        </is>
      </c>
      <c r="C848" s="5" t="inlineStr">
        <is>
          <t>region between joints</t>
        </is>
      </c>
      <c r="D848" s="5" t="inlineStr">
        <is>
          <t>band</t>
        </is>
      </c>
      <c r="E848" s="5" t="n">
        <v>3</v>
      </c>
      <c r="F848" s="5" t="inlineStr">
        <is>
          <t>unnamed</t>
        </is>
      </c>
      <c r="G848" s="5" t="inlineStr">
        <is>
          <t>no label votes</t>
        </is>
      </c>
      <c r="H848" s="5" t="inlineStr">
        <is>
          <t>(none)</t>
        </is>
      </c>
      <c r="I848" s="5" t="inlineStr"/>
      <c r="J848" s="5" t="inlineStr"/>
      <c r="K848" s="5" t="n">
        <v>216</v>
      </c>
      <c r="L848" s="5" t="n">
        <v>31</v>
      </c>
      <c r="M848" s="10">
        <f>IF(AND(ISNUMBER(K848),L848&gt;0),K848/L848,"")</f>
        <v/>
      </c>
      <c r="N848" s="5" t="n">
        <v>0.669</v>
      </c>
      <c r="O848" s="5" t="n">
        <v>1.6</v>
      </c>
      <c r="P848" s="5" t="n">
        <v>1</v>
      </c>
      <c r="Q848" s="5" t="n">
        <v>1</v>
      </c>
      <c r="R848" s="5" t="n">
        <v>0</v>
      </c>
      <c r="S848" s="5" t="n">
        <v>0</v>
      </c>
      <c r="T848" s="5" t="n">
        <v>0</v>
      </c>
      <c r="U848" s="5" t="n">
        <v>0</v>
      </c>
      <c r="V848" s="5" t="n">
        <v>3</v>
      </c>
      <c r="W848" s="5" t="n">
        <v>0</v>
      </c>
      <c r="X848" s="5" t="inlineStr"/>
      <c r="Y848" s="5" t="n">
        <v>1202.5</v>
      </c>
      <c r="Z848" s="5" t="n">
        <v>2460.2</v>
      </c>
      <c r="AA848" s="5" t="n">
        <v>1266.5</v>
      </c>
      <c r="AB848" s="5" t="n">
        <v>2471.1</v>
      </c>
      <c r="AC848" s="5" t="inlineStr"/>
      <c r="AD848" s="5">
        <f>IF(AC848="","",IF(OR(AC848=F848,AND(AC848="crane_footing",F848="isolated_footing")),"yes","no"))</f>
        <v/>
      </c>
    </row>
    <row r="849">
      <c r="A849" s="5" t="n">
        <v>848</v>
      </c>
      <c r="B849" s="5" t="inlineStr">
        <is>
          <t>128</t>
        </is>
      </c>
      <c r="C849" s="5" t="inlineStr">
        <is>
          <t>region between joints</t>
        </is>
      </c>
      <c r="D849" s="5" t="inlineStr">
        <is>
          <t>band</t>
        </is>
      </c>
      <c r="E849" s="5" t="n">
        <v>3</v>
      </c>
      <c r="F849" s="5" t="inlineStr">
        <is>
          <t>unnamed</t>
        </is>
      </c>
      <c r="G849" s="5" t="inlineStr">
        <is>
          <t>no label votes</t>
        </is>
      </c>
      <c r="H849" s="5" t="inlineStr">
        <is>
          <t>(none)</t>
        </is>
      </c>
      <c r="I849" s="5" t="inlineStr"/>
      <c r="J849" s="5" t="inlineStr"/>
      <c r="K849" s="5" t="n">
        <v>216</v>
      </c>
      <c r="L849" s="5" t="n">
        <v>31</v>
      </c>
      <c r="M849" s="10">
        <f>IF(AND(ISNUMBER(K849),L849&gt;0),K849/L849,"")</f>
        <v/>
      </c>
      <c r="N849" s="5" t="n">
        <v>0.669</v>
      </c>
      <c r="O849" s="5" t="n">
        <v>101.6</v>
      </c>
      <c r="P849" s="5" t="n">
        <v>0</v>
      </c>
      <c r="Q849" s="5" t="n">
        <v>0</v>
      </c>
      <c r="R849" s="5" t="n">
        <v>0</v>
      </c>
      <c r="S849" s="5" t="n">
        <v>0</v>
      </c>
      <c r="T849" s="5" t="n">
        <v>0</v>
      </c>
      <c r="U849" s="5" t="n">
        <v>0</v>
      </c>
      <c r="V849" s="5" t="n">
        <v>6</v>
      </c>
      <c r="W849" s="5" t="n">
        <v>1.7</v>
      </c>
      <c r="X849" s="5" t="inlineStr"/>
      <c r="Y849" s="5" t="n">
        <v>947.9</v>
      </c>
      <c r="Z849" s="5" t="n">
        <v>2721.4</v>
      </c>
      <c r="AA849" s="5" t="n">
        <v>969.7</v>
      </c>
      <c r="AB849" s="5" t="n">
        <v>2785.7</v>
      </c>
      <c r="AC849" s="5" t="inlineStr"/>
      <c r="AD849" s="5">
        <f>IF(AC849="","",IF(OR(AC849=F849,AND(AC849="crane_footing",F849="isolated_footing")),"yes","no"))</f>
        <v/>
      </c>
    </row>
    <row r="850">
      <c r="A850" s="5" t="n">
        <v>849</v>
      </c>
      <c r="B850" s="5" t="inlineStr">
        <is>
          <t>128</t>
        </is>
      </c>
      <c r="C850" s="5" t="inlineStr">
        <is>
          <t>region between joints</t>
        </is>
      </c>
      <c r="D850" s="5" t="inlineStr">
        <is>
          <t>band</t>
        </is>
      </c>
      <c r="E850" s="5" t="n">
        <v>3</v>
      </c>
      <c r="F850" s="5" t="inlineStr">
        <is>
          <t>unnamed</t>
        </is>
      </c>
      <c r="G850" s="5" t="inlineStr">
        <is>
          <t>no label votes</t>
        </is>
      </c>
      <c r="H850" s="5" t="inlineStr">
        <is>
          <t>(none)</t>
        </is>
      </c>
      <c r="I850" s="5" t="inlineStr"/>
      <c r="J850" s="5" t="inlineStr"/>
      <c r="K850" s="5" t="n">
        <v>215</v>
      </c>
      <c r="L850" s="5" t="n">
        <v>31</v>
      </c>
      <c r="M850" s="10">
        <f>IF(AND(ISNUMBER(K850),L850&gt;0),K850/L850,"")</f>
        <v/>
      </c>
      <c r="N850" s="5" t="n">
        <v>0.668</v>
      </c>
      <c r="O850" s="5" t="n">
        <v>101.6</v>
      </c>
      <c r="P850" s="5" t="n">
        <v>0</v>
      </c>
      <c r="Q850" s="5" t="n">
        <v>0</v>
      </c>
      <c r="R850" s="5" t="n">
        <v>0</v>
      </c>
      <c r="S850" s="5" t="n">
        <v>0</v>
      </c>
      <c r="T850" s="5" t="n">
        <v>0</v>
      </c>
      <c r="U850" s="5" t="n">
        <v>1</v>
      </c>
      <c r="V850" s="5" t="n">
        <v>6</v>
      </c>
      <c r="W850" s="5" t="n">
        <v>1.23</v>
      </c>
      <c r="X850" s="5" t="inlineStr"/>
      <c r="Y850" s="5" t="n">
        <v>936.4</v>
      </c>
      <c r="Z850" s="5" t="n">
        <v>2730.8</v>
      </c>
      <c r="AA850" s="5" t="n">
        <v>958.2</v>
      </c>
      <c r="AB850" s="5" t="n">
        <v>2795</v>
      </c>
      <c r="AC850" s="5" t="inlineStr"/>
      <c r="AD850" s="5">
        <f>IF(AC850="","",IF(OR(AC850=F850,AND(AC850="crane_footing",F850="isolated_footing")),"yes","no"))</f>
        <v/>
      </c>
    </row>
    <row r="851">
      <c r="A851" s="5" t="n">
        <v>850</v>
      </c>
      <c r="B851" s="5" t="inlineStr">
        <is>
          <t>128</t>
        </is>
      </c>
      <c r="C851" s="5" t="inlineStr">
        <is>
          <t>region between joints</t>
        </is>
      </c>
      <c r="D851" s="5" t="inlineStr">
        <is>
          <t>band</t>
        </is>
      </c>
      <c r="E851" s="5" t="n">
        <v>3</v>
      </c>
      <c r="F851" s="5" t="inlineStr">
        <is>
          <t>unnamed</t>
        </is>
      </c>
      <c r="G851" s="5" t="inlineStr">
        <is>
          <t>no label votes</t>
        </is>
      </c>
      <c r="H851" s="5" t="inlineStr">
        <is>
          <t>(none)</t>
        </is>
      </c>
      <c r="I851" s="5" t="inlineStr"/>
      <c r="J851" s="5" t="inlineStr"/>
      <c r="K851" s="5" t="n">
        <v>215</v>
      </c>
      <c r="L851" s="5" t="n">
        <v>31</v>
      </c>
      <c r="M851" s="10">
        <f>IF(AND(ISNUMBER(K851),L851&gt;0),K851/L851,"")</f>
        <v/>
      </c>
      <c r="N851" s="5" t="n">
        <v>0.666</v>
      </c>
      <c r="O851" s="5" t="n">
        <v>101.7</v>
      </c>
      <c r="P851" s="5" t="n">
        <v>0</v>
      </c>
      <c r="Q851" s="5" t="n">
        <v>1</v>
      </c>
      <c r="R851" s="5" t="n">
        <v>0</v>
      </c>
      <c r="S851" s="5" t="n">
        <v>0</v>
      </c>
      <c r="T851" s="5" t="n">
        <v>0</v>
      </c>
      <c r="U851" s="5" t="n">
        <v>0</v>
      </c>
      <c r="V851" s="5" t="n">
        <v>6</v>
      </c>
      <c r="W851" s="5" t="n">
        <v>0.75</v>
      </c>
      <c r="X851" s="5" t="inlineStr"/>
      <c r="Y851" s="5" t="n">
        <v>924.9</v>
      </c>
      <c r="Z851" s="5" t="n">
        <v>2740.3</v>
      </c>
      <c r="AA851" s="5" t="n">
        <v>946.7</v>
      </c>
      <c r="AB851" s="5" t="n">
        <v>2804.2</v>
      </c>
      <c r="AC851" s="5" t="inlineStr"/>
      <c r="AD851" s="5">
        <f>IF(AC851="","",IF(OR(AC851=F851,AND(AC851="crane_footing",F851="isolated_footing")),"yes","no"))</f>
        <v/>
      </c>
    </row>
    <row r="852">
      <c r="A852" s="5" t="n">
        <v>851</v>
      </c>
      <c r="B852" s="5" t="inlineStr">
        <is>
          <t>128</t>
        </is>
      </c>
      <c r="C852" s="5" t="inlineStr">
        <is>
          <t>region between joints</t>
        </is>
      </c>
      <c r="D852" s="5" t="inlineStr">
        <is>
          <t>band</t>
        </is>
      </c>
      <c r="E852" s="5" t="n">
        <v>3</v>
      </c>
      <c r="F852" s="5" t="inlineStr">
        <is>
          <t>unnamed</t>
        </is>
      </c>
      <c r="G852" s="5" t="inlineStr">
        <is>
          <t>no label votes</t>
        </is>
      </c>
      <c r="H852" s="5" t="inlineStr">
        <is>
          <t>(none)</t>
        </is>
      </c>
      <c r="I852" s="5" t="inlineStr"/>
      <c r="J852" s="5" t="inlineStr"/>
      <c r="K852" s="5" t="n">
        <v>214</v>
      </c>
      <c r="L852" s="5" t="n">
        <v>31</v>
      </c>
      <c r="M852" s="10">
        <f>IF(AND(ISNUMBER(K852),L852&gt;0),K852/L852,"")</f>
        <v/>
      </c>
      <c r="N852" s="5" t="n">
        <v>0.664</v>
      </c>
      <c r="O852" s="5" t="n">
        <v>101.6</v>
      </c>
      <c r="P852" s="5" t="n">
        <v>0</v>
      </c>
      <c r="Q852" s="5" t="n">
        <v>0</v>
      </c>
      <c r="R852" s="5" t="n">
        <v>0</v>
      </c>
      <c r="S852" s="5" t="n">
        <v>0</v>
      </c>
      <c r="T852" s="5" t="n">
        <v>0</v>
      </c>
      <c r="U852" s="5" t="n">
        <v>0</v>
      </c>
      <c r="V852" s="5" t="n">
        <v>7</v>
      </c>
      <c r="W852" s="5" t="n">
        <v>1.35</v>
      </c>
      <c r="X852" s="5" t="inlineStr"/>
      <c r="Y852" s="5" t="n">
        <v>913.4</v>
      </c>
      <c r="Z852" s="5" t="n">
        <v>2749.7</v>
      </c>
      <c r="AA852" s="5" t="n">
        <v>935.2</v>
      </c>
      <c r="AB852" s="5" t="n">
        <v>2813.5</v>
      </c>
      <c r="AC852" s="5" t="inlineStr"/>
      <c r="AD852" s="5">
        <f>IF(AC852="","",IF(OR(AC852=F852,AND(AC852="crane_footing",F852="isolated_footing")),"yes","no"))</f>
        <v/>
      </c>
    </row>
    <row r="853">
      <c r="A853" s="5" t="n">
        <v>852</v>
      </c>
      <c r="B853" s="5" t="inlineStr">
        <is>
          <t>128</t>
        </is>
      </c>
      <c r="C853" s="5" t="inlineStr">
        <is>
          <t>region between joints</t>
        </is>
      </c>
      <c r="D853" s="5" t="inlineStr">
        <is>
          <t>band</t>
        </is>
      </c>
      <c r="E853" s="5" t="n">
        <v>3</v>
      </c>
      <c r="F853" s="5" t="inlineStr">
        <is>
          <t>unnamed</t>
        </is>
      </c>
      <c r="G853" s="5" t="inlineStr">
        <is>
          <t>no label votes</t>
        </is>
      </c>
      <c r="H853" s="5" t="inlineStr">
        <is>
          <t>(none)</t>
        </is>
      </c>
      <c r="I853" s="5" t="inlineStr"/>
      <c r="J853" s="5" t="inlineStr"/>
      <c r="K853" s="5" t="n">
        <v>213</v>
      </c>
      <c r="L853" s="5" t="n">
        <v>31</v>
      </c>
      <c r="M853" s="10">
        <f>IF(AND(ISNUMBER(K853),L853&gt;0),K853/L853,"")</f>
        <v/>
      </c>
      <c r="N853" s="5" t="n">
        <v>0.66</v>
      </c>
      <c r="O853" s="5" t="n">
        <v>1.7</v>
      </c>
      <c r="P853" s="5" t="n">
        <v>0</v>
      </c>
      <c r="Q853" s="5" t="n">
        <v>1</v>
      </c>
      <c r="R853" s="5" t="n">
        <v>0</v>
      </c>
      <c r="S853" s="5" t="n">
        <v>0</v>
      </c>
      <c r="T853" s="5" t="n">
        <v>0</v>
      </c>
      <c r="U853" s="5" t="n">
        <v>5</v>
      </c>
      <c r="V853" s="5" t="n">
        <v>4</v>
      </c>
      <c r="W853" s="5" t="n">
        <v>0</v>
      </c>
      <c r="X853" s="5" t="inlineStr"/>
      <c r="Y853" s="5" t="n">
        <v>1015.1</v>
      </c>
      <c r="Z853" s="5" t="n">
        <v>2614.3</v>
      </c>
      <c r="AA853" s="5" t="n">
        <v>1078.2</v>
      </c>
      <c r="AB853" s="5" t="n">
        <v>2625.2</v>
      </c>
      <c r="AC853" s="5" t="inlineStr"/>
      <c r="AD853" s="5">
        <f>IF(AC853="","",IF(OR(AC853=F853,AND(AC853="crane_footing",F853="isolated_footing")),"yes","no"))</f>
        <v/>
      </c>
    </row>
    <row r="854">
      <c r="A854" s="5" t="n">
        <v>853</v>
      </c>
      <c r="B854" s="5" t="inlineStr">
        <is>
          <t>128</t>
        </is>
      </c>
      <c r="C854" s="5" t="inlineStr">
        <is>
          <t>region between joints</t>
        </is>
      </c>
      <c r="D854" s="5" t="inlineStr">
        <is>
          <t>band</t>
        </is>
      </c>
      <c r="E854" s="5" t="n">
        <v>3</v>
      </c>
      <c r="F854" s="5" t="inlineStr">
        <is>
          <t>unnamed</t>
        </is>
      </c>
      <c r="G854" s="5" t="inlineStr">
        <is>
          <t>no label votes</t>
        </is>
      </c>
      <c r="H854" s="5" t="inlineStr">
        <is>
          <t>(none)</t>
        </is>
      </c>
      <c r="I854" s="5" t="inlineStr"/>
      <c r="J854" s="5" t="inlineStr"/>
      <c r="K854" s="5" t="n">
        <v>213</v>
      </c>
      <c r="L854" s="5" t="n">
        <v>31</v>
      </c>
      <c r="M854" s="10">
        <f>IF(AND(ISNUMBER(K854),L854&gt;0),K854/L854,"")</f>
        <v/>
      </c>
      <c r="N854" s="5" t="n">
        <v>0.659</v>
      </c>
      <c r="O854" s="5" t="n">
        <v>1.7</v>
      </c>
      <c r="P854" s="5" t="n">
        <v>0</v>
      </c>
      <c r="Q854" s="5" t="n">
        <v>1</v>
      </c>
      <c r="R854" s="5" t="n">
        <v>0</v>
      </c>
      <c r="S854" s="5" t="n">
        <v>0</v>
      </c>
      <c r="T854" s="5" t="n">
        <v>0</v>
      </c>
      <c r="U854" s="5" t="n">
        <v>1</v>
      </c>
      <c r="V854" s="5" t="n">
        <v>4</v>
      </c>
      <c r="W854" s="5" t="n">
        <v>0</v>
      </c>
      <c r="X854" s="5" t="inlineStr"/>
      <c r="Y854" s="5" t="n">
        <v>1026.3</v>
      </c>
      <c r="Z854" s="5" t="n">
        <v>2605.2</v>
      </c>
      <c r="AA854" s="5" t="n">
        <v>1089.3</v>
      </c>
      <c r="AB854" s="5" t="n">
        <v>2616.2</v>
      </c>
      <c r="AC854" s="5" t="inlineStr"/>
      <c r="AD854" s="5">
        <f>IF(AC854="","",IF(OR(AC854=F854,AND(AC854="crane_footing",F854="isolated_footing")),"yes","no"))</f>
        <v/>
      </c>
    </row>
    <row r="855">
      <c r="A855" s="5" t="n">
        <v>854</v>
      </c>
      <c r="B855" s="5" t="inlineStr">
        <is>
          <t>128</t>
        </is>
      </c>
      <c r="C855" s="5" t="inlineStr">
        <is>
          <t>region between joints</t>
        </is>
      </c>
      <c r="D855" s="5" t="inlineStr">
        <is>
          <t>band</t>
        </is>
      </c>
      <c r="E855" s="5" t="n">
        <v>3</v>
      </c>
      <c r="F855" s="5" t="inlineStr">
        <is>
          <t>unnamed</t>
        </is>
      </c>
      <c r="G855" s="5" t="inlineStr">
        <is>
          <t>no label votes</t>
        </is>
      </c>
      <c r="H855" s="5" t="inlineStr">
        <is>
          <t>(none)</t>
        </is>
      </c>
      <c r="I855" s="5" t="inlineStr"/>
      <c r="J855" s="5" t="inlineStr"/>
      <c r="K855" s="5" t="n">
        <v>212</v>
      </c>
      <c r="L855" s="5" t="n">
        <v>31</v>
      </c>
      <c r="M855" s="10">
        <f>IF(AND(ISNUMBER(K855),L855&gt;0),K855/L855,"")</f>
        <v/>
      </c>
      <c r="N855" s="5" t="n">
        <v>0.659</v>
      </c>
      <c r="O855" s="5" t="n">
        <v>1.7</v>
      </c>
      <c r="P855" s="5" t="n">
        <v>0</v>
      </c>
      <c r="Q855" s="5" t="n">
        <v>1</v>
      </c>
      <c r="R855" s="5" t="n">
        <v>0</v>
      </c>
      <c r="S855" s="5" t="n">
        <v>0</v>
      </c>
      <c r="T855" s="5" t="n">
        <v>0</v>
      </c>
      <c r="U855" s="5" t="n">
        <v>0</v>
      </c>
      <c r="V855" s="5" t="n">
        <v>5</v>
      </c>
      <c r="W855" s="5" t="n">
        <v>0</v>
      </c>
      <c r="X855" s="5" t="inlineStr"/>
      <c r="Y855" s="5" t="n">
        <v>1037.4</v>
      </c>
      <c r="Z855" s="5" t="n">
        <v>2596.2</v>
      </c>
      <c r="AA855" s="5" t="n">
        <v>1100.4</v>
      </c>
      <c r="AB855" s="5" t="n">
        <v>2607.1</v>
      </c>
      <c r="AC855" s="5" t="inlineStr"/>
      <c r="AD855" s="5">
        <f>IF(AC855="","",IF(OR(AC855=F855,AND(AC855="crane_footing",F855="isolated_footing")),"yes","no"))</f>
        <v/>
      </c>
    </row>
    <row r="856">
      <c r="A856" s="5" t="n">
        <v>855</v>
      </c>
      <c r="B856" s="5" t="inlineStr">
        <is>
          <t>128</t>
        </is>
      </c>
      <c r="C856" s="5" t="inlineStr">
        <is>
          <t>region between joints</t>
        </is>
      </c>
      <c r="D856" s="5" t="inlineStr">
        <is>
          <t>band</t>
        </is>
      </c>
      <c r="E856" s="5" t="n">
        <v>3</v>
      </c>
      <c r="F856" s="5" t="inlineStr">
        <is>
          <t>unnamed</t>
        </is>
      </c>
      <c r="G856" s="5" t="inlineStr">
        <is>
          <t>no label votes</t>
        </is>
      </c>
      <c r="H856" s="5" t="inlineStr">
        <is>
          <t>(none)</t>
        </is>
      </c>
      <c r="I856" s="5" t="inlineStr"/>
      <c r="J856" s="5" t="inlineStr"/>
      <c r="K856" s="5" t="n">
        <v>212</v>
      </c>
      <c r="L856" s="5" t="n">
        <v>31</v>
      </c>
      <c r="M856" s="10">
        <f>IF(AND(ISNUMBER(K856),L856&gt;0),K856/L856,"")</f>
        <v/>
      </c>
      <c r="N856" s="5" t="n">
        <v>0.658</v>
      </c>
      <c r="O856" s="5" t="n">
        <v>1.7</v>
      </c>
      <c r="P856" s="5" t="n">
        <v>0</v>
      </c>
      <c r="Q856" s="5" t="n">
        <v>1</v>
      </c>
      <c r="R856" s="5" t="n">
        <v>0</v>
      </c>
      <c r="S856" s="5" t="n">
        <v>0</v>
      </c>
      <c r="T856" s="5" t="n">
        <v>0</v>
      </c>
      <c r="U856" s="5" t="n">
        <v>1</v>
      </c>
      <c r="V856" s="5" t="n">
        <v>5</v>
      </c>
      <c r="W856" s="5" t="n">
        <v>0</v>
      </c>
      <c r="X856" s="5" t="inlineStr"/>
      <c r="Y856" s="5" t="n">
        <v>1048.5</v>
      </c>
      <c r="Z856" s="5" t="n">
        <v>2587.1</v>
      </c>
      <c r="AA856" s="5" t="n">
        <v>1111.5</v>
      </c>
      <c r="AB856" s="5" t="n">
        <v>2598.1</v>
      </c>
      <c r="AC856" s="5" t="inlineStr"/>
      <c r="AD856" s="5">
        <f>IF(AC856="","",IF(OR(AC856=F856,AND(AC856="crane_footing",F856="isolated_footing")),"yes","no"))</f>
        <v/>
      </c>
    </row>
    <row r="857">
      <c r="A857" s="5" t="n">
        <v>856</v>
      </c>
      <c r="B857" s="5" t="inlineStr">
        <is>
          <t>128</t>
        </is>
      </c>
      <c r="C857" s="5" t="inlineStr">
        <is>
          <t>region between joints</t>
        </is>
      </c>
      <c r="D857" s="5" t="inlineStr">
        <is>
          <t>band</t>
        </is>
      </c>
      <c r="E857" s="5" t="n">
        <v>3</v>
      </c>
      <c r="F857" s="5" t="inlineStr">
        <is>
          <t>unnamed</t>
        </is>
      </c>
      <c r="G857" s="5" t="inlineStr">
        <is>
          <t>no label votes</t>
        </is>
      </c>
      <c r="H857" s="5" t="inlineStr">
        <is>
          <t>(none)</t>
        </is>
      </c>
      <c r="I857" s="5" t="inlineStr"/>
      <c r="J857" s="5" t="inlineStr"/>
      <c r="K857" s="5" t="n">
        <v>206</v>
      </c>
      <c r="L857" s="5" t="n">
        <v>31</v>
      </c>
      <c r="M857" s="10">
        <f>IF(AND(ISNUMBER(K857),L857&gt;0),K857/L857,"")</f>
        <v/>
      </c>
      <c r="N857" s="5" t="n">
        <v>0.639</v>
      </c>
      <c r="O857" s="5" t="n">
        <v>101.6</v>
      </c>
      <c r="P857" s="5" t="n">
        <v>0</v>
      </c>
      <c r="Q857" s="5" t="n">
        <v>0</v>
      </c>
      <c r="R857" s="5" t="n">
        <v>0</v>
      </c>
      <c r="S857" s="5" t="n">
        <v>0</v>
      </c>
      <c r="T857" s="5" t="n">
        <v>0</v>
      </c>
      <c r="U857" s="5" t="n">
        <v>0</v>
      </c>
      <c r="V857" s="5" t="n">
        <v>4</v>
      </c>
      <c r="W857" s="5" t="n">
        <v>2.06</v>
      </c>
      <c r="X857" s="5" t="inlineStr"/>
      <c r="Y857" s="5" t="n">
        <v>1257.9</v>
      </c>
      <c r="Z857" s="5" t="n">
        <v>2473.5</v>
      </c>
      <c r="AA857" s="5" t="n">
        <v>1279.2</v>
      </c>
      <c r="AB857" s="5" t="n">
        <v>2535</v>
      </c>
      <c r="AC857" s="5" t="inlineStr"/>
      <c r="AD857" s="5">
        <f>IF(AC857="","",IF(OR(AC857=F857,AND(AC857="crane_footing",F857="isolated_footing")),"yes","no"))</f>
        <v/>
      </c>
    </row>
    <row r="858">
      <c r="A858" s="5" t="n">
        <v>857</v>
      </c>
      <c r="B858" s="5" t="inlineStr">
        <is>
          <t>128</t>
        </is>
      </c>
      <c r="C858" s="5" t="inlineStr">
        <is>
          <t>region between joints</t>
        </is>
      </c>
      <c r="D858" s="5" t="inlineStr">
        <is>
          <t>band</t>
        </is>
      </c>
      <c r="E858" s="5" t="n">
        <v>3</v>
      </c>
      <c r="F858" s="5" t="inlineStr">
        <is>
          <t>unnamed</t>
        </is>
      </c>
      <c r="G858" s="5" t="inlineStr">
        <is>
          <t>no label votes</t>
        </is>
      </c>
      <c r="H858" s="5" t="inlineStr">
        <is>
          <t>(none)</t>
        </is>
      </c>
      <c r="I858" s="5" t="inlineStr"/>
      <c r="J858" s="5" t="inlineStr"/>
      <c r="K858" s="5" t="n">
        <v>188</v>
      </c>
      <c r="L858" s="5" t="n">
        <v>31</v>
      </c>
      <c r="M858" s="10">
        <f>IF(AND(ISNUMBER(K858),L858&gt;0),K858/L858,"")</f>
        <v/>
      </c>
      <c r="N858" s="5" t="n">
        <v>0.582</v>
      </c>
      <c r="O858" s="5" t="n">
        <v>101.6</v>
      </c>
      <c r="P858" s="5" t="n">
        <v>1</v>
      </c>
      <c r="Q858" s="5" t="n">
        <v>0</v>
      </c>
      <c r="R858" s="5" t="n">
        <v>0</v>
      </c>
      <c r="S858" s="5" t="n">
        <v>0</v>
      </c>
      <c r="T858" s="5" t="n">
        <v>0</v>
      </c>
      <c r="U858" s="5" t="n">
        <v>0</v>
      </c>
      <c r="V858" s="5" t="n">
        <v>4</v>
      </c>
      <c r="W858" s="5" t="n">
        <v>1.88</v>
      </c>
      <c r="X858" s="5" t="inlineStr"/>
      <c r="Y858" s="5" t="n">
        <v>903.5</v>
      </c>
      <c r="Z858" s="5" t="n">
        <v>2759.1</v>
      </c>
      <c r="AA858" s="5" t="n">
        <v>923.6</v>
      </c>
      <c r="AB858" s="5" t="n">
        <v>2815.3</v>
      </c>
      <c r="AC858" s="5" t="inlineStr"/>
      <c r="AD858" s="5">
        <f>IF(AC858="","",IF(OR(AC858=F858,AND(AC858="crane_footing",F858="isolated_footing")),"yes","no"))</f>
        <v/>
      </c>
    </row>
    <row r="859">
      <c r="A859" s="5" t="n">
        <v>858</v>
      </c>
      <c r="B859" s="5" t="inlineStr">
        <is>
          <t>128</t>
        </is>
      </c>
      <c r="C859" s="5" t="inlineStr">
        <is>
          <t>region between joints</t>
        </is>
      </c>
      <c r="D859" s="5" t="inlineStr">
        <is>
          <t>band</t>
        </is>
      </c>
      <c r="E859" s="5" t="n">
        <v>3</v>
      </c>
      <c r="F859" s="5" t="inlineStr">
        <is>
          <t>unnamed</t>
        </is>
      </c>
      <c r="G859" s="5" t="inlineStr">
        <is>
          <t>no label votes</t>
        </is>
      </c>
      <c r="H859" s="5" t="inlineStr">
        <is>
          <t>(none)</t>
        </is>
      </c>
      <c r="I859" s="5" t="inlineStr"/>
      <c r="J859" s="5" t="inlineStr"/>
      <c r="K859" s="5" t="n">
        <v>176</v>
      </c>
      <c r="L859" s="5" t="n">
        <v>31</v>
      </c>
      <c r="M859" s="10">
        <f>IF(AND(ISNUMBER(K859),L859&gt;0),K859/L859,"")</f>
        <v/>
      </c>
      <c r="N859" s="5" t="n">
        <v>0.544</v>
      </c>
      <c r="O859" s="5" t="n">
        <v>1.7</v>
      </c>
      <c r="P859" s="5" t="n">
        <v>1</v>
      </c>
      <c r="Q859" s="5" t="n">
        <v>1</v>
      </c>
      <c r="R859" s="5" t="n">
        <v>0</v>
      </c>
      <c r="S859" s="5" t="n">
        <v>0</v>
      </c>
      <c r="T859" s="5" t="n">
        <v>0</v>
      </c>
      <c r="U859" s="5" t="n">
        <v>0</v>
      </c>
      <c r="V859" s="5" t="n">
        <v>5</v>
      </c>
      <c r="W859" s="5" t="n">
        <v>0.22</v>
      </c>
      <c r="X859" s="5" t="inlineStr"/>
      <c r="Y859" s="5" t="n">
        <v>860.1</v>
      </c>
      <c r="Z859" s="5" t="n">
        <v>2750.5</v>
      </c>
      <c r="AA859" s="5" t="n">
        <v>912.2</v>
      </c>
      <c r="AB859" s="5" t="n">
        <v>2761.2</v>
      </c>
      <c r="AC859" s="5" t="inlineStr"/>
      <c r="AD859" s="5">
        <f>IF(AC859="","",IF(OR(AC859=F859,AND(AC859="crane_footing",F859="isolated_footing")),"yes","no"))</f>
        <v/>
      </c>
    </row>
    <row r="860">
      <c r="A860" s="5" t="n">
        <v>859</v>
      </c>
      <c r="B860" s="5" t="inlineStr">
        <is>
          <t>128</t>
        </is>
      </c>
      <c r="C860" s="5" t="inlineStr">
        <is>
          <t>region between joints</t>
        </is>
      </c>
      <c r="D860" s="5" t="inlineStr">
        <is>
          <t>band</t>
        </is>
      </c>
      <c r="E860" s="5" t="n">
        <v>3</v>
      </c>
      <c r="F860" s="5" t="inlineStr">
        <is>
          <t>unnamed</t>
        </is>
      </c>
      <c r="G860" s="5" t="inlineStr">
        <is>
          <t>no label votes</t>
        </is>
      </c>
      <c r="H860" s="5" t="inlineStr">
        <is>
          <t>(none)</t>
        </is>
      </c>
      <c r="I860" s="5" t="inlineStr"/>
      <c r="J860" s="5" t="inlineStr"/>
      <c r="K860" s="5" t="n">
        <v>158</v>
      </c>
      <c r="L860" s="5" t="n">
        <v>31</v>
      </c>
      <c r="M860" s="10">
        <f>IF(AND(ISNUMBER(K860),L860&gt;0),K860/L860,"")</f>
        <v/>
      </c>
      <c r="N860" s="5" t="n">
        <v>0.49</v>
      </c>
      <c r="O860" s="5" t="n">
        <v>1.6</v>
      </c>
      <c r="P860" s="5" t="n">
        <v>1</v>
      </c>
      <c r="Q860" s="5" t="n">
        <v>1</v>
      </c>
      <c r="R860" s="5" t="n">
        <v>0</v>
      </c>
      <c r="S860" s="5" t="n">
        <v>0</v>
      </c>
      <c r="T860" s="5" t="n">
        <v>0</v>
      </c>
      <c r="U860" s="5" t="n">
        <v>9</v>
      </c>
      <c r="V860" s="5" t="n">
        <v>2</v>
      </c>
      <c r="W860" s="5" t="n">
        <v>0</v>
      </c>
      <c r="X860" s="5" t="inlineStr"/>
      <c r="Y860" s="5" t="n">
        <v>1213.7</v>
      </c>
      <c r="Z860" s="5" t="n">
        <v>2451.1</v>
      </c>
      <c r="AA860" s="5" t="n">
        <v>1260.6</v>
      </c>
      <c r="AB860" s="5" t="n">
        <v>2461.6</v>
      </c>
      <c r="AC860" s="5" t="inlineStr"/>
      <c r="AD860" s="5">
        <f>IF(AC860="","",IF(OR(AC860=F860,AND(AC860="crane_footing",F860="isolated_footing")),"yes","no"))</f>
        <v/>
      </c>
    </row>
    <row r="861">
      <c r="A861" s="5" t="n">
        <v>860</v>
      </c>
      <c r="B861" s="5" t="inlineStr">
        <is>
          <t>128</t>
        </is>
      </c>
      <c r="C861" s="5" t="inlineStr">
        <is>
          <t>region between joints</t>
        </is>
      </c>
      <c r="D861" s="5" t="inlineStr">
        <is>
          <t>band</t>
        </is>
      </c>
      <c r="E861" s="5" t="n">
        <v>3</v>
      </c>
      <c r="F861" s="5" t="inlineStr">
        <is>
          <t>unnamed</t>
        </is>
      </c>
      <c r="G861" s="5" t="inlineStr">
        <is>
          <t>no label votes</t>
        </is>
      </c>
      <c r="H861" s="5" t="inlineStr">
        <is>
          <t>(none)</t>
        </is>
      </c>
      <c r="I861" s="5" t="inlineStr"/>
      <c r="J861" s="5" t="inlineStr"/>
      <c r="K861" s="5" t="n">
        <v>142</v>
      </c>
      <c r="L861" s="5" t="n">
        <v>31</v>
      </c>
      <c r="M861" s="10">
        <f>IF(AND(ISNUMBER(K861),L861&gt;0),K861/L861,"")</f>
        <v/>
      </c>
      <c r="N861" s="5" t="n">
        <v>0.439</v>
      </c>
      <c r="O861" s="5" t="n">
        <v>101.7</v>
      </c>
      <c r="P861" s="5" t="n">
        <v>0</v>
      </c>
      <c r="Q861" s="5" t="n">
        <v>0</v>
      </c>
      <c r="R861" s="5" t="n">
        <v>0</v>
      </c>
      <c r="S861" s="5" t="n">
        <v>0</v>
      </c>
      <c r="T861" s="5" t="n">
        <v>0</v>
      </c>
      <c r="U861" s="5" t="n">
        <v>0</v>
      </c>
      <c r="V861" s="5" t="n">
        <v>4</v>
      </c>
      <c r="W861" s="5" t="n">
        <v>1.42</v>
      </c>
      <c r="X861" s="5" t="inlineStr"/>
      <c r="Y861" s="5" t="n">
        <v>1269.4</v>
      </c>
      <c r="Z861" s="5" t="n">
        <v>2482.9</v>
      </c>
      <c r="AA861" s="5" t="n">
        <v>1286.8</v>
      </c>
      <c r="AB861" s="5" t="n">
        <v>2525.8</v>
      </c>
      <c r="AC861" s="5" t="inlineStr"/>
      <c r="AD861" s="5">
        <f>IF(AC861="","",IF(OR(AC861=F861,AND(AC861="crane_footing",F861="isolated_footing")),"yes","no"))</f>
        <v/>
      </c>
    </row>
    <row r="862">
      <c r="A862" s="5" t="n">
        <v>861</v>
      </c>
      <c r="B862" s="5" t="inlineStr">
        <is>
          <t>128</t>
        </is>
      </c>
      <c r="C862" s="5" t="inlineStr">
        <is>
          <t>region between joints</t>
        </is>
      </c>
      <c r="D862" s="5" t="inlineStr">
        <is>
          <t>band</t>
        </is>
      </c>
      <c r="E862" s="5" t="n">
        <v>3</v>
      </c>
      <c r="F862" s="5" t="inlineStr">
        <is>
          <t>unnamed</t>
        </is>
      </c>
      <c r="G862" s="5" t="inlineStr">
        <is>
          <t>no label votes</t>
        </is>
      </c>
      <c r="H862" s="5" t="inlineStr">
        <is>
          <t>(none)</t>
        </is>
      </c>
      <c r="I862" s="5" t="inlineStr"/>
      <c r="J862" s="5" t="inlineStr"/>
      <c r="K862" s="5" t="n">
        <v>123</v>
      </c>
      <c r="L862" s="5" t="n">
        <v>31</v>
      </c>
      <c r="M862" s="10">
        <f>IF(AND(ISNUMBER(K862),L862&gt;0),K862/L862,"")</f>
        <v/>
      </c>
      <c r="N862" s="5" t="n">
        <v>0.381</v>
      </c>
      <c r="O862" s="5" t="n">
        <v>101.6</v>
      </c>
      <c r="P862" s="5" t="n">
        <v>1</v>
      </c>
      <c r="Q862" s="5" t="n">
        <v>0</v>
      </c>
      <c r="R862" s="5" t="n">
        <v>0</v>
      </c>
      <c r="S862" s="5" t="n">
        <v>0</v>
      </c>
      <c r="T862" s="5" t="n">
        <v>0</v>
      </c>
      <c r="U862" s="5" t="n">
        <v>0</v>
      </c>
      <c r="V862" s="5" t="n">
        <v>4</v>
      </c>
      <c r="W862" s="5" t="n">
        <v>1.23</v>
      </c>
      <c r="X862" s="5" t="inlineStr"/>
      <c r="Y862" s="5" t="n">
        <v>895.9</v>
      </c>
      <c r="Z862" s="5" t="n">
        <v>2768.6</v>
      </c>
      <c r="AA862" s="5" t="n">
        <v>912.1</v>
      </c>
      <c r="AB862" s="5" t="n">
        <v>2805.9</v>
      </c>
      <c r="AC862" s="5" t="inlineStr"/>
      <c r="AD862" s="5">
        <f>IF(AC862="","",IF(OR(AC862=F862,AND(AC862="crane_footing",F862="isolated_footing")),"yes","no"))</f>
        <v/>
      </c>
    </row>
    <row r="863">
      <c r="A863" s="5" t="n">
        <v>862</v>
      </c>
      <c r="B863" s="5" t="inlineStr">
        <is>
          <t>128</t>
        </is>
      </c>
      <c r="C863" s="5" t="inlineStr">
        <is>
          <t>region between joints</t>
        </is>
      </c>
      <c r="D863" s="5" t="inlineStr">
        <is>
          <t>band</t>
        </is>
      </c>
      <c r="E863" s="5" t="n">
        <v>3</v>
      </c>
      <c r="F863" s="5" t="inlineStr">
        <is>
          <t>unnamed</t>
        </is>
      </c>
      <c r="G863" s="5" t="inlineStr">
        <is>
          <t>no label votes</t>
        </is>
      </c>
      <c r="H863" s="5" t="inlineStr">
        <is>
          <t>(none)</t>
        </is>
      </c>
      <c r="I863" s="5" t="inlineStr"/>
      <c r="J863" s="5" t="inlineStr"/>
      <c r="K863" s="5" t="n">
        <v>112</v>
      </c>
      <c r="L863" s="5" t="n">
        <v>31</v>
      </c>
      <c r="M863" s="10">
        <f>IF(AND(ISNUMBER(K863),L863&gt;0),K863/L863,"")</f>
        <v/>
      </c>
      <c r="N863" s="5" t="n">
        <v>0.347</v>
      </c>
      <c r="O863" s="5" t="n">
        <v>1.7</v>
      </c>
      <c r="P863" s="5" t="n">
        <v>1</v>
      </c>
      <c r="Q863" s="5" t="n">
        <v>1</v>
      </c>
      <c r="R863" s="5" t="n">
        <v>0</v>
      </c>
      <c r="S863" s="5" t="n">
        <v>0</v>
      </c>
      <c r="T863" s="5" t="n">
        <v>0</v>
      </c>
      <c r="U863" s="5" t="n">
        <v>0</v>
      </c>
      <c r="V863" s="5" t="n">
        <v>2</v>
      </c>
      <c r="W863" s="5" t="n">
        <v>0.23</v>
      </c>
      <c r="X863" s="5" t="inlineStr"/>
      <c r="Y863" s="5" t="n">
        <v>867.8</v>
      </c>
      <c r="Z863" s="5" t="n">
        <v>2760.1</v>
      </c>
      <c r="AA863" s="5" t="n">
        <v>901.1</v>
      </c>
      <c r="AB863" s="5" t="n">
        <v>2770.2</v>
      </c>
      <c r="AC863" s="5" t="inlineStr"/>
      <c r="AD863" s="5">
        <f>IF(AC863="","",IF(OR(AC863=F863,AND(AC863="crane_footing",F863="isolated_footing")),"yes","no"))</f>
        <v/>
      </c>
    </row>
    <row r="864">
      <c r="A864" s="5" t="n">
        <v>863</v>
      </c>
      <c r="B864" s="5" t="inlineStr">
        <is>
          <t>128</t>
        </is>
      </c>
      <c r="C864" s="5" t="inlineStr">
        <is>
          <t>region between joints</t>
        </is>
      </c>
      <c r="D864" s="5" t="inlineStr">
        <is>
          <t>band</t>
        </is>
      </c>
      <c r="E864" s="5" t="n">
        <v>3</v>
      </c>
      <c r="F864" s="5" t="inlineStr">
        <is>
          <t>unnamed</t>
        </is>
      </c>
      <c r="G864" s="5" t="inlineStr">
        <is>
          <t>no label votes</t>
        </is>
      </c>
      <c r="H864" s="5" t="inlineStr">
        <is>
          <t>(none)</t>
        </is>
      </c>
      <c r="I864" s="5" t="inlineStr"/>
      <c r="J864" s="5" t="inlineStr"/>
      <c r="K864" s="5" t="n">
        <v>77</v>
      </c>
      <c r="L864" s="5" t="n">
        <v>31</v>
      </c>
      <c r="M864" s="10">
        <f>IF(AND(ISNUMBER(K864),L864&gt;0),K864/L864,"")</f>
        <v/>
      </c>
      <c r="N864" s="5" t="n">
        <v>0.238</v>
      </c>
      <c r="O864" s="5" t="n">
        <v>101.6</v>
      </c>
      <c r="P864" s="5" t="n">
        <v>0</v>
      </c>
      <c r="Q864" s="5" t="n">
        <v>0</v>
      </c>
      <c r="R864" s="5" t="n">
        <v>0</v>
      </c>
      <c r="S864" s="5" t="n">
        <v>0</v>
      </c>
      <c r="T864" s="5" t="n">
        <v>0</v>
      </c>
      <c r="U864" s="5" t="n">
        <v>0</v>
      </c>
      <c r="V864" s="5" t="n">
        <v>2</v>
      </c>
      <c r="W864" s="5" t="n">
        <v>0.77</v>
      </c>
      <c r="X864" s="5" t="inlineStr"/>
      <c r="Y864" s="5" t="n">
        <v>1280.9</v>
      </c>
      <c r="Z864" s="5" t="n">
        <v>2492.4</v>
      </c>
      <c r="AA864" s="5" t="n">
        <v>1294.5</v>
      </c>
      <c r="AB864" s="5" t="n">
        <v>2516.5</v>
      </c>
      <c r="AC864" s="5" t="inlineStr"/>
      <c r="AD864" s="5">
        <f>IF(AC864="","",IF(OR(AC864=F864,AND(AC864="crane_footing",F864="isolated_footing")),"yes","no"))</f>
        <v/>
      </c>
    </row>
    <row r="865">
      <c r="A865" s="5" t="n">
        <v>864</v>
      </c>
      <c r="B865" s="5" t="inlineStr">
        <is>
          <t>128</t>
        </is>
      </c>
      <c r="C865" s="5" t="inlineStr">
        <is>
          <t>region between joints</t>
        </is>
      </c>
      <c r="D865" s="5" t="inlineStr">
        <is>
          <t>band</t>
        </is>
      </c>
      <c r="E865" s="5" t="n">
        <v>3</v>
      </c>
      <c r="F865" s="5" t="inlineStr">
        <is>
          <t>unnamed</t>
        </is>
      </c>
      <c r="G865" s="5" t="inlineStr">
        <is>
          <t>no label votes</t>
        </is>
      </c>
      <c r="H865" s="5" t="inlineStr">
        <is>
          <t>(none)</t>
        </is>
      </c>
      <c r="I865" s="5" t="inlineStr"/>
      <c r="J865" s="5" t="inlineStr"/>
      <c r="K865" s="5" t="n">
        <v>60</v>
      </c>
      <c r="L865" s="5" t="n">
        <v>31</v>
      </c>
      <c r="M865" s="10">
        <f>IF(AND(ISNUMBER(K865),L865&gt;0),K865/L865,"")</f>
        <v/>
      </c>
      <c r="N865" s="5" t="n">
        <v>0.186</v>
      </c>
      <c r="O865" s="5" t="n">
        <v>26.6</v>
      </c>
      <c r="P865" s="5" t="n">
        <v>0</v>
      </c>
      <c r="Q865" s="5" t="n">
        <v>1</v>
      </c>
      <c r="R865" s="5" t="n">
        <v>0</v>
      </c>
      <c r="S865" s="5" t="n">
        <v>0</v>
      </c>
      <c r="T865" s="5" t="n">
        <v>0</v>
      </c>
      <c r="U865" s="5" t="n">
        <v>57</v>
      </c>
      <c r="V865" s="5" t="n">
        <v>3</v>
      </c>
      <c r="W865" s="5" t="n">
        <v>0</v>
      </c>
      <c r="X865" s="5" t="inlineStr"/>
      <c r="Y865" s="5" t="n">
        <v>1581.3</v>
      </c>
      <c r="Z865" s="5" t="n">
        <v>2340.6</v>
      </c>
      <c r="AA865" s="5" t="n">
        <v>1601.3</v>
      </c>
      <c r="AB865" s="5" t="n">
        <v>2356.7</v>
      </c>
      <c r="AC865" s="5" t="inlineStr"/>
      <c r="AD865" s="5">
        <f>IF(AC865="","",IF(OR(AC865=F865,AND(AC865="crane_footing",F865="isolated_footing")),"yes","no"))</f>
        <v/>
      </c>
    </row>
    <row r="866">
      <c r="A866" s="5" t="n">
        <v>865</v>
      </c>
      <c r="B866" s="5" t="inlineStr">
        <is>
          <t>128</t>
        </is>
      </c>
      <c r="C866" s="5" t="inlineStr">
        <is>
          <t>region between joints</t>
        </is>
      </c>
      <c r="D866" s="5" t="inlineStr">
        <is>
          <t>band</t>
        </is>
      </c>
      <c r="E866" s="5" t="n">
        <v>3</v>
      </c>
      <c r="F866" s="5" t="inlineStr">
        <is>
          <t>unnamed</t>
        </is>
      </c>
      <c r="G866" s="5" t="inlineStr">
        <is>
          <t>no label votes</t>
        </is>
      </c>
      <c r="H866" s="5" t="inlineStr">
        <is>
          <t>(none)</t>
        </is>
      </c>
      <c r="I866" s="5" t="inlineStr"/>
      <c r="J866" s="5" t="inlineStr"/>
      <c r="K866" s="5" t="n">
        <v>58</v>
      </c>
      <c r="L866" s="5" t="n">
        <v>31</v>
      </c>
      <c r="M866" s="10">
        <f>IF(AND(ISNUMBER(K866),L866&gt;0),K866/L866,"")</f>
        <v/>
      </c>
      <c r="N866" s="5" t="n">
        <v>0.179</v>
      </c>
      <c r="O866" s="5" t="n">
        <v>101.6</v>
      </c>
      <c r="P866" s="5" t="n">
        <v>1</v>
      </c>
      <c r="Q866" s="5" t="n">
        <v>0</v>
      </c>
      <c r="R866" s="5" t="n">
        <v>0</v>
      </c>
      <c r="S866" s="5" t="n">
        <v>0</v>
      </c>
      <c r="T866" s="5" t="n">
        <v>0</v>
      </c>
      <c r="U866" s="5" t="n">
        <v>0</v>
      </c>
      <c r="V866" s="5" t="n">
        <v>1</v>
      </c>
      <c r="W866" s="5" t="n">
        <v>0.58</v>
      </c>
      <c r="X866" s="5" t="inlineStr"/>
      <c r="Y866" s="5" t="n">
        <v>888.2</v>
      </c>
      <c r="Z866" s="5" t="n">
        <v>2777.9</v>
      </c>
      <c r="AA866" s="5" t="n">
        <v>900.6</v>
      </c>
      <c r="AB866" s="5" t="n">
        <v>2796.5</v>
      </c>
      <c r="AC866" s="5" t="inlineStr"/>
      <c r="AD866" s="5">
        <f>IF(AC866="","",IF(OR(AC866=F866,AND(AC866="crane_footing",F866="isolated_footing")),"yes","no"))</f>
        <v/>
      </c>
    </row>
    <row r="867">
      <c r="A867" s="5" t="n">
        <v>866</v>
      </c>
      <c r="B867" s="5" t="inlineStr">
        <is>
          <t>128</t>
        </is>
      </c>
      <c r="C867" s="5" t="inlineStr">
        <is>
          <t>region between joints</t>
        </is>
      </c>
      <c r="D867" s="5" t="inlineStr">
        <is>
          <t>band</t>
        </is>
      </c>
      <c r="E867" s="5" t="n">
        <v>7</v>
      </c>
      <c r="F867" s="5" t="inlineStr">
        <is>
          <t>unnamed</t>
        </is>
      </c>
      <c r="G867" s="5" t="inlineStr">
        <is>
          <t>no label votes</t>
        </is>
      </c>
      <c r="H867" s="5" t="inlineStr">
        <is>
          <t>(none)</t>
        </is>
      </c>
      <c r="I867" s="5" t="inlineStr"/>
      <c r="J867" s="5" t="inlineStr"/>
      <c r="K867" s="5" t="n">
        <v>309</v>
      </c>
      <c r="L867" s="5" t="n">
        <v>84</v>
      </c>
      <c r="M867" s="10">
        <f>IF(AND(ISNUMBER(K867),L867&gt;0),K867/L867,"")</f>
        <v/>
      </c>
      <c r="N867" s="5" t="n">
        <v>2.597</v>
      </c>
      <c r="O867" s="5" t="n">
        <v>26.6</v>
      </c>
      <c r="P867" s="5" t="n">
        <v>0</v>
      </c>
      <c r="Q867" s="5" t="n">
        <v>0</v>
      </c>
      <c r="R867" s="5" t="n">
        <v>0</v>
      </c>
      <c r="S867" s="5" t="n">
        <v>0</v>
      </c>
      <c r="T867" s="5" t="n">
        <v>0</v>
      </c>
      <c r="U867" s="5" t="n">
        <v>13</v>
      </c>
      <c r="V867" s="5" t="n">
        <v>1</v>
      </c>
      <c r="W867" s="5" t="n">
        <v>3.09</v>
      </c>
      <c r="X867" s="5" t="inlineStr"/>
      <c r="Y867" s="5" t="n">
        <v>1083.8</v>
      </c>
      <c r="Z867" s="5" t="n">
        <v>2948.5</v>
      </c>
      <c r="AA867" s="5" t="n">
        <v>1176.5</v>
      </c>
      <c r="AB867" s="5" t="n">
        <v>3011.6</v>
      </c>
      <c r="AC867" s="5" t="inlineStr"/>
      <c r="AD867" s="5">
        <f>IF(AC867="","",IF(OR(AC867=F867,AND(AC867="crane_footing",F867="isolated_footing")),"yes","no"))</f>
        <v/>
      </c>
    </row>
    <row r="868">
      <c r="A868" s="5" t="n">
        <v>867</v>
      </c>
      <c r="B868" s="5" t="inlineStr">
        <is>
          <t>128</t>
        </is>
      </c>
      <c r="C868" s="5" t="inlineStr">
        <is>
          <t>region between joints</t>
        </is>
      </c>
      <c r="D868" s="5" t="inlineStr">
        <is>
          <t>band</t>
        </is>
      </c>
      <c r="E868" s="5" t="n">
        <v>10</v>
      </c>
      <c r="F868" s="5" t="inlineStr">
        <is>
          <t>unnamed</t>
        </is>
      </c>
      <c r="G868" s="5" t="inlineStr">
        <is>
          <t>no label votes</t>
        </is>
      </c>
      <c r="H868" s="5" t="inlineStr">
        <is>
          <t>(none)</t>
        </is>
      </c>
      <c r="I868" s="5" t="inlineStr"/>
      <c r="J868" s="5" t="inlineStr"/>
      <c r="K868" s="5" t="n">
        <v>87</v>
      </c>
      <c r="L868" s="5" t="n">
        <v>121</v>
      </c>
      <c r="M868" s="10">
        <f>IF(AND(ISNUMBER(K868),L868&gt;0),K868/L868,"")</f>
        <v/>
      </c>
      <c r="N868" s="5" t="n">
        <v>1.054</v>
      </c>
      <c r="O868" s="5" t="n">
        <v>26.6</v>
      </c>
      <c r="P868" s="5" t="n">
        <v>2</v>
      </c>
      <c r="Q868" s="5" t="n">
        <v>0</v>
      </c>
      <c r="R868" s="5" t="n">
        <v>0</v>
      </c>
      <c r="S868" s="5" t="n">
        <v>1</v>
      </c>
      <c r="T868" s="5" t="n">
        <v>0</v>
      </c>
      <c r="U868" s="5" t="n">
        <v>3</v>
      </c>
      <c r="V868" s="5" t="n">
        <v>3</v>
      </c>
      <c r="W868" s="5" t="n">
        <v>0.87</v>
      </c>
      <c r="X868" s="5" t="inlineStr"/>
      <c r="Y868" s="5" t="n">
        <v>1378</v>
      </c>
      <c r="Z868" s="5" t="n">
        <v>2676.7</v>
      </c>
      <c r="AA868" s="5" t="n">
        <v>1421.5</v>
      </c>
      <c r="AB868" s="5" t="n">
        <v>2715.7</v>
      </c>
      <c r="AC868" s="5" t="inlineStr"/>
      <c r="AD868" s="5">
        <f>IF(AC868="","",IF(OR(AC868=F868,AND(AC868="crane_footing",F868="isolated_footing")),"yes","no"))</f>
        <v/>
      </c>
    </row>
    <row r="869">
      <c r="A869" s="5" t="n">
        <v>868</v>
      </c>
      <c r="B869" s="5" t="inlineStr">
        <is>
          <t>128</t>
        </is>
      </c>
      <c r="C869" s="5" t="inlineStr">
        <is>
          <t>region between joints</t>
        </is>
      </c>
      <c r="D869" s="5" t="inlineStr">
        <is>
          <t>band</t>
        </is>
      </c>
      <c r="E869" s="5" t="n">
        <v>11</v>
      </c>
      <c r="F869" s="5" t="inlineStr">
        <is>
          <t>unnamed</t>
        </is>
      </c>
      <c r="G869" s="5" t="inlineStr">
        <is>
          <t>no label votes</t>
        </is>
      </c>
      <c r="H869" s="5" t="inlineStr">
        <is>
          <t>(none)</t>
        </is>
      </c>
      <c r="I869" s="5" t="inlineStr"/>
      <c r="J869" s="5" t="inlineStr"/>
      <c r="K869" s="5" t="n">
        <v>1266</v>
      </c>
      <c r="L869" s="5" t="n">
        <v>134</v>
      </c>
      <c r="M869" s="10">
        <f>IF(AND(ISNUMBER(K869),L869&gt;0),K869/L869,"")</f>
        <v/>
      </c>
      <c r="N869" s="5" t="n">
        <v>16.959</v>
      </c>
      <c r="O869" s="5" t="n">
        <v>116.6</v>
      </c>
      <c r="P869" s="5" t="n">
        <v>1</v>
      </c>
      <c r="Q869" s="5" t="n">
        <v>0</v>
      </c>
      <c r="R869" s="5" t="n">
        <v>0</v>
      </c>
      <c r="S869" s="5" t="n">
        <v>0</v>
      </c>
      <c r="T869" s="5" t="n">
        <v>0</v>
      </c>
      <c r="U869" s="5" t="n">
        <v>8</v>
      </c>
      <c r="V869" s="5" t="n">
        <v>21</v>
      </c>
      <c r="W869" s="5" t="n">
        <v>12.66</v>
      </c>
      <c r="X869" s="5" t="inlineStr"/>
      <c r="Y869" s="5" t="n">
        <v>1060.7</v>
      </c>
      <c r="Z869" s="5" t="n">
        <v>2594.7</v>
      </c>
      <c r="AA869" s="5" t="n">
        <v>1263.5</v>
      </c>
      <c r="AB869" s="5" t="n">
        <v>2946.5</v>
      </c>
      <c r="AC869" s="5" t="inlineStr"/>
      <c r="AD869" s="5">
        <f>IF(AC869="","",IF(OR(AC869=F869,AND(AC869="crane_footing",F869="isolated_footing")),"yes","no"))</f>
        <v/>
      </c>
    </row>
    <row r="870">
      <c r="A870" s="5" t="n">
        <v>869</v>
      </c>
      <c r="B870" s="5" t="inlineStr">
        <is>
          <t>128</t>
        </is>
      </c>
      <c r="C870" s="5" t="inlineStr">
        <is>
          <t>region between joints</t>
        </is>
      </c>
      <c r="D870" s="5" t="inlineStr">
        <is>
          <t>band</t>
        </is>
      </c>
      <c r="E870" s="5" t="n">
        <v>12</v>
      </c>
      <c r="F870" s="5" t="inlineStr">
        <is>
          <t>unnamed</t>
        </is>
      </c>
      <c r="G870" s="5" t="inlineStr">
        <is>
          <t>no label votes</t>
        </is>
      </c>
      <c r="H870" s="5" t="inlineStr">
        <is>
          <t>(none)</t>
        </is>
      </c>
      <c r="I870" s="5" t="inlineStr"/>
      <c r="J870" s="5" t="inlineStr"/>
      <c r="K870" s="5" t="n">
        <v>378</v>
      </c>
      <c r="L870" s="5" t="n">
        <v>140</v>
      </c>
      <c r="M870" s="10">
        <f>IF(AND(ISNUMBER(K870),L870&gt;0),K870/L870,"")</f>
        <v/>
      </c>
      <c r="N870" s="5" t="n">
        <v>5.29</v>
      </c>
      <c r="O870" s="5" t="n">
        <v>140.7</v>
      </c>
      <c r="P870" s="5" t="n">
        <v>0</v>
      </c>
      <c r="Q870" s="5" t="n">
        <v>0</v>
      </c>
      <c r="R870" s="5" t="n">
        <v>0</v>
      </c>
      <c r="S870" s="5" t="n">
        <v>0</v>
      </c>
      <c r="T870" s="5" t="n">
        <v>0</v>
      </c>
      <c r="U870" s="5" t="n">
        <v>2</v>
      </c>
      <c r="V870" s="5" t="n">
        <v>31</v>
      </c>
      <c r="W870" s="5" t="n">
        <v>3.78</v>
      </c>
      <c r="X870" s="5" t="inlineStr"/>
      <c r="Y870" s="5" t="n">
        <v>899.6</v>
      </c>
      <c r="Z870" s="5" t="n">
        <v>2647.4</v>
      </c>
      <c r="AA870" s="5" t="n">
        <v>1012.1</v>
      </c>
      <c r="AB870" s="5" t="n">
        <v>2750</v>
      </c>
      <c r="AC870" s="5" t="inlineStr"/>
      <c r="AD870" s="5">
        <f>IF(AC870="","",IF(OR(AC870=F870,AND(AC870="crane_footing",F870="isolated_footing")),"yes","no"))</f>
        <v/>
      </c>
    </row>
    <row r="871">
      <c r="A871" s="5" t="n">
        <v>870</v>
      </c>
      <c r="B871" s="5" t="inlineStr">
        <is>
          <t>128</t>
        </is>
      </c>
      <c r="C871" s="5" t="inlineStr">
        <is>
          <t>region between joints</t>
        </is>
      </c>
      <c r="D871" s="5" t="inlineStr">
        <is>
          <t>band</t>
        </is>
      </c>
      <c r="E871" s="5" t="n">
        <v>12</v>
      </c>
      <c r="F871" s="5" t="inlineStr">
        <is>
          <t>unnamed</t>
        </is>
      </c>
      <c r="G871" s="5" t="inlineStr">
        <is>
          <t>no label votes</t>
        </is>
      </c>
      <c r="H871" s="5" t="inlineStr">
        <is>
          <t>(none)</t>
        </is>
      </c>
      <c r="I871" s="5" t="inlineStr"/>
      <c r="J871" s="5" t="inlineStr"/>
      <c r="K871" s="5" t="n">
        <v>288</v>
      </c>
      <c r="L871" s="5" t="n">
        <v>140</v>
      </c>
      <c r="M871" s="10">
        <f>IF(AND(ISNUMBER(K871),L871&gt;0),K871/L871,"")</f>
        <v/>
      </c>
      <c r="N871" s="5" t="n">
        <v>4.031</v>
      </c>
      <c r="O871" s="5" t="n">
        <v>116.7</v>
      </c>
      <c r="P871" s="5" t="n">
        <v>1</v>
      </c>
      <c r="Q871" s="5" t="n">
        <v>0</v>
      </c>
      <c r="R871" s="5" t="n">
        <v>0</v>
      </c>
      <c r="S871" s="5" t="n">
        <v>1</v>
      </c>
      <c r="T871" s="5" t="n">
        <v>1</v>
      </c>
      <c r="U871" s="5" t="n">
        <v>16</v>
      </c>
      <c r="V871" s="5" t="n">
        <v>2</v>
      </c>
      <c r="W871" s="5" t="n">
        <v>2.88</v>
      </c>
      <c r="X871" s="5" t="inlineStr"/>
      <c r="Y871" s="5" t="n">
        <v>1301</v>
      </c>
      <c r="Z871" s="5" t="n">
        <v>2777.6</v>
      </c>
      <c r="AA871" s="5" t="n">
        <v>1376.1</v>
      </c>
      <c r="AB871" s="5" t="n">
        <v>2872.1</v>
      </c>
      <c r="AC871" s="5" t="inlineStr"/>
      <c r="AD871" s="5">
        <f>IF(AC871="","",IF(OR(AC871=F871,AND(AC871="crane_footing",F871="isolated_footing")),"yes","no"))</f>
        <v/>
      </c>
    </row>
    <row r="872">
      <c r="A872" s="5" t="n">
        <v>871</v>
      </c>
      <c r="B872" s="5" t="inlineStr">
        <is>
          <t>128</t>
        </is>
      </c>
      <c r="C872" s="5" t="inlineStr">
        <is>
          <t>own label</t>
        </is>
      </c>
      <c r="D872" s="5" t="inlineStr">
        <is>
          <t>band</t>
        </is>
      </c>
      <c r="E872" s="5" t="n">
        <v>11</v>
      </c>
      <c r="F872" s="5" t="inlineStr">
        <is>
          <t>unnamed</t>
        </is>
      </c>
      <c r="G872" s="5" t="inlineStr">
        <is>
          <t>no label votes</t>
        </is>
      </c>
      <c r="H872" s="5" t="inlineStr">
        <is>
          <t>P1/128</t>
        </is>
      </c>
      <c r="I872" s="5" t="inlineStr">
        <is>
          <t>printed label</t>
        </is>
      </c>
      <c r="J872" s="5" t="inlineStr">
        <is>
          <t>P1/128/128</t>
        </is>
      </c>
      <c r="K872" s="5" t="n">
        <v>87</v>
      </c>
      <c r="L872" s="5" t="n">
        <v>134</v>
      </c>
      <c r="M872" s="10">
        <f>IF(AND(ISNUMBER(K872),L872&gt;0),K872/L872,"")</f>
        <v/>
      </c>
      <c r="N872" s="5" t="n">
        <v>1.168</v>
      </c>
      <c r="O872" s="5" t="n">
        <v>26.6</v>
      </c>
      <c r="P872" s="5" t="n">
        <v>2</v>
      </c>
      <c r="Q872" s="5" t="n">
        <v>0</v>
      </c>
      <c r="R872" s="5" t="n">
        <v>0</v>
      </c>
      <c r="S872" s="5" t="n">
        <v>1</v>
      </c>
      <c r="T872" s="5" t="n">
        <v>0</v>
      </c>
      <c r="U872" s="5" t="n">
        <v>0</v>
      </c>
      <c r="V872" s="5" t="n">
        <v>3</v>
      </c>
      <c r="W872" s="5" t="n">
        <v>0.87</v>
      </c>
      <c r="X872" s="5" t="inlineStr"/>
      <c r="Y872" s="5" t="n">
        <v>1416.3</v>
      </c>
      <c r="Z872" s="5" t="n">
        <v>2696</v>
      </c>
      <c r="AA872" s="5" t="n">
        <v>1463.3</v>
      </c>
      <c r="AB872" s="5" t="n">
        <v>2736.7</v>
      </c>
      <c r="AC872" s="5" t="inlineStr"/>
      <c r="AD872" s="5">
        <f>IF(AC872="","",IF(OR(AC872=F872,AND(AC872="crane_footing",F872="isolated_footing")),"yes","no"))</f>
        <v/>
      </c>
    </row>
    <row r="873">
      <c r="A873" s="5" t="n">
        <v>872</v>
      </c>
      <c r="B873" s="5" t="inlineStr">
        <is>
          <t>128</t>
        </is>
      </c>
      <c r="C873" s="5" t="inlineStr">
        <is>
          <t>own label</t>
        </is>
      </c>
      <c r="D873" s="5" t="inlineStr">
        <is>
          <t>band</t>
        </is>
      </c>
      <c r="E873" s="5" t="n">
        <v>3</v>
      </c>
      <c r="F873" s="5" t="inlineStr">
        <is>
          <t>unnamed</t>
        </is>
      </c>
      <c r="G873" s="5" t="inlineStr">
        <is>
          <t>no label votes</t>
        </is>
      </c>
      <c r="H873" s="5" t="inlineStr">
        <is>
          <t>V4/128</t>
        </is>
      </c>
      <c r="I873" s="5" t="inlineStr">
        <is>
          <t>printed label</t>
        </is>
      </c>
      <c r="J873" s="5" t="inlineStr">
        <is>
          <t>V4/128/128</t>
        </is>
      </c>
      <c r="K873" s="5" t="n">
        <v>223</v>
      </c>
      <c r="L873" s="5" t="n">
        <v>31</v>
      </c>
      <c r="M873" s="10">
        <f>IF(AND(ISNUMBER(K873),L873&gt;0),K873/L873,"")</f>
        <v/>
      </c>
      <c r="N873" s="5" t="n">
        <v>0.6899999999999999</v>
      </c>
      <c r="O873" s="5" t="n">
        <v>1.6</v>
      </c>
      <c r="P873" s="5" t="n">
        <v>1</v>
      </c>
      <c r="Q873" s="5" t="n">
        <v>1</v>
      </c>
      <c r="R873" s="5" t="n">
        <v>0</v>
      </c>
      <c r="S873" s="5" t="n">
        <v>0</v>
      </c>
      <c r="T873" s="5" t="n">
        <v>0</v>
      </c>
      <c r="U873" s="5" t="n">
        <v>1</v>
      </c>
      <c r="V873" s="5" t="n">
        <v>4</v>
      </c>
      <c r="W873" s="5" t="n">
        <v>0</v>
      </c>
      <c r="X873" s="5" t="inlineStr"/>
      <c r="Y873" s="5" t="n">
        <v>1178.3</v>
      </c>
      <c r="Z873" s="5" t="n">
        <v>2478.3</v>
      </c>
      <c r="AA873" s="5" t="n">
        <v>1244.3</v>
      </c>
      <c r="AB873" s="5" t="n">
        <v>2489.2</v>
      </c>
      <c r="AC873" s="5" t="inlineStr"/>
      <c r="AD873" s="5">
        <f>IF(AC873="","",IF(OR(AC873=F873,AND(AC873="crane_footing",F873="isolated_footing")),"yes","no"))</f>
        <v/>
      </c>
    </row>
    <row r="874">
      <c r="A874" s="5" t="n">
        <v>873</v>
      </c>
      <c r="B874" s="5" t="inlineStr">
        <is>
          <t>128</t>
        </is>
      </c>
      <c r="C874" s="5" t="inlineStr">
        <is>
          <t>own label</t>
        </is>
      </c>
      <c r="D874" s="5" t="inlineStr">
        <is>
          <t>band</t>
        </is>
      </c>
      <c r="E874" s="5" t="n">
        <v>3</v>
      </c>
      <c r="F874" s="5" t="inlineStr">
        <is>
          <t>unnamed</t>
        </is>
      </c>
      <c r="G874" s="5" t="inlineStr">
        <is>
          <t>no label votes</t>
        </is>
      </c>
      <c r="H874" s="5" t="inlineStr">
        <is>
          <t>V7/128</t>
        </is>
      </c>
      <c r="I874" s="5" t="inlineStr">
        <is>
          <t>printed label</t>
        </is>
      </c>
      <c r="J874" s="5" t="inlineStr">
        <is>
          <t>V7/128/128</t>
        </is>
      </c>
      <c r="K874" s="5" t="n">
        <v>213</v>
      </c>
      <c r="L874" s="5" t="n">
        <v>31</v>
      </c>
      <c r="M874" s="10">
        <f>IF(AND(ISNUMBER(K874),L874&gt;0),K874/L874,"")</f>
        <v/>
      </c>
      <c r="N874" s="5" t="n">
        <v>0.661</v>
      </c>
      <c r="O874" s="5" t="n">
        <v>1.7</v>
      </c>
      <c r="P874" s="5" t="n">
        <v>0</v>
      </c>
      <c r="Q874" s="5" t="n">
        <v>1</v>
      </c>
      <c r="R874" s="5" t="n">
        <v>0</v>
      </c>
      <c r="S874" s="5" t="n">
        <v>0</v>
      </c>
      <c r="T874" s="5" t="n">
        <v>0</v>
      </c>
      <c r="U874" s="5" t="n">
        <v>1</v>
      </c>
      <c r="V874" s="5" t="n">
        <v>4</v>
      </c>
      <c r="W874" s="5" t="n">
        <v>0</v>
      </c>
      <c r="X874" s="5" t="inlineStr"/>
      <c r="Y874" s="5" t="n">
        <v>1004</v>
      </c>
      <c r="Z874" s="5" t="n">
        <v>2623.3</v>
      </c>
      <c r="AA874" s="5" t="n">
        <v>1067.1</v>
      </c>
      <c r="AB874" s="5" t="n">
        <v>2634.3</v>
      </c>
      <c r="AC874" s="5" t="inlineStr"/>
      <c r="AD874" s="5">
        <f>IF(AC874="","",IF(OR(AC874=F874,AND(AC874="crane_footing",F874="isolated_footing")),"yes","no"))</f>
        <v/>
      </c>
    </row>
    <row r="875">
      <c r="A875" s="5" t="n">
        <v>874</v>
      </c>
      <c r="B875" s="5" t="inlineStr">
        <is>
          <t>129</t>
        </is>
      </c>
      <c r="C875" s="5" t="inlineStr">
        <is>
          <t>region between joints</t>
        </is>
      </c>
      <c r="D875" s="5" t="inlineStr">
        <is>
          <t>solid</t>
        </is>
      </c>
      <c r="E875" s="5" t="n">
        <v>31</v>
      </c>
      <c r="F875" s="5" t="inlineStr">
        <is>
          <t>column</t>
        </is>
      </c>
      <c r="G875" s="5" t="inlineStr">
        <is>
          <t>label vote</t>
        </is>
      </c>
      <c r="H875" s="5" t="inlineStr">
        <is>
          <t>(none)</t>
        </is>
      </c>
      <c r="I875" s="5" t="inlineStr">
        <is>
          <t>no column type in its building has this size</t>
        </is>
      </c>
      <c r="J875" s="5" t="inlineStr"/>
      <c r="K875" s="5" t="n">
        <v>60</v>
      </c>
      <c r="L875" s="5" t="n">
        <v>20</v>
      </c>
      <c r="M875" s="10">
        <f>IF(AND(ISNUMBER(K875),L875&gt;0),K875/L875,"")</f>
        <v/>
      </c>
      <c r="N875" s="5" t="n">
        <v>0.121</v>
      </c>
      <c r="O875" s="5" t="n">
        <v>75.40000000000001</v>
      </c>
      <c r="P875" s="5" t="n">
        <v>0</v>
      </c>
      <c r="Q875" s="5" t="n">
        <v>0</v>
      </c>
      <c r="R875" s="5" t="n">
        <v>0</v>
      </c>
      <c r="S875" s="5" t="n">
        <v>1</v>
      </c>
      <c r="T875" s="5" t="n">
        <v>0</v>
      </c>
      <c r="U875" s="5" t="n">
        <v>0</v>
      </c>
      <c r="V875" s="5" t="n">
        <v>0</v>
      </c>
      <c r="W875" s="5" t="n"/>
      <c r="X875" s="5" t="inlineStr"/>
      <c r="Y875" s="5" t="n">
        <v>838.3</v>
      </c>
      <c r="Z875" s="5" t="n">
        <v>2339.4</v>
      </c>
      <c r="AA875" s="5" t="n">
        <v>848.6</v>
      </c>
      <c r="AB875" s="5" t="n">
        <v>2358</v>
      </c>
      <c r="AC875" s="5" t="inlineStr"/>
      <c r="AD875" s="5">
        <f>IF(AC875="","",IF(OR(AC875=F875,AND(AC875="crane_footing",F875="isolated_footing")),"yes","no"))</f>
        <v/>
      </c>
    </row>
    <row r="876">
      <c r="A876" s="5" t="n">
        <v>875</v>
      </c>
      <c r="B876" s="5" t="inlineStr">
        <is>
          <t>129</t>
        </is>
      </c>
      <c r="C876" s="5" t="inlineStr">
        <is>
          <t>own label</t>
        </is>
      </c>
      <c r="D876" s="5" t="inlineStr">
        <is>
          <t>solid</t>
        </is>
      </c>
      <c r="E876" s="5" t="n">
        <v>31</v>
      </c>
      <c r="F876" s="5" t="inlineStr">
        <is>
          <t>column</t>
        </is>
      </c>
      <c r="G876" s="5" t="inlineStr">
        <is>
          <t>label vote</t>
        </is>
      </c>
      <c r="H876" s="5" t="inlineStr">
        <is>
          <t>P1/129</t>
        </is>
      </c>
      <c r="I876" s="5" t="inlineStr">
        <is>
          <t>printed label</t>
        </is>
      </c>
      <c r="J876" s="5" t="inlineStr">
        <is>
          <t>P1/129/129</t>
        </is>
      </c>
      <c r="K876" s="5" t="n">
        <v>100</v>
      </c>
      <c r="L876" s="5" t="n">
        <v>25</v>
      </c>
      <c r="M876" s="10">
        <f>IF(AND(ISNUMBER(K876),L876&gt;0),K876/L876,"")</f>
        <v/>
      </c>
      <c r="N876" s="5" t="n">
        <v>0.251</v>
      </c>
      <c r="O876" s="5" t="n">
        <v>165.4</v>
      </c>
      <c r="P876" s="5" t="n">
        <v>0</v>
      </c>
      <c r="Q876" s="5" t="n">
        <v>0</v>
      </c>
      <c r="R876" s="5" t="n">
        <v>0</v>
      </c>
      <c r="S876" s="5" t="n">
        <v>1</v>
      </c>
      <c r="T876" s="5" t="n">
        <v>0</v>
      </c>
      <c r="U876" s="5" t="n">
        <v>2</v>
      </c>
      <c r="V876" s="5" t="n">
        <v>2</v>
      </c>
      <c r="W876" s="5" t="n"/>
      <c r="X876" s="5" t="inlineStr"/>
      <c r="Y876" s="5" t="n">
        <v>1014.7</v>
      </c>
      <c r="Z876" s="5" t="n">
        <v>2255.9</v>
      </c>
      <c r="AA876" s="5" t="n">
        <v>1045.1</v>
      </c>
      <c r="AB876" s="5" t="n">
        <v>2270.5</v>
      </c>
      <c r="AC876" s="5" t="inlineStr">
        <is>
          <t>column</t>
        </is>
      </c>
      <c r="AD876" s="5">
        <f>IF(AC876="","",IF(OR(AC876=F876,AND(AC876="crane_footing",F876="isolated_footing")),"yes","no"))</f>
        <v/>
      </c>
    </row>
    <row r="877">
      <c r="A877" s="5" t="n">
        <v>876</v>
      </c>
      <c r="B877" s="5" t="inlineStr">
        <is>
          <t>129</t>
        </is>
      </c>
      <c r="C877" s="5" t="inlineStr">
        <is>
          <t>own label</t>
        </is>
      </c>
      <c r="D877" s="5" t="inlineStr">
        <is>
          <t>solid</t>
        </is>
      </c>
      <c r="E877" s="5" t="n">
        <v>31</v>
      </c>
      <c r="F877" s="5" t="inlineStr">
        <is>
          <t>column</t>
        </is>
      </c>
      <c r="G877" s="5" t="inlineStr">
        <is>
          <t>label vote</t>
        </is>
      </c>
      <c r="H877" s="5" t="inlineStr">
        <is>
          <t>P1/129</t>
        </is>
      </c>
      <c r="I877" s="5" t="inlineStr">
        <is>
          <t>printed label</t>
        </is>
      </c>
      <c r="J877" s="5" t="inlineStr">
        <is>
          <t>P1/129/129</t>
        </is>
      </c>
      <c r="K877" s="5" t="n">
        <v>100</v>
      </c>
      <c r="L877" s="5" t="n">
        <v>25</v>
      </c>
      <c r="M877" s="10">
        <f>IF(AND(ISNUMBER(K877),L877&gt;0),K877/L877,"")</f>
        <v/>
      </c>
      <c r="N877" s="5" t="n">
        <v>0.249</v>
      </c>
      <c r="O877" s="5" t="n">
        <v>165.3</v>
      </c>
      <c r="P877" s="5" t="n">
        <v>0</v>
      </c>
      <c r="Q877" s="5" t="n">
        <v>0</v>
      </c>
      <c r="R877" s="5" t="n">
        <v>0</v>
      </c>
      <c r="S877" s="5" t="n">
        <v>1</v>
      </c>
      <c r="T877" s="5" t="n">
        <v>0</v>
      </c>
      <c r="U877" s="5" t="n">
        <v>1</v>
      </c>
      <c r="V877" s="5" t="n">
        <v>5</v>
      </c>
      <c r="W877" s="5" t="n"/>
      <c r="X877" s="5" t="inlineStr"/>
      <c r="Y877" s="5" t="n">
        <v>968</v>
      </c>
      <c r="Z877" s="5" t="n">
        <v>2196.5</v>
      </c>
      <c r="AA877" s="5" t="n">
        <v>998.4</v>
      </c>
      <c r="AB877" s="5" t="n">
        <v>2211.1</v>
      </c>
      <c r="AC877" s="5" t="inlineStr">
        <is>
          <t>column</t>
        </is>
      </c>
      <c r="AD877" s="5">
        <f>IF(AC877="","",IF(OR(AC877=F877,AND(AC877="crane_footing",F877="isolated_footing")),"yes","no"))</f>
        <v/>
      </c>
    </row>
    <row r="878">
      <c r="A878" s="5" t="n">
        <v>877</v>
      </c>
      <c r="B878" s="5" t="inlineStr">
        <is>
          <t>129</t>
        </is>
      </c>
      <c r="C878" s="5" t="inlineStr">
        <is>
          <t>own label</t>
        </is>
      </c>
      <c r="D878" s="5" t="inlineStr">
        <is>
          <t>solid</t>
        </is>
      </c>
      <c r="E878" s="5" t="n">
        <v>29</v>
      </c>
      <c r="F878" s="5" t="inlineStr">
        <is>
          <t>column</t>
        </is>
      </c>
      <c r="G878" s="5" t="inlineStr">
        <is>
          <t>label vote</t>
        </is>
      </c>
      <c r="H878" s="5" t="inlineStr">
        <is>
          <t>P2/129</t>
        </is>
      </c>
      <c r="I878" s="5" t="inlineStr">
        <is>
          <t>printed label</t>
        </is>
      </c>
      <c r="J878" s="5" t="inlineStr">
        <is>
          <t>P2/129/129</t>
        </is>
      </c>
      <c r="K878" s="5" t="n">
        <v>100</v>
      </c>
      <c r="L878" s="5" t="n">
        <v>45</v>
      </c>
      <c r="M878" s="10">
        <f>IF(AND(ISNUMBER(K878),L878&gt;0),K878/L878,"")</f>
        <v/>
      </c>
      <c r="N878" s="5" t="n">
        <v>0.45</v>
      </c>
      <c r="O878" s="5" t="n">
        <v>75.3</v>
      </c>
      <c r="P878" s="5" t="n">
        <v>0</v>
      </c>
      <c r="Q878" s="5" t="n">
        <v>1</v>
      </c>
      <c r="R878" s="5" t="n">
        <v>0</v>
      </c>
      <c r="S878" s="5" t="n">
        <v>0</v>
      </c>
      <c r="T878" s="5" t="n">
        <v>0</v>
      </c>
      <c r="U878" s="5" t="n">
        <v>1</v>
      </c>
      <c r="V878" s="5" t="n">
        <v>1</v>
      </c>
      <c r="W878" s="5" t="n"/>
      <c r="X878" s="5" t="inlineStr"/>
      <c r="Y878" s="5" t="n">
        <v>756.1</v>
      </c>
      <c r="Z878" s="5" t="n">
        <v>2577.3</v>
      </c>
      <c r="AA878" s="5" t="n">
        <v>776.5</v>
      </c>
      <c r="AB878" s="5" t="n">
        <v>2609.2</v>
      </c>
      <c r="AC878" s="5" t="inlineStr">
        <is>
          <t>column</t>
        </is>
      </c>
      <c r="AD878" s="5">
        <f>IF(AC878="","",IF(OR(AC878=F878,AND(AC878="crane_footing",F878="isolated_footing")),"yes","no"))</f>
        <v/>
      </c>
    </row>
    <row r="879">
      <c r="A879" s="5" t="n">
        <v>878</v>
      </c>
      <c r="B879" s="5" t="inlineStr">
        <is>
          <t>129</t>
        </is>
      </c>
      <c r="C879" s="5" t="inlineStr">
        <is>
          <t>region between joints</t>
        </is>
      </c>
      <c r="D879" s="5" t="inlineStr">
        <is>
          <t>solid</t>
        </is>
      </c>
      <c r="E879" s="5" t="n">
        <v>32</v>
      </c>
      <c r="F879" s="5" t="inlineStr">
        <is>
          <t>shear_wall</t>
        </is>
      </c>
      <c r="G879" s="5" t="inlineStr">
        <is>
          <t>label vote</t>
        </is>
      </c>
      <c r="H879" s="5" t="inlineStr">
        <is>
          <t>(none)</t>
        </is>
      </c>
      <c r="I879" s="5" t="inlineStr">
        <is>
          <t>no shear_wall type in its building has this size</t>
        </is>
      </c>
      <c r="J879" s="5" t="inlineStr"/>
      <c r="K879" s="5" t="n">
        <v>200</v>
      </c>
      <c r="L879" s="5" t="n">
        <v>25</v>
      </c>
      <c r="M879" s="10">
        <f>IF(AND(ISNUMBER(K879),L879&gt;0),K879/L879,"")</f>
        <v/>
      </c>
      <c r="N879" s="5" t="n">
        <v>0.5</v>
      </c>
      <c r="O879" s="5" t="n">
        <v>140.9</v>
      </c>
      <c r="P879" s="5" t="n">
        <v>1</v>
      </c>
      <c r="Q879" s="5" t="n">
        <v>1</v>
      </c>
      <c r="R879" s="5" t="n">
        <v>0</v>
      </c>
      <c r="S879" s="5" t="n">
        <v>0</v>
      </c>
      <c r="T879" s="5" t="n">
        <v>0</v>
      </c>
      <c r="U879" s="5" t="n">
        <v>1</v>
      </c>
      <c r="V879" s="5" t="n">
        <v>8</v>
      </c>
      <c r="W879" s="5" t="n"/>
      <c r="X879" s="5" t="inlineStr"/>
      <c r="Y879" s="5" t="n">
        <v>1184.4</v>
      </c>
      <c r="Z879" s="5" t="n">
        <v>2415</v>
      </c>
      <c r="AA879" s="5" t="n">
        <v>1234.9</v>
      </c>
      <c r="AB879" s="5" t="n">
        <v>2457.9</v>
      </c>
      <c r="AC879" s="5" t="inlineStr"/>
      <c r="AD879" s="5">
        <f>IF(AC879="","",IF(OR(AC879=F879,AND(AC879="crane_footing",F879="isolated_footing")),"yes","no"))</f>
        <v/>
      </c>
    </row>
    <row r="880">
      <c r="A880" s="5" t="n">
        <v>879</v>
      </c>
      <c r="B880" s="5" t="inlineStr">
        <is>
          <t>129</t>
        </is>
      </c>
      <c r="C880" s="5" t="inlineStr">
        <is>
          <t>region between joints</t>
        </is>
      </c>
      <c r="D880" s="5" t="inlineStr">
        <is>
          <t>solid</t>
        </is>
      </c>
      <c r="E880" s="5" t="n">
        <v>36</v>
      </c>
      <c r="F880" s="5" t="inlineStr">
        <is>
          <t>shear_wall</t>
        </is>
      </c>
      <c r="G880" s="5" t="inlineStr">
        <is>
          <t>label vote</t>
        </is>
      </c>
      <c r="H880" s="5" t="inlineStr">
        <is>
          <t>(none)</t>
        </is>
      </c>
      <c r="I880" s="5" t="inlineStr">
        <is>
          <t>no shear_wall type in its building has this size</t>
        </is>
      </c>
      <c r="J880" s="5" t="inlineStr"/>
      <c r="K880" s="5" t="n">
        <v>270</v>
      </c>
      <c r="L880" s="5" t="n">
        <v>25</v>
      </c>
      <c r="M880" s="10">
        <f>IF(AND(ISNUMBER(K880),L880&gt;0),K880/L880,"")</f>
        <v/>
      </c>
      <c r="N880" s="5" t="n">
        <v>0.681</v>
      </c>
      <c r="O880" s="5" t="n">
        <v>75.3</v>
      </c>
      <c r="P880" s="5" t="n">
        <v>0</v>
      </c>
      <c r="Q880" s="5" t="n">
        <v>0</v>
      </c>
      <c r="R880" s="5" t="n">
        <v>0</v>
      </c>
      <c r="S880" s="5" t="n">
        <v>1</v>
      </c>
      <c r="T880" s="5" t="n">
        <v>0</v>
      </c>
      <c r="U880" s="5" t="n">
        <v>0</v>
      </c>
      <c r="V880" s="5" t="n">
        <v>0</v>
      </c>
      <c r="W880" s="5" t="n"/>
      <c r="X880" s="5" t="inlineStr"/>
      <c r="Y880" s="5" t="n">
        <v>679.2</v>
      </c>
      <c r="Z880" s="5" t="n">
        <v>2285.4</v>
      </c>
      <c r="AA880" s="5" t="n">
        <v>706.6</v>
      </c>
      <c r="AB880" s="5" t="n">
        <v>2364.4</v>
      </c>
      <c r="AC880" s="5" t="inlineStr"/>
      <c r="AD880" s="5">
        <f>IF(AC880="","",IF(OR(AC880=F880,AND(AC880="crane_footing",F880="isolated_footing")),"yes","no"))</f>
        <v/>
      </c>
    </row>
    <row r="881">
      <c r="A881" s="5" t="n">
        <v>880</v>
      </c>
      <c r="B881" s="5" t="inlineStr">
        <is>
          <t>129</t>
        </is>
      </c>
      <c r="C881" s="5" t="inlineStr">
        <is>
          <t>own label</t>
        </is>
      </c>
      <c r="D881" s="5" t="inlineStr">
        <is>
          <t>solid</t>
        </is>
      </c>
      <c r="E881" s="5" t="n">
        <v>32</v>
      </c>
      <c r="F881" s="5" t="inlineStr">
        <is>
          <t>shear_wall</t>
        </is>
      </c>
      <c r="G881" s="5" t="inlineStr">
        <is>
          <t>label vote</t>
        </is>
      </c>
      <c r="H881" s="5" t="inlineStr">
        <is>
          <t>V1/129</t>
        </is>
      </c>
      <c r="I881" s="5" t="inlineStr">
        <is>
          <t>printed label</t>
        </is>
      </c>
      <c r="J881" s="5" t="inlineStr">
        <is>
          <t>V1/129/129</t>
        </is>
      </c>
      <c r="K881" s="5" t="n">
        <v>125</v>
      </c>
      <c r="L881" s="5" t="n">
        <v>25</v>
      </c>
      <c r="M881" s="10">
        <f>IF(AND(ISNUMBER(K881),L881&gt;0),K881/L881,"")</f>
        <v/>
      </c>
      <c r="N881" s="5" t="n">
        <v>0.314</v>
      </c>
      <c r="O881" s="5" t="n">
        <v>165.3</v>
      </c>
      <c r="P881" s="5" t="n">
        <v>1</v>
      </c>
      <c r="Q881" s="5" t="n">
        <v>1</v>
      </c>
      <c r="R881" s="5" t="n">
        <v>0</v>
      </c>
      <c r="S881" s="5" t="n">
        <v>0</v>
      </c>
      <c r="T881" s="5" t="n">
        <v>0</v>
      </c>
      <c r="U881" s="5" t="n">
        <v>1</v>
      </c>
      <c r="V881" s="5" t="n">
        <v>3</v>
      </c>
      <c r="W881" s="5" t="n"/>
      <c r="X881" s="5" t="inlineStr"/>
      <c r="Y881" s="5" t="n">
        <v>799.9</v>
      </c>
      <c r="Z881" s="5" t="n">
        <v>1851</v>
      </c>
      <c r="AA881" s="5" t="n">
        <v>837.4</v>
      </c>
      <c r="AB881" s="5" t="n">
        <v>1867.6</v>
      </c>
      <c r="AC881" s="5" t="inlineStr"/>
      <c r="AD881" s="5">
        <f>IF(AC881="","",IF(OR(AC881=F881,AND(AC881="crane_footing",F881="isolated_footing")),"yes","no"))</f>
        <v/>
      </c>
    </row>
    <row r="882">
      <c r="A882" s="5" t="n">
        <v>881</v>
      </c>
      <c r="B882" s="5" t="inlineStr">
        <is>
          <t>129</t>
        </is>
      </c>
      <c r="C882" s="5" t="inlineStr">
        <is>
          <t>own label</t>
        </is>
      </c>
      <c r="D882" s="5" t="inlineStr">
        <is>
          <t>solid</t>
        </is>
      </c>
      <c r="E882" s="5" t="n">
        <v>30</v>
      </c>
      <c r="F882" s="5" t="inlineStr">
        <is>
          <t>shear_wall</t>
        </is>
      </c>
      <c r="G882" s="5" t="inlineStr">
        <is>
          <t>label vote</t>
        </is>
      </c>
      <c r="H882" s="5" t="inlineStr">
        <is>
          <t>V1/129</t>
        </is>
      </c>
      <c r="I882" s="5" t="inlineStr">
        <is>
          <t>printed label</t>
        </is>
      </c>
      <c r="J882" s="5" t="inlineStr">
        <is>
          <t>V1/129/129</t>
        </is>
      </c>
      <c r="K882" s="5" t="n">
        <v>125</v>
      </c>
      <c r="L882" s="5" t="n">
        <v>25</v>
      </c>
      <c r="M882" s="10">
        <f>IF(AND(ISNUMBER(K882),L882&gt;0),K882/L882,"")</f>
        <v/>
      </c>
      <c r="N882" s="5" t="n">
        <v>0.313</v>
      </c>
      <c r="O882" s="5" t="n">
        <v>141</v>
      </c>
      <c r="P882" s="5" t="n">
        <v>2</v>
      </c>
      <c r="Q882" s="5" t="n">
        <v>1</v>
      </c>
      <c r="R882" s="5" t="n">
        <v>0</v>
      </c>
      <c r="S882" s="5" t="n">
        <v>0</v>
      </c>
      <c r="T882" s="5" t="n">
        <v>0</v>
      </c>
      <c r="U882" s="5" t="n">
        <v>2</v>
      </c>
      <c r="V882" s="5" t="n">
        <v>0</v>
      </c>
      <c r="W882" s="5" t="n"/>
      <c r="X882" s="5" t="inlineStr"/>
      <c r="Y882" s="5" t="n">
        <v>805.2</v>
      </c>
      <c r="Z882" s="5" t="n">
        <v>2737</v>
      </c>
      <c r="AA882" s="5" t="n">
        <v>838.6</v>
      </c>
      <c r="AB882" s="5" t="n">
        <v>2766</v>
      </c>
      <c r="AC882" s="5" t="inlineStr"/>
      <c r="AD882" s="5">
        <f>IF(AC882="","",IF(OR(AC882=F882,AND(AC882="crane_footing",F882="isolated_footing")),"yes","no"))</f>
        <v/>
      </c>
    </row>
    <row r="883">
      <c r="A883" s="5" t="n">
        <v>882</v>
      </c>
      <c r="B883" s="5" t="inlineStr">
        <is>
          <t>129</t>
        </is>
      </c>
      <c r="C883" s="5" t="inlineStr">
        <is>
          <t>own label</t>
        </is>
      </c>
      <c r="D883" s="5" t="inlineStr">
        <is>
          <t>solid</t>
        </is>
      </c>
      <c r="E883" s="5" t="n">
        <v>36</v>
      </c>
      <c r="F883" s="5" t="inlineStr">
        <is>
          <t>shear_wall</t>
        </is>
      </c>
      <c r="G883" s="5" t="inlineStr">
        <is>
          <t>label vote</t>
        </is>
      </c>
      <c r="H883" s="5" t="inlineStr">
        <is>
          <t>V1/129</t>
        </is>
      </c>
      <c r="I883" s="5" t="inlineStr">
        <is>
          <t>printed label</t>
        </is>
      </c>
      <c r="J883" s="5" t="inlineStr">
        <is>
          <t>V1/129/129</t>
        </is>
      </c>
      <c r="K883" s="5" t="n">
        <v>125</v>
      </c>
      <c r="L883" s="5" t="n">
        <v>25</v>
      </c>
      <c r="M883" s="10">
        <f>IF(AND(ISNUMBER(K883),L883&gt;0),K883/L883,"")</f>
        <v/>
      </c>
      <c r="N883" s="5" t="n">
        <v>0.312</v>
      </c>
      <c r="O883" s="5" t="n">
        <v>165.3</v>
      </c>
      <c r="P883" s="5" t="n">
        <v>0</v>
      </c>
      <c r="Q883" s="5" t="n">
        <v>1</v>
      </c>
      <c r="R883" s="5" t="n">
        <v>0</v>
      </c>
      <c r="S883" s="5" t="n">
        <v>0</v>
      </c>
      <c r="T883" s="5" t="n">
        <v>0</v>
      </c>
      <c r="U883" s="5" t="n">
        <v>1</v>
      </c>
      <c r="V883" s="5" t="n">
        <v>4</v>
      </c>
      <c r="W883" s="5" t="n"/>
      <c r="X883" s="5" t="inlineStr"/>
      <c r="Y883" s="5" t="n">
        <v>1031.6</v>
      </c>
      <c r="Z883" s="5" t="n">
        <v>1790</v>
      </c>
      <c r="AA883" s="5" t="n">
        <v>1069.2</v>
      </c>
      <c r="AB883" s="5" t="n">
        <v>1806.5</v>
      </c>
      <c r="AC883" s="5" t="inlineStr">
        <is>
          <t>shear_wall</t>
        </is>
      </c>
      <c r="AD883" s="5">
        <f>IF(AC883="","",IF(OR(AC883=F883,AND(AC883="crane_footing",F883="isolated_footing")),"yes","no"))</f>
        <v/>
      </c>
    </row>
    <row r="884">
      <c r="A884" s="5" t="n">
        <v>883</v>
      </c>
      <c r="B884" s="5" t="inlineStr">
        <is>
          <t>129</t>
        </is>
      </c>
      <c r="C884" s="5" t="inlineStr">
        <is>
          <t>own label</t>
        </is>
      </c>
      <c r="D884" s="5" t="inlineStr">
        <is>
          <t>solid</t>
        </is>
      </c>
      <c r="E884" s="5" t="n">
        <v>35</v>
      </c>
      <c r="F884" s="5" t="inlineStr">
        <is>
          <t>shear_wall</t>
        </is>
      </c>
      <c r="G884" s="5" t="inlineStr">
        <is>
          <t>label vote</t>
        </is>
      </c>
      <c r="H884" s="5" t="inlineStr">
        <is>
          <t>V3/129</t>
        </is>
      </c>
      <c r="I884" s="5" t="inlineStr">
        <is>
          <t>printed label</t>
        </is>
      </c>
      <c r="J884" s="5" t="inlineStr">
        <is>
          <t>V3/129/129</t>
        </is>
      </c>
      <c r="K884" s="5" t="n">
        <v>200</v>
      </c>
      <c r="L884" s="5" t="n">
        <v>30</v>
      </c>
      <c r="M884" s="10">
        <f>IF(AND(ISNUMBER(K884),L884&gt;0),K884/L884,"")</f>
        <v/>
      </c>
      <c r="N884" s="5" t="n">
        <v>0.6</v>
      </c>
      <c r="O884" s="5" t="n">
        <v>165.3</v>
      </c>
      <c r="P884" s="5" t="n">
        <v>0</v>
      </c>
      <c r="Q884" s="5" t="n">
        <v>1</v>
      </c>
      <c r="R884" s="5" t="n">
        <v>0</v>
      </c>
      <c r="S884" s="5" t="n">
        <v>0</v>
      </c>
      <c r="T884" s="5" t="n">
        <v>0</v>
      </c>
      <c r="U884" s="5" t="n">
        <v>1</v>
      </c>
      <c r="V884" s="5" t="n">
        <v>2</v>
      </c>
      <c r="W884" s="5" t="n"/>
      <c r="X884" s="5" t="inlineStr"/>
      <c r="Y884" s="5" t="n">
        <v>1052.2</v>
      </c>
      <c r="Z884" s="5" t="n">
        <v>1973.2</v>
      </c>
      <c r="AA884" s="5" t="n">
        <v>1111.6</v>
      </c>
      <c r="AB884" s="5" t="n">
        <v>1996.7</v>
      </c>
      <c r="AC884" s="5" t="inlineStr">
        <is>
          <t>shear_wall</t>
        </is>
      </c>
      <c r="AD884" s="5">
        <f>IF(AC884="","",IF(OR(AC884=F884,AND(AC884="crane_footing",F884="isolated_footing")),"yes","no"))</f>
        <v/>
      </c>
    </row>
    <row r="885">
      <c r="A885" s="5" t="n">
        <v>884</v>
      </c>
      <c r="B885" s="5" t="inlineStr">
        <is>
          <t>129</t>
        </is>
      </c>
      <c r="C885" s="5" t="inlineStr">
        <is>
          <t>own label</t>
        </is>
      </c>
      <c r="D885" s="5" t="inlineStr">
        <is>
          <t>solid</t>
        </is>
      </c>
      <c r="E885" s="5" t="n">
        <v>35</v>
      </c>
      <c r="F885" s="5" t="inlineStr">
        <is>
          <t>shear_wall</t>
        </is>
      </c>
      <c r="G885" s="5" t="inlineStr">
        <is>
          <t>label vote</t>
        </is>
      </c>
      <c r="H885" s="5" t="inlineStr">
        <is>
          <t>V5/129</t>
        </is>
      </c>
      <c r="I885" s="5" t="inlineStr">
        <is>
          <t>printed label</t>
        </is>
      </c>
      <c r="J885" s="5" t="inlineStr">
        <is>
          <t>V5/129/129</t>
        </is>
      </c>
      <c r="K885" s="5" t="n">
        <v>200</v>
      </c>
      <c r="L885" s="5" t="n">
        <v>30</v>
      </c>
      <c r="M885" s="10">
        <f>IF(AND(ISNUMBER(K885),L885&gt;0),K885/L885,"")</f>
        <v/>
      </c>
      <c r="N885" s="5" t="n">
        <v>0.6</v>
      </c>
      <c r="O885" s="5" t="n">
        <v>165.3</v>
      </c>
      <c r="P885" s="5" t="n">
        <v>0</v>
      </c>
      <c r="Q885" s="5" t="n">
        <v>0</v>
      </c>
      <c r="R885" s="5" t="n">
        <v>0</v>
      </c>
      <c r="S885" s="5" t="n">
        <v>1</v>
      </c>
      <c r="T885" s="5" t="n">
        <v>0</v>
      </c>
      <c r="U885" s="5" t="n">
        <v>1</v>
      </c>
      <c r="V885" s="5" t="n">
        <v>1</v>
      </c>
      <c r="W885" s="5" t="n"/>
      <c r="X885" s="5" t="inlineStr"/>
      <c r="Y885" s="5" t="n">
        <v>1104.1</v>
      </c>
      <c r="Z885" s="5" t="n">
        <v>2151.8</v>
      </c>
      <c r="AA885" s="5" t="n">
        <v>1163.5</v>
      </c>
      <c r="AB885" s="5" t="n">
        <v>2175.4</v>
      </c>
      <c r="AC885" s="5" t="inlineStr">
        <is>
          <t>shear_wall</t>
        </is>
      </c>
      <c r="AD885" s="5">
        <f>IF(AC885="","",IF(OR(AC885=F885,AND(AC885="crane_footing",F885="isolated_footing")),"yes","no"))</f>
        <v/>
      </c>
    </row>
    <row r="886">
      <c r="A886" s="5" t="n">
        <v>885</v>
      </c>
      <c r="B886" s="5" t="inlineStr">
        <is>
          <t>129</t>
        </is>
      </c>
      <c r="C886" s="5" t="inlineStr">
        <is>
          <t>own label</t>
        </is>
      </c>
      <c r="D886" s="5" t="inlineStr">
        <is>
          <t>solid</t>
        </is>
      </c>
      <c r="E886" s="5" t="n">
        <v>32</v>
      </c>
      <c r="F886" s="5" t="inlineStr">
        <is>
          <t>shear_wall</t>
        </is>
      </c>
      <c r="G886" s="5" t="inlineStr">
        <is>
          <t>label vote</t>
        </is>
      </c>
      <c r="H886" s="5" t="inlineStr">
        <is>
          <t>V6/129</t>
        </is>
      </c>
      <c r="I886" s="5" t="inlineStr">
        <is>
          <t>printed label</t>
        </is>
      </c>
      <c r="J886" s="5" t="inlineStr">
        <is>
          <t>V6/129/129</t>
        </is>
      </c>
      <c r="K886" s="5" t="n">
        <v>300</v>
      </c>
      <c r="L886" s="5" t="n">
        <v>25</v>
      </c>
      <c r="M886" s="10">
        <f>IF(AND(ISNUMBER(K886),L886&gt;0),K886/L886,"")</f>
        <v/>
      </c>
      <c r="N886" s="5" t="n">
        <v>0.753</v>
      </c>
      <c r="O886" s="5" t="n">
        <v>75.3</v>
      </c>
      <c r="P886" s="5" t="n">
        <v>1</v>
      </c>
      <c r="Q886" s="5" t="n">
        <v>1</v>
      </c>
      <c r="R886" s="5" t="n">
        <v>0</v>
      </c>
      <c r="S886" s="5" t="n">
        <v>0</v>
      </c>
      <c r="T886" s="5" t="n">
        <v>0</v>
      </c>
      <c r="U886" s="5" t="n">
        <v>3</v>
      </c>
      <c r="V886" s="5" t="n">
        <v>1</v>
      </c>
      <c r="W886" s="5" t="n"/>
      <c r="X886" s="5" t="inlineStr"/>
      <c r="Y886" s="5" t="n">
        <v>852.2</v>
      </c>
      <c r="Z886" s="5" t="n">
        <v>1970</v>
      </c>
      <c r="AA886" s="5" t="n">
        <v>881.8</v>
      </c>
      <c r="AB886" s="5" t="n">
        <v>2057.6</v>
      </c>
      <c r="AC886" s="5" t="inlineStr"/>
      <c r="AD886" s="5">
        <f>IF(AC886="","",IF(OR(AC886=F886,AND(AC886="crane_footing",F886="isolated_footing")),"yes","no"))</f>
        <v/>
      </c>
    </row>
    <row r="887">
      <c r="A887" s="5" t="n">
        <v>886</v>
      </c>
      <c r="B887" s="5" t="inlineStr">
        <is>
          <t>129</t>
        </is>
      </c>
      <c r="C887" s="5" t="inlineStr">
        <is>
          <t>own label</t>
        </is>
      </c>
      <c r="D887" s="5" t="inlineStr">
        <is>
          <t>solid</t>
        </is>
      </c>
      <c r="E887" s="5" t="n">
        <v>30</v>
      </c>
      <c r="F887" s="5" t="inlineStr">
        <is>
          <t>shear_wall</t>
        </is>
      </c>
      <c r="G887" s="5" t="inlineStr">
        <is>
          <t>label vote</t>
        </is>
      </c>
      <c r="H887" s="5" t="inlineStr">
        <is>
          <t>V8/129</t>
        </is>
      </c>
      <c r="I887" s="5" t="inlineStr">
        <is>
          <t>printed label</t>
        </is>
      </c>
      <c r="J887" s="5" t="inlineStr">
        <is>
          <t>V8/129/129</t>
        </is>
      </c>
      <c r="K887" s="5" t="n">
        <v>250</v>
      </c>
      <c r="L887" s="5" t="n">
        <v>25</v>
      </c>
      <c r="M887" s="10">
        <f>IF(AND(ISNUMBER(K887),L887&gt;0),K887/L887,"")</f>
        <v/>
      </c>
      <c r="N887" s="5" t="n">
        <v>0.625</v>
      </c>
      <c r="O887" s="5" t="n">
        <v>140.9</v>
      </c>
      <c r="P887" s="5" t="n">
        <v>2</v>
      </c>
      <c r="Q887" s="5" t="n">
        <v>1</v>
      </c>
      <c r="R887" s="5" t="n">
        <v>0</v>
      </c>
      <c r="S887" s="5" t="n">
        <v>0</v>
      </c>
      <c r="T887" s="5" t="n">
        <v>0</v>
      </c>
      <c r="U887" s="5" t="n">
        <v>2</v>
      </c>
      <c r="V887" s="5" t="n">
        <v>12</v>
      </c>
      <c r="W887" s="5" t="n"/>
      <c r="X887" s="5" t="inlineStr"/>
      <c r="Y887" s="5" t="n">
        <v>980.2</v>
      </c>
      <c r="Z887" s="5" t="n">
        <v>2571.5</v>
      </c>
      <c r="AA887" s="5" t="n">
        <v>1042.2</v>
      </c>
      <c r="AB887" s="5" t="n">
        <v>2623.8</v>
      </c>
      <c r="AC887" s="5" t="inlineStr"/>
      <c r="AD887" s="5">
        <f>IF(AC887="","",IF(OR(AC887=F887,AND(AC887="crane_footing",F887="isolated_footing")),"yes","no"))</f>
        <v/>
      </c>
    </row>
    <row r="888">
      <c r="A888" s="5" t="n">
        <v>887</v>
      </c>
      <c r="B888" s="5" t="inlineStr">
        <is>
          <t>129</t>
        </is>
      </c>
      <c r="C888" s="5" t="inlineStr">
        <is>
          <t>region between joints</t>
        </is>
      </c>
      <c r="D888" s="5" t="inlineStr">
        <is>
          <t>solid</t>
        </is>
      </c>
      <c r="E888" s="5" t="n">
        <v>28</v>
      </c>
      <c r="F888" s="5" t="inlineStr">
        <is>
          <t>retaining_wall</t>
        </is>
      </c>
      <c r="G888" s="5" t="inlineStr">
        <is>
          <t>label vote</t>
        </is>
      </c>
      <c r="H888" s="5" t="inlineStr">
        <is>
          <t>VP20</t>
        </is>
      </c>
      <c r="I888" s="5" t="inlineStr">
        <is>
          <t>inferred: the only retaining_wall type with this size</t>
        </is>
      </c>
      <c r="J888" s="5" t="inlineStr"/>
      <c r="K888" s="5" t="n">
        <v>1716</v>
      </c>
      <c r="L888" s="5" t="n">
        <v>20</v>
      </c>
      <c r="M888" s="10">
        <f>IF(AND(ISNUMBER(K888),L888&gt;0),K888/L888,"")</f>
        <v/>
      </c>
      <c r="N888" s="5" t="n">
        <v>3.358</v>
      </c>
      <c r="O888" s="5" t="n">
        <v>140.9</v>
      </c>
      <c r="P888" s="5" t="n">
        <v>2</v>
      </c>
      <c r="Q888" s="5" t="n">
        <v>0</v>
      </c>
      <c r="R888" s="5" t="n">
        <v>1</v>
      </c>
      <c r="S888" s="5" t="n">
        <v>0</v>
      </c>
      <c r="T888" s="5" t="n">
        <v>0</v>
      </c>
      <c r="U888" s="5" t="n">
        <v>0</v>
      </c>
      <c r="V888" s="5" t="n">
        <v>102</v>
      </c>
      <c r="W888" s="5" t="n"/>
      <c r="X888" s="5" t="inlineStr"/>
      <c r="Y888" s="5" t="n">
        <v>774.2</v>
      </c>
      <c r="Z888" s="5" t="n">
        <v>2330.7</v>
      </c>
      <c r="AA888" s="5" t="n">
        <v>1169.2</v>
      </c>
      <c r="AB888" s="5" t="n">
        <v>2654.7</v>
      </c>
      <c r="AC888" s="5" t="inlineStr"/>
      <c r="AD888" s="5">
        <f>IF(AC888="","",IF(OR(AC888=F888,AND(AC888="crane_footing",F888="isolated_footing")),"yes","no"))</f>
        <v/>
      </c>
    </row>
    <row r="889">
      <c r="A889" s="5" t="n">
        <v>888</v>
      </c>
      <c r="B889" s="5" t="inlineStr">
        <is>
          <t>129</t>
        </is>
      </c>
      <c r="C889" s="5" t="inlineStr">
        <is>
          <t>nearest labels</t>
        </is>
      </c>
      <c r="D889" s="5" t="inlineStr">
        <is>
          <t>solid</t>
        </is>
      </c>
      <c r="E889" s="5" t="n">
        <v>28</v>
      </c>
      <c r="F889" s="5" t="inlineStr">
        <is>
          <t>retaining_wall</t>
        </is>
      </c>
      <c r="G889" s="5" t="inlineStr">
        <is>
          <t>label vote</t>
        </is>
      </c>
      <c r="H889" s="5" t="inlineStr">
        <is>
          <t>VP20</t>
        </is>
      </c>
      <c r="I889" s="5" t="inlineStr">
        <is>
          <t>inferred: the only retaining_wall type with this size</t>
        </is>
      </c>
      <c r="J889" s="5" t="inlineStr"/>
      <c r="K889" s="5" t="n">
        <v>714</v>
      </c>
      <c r="L889" s="5" t="n">
        <v>20</v>
      </c>
      <c r="M889" s="10">
        <f>IF(AND(ISNUMBER(K889),L889&gt;0),K889/L889,"")</f>
        <v/>
      </c>
      <c r="N889" s="5" t="n">
        <v>1.432</v>
      </c>
      <c r="O889" s="5" t="n">
        <v>140.9</v>
      </c>
      <c r="P889" s="5" t="n">
        <v>2</v>
      </c>
      <c r="Q889" s="5" t="n">
        <v>0</v>
      </c>
      <c r="R889" s="5" t="n">
        <v>0</v>
      </c>
      <c r="S889" s="5" t="n">
        <v>0</v>
      </c>
      <c r="T889" s="5" t="n">
        <v>0</v>
      </c>
      <c r="U889" s="5" t="n">
        <v>20</v>
      </c>
      <c r="V889" s="5" t="n">
        <v>49</v>
      </c>
      <c r="W889" s="5" t="n"/>
      <c r="X889" s="5" t="inlineStr"/>
      <c r="Y889" s="5" t="n">
        <v>840.4</v>
      </c>
      <c r="Z889" s="5" t="n">
        <v>2612.1</v>
      </c>
      <c r="AA889" s="5" t="n">
        <v>1007.7</v>
      </c>
      <c r="AB889" s="5" t="n">
        <v>2749.6</v>
      </c>
      <c r="AC889" s="5" t="inlineStr"/>
      <c r="AD889" s="5">
        <f>IF(AC889="","",IF(OR(AC889=F889,AND(AC889="crane_footing",F889="isolated_footing")),"yes","no"))</f>
        <v/>
      </c>
    </row>
    <row r="890">
      <c r="A890" s="5" t="n">
        <v>889</v>
      </c>
      <c r="B890" s="5" t="inlineStr">
        <is>
          <t>129</t>
        </is>
      </c>
      <c r="C890" s="5" t="inlineStr">
        <is>
          <t>region between joints</t>
        </is>
      </c>
      <c r="D890" s="5" t="inlineStr">
        <is>
          <t>solid</t>
        </is>
      </c>
      <c r="E890" s="5" t="n">
        <v>28</v>
      </c>
      <c r="F890" s="5" t="inlineStr">
        <is>
          <t>retaining_wall</t>
        </is>
      </c>
      <c r="G890" s="5" t="inlineStr">
        <is>
          <t>label vote</t>
        </is>
      </c>
      <c r="H890" s="5" t="inlineStr">
        <is>
          <t>VP20</t>
        </is>
      </c>
      <c r="I890" s="5" t="inlineStr">
        <is>
          <t>inferred: the only retaining_wall type with this size</t>
        </is>
      </c>
      <c r="J890" s="5" t="inlineStr"/>
      <c r="K890" s="5" t="n">
        <v>716</v>
      </c>
      <c r="L890" s="5" t="n">
        <v>20</v>
      </c>
      <c r="M890" s="10">
        <f>IF(AND(ISNUMBER(K890),L890&gt;0),K890/L890,"")</f>
        <v/>
      </c>
      <c r="N890" s="5" t="n">
        <v>1.43</v>
      </c>
      <c r="O890" s="5" t="n">
        <v>140.9</v>
      </c>
      <c r="P890" s="5" t="n">
        <v>2</v>
      </c>
      <c r="Q890" s="5" t="n">
        <v>0</v>
      </c>
      <c r="R890" s="5" t="n">
        <v>0</v>
      </c>
      <c r="S890" s="5" t="n">
        <v>0</v>
      </c>
      <c r="T890" s="5" t="n">
        <v>0</v>
      </c>
      <c r="U890" s="5" t="n">
        <v>4</v>
      </c>
      <c r="V890" s="5" t="n">
        <v>45</v>
      </c>
      <c r="W890" s="5" t="n"/>
      <c r="X890" s="5" t="inlineStr"/>
      <c r="Y890" s="5" t="n">
        <v>1038.5</v>
      </c>
      <c r="Z890" s="5" t="n">
        <v>2439.4</v>
      </c>
      <c r="AA890" s="5" t="n">
        <v>1206.2</v>
      </c>
      <c r="AB890" s="5" t="n">
        <v>2577.2</v>
      </c>
      <c r="AC890" s="5" t="inlineStr"/>
      <c r="AD890" s="5">
        <f>IF(AC890="","",IF(OR(AC890=F890,AND(AC890="crane_footing",F890="isolated_footing")),"yes","no"))</f>
        <v/>
      </c>
    </row>
    <row r="891">
      <c r="A891" s="5" t="n">
        <v>890</v>
      </c>
      <c r="B891" s="5" t="inlineStr">
        <is>
          <t>129</t>
        </is>
      </c>
      <c r="C891" s="5" t="inlineStr">
        <is>
          <t>region between joints</t>
        </is>
      </c>
      <c r="D891" s="5" t="inlineStr">
        <is>
          <t>solid</t>
        </is>
      </c>
      <c r="E891" s="5" t="n">
        <v>28</v>
      </c>
      <c r="F891" s="5" t="inlineStr">
        <is>
          <t>retaining_wall</t>
        </is>
      </c>
      <c r="G891" s="5" t="inlineStr">
        <is>
          <t>label vote</t>
        </is>
      </c>
      <c r="H891" s="5" t="inlineStr">
        <is>
          <t>VP20</t>
        </is>
      </c>
      <c r="I891" s="5" t="inlineStr">
        <is>
          <t>inferred: the only retaining_wall type with this size</t>
        </is>
      </c>
      <c r="J891" s="5" t="inlineStr"/>
      <c r="K891" s="5" t="n">
        <v>639</v>
      </c>
      <c r="L891" s="5" t="n">
        <v>20</v>
      </c>
      <c r="M891" s="10">
        <f>IF(AND(ISNUMBER(K891),L891&gt;0),K891/L891,"")</f>
        <v/>
      </c>
      <c r="N891" s="5" t="n">
        <v>1.282</v>
      </c>
      <c r="O891" s="5" t="n">
        <v>140.9</v>
      </c>
      <c r="P891" s="5" t="n">
        <v>3</v>
      </c>
      <c r="Q891" s="5" t="n">
        <v>0</v>
      </c>
      <c r="R891" s="5" t="n">
        <v>0</v>
      </c>
      <c r="S891" s="5" t="n">
        <v>0</v>
      </c>
      <c r="T891" s="5" t="n">
        <v>0</v>
      </c>
      <c r="U891" s="5" t="n">
        <v>16</v>
      </c>
      <c r="V891" s="5" t="n">
        <v>43</v>
      </c>
      <c r="W891" s="5" t="n"/>
      <c r="X891" s="5" t="inlineStr"/>
      <c r="Y891" s="5" t="n">
        <v>834.9</v>
      </c>
      <c r="Z891" s="5" t="n">
        <v>2619.2</v>
      </c>
      <c r="AA891" s="5" t="n">
        <v>984.9</v>
      </c>
      <c r="AB891" s="5" t="n">
        <v>2742.8</v>
      </c>
      <c r="AC891" s="5" t="inlineStr"/>
      <c r="AD891" s="5">
        <f>IF(AC891="","",IF(OR(AC891=F891,AND(AC891="crane_footing",F891="isolated_footing")),"yes","no"))</f>
        <v/>
      </c>
    </row>
    <row r="892">
      <c r="A892" s="5" t="n">
        <v>891</v>
      </c>
      <c r="B892" s="5" t="inlineStr">
        <is>
          <t>129</t>
        </is>
      </c>
      <c r="C892" s="5" t="inlineStr">
        <is>
          <t>region between joints</t>
        </is>
      </c>
      <c r="D892" s="5" t="inlineStr">
        <is>
          <t>solid</t>
        </is>
      </c>
      <c r="E892" s="5" t="n">
        <v>33</v>
      </c>
      <c r="F892" s="5" t="inlineStr">
        <is>
          <t>retaining_wall</t>
        </is>
      </c>
      <c r="G892" s="5" t="inlineStr">
        <is>
          <t>label vote</t>
        </is>
      </c>
      <c r="H892" s="5" t="inlineStr">
        <is>
          <t>VP20</t>
        </is>
      </c>
      <c r="I892" s="5" t="inlineStr">
        <is>
          <t>printed label</t>
        </is>
      </c>
      <c r="J892" s="5" t="inlineStr">
        <is>
          <t>VP20-SF1 80x25</t>
        </is>
      </c>
      <c r="K892" s="5" t="n">
        <v>492</v>
      </c>
      <c r="L892" s="5" t="n">
        <v>20</v>
      </c>
      <c r="M892" s="10">
        <f>IF(AND(ISNUMBER(K892),L892&gt;0),K892/L892,"")</f>
        <v/>
      </c>
      <c r="N892" s="5" t="n">
        <v>0.951</v>
      </c>
      <c r="O892" s="5" t="n">
        <v>75.3</v>
      </c>
      <c r="P892" s="5" t="n">
        <v>1</v>
      </c>
      <c r="Q892" s="5" t="n">
        <v>0</v>
      </c>
      <c r="R892" s="5" t="n">
        <v>1</v>
      </c>
      <c r="S892" s="5" t="n">
        <v>0</v>
      </c>
      <c r="T892" s="5" t="n">
        <v>0</v>
      </c>
      <c r="U892" s="5" t="n">
        <v>3</v>
      </c>
      <c r="V892" s="5" t="n">
        <v>1</v>
      </c>
      <c r="W892" s="5" t="n"/>
      <c r="X892" s="5" t="inlineStr"/>
      <c r="Y892" s="5" t="n">
        <v>948</v>
      </c>
      <c r="Z892" s="5" t="n">
        <v>2341.9</v>
      </c>
      <c r="AA892" s="5" t="n">
        <v>990.4</v>
      </c>
      <c r="AB892" s="5" t="n">
        <v>2481.2</v>
      </c>
      <c r="AC892" s="5" t="inlineStr"/>
      <c r="AD892" s="5">
        <f>IF(AC892="","",IF(OR(AC892=F892,AND(AC892="crane_footing",F892="isolated_footing")),"yes","no"))</f>
        <v/>
      </c>
    </row>
    <row r="893">
      <c r="A893" s="5" t="n">
        <v>892</v>
      </c>
      <c r="B893" s="5" t="inlineStr">
        <is>
          <t>129</t>
        </is>
      </c>
      <c r="C893" s="5" t="inlineStr">
        <is>
          <t>region between joints</t>
        </is>
      </c>
      <c r="D893" s="5" t="inlineStr">
        <is>
          <t>solid</t>
        </is>
      </c>
      <c r="E893" s="5" t="n">
        <v>33</v>
      </c>
      <c r="F893" s="5" t="inlineStr">
        <is>
          <t>retaining_wall</t>
        </is>
      </c>
      <c r="G893" s="5" t="inlineStr">
        <is>
          <t>label vote</t>
        </is>
      </c>
      <c r="H893" s="5" t="inlineStr">
        <is>
          <t>VP20</t>
        </is>
      </c>
      <c r="I893" s="5" t="inlineStr">
        <is>
          <t>printed label</t>
        </is>
      </c>
      <c r="J893" s="5" t="inlineStr">
        <is>
          <t>VP20-SF1 80x25</t>
        </is>
      </c>
      <c r="K893" s="5" t="n">
        <v>1630</v>
      </c>
      <c r="L893" s="5" t="n">
        <v>20</v>
      </c>
      <c r="M893" s="10">
        <f>IF(AND(ISNUMBER(K893),L893&gt;0),K893/L893,"")</f>
        <v/>
      </c>
      <c r="N893" s="5" t="n">
        <v>3.271</v>
      </c>
      <c r="O893" s="5" t="n">
        <v>75.2</v>
      </c>
      <c r="P893" s="5" t="n">
        <v>0</v>
      </c>
      <c r="Q893" s="5" t="n">
        <v>0</v>
      </c>
      <c r="R893" s="5" t="n">
        <v>1</v>
      </c>
      <c r="S893" s="5" t="n">
        <v>0</v>
      </c>
      <c r="T893" s="5" t="n">
        <v>0</v>
      </c>
      <c r="U893" s="5" t="n">
        <v>9</v>
      </c>
      <c r="V893" s="5" t="n">
        <v>7</v>
      </c>
      <c r="W893" s="5" t="n"/>
      <c r="X893" s="5" t="inlineStr"/>
      <c r="Y893" s="5" t="n">
        <v>1407.2</v>
      </c>
      <c r="Z893" s="5" t="n">
        <v>1704.5</v>
      </c>
      <c r="AA893" s="5" t="n">
        <v>1535.5</v>
      </c>
      <c r="AB893" s="5" t="n">
        <v>2171.3</v>
      </c>
      <c r="AC893" s="5" t="inlineStr"/>
      <c r="AD893" s="5">
        <f>IF(AC893="","",IF(OR(AC893=F893,AND(AC893="crane_footing",F893="isolated_footing")),"yes","no"))</f>
        <v/>
      </c>
    </row>
    <row r="894">
      <c r="A894" s="5" t="n">
        <v>893</v>
      </c>
      <c r="B894" s="5" t="inlineStr">
        <is>
          <t>129</t>
        </is>
      </c>
      <c r="C894" s="5" t="inlineStr">
        <is>
          <t>region between joints</t>
        </is>
      </c>
      <c r="D894" s="5" t="inlineStr">
        <is>
          <t>solid</t>
        </is>
      </c>
      <c r="E894" s="5" t="n">
        <v>28</v>
      </c>
      <c r="F894" s="5" t="inlineStr">
        <is>
          <t>retaining_wall</t>
        </is>
      </c>
      <c r="G894" s="5" t="inlineStr">
        <is>
          <t>label vote</t>
        </is>
      </c>
      <c r="H894" s="5" t="inlineStr">
        <is>
          <t>VP20</t>
        </is>
      </c>
      <c r="I894" s="5" t="inlineStr">
        <is>
          <t>inferred: the only retaining_wall type with this size</t>
        </is>
      </c>
      <c r="J894" s="5" t="inlineStr"/>
      <c r="K894" s="5" t="n">
        <v>1117</v>
      </c>
      <c r="L894" s="5" t="n">
        <v>20</v>
      </c>
      <c r="M894" s="10">
        <f>IF(AND(ISNUMBER(K894),L894&gt;0),K894/L894,"")</f>
        <v/>
      </c>
      <c r="N894" s="5" t="n">
        <v>2.237</v>
      </c>
      <c r="O894" s="5" t="n">
        <v>75.3</v>
      </c>
      <c r="P894" s="5" t="n">
        <v>3</v>
      </c>
      <c r="Q894" s="5" t="n">
        <v>0</v>
      </c>
      <c r="R894" s="5" t="n">
        <v>0</v>
      </c>
      <c r="S894" s="5" t="n">
        <v>0</v>
      </c>
      <c r="T894" s="5" t="n">
        <v>1</v>
      </c>
      <c r="U894" s="5" t="n">
        <v>20</v>
      </c>
      <c r="V894" s="5" t="n">
        <v>3</v>
      </c>
      <c r="W894" s="5" t="n"/>
      <c r="X894" s="5" t="inlineStr"/>
      <c r="Y894" s="5" t="n">
        <v>821.3</v>
      </c>
      <c r="Z894" s="5" t="n">
        <v>1853.4</v>
      </c>
      <c r="AA894" s="5" t="n">
        <v>910.9</v>
      </c>
      <c r="AB894" s="5" t="n">
        <v>2173.8</v>
      </c>
      <c r="AC894" s="5" t="inlineStr"/>
      <c r="AD894" s="5">
        <f>IF(AC894="","",IF(OR(AC894=F894,AND(AC894="crane_footing",F894="isolated_footing")),"yes","no"))</f>
        <v/>
      </c>
    </row>
    <row r="895">
      <c r="A895" s="5" t="n">
        <v>894</v>
      </c>
      <c r="B895" s="5" t="inlineStr">
        <is>
          <t>129</t>
        </is>
      </c>
      <c r="C895" s="5" t="inlineStr">
        <is>
          <t>region between joints</t>
        </is>
      </c>
      <c r="D895" s="5" t="inlineStr">
        <is>
          <t>solid</t>
        </is>
      </c>
      <c r="E895" s="5" t="n">
        <v>28</v>
      </c>
      <c r="F895" s="5" t="inlineStr">
        <is>
          <t>retaining_wall</t>
        </is>
      </c>
      <c r="G895" s="5" t="inlineStr">
        <is>
          <t>label vote</t>
        </is>
      </c>
      <c r="H895" s="5" t="inlineStr">
        <is>
          <t>VP20</t>
        </is>
      </c>
      <c r="I895" s="5" t="inlineStr">
        <is>
          <t>inferred: the only retaining_wall type with this size</t>
        </is>
      </c>
      <c r="J895" s="5" t="inlineStr"/>
      <c r="K895" s="5" t="n">
        <v>344</v>
      </c>
      <c r="L895" s="5" t="n">
        <v>20</v>
      </c>
      <c r="M895" s="10">
        <f>IF(AND(ISNUMBER(K895),L895&gt;0),K895/L895,"")</f>
        <v/>
      </c>
      <c r="N895" s="5" t="n">
        <v>0.6850000000000001</v>
      </c>
      <c r="O895" s="5" t="n">
        <v>165.2</v>
      </c>
      <c r="P895" s="5" t="n">
        <v>2</v>
      </c>
      <c r="Q895" s="5" t="n">
        <v>0</v>
      </c>
      <c r="R895" s="5" t="n">
        <v>0</v>
      </c>
      <c r="S895" s="5" t="n">
        <v>0</v>
      </c>
      <c r="T895" s="5" t="n">
        <v>0</v>
      </c>
      <c r="U895" s="5" t="n">
        <v>0</v>
      </c>
      <c r="V895" s="5" t="n">
        <v>1</v>
      </c>
      <c r="W895" s="5" t="n"/>
      <c r="X895" s="5" t="inlineStr"/>
      <c r="Y895" s="5" t="n">
        <v>807.1</v>
      </c>
      <c r="Z895" s="5" t="n">
        <v>2173.8</v>
      </c>
      <c r="AA895" s="5" t="n">
        <v>906.7</v>
      </c>
      <c r="AB895" s="5" t="n">
        <v>2205.4</v>
      </c>
      <c r="AC895" s="5" t="inlineStr"/>
      <c r="AD895" s="5">
        <f>IF(AC895="","",IF(OR(AC895=F895,AND(AC895="crane_footing",F895="isolated_footing")),"yes","no"))</f>
        <v/>
      </c>
    </row>
    <row r="896">
      <c r="A896" s="5" t="n">
        <v>895</v>
      </c>
      <c r="B896" s="5" t="inlineStr">
        <is>
          <t>129</t>
        </is>
      </c>
      <c r="C896" s="5" t="inlineStr">
        <is>
          <t>region between joints</t>
        </is>
      </c>
      <c r="D896" s="5" t="inlineStr">
        <is>
          <t>solid</t>
        </is>
      </c>
      <c r="E896" s="5" t="n">
        <v>28</v>
      </c>
      <c r="F896" s="5" t="inlineStr">
        <is>
          <t>retaining_wall</t>
        </is>
      </c>
      <c r="G896" s="5" t="inlineStr">
        <is>
          <t>label vote</t>
        </is>
      </c>
      <c r="H896" s="5" t="inlineStr">
        <is>
          <t>VP20</t>
        </is>
      </c>
      <c r="I896" s="5" t="inlineStr">
        <is>
          <t>inferred: the only retaining_wall type with this size</t>
        </is>
      </c>
      <c r="J896" s="5" t="inlineStr"/>
      <c r="K896" s="5" t="n">
        <v>365</v>
      </c>
      <c r="L896" s="5" t="n">
        <v>20</v>
      </c>
      <c r="M896" s="10">
        <f>IF(AND(ISNUMBER(K896),L896&gt;0),K896/L896,"")</f>
        <v/>
      </c>
      <c r="N896" s="5" t="n">
        <v>0.731</v>
      </c>
      <c r="O896" s="5" t="n">
        <v>51.3</v>
      </c>
      <c r="P896" s="5" t="n">
        <v>3</v>
      </c>
      <c r="Q896" s="5" t="n">
        <v>0</v>
      </c>
      <c r="R896" s="5" t="n">
        <v>0</v>
      </c>
      <c r="S896" s="5" t="n">
        <v>0</v>
      </c>
      <c r="T896" s="5" t="n">
        <v>0</v>
      </c>
      <c r="U896" s="5" t="n">
        <v>0</v>
      </c>
      <c r="V896" s="5" t="n">
        <v>7</v>
      </c>
      <c r="W896" s="5" t="n"/>
      <c r="X896" s="5" t="inlineStr"/>
      <c r="Y896" s="5" t="n">
        <v>771.3</v>
      </c>
      <c r="Z896" s="5" t="n">
        <v>2654.7</v>
      </c>
      <c r="AA896" s="5" t="n">
        <v>843.4</v>
      </c>
      <c r="AB896" s="5" t="n">
        <v>2742.5</v>
      </c>
      <c r="AC896" s="5" t="inlineStr"/>
      <c r="AD896" s="5">
        <f>IF(AC896="","",IF(OR(AC896=F896,AND(AC896="crane_footing",F896="isolated_footing")),"yes","no"))</f>
        <v/>
      </c>
    </row>
    <row r="897">
      <c r="A897" s="5" t="n">
        <v>896</v>
      </c>
      <c r="B897" s="5" t="inlineStr">
        <is>
          <t>129</t>
        </is>
      </c>
      <c r="C897" s="5" t="inlineStr">
        <is>
          <t>own label</t>
        </is>
      </c>
      <c r="D897" s="5" t="inlineStr">
        <is>
          <t>outline</t>
        </is>
      </c>
      <c r="E897" s="5" t="n">
        <v>16</v>
      </c>
      <c r="F897" s="5" t="inlineStr">
        <is>
          <t>isolated_footing</t>
        </is>
      </c>
      <c r="G897" s="5" t="inlineStr">
        <is>
          <t>label vote</t>
        </is>
      </c>
      <c r="H897" s="5" t="inlineStr">
        <is>
          <t>S11</t>
        </is>
      </c>
      <c r="I897" s="5" t="inlineStr">
        <is>
          <t>printed label</t>
        </is>
      </c>
      <c r="J897" s="5" t="inlineStr">
        <is>
          <t>S11-129129</t>
        </is>
      </c>
      <c r="K897" s="5" t="n">
        <v>500</v>
      </c>
      <c r="L897" s="5" t="n">
        <v>400</v>
      </c>
      <c r="M897" s="10">
        <f>IF(AND(ISNUMBER(K897),L897&gt;0),K897/L897,"")</f>
        <v/>
      </c>
      <c r="N897" s="5" t="n">
        <v>20.002</v>
      </c>
      <c r="O897" s="5" t="n">
        <v>165.3</v>
      </c>
      <c r="P897" s="5" t="n">
        <v>1</v>
      </c>
      <c r="Q897" s="5" t="n">
        <v>0</v>
      </c>
      <c r="R897" s="5" t="n">
        <v>0</v>
      </c>
      <c r="S897" s="5" t="n">
        <v>0</v>
      </c>
      <c r="T897" s="5" t="n">
        <v>1</v>
      </c>
      <c r="U897" s="5" t="n">
        <v>36</v>
      </c>
      <c r="V897" s="5" t="n">
        <v>3</v>
      </c>
      <c r="W897" s="5" t="n"/>
      <c r="X897" s="5" t="inlineStr"/>
      <c r="Y897" s="5" t="n">
        <v>995.5</v>
      </c>
      <c r="Z897" s="5" t="n">
        <v>1909.1</v>
      </c>
      <c r="AA897" s="5" t="n">
        <v>1168.3</v>
      </c>
      <c r="AB897" s="5" t="n">
        <v>2060.8</v>
      </c>
      <c r="AC897" s="5" t="inlineStr">
        <is>
          <t>isolated_footing</t>
        </is>
      </c>
      <c r="AD897" s="5">
        <f>IF(AC897="","",IF(OR(AC897=F897,AND(AC897="crane_footing",F897="isolated_footing")),"yes","no"))</f>
        <v/>
      </c>
    </row>
    <row r="898">
      <c r="A898" s="5" t="n">
        <v>897</v>
      </c>
      <c r="B898" s="5" t="inlineStr">
        <is>
          <t>129</t>
        </is>
      </c>
      <c r="C898" s="5" t="inlineStr">
        <is>
          <t>own label</t>
        </is>
      </c>
      <c r="D898" s="5" t="inlineStr">
        <is>
          <t>outline</t>
        </is>
      </c>
      <c r="E898" s="5" t="n">
        <v>16</v>
      </c>
      <c r="F898" s="5" t="inlineStr">
        <is>
          <t>isolated_footing</t>
        </is>
      </c>
      <c r="G898" s="5" t="inlineStr">
        <is>
          <t>label vote</t>
        </is>
      </c>
      <c r="H898" s="5" t="inlineStr">
        <is>
          <t>S18</t>
        </is>
      </c>
      <c r="I898" s="5" t="inlineStr">
        <is>
          <t>printed label</t>
        </is>
      </c>
      <c r="J898" s="5" t="inlineStr">
        <is>
          <t>S18-129129</t>
        </is>
      </c>
      <c r="K898" s="5" t="n">
        <v>500</v>
      </c>
      <c r="L898" s="5" t="n">
        <v>350</v>
      </c>
      <c r="M898" s="10">
        <f>IF(AND(ISNUMBER(K898),L898&gt;0),K898/L898,"")</f>
        <v/>
      </c>
      <c r="N898" s="5" t="n">
        <v>17.498</v>
      </c>
      <c r="O898" s="5" t="n">
        <v>75.3</v>
      </c>
      <c r="P898" s="5" t="n">
        <v>2</v>
      </c>
      <c r="Q898" s="5" t="n">
        <v>0</v>
      </c>
      <c r="R898" s="5" t="n">
        <v>0</v>
      </c>
      <c r="S898" s="5" t="n">
        <v>0</v>
      </c>
      <c r="T898" s="5" t="n">
        <v>1</v>
      </c>
      <c r="U898" s="5" t="n">
        <v>56</v>
      </c>
      <c r="V898" s="5" t="n">
        <v>1</v>
      </c>
      <c r="W898" s="5" t="n"/>
      <c r="X898" s="5" t="inlineStr"/>
      <c r="Y898" s="5" t="n">
        <v>801.8</v>
      </c>
      <c r="Z898" s="5" t="n">
        <v>1928.4</v>
      </c>
      <c r="AA898" s="5" t="n">
        <v>939.3</v>
      </c>
      <c r="AB898" s="5" t="n">
        <v>2097.4</v>
      </c>
      <c r="AC898" s="5" t="inlineStr">
        <is>
          <t>isolated_footing</t>
        </is>
      </c>
      <c r="AD898" s="5">
        <f>IF(AC898="","",IF(OR(AC898=F898,AND(AC898="crane_footing",F898="isolated_footing")),"yes","no"))</f>
        <v/>
      </c>
    </row>
    <row r="899">
      <c r="A899" s="5" t="n">
        <v>898</v>
      </c>
      <c r="B899" s="5" t="inlineStr">
        <is>
          <t>129</t>
        </is>
      </c>
      <c r="C899" s="5" t="inlineStr">
        <is>
          <t>own label</t>
        </is>
      </c>
      <c r="D899" s="5" t="inlineStr">
        <is>
          <t>outline</t>
        </is>
      </c>
      <c r="E899" s="5" t="n">
        <v>16</v>
      </c>
      <c r="F899" s="5" t="inlineStr">
        <is>
          <t>isolated_footing</t>
        </is>
      </c>
      <c r="G899" s="5" t="inlineStr">
        <is>
          <t>label vote</t>
        </is>
      </c>
      <c r="H899" s="5" t="inlineStr">
        <is>
          <t>S19</t>
        </is>
      </c>
      <c r="I899" s="5" t="inlineStr">
        <is>
          <t>printed label</t>
        </is>
      </c>
      <c r="J899" s="5" t="inlineStr">
        <is>
          <t>S19-129</t>
        </is>
      </c>
      <c r="K899" s="5" t="n">
        <v>380</v>
      </c>
      <c r="L899" s="5" t="n">
        <v>380</v>
      </c>
      <c r="M899" s="10">
        <f>IF(AND(ISNUMBER(K899),L899&gt;0),K899/L899,"")</f>
        <v/>
      </c>
      <c r="N899" s="5" t="n">
        <v>14.447</v>
      </c>
      <c r="O899" s="5" t="n">
        <v>165.3</v>
      </c>
      <c r="P899" s="5" t="n">
        <v>2</v>
      </c>
      <c r="Q899" s="5" t="n">
        <v>0</v>
      </c>
      <c r="R899" s="5" t="n">
        <v>0</v>
      </c>
      <c r="S899" s="5" t="n">
        <v>0</v>
      </c>
      <c r="T899" s="5" t="n">
        <v>1</v>
      </c>
      <c r="U899" s="5" t="n">
        <v>22</v>
      </c>
      <c r="V899" s="5" t="n">
        <v>8</v>
      </c>
      <c r="W899" s="5" t="n"/>
      <c r="X899" s="5" t="inlineStr"/>
      <c r="Y899" s="5" t="n">
        <v>697.8</v>
      </c>
      <c r="Z899" s="5" t="n">
        <v>2524.8</v>
      </c>
      <c r="AA899" s="5" t="n">
        <v>834.8</v>
      </c>
      <c r="AB899" s="5" t="n">
        <v>2661.8</v>
      </c>
      <c r="AC899" s="5" t="inlineStr">
        <is>
          <t>isolated_footing</t>
        </is>
      </c>
      <c r="AD899" s="5">
        <f>IF(AC899="","",IF(OR(AC899=F899,AND(AC899="crane_footing",F899="isolated_footing")),"yes","no"))</f>
        <v/>
      </c>
    </row>
    <row r="900">
      <c r="A900" s="5" t="n">
        <v>899</v>
      </c>
      <c r="B900" s="5" t="inlineStr">
        <is>
          <t>129</t>
        </is>
      </c>
      <c r="C900" s="5" t="inlineStr">
        <is>
          <t>own label</t>
        </is>
      </c>
      <c r="D900" s="5" t="inlineStr">
        <is>
          <t>outline</t>
        </is>
      </c>
      <c r="E900" s="5" t="n">
        <v>17</v>
      </c>
      <c r="F900" s="5" t="inlineStr">
        <is>
          <t>isolated_footing</t>
        </is>
      </c>
      <c r="G900" s="5" t="inlineStr">
        <is>
          <t>label vote</t>
        </is>
      </c>
      <c r="H900" s="5" t="inlineStr">
        <is>
          <t>S2</t>
        </is>
      </c>
      <c r="I900" s="5" t="inlineStr">
        <is>
          <t>printed label</t>
        </is>
      </c>
      <c r="J900" s="5" t="inlineStr">
        <is>
          <t>S2-129129</t>
        </is>
      </c>
      <c r="K900" s="5" t="n">
        <v>350</v>
      </c>
      <c r="L900" s="5" t="n">
        <v>200</v>
      </c>
      <c r="M900" s="10">
        <f>IF(AND(ISNUMBER(K900),L900&gt;0),K900/L900,"")</f>
        <v/>
      </c>
      <c r="N900" s="5" t="n">
        <v>7.004</v>
      </c>
      <c r="O900" s="5" t="n">
        <v>165.3</v>
      </c>
      <c r="P900" s="5" t="n">
        <v>1</v>
      </c>
      <c r="Q900" s="5" t="n">
        <v>0</v>
      </c>
      <c r="R900" s="5" t="n">
        <v>0</v>
      </c>
      <c r="S900" s="5" t="n">
        <v>0</v>
      </c>
      <c r="T900" s="5" t="n">
        <v>1</v>
      </c>
      <c r="U900" s="5" t="n">
        <v>35</v>
      </c>
      <c r="V900" s="5" t="n">
        <v>5</v>
      </c>
      <c r="W900" s="5" t="n"/>
      <c r="X900" s="5" t="inlineStr"/>
      <c r="Y900" s="5" t="n">
        <v>1242.4</v>
      </c>
      <c r="Z900" s="5" t="n">
        <v>1783.3</v>
      </c>
      <c r="AA900" s="5" t="n">
        <v>1357.4</v>
      </c>
      <c r="AB900" s="5" t="n">
        <v>1866.7</v>
      </c>
      <c r="AC900" s="5" t="inlineStr">
        <is>
          <t>isolated_footing</t>
        </is>
      </c>
      <c r="AD900" s="5">
        <f>IF(AC900="","",IF(OR(AC900=F900,AND(AC900="crane_footing",F900="isolated_footing")),"yes","no"))</f>
        <v/>
      </c>
    </row>
    <row r="901">
      <c r="A901" s="5" t="n">
        <v>900</v>
      </c>
      <c r="B901" s="5" t="inlineStr">
        <is>
          <t>129</t>
        </is>
      </c>
      <c r="C901" s="5" t="inlineStr">
        <is>
          <t>own label</t>
        </is>
      </c>
      <c r="D901" s="5" t="inlineStr">
        <is>
          <t>outline</t>
        </is>
      </c>
      <c r="E901" s="5" t="n">
        <v>17</v>
      </c>
      <c r="F901" s="5" t="inlineStr">
        <is>
          <t>isolated_footing</t>
        </is>
      </c>
      <c r="G901" s="5" t="inlineStr">
        <is>
          <t>label vote</t>
        </is>
      </c>
      <c r="H901" s="5" t="inlineStr">
        <is>
          <t>S2</t>
        </is>
      </c>
      <c r="I901" s="5" t="inlineStr">
        <is>
          <t>printed label</t>
        </is>
      </c>
      <c r="J901" s="5" t="inlineStr">
        <is>
          <t>S2-129129</t>
        </is>
      </c>
      <c r="K901" s="5" t="n">
        <v>350</v>
      </c>
      <c r="L901" s="5" t="n">
        <v>200</v>
      </c>
      <c r="M901" s="10">
        <f>IF(AND(ISNUMBER(K901),L901&gt;0),K901/L901,"")</f>
        <v/>
      </c>
      <c r="N901" s="5" t="n">
        <v>7.003</v>
      </c>
      <c r="O901" s="5" t="n">
        <v>165.3</v>
      </c>
      <c r="P901" s="5" t="n">
        <v>1</v>
      </c>
      <c r="Q901" s="5" t="n">
        <v>0</v>
      </c>
      <c r="R901" s="5" t="n">
        <v>0</v>
      </c>
      <c r="S901" s="5" t="n">
        <v>0</v>
      </c>
      <c r="T901" s="5" t="n">
        <v>1</v>
      </c>
      <c r="U901" s="5" t="n">
        <v>35</v>
      </c>
      <c r="V901" s="5" t="n">
        <v>3</v>
      </c>
      <c r="W901" s="5" t="n"/>
      <c r="X901" s="5" t="inlineStr"/>
      <c r="Y901" s="5" t="n">
        <v>1300.9</v>
      </c>
      <c r="Z901" s="5" t="n">
        <v>2004.2</v>
      </c>
      <c r="AA901" s="5" t="n">
        <v>1415.9</v>
      </c>
      <c r="AB901" s="5" t="n">
        <v>2087.6</v>
      </c>
      <c r="AC901" s="5" t="inlineStr">
        <is>
          <t>isolated_footing</t>
        </is>
      </c>
      <c r="AD901" s="5">
        <f>IF(AC901="","",IF(OR(AC901=F901,AND(AC901="crane_footing",F901="isolated_footing")),"yes","no"))</f>
        <v/>
      </c>
    </row>
    <row r="902">
      <c r="A902" s="5" t="n">
        <v>901</v>
      </c>
      <c r="B902" s="5" t="inlineStr">
        <is>
          <t>129</t>
        </is>
      </c>
      <c r="C902" s="5" t="inlineStr">
        <is>
          <t>nearest labels</t>
        </is>
      </c>
      <c r="D902" s="5" t="inlineStr">
        <is>
          <t>outline</t>
        </is>
      </c>
      <c r="E902" s="5" t="n">
        <v>15</v>
      </c>
      <c r="F902" s="5" t="inlineStr">
        <is>
          <t>combined_footing</t>
        </is>
      </c>
      <c r="G902" s="5" t="inlineStr">
        <is>
          <t>label vote</t>
        </is>
      </c>
      <c r="H902" s="5" t="inlineStr">
        <is>
          <t>SC1</t>
        </is>
      </c>
      <c r="I902" s="5" t="inlineStr">
        <is>
          <t>printed label</t>
        </is>
      </c>
      <c r="J902" s="5" t="inlineStr">
        <is>
          <t>SC1-</t>
        </is>
      </c>
      <c r="K902" s="5" t="n">
        <v>500</v>
      </c>
      <c r="L902" s="5" t="n">
        <v>350</v>
      </c>
      <c r="M902" s="10">
        <f>IF(AND(ISNUMBER(K902),L902&gt;0),K902/L902,"")</f>
        <v/>
      </c>
      <c r="N902" s="5" t="n">
        <v>17.501</v>
      </c>
      <c r="O902" s="5" t="n">
        <v>140.9</v>
      </c>
      <c r="P902" s="5" t="n">
        <v>6</v>
      </c>
      <c r="Q902" s="5" t="n">
        <v>0</v>
      </c>
      <c r="R902" s="5" t="n">
        <v>0</v>
      </c>
      <c r="S902" s="5" t="n">
        <v>0</v>
      </c>
      <c r="T902" s="5" t="n">
        <v>2</v>
      </c>
      <c r="U902" s="5" t="n">
        <v>82</v>
      </c>
      <c r="V902" s="5" t="n">
        <v>29</v>
      </c>
      <c r="W902" s="5" t="n"/>
      <c r="X902" s="5" t="inlineStr"/>
      <c r="Y902" s="5" t="n">
        <v>740.9</v>
      </c>
      <c r="Z902" s="5" t="n">
        <v>2663.9</v>
      </c>
      <c r="AA902" s="5" t="n">
        <v>920.7</v>
      </c>
      <c r="AB902" s="5" t="n">
        <v>2837.2</v>
      </c>
      <c r="AC902" s="5" t="inlineStr">
        <is>
          <t>combined_footing</t>
        </is>
      </c>
      <c r="AD902" s="5">
        <f>IF(AC902="","",IF(OR(AC902=F902,AND(AC902="crane_footing",F902="isolated_footing")),"yes","no"))</f>
        <v/>
      </c>
    </row>
    <row r="903">
      <c r="A903" s="5" t="n">
        <v>902</v>
      </c>
      <c r="B903" s="5" t="inlineStr">
        <is>
          <t>129</t>
        </is>
      </c>
      <c r="C903" s="5" t="inlineStr">
        <is>
          <t>region between joints</t>
        </is>
      </c>
      <c r="D903" s="5" t="inlineStr">
        <is>
          <t>outline</t>
        </is>
      </c>
      <c r="E903" s="5" t="n">
        <v>23</v>
      </c>
      <c r="F903" s="5" t="inlineStr">
        <is>
          <t>combined_footing</t>
        </is>
      </c>
      <c r="G903" s="5" t="inlineStr">
        <is>
          <t>similar to cluster 15 (distance 0.87)</t>
        </is>
      </c>
      <c r="H903" s="5" t="inlineStr">
        <is>
          <t>SC2</t>
        </is>
      </c>
      <c r="I903" s="5" t="inlineStr">
        <is>
          <t>printed label</t>
        </is>
      </c>
      <c r="J903" s="5" t="inlineStr">
        <is>
          <t>SC2-</t>
        </is>
      </c>
      <c r="K903" s="5" t="n">
        <v>350</v>
      </c>
      <c r="L903" s="5" t="n">
        <v>200</v>
      </c>
      <c r="M903" s="10">
        <f>IF(AND(ISNUMBER(K903),L903&gt;0),K903/L903,"")</f>
        <v/>
      </c>
      <c r="N903" s="5" t="n">
        <v>7.005</v>
      </c>
      <c r="O903" s="5" t="n">
        <v>141.3</v>
      </c>
      <c r="P903" s="5" t="n">
        <v>2</v>
      </c>
      <c r="Q903" s="5" t="n">
        <v>0</v>
      </c>
      <c r="R903" s="5" t="n">
        <v>0</v>
      </c>
      <c r="S903" s="5" t="n">
        <v>0</v>
      </c>
      <c r="T903" s="5" t="n">
        <v>2</v>
      </c>
      <c r="U903" s="5" t="n">
        <v>80</v>
      </c>
      <c r="V903" s="5" t="n">
        <v>5</v>
      </c>
      <c r="W903" s="5" t="n"/>
      <c r="X903" s="5" t="inlineStr"/>
      <c r="Y903" s="5" t="n">
        <v>1396.6</v>
      </c>
      <c r="Z903" s="5" t="n">
        <v>2185.5</v>
      </c>
      <c r="AA903" s="5" t="n">
        <v>1514.2</v>
      </c>
      <c r="AB903" s="5" t="n">
        <v>2296.3</v>
      </c>
      <c r="AC903" s="5" t="inlineStr">
        <is>
          <t>combined_footing</t>
        </is>
      </c>
      <c r="AD903" s="5">
        <f>IF(AC903="","",IF(OR(AC903=F903,AND(AC903="crane_footing",F903="isolated_footing")),"yes","no"))</f>
        <v/>
      </c>
    </row>
    <row r="904">
      <c r="A904" s="5" t="n">
        <v>903</v>
      </c>
      <c r="B904" s="5" t="inlineStr">
        <is>
          <t>129</t>
        </is>
      </c>
      <c r="C904" s="5" t="inlineStr">
        <is>
          <t>region between joints</t>
        </is>
      </c>
      <c r="D904" s="5" t="inlineStr">
        <is>
          <t>outline</t>
        </is>
      </c>
      <c r="E904" s="5" t="n">
        <v>15</v>
      </c>
      <c r="F904" s="5" t="inlineStr">
        <is>
          <t>combined_footing</t>
        </is>
      </c>
      <c r="G904" s="5" t="inlineStr">
        <is>
          <t>label vote</t>
        </is>
      </c>
      <c r="H904" s="5" t="inlineStr">
        <is>
          <t>SC7</t>
        </is>
      </c>
      <c r="I904" s="5" t="inlineStr">
        <is>
          <t>printed label</t>
        </is>
      </c>
      <c r="J904" s="5" t="inlineStr">
        <is>
          <t>SC7</t>
        </is>
      </c>
      <c r="K904" s="5" t="n">
        <v>550</v>
      </c>
      <c r="L904" s="5" t="n">
        <v>450</v>
      </c>
      <c r="M904" s="10">
        <f>IF(AND(ISNUMBER(K904),L904&gt;0),K904/L904,"")</f>
        <v/>
      </c>
      <c r="N904" s="5" t="n">
        <v>24.754</v>
      </c>
      <c r="O904" s="5" t="n">
        <v>140.9</v>
      </c>
      <c r="P904" s="5" t="n">
        <v>4</v>
      </c>
      <c r="Q904" s="5" t="n">
        <v>0</v>
      </c>
      <c r="R904" s="5" t="n">
        <v>0</v>
      </c>
      <c r="S904" s="5" t="n">
        <v>0</v>
      </c>
      <c r="T904" s="5" t="n">
        <v>2</v>
      </c>
      <c r="U904" s="5" t="n">
        <v>80</v>
      </c>
      <c r="V904" s="5" t="n">
        <v>48</v>
      </c>
      <c r="W904" s="5" t="n"/>
      <c r="X904" s="5" t="inlineStr"/>
      <c r="Y904" s="5" t="n">
        <v>1107.1</v>
      </c>
      <c r="Z904" s="5" t="n">
        <v>2336.5</v>
      </c>
      <c r="AA904" s="5" t="n">
        <v>1316.9</v>
      </c>
      <c r="AB904" s="5" t="n">
        <v>2542</v>
      </c>
      <c r="AC904" s="5" t="inlineStr">
        <is>
          <t>combined_footing</t>
        </is>
      </c>
      <c r="AD904" s="5">
        <f>IF(AC904="","",IF(OR(AC904=F904,AND(AC904="crane_footing",F904="isolated_footing")),"yes","no"))</f>
        <v/>
      </c>
    </row>
    <row r="905">
      <c r="A905" s="5" t="n">
        <v>904</v>
      </c>
      <c r="B905" s="5" t="inlineStr">
        <is>
          <t>129</t>
        </is>
      </c>
      <c r="C905" s="5" t="inlineStr">
        <is>
          <t>region between joints</t>
        </is>
      </c>
      <c r="D905" s="5" t="inlineStr">
        <is>
          <t>band</t>
        </is>
      </c>
      <c r="E905" s="5" t="n">
        <v>6</v>
      </c>
      <c r="F905" s="5" t="inlineStr">
        <is>
          <t>strip_footing</t>
        </is>
      </c>
      <c r="G905" s="5" t="inlineStr">
        <is>
          <t>label vote</t>
        </is>
      </c>
      <c r="H905" s="5" t="inlineStr">
        <is>
          <t>(none)</t>
        </is>
      </c>
      <c r="I905" s="5" t="inlineStr"/>
      <c r="J905" s="5" t="inlineStr"/>
      <c r="K905" s="5" t="n">
        <v>754</v>
      </c>
      <c r="L905" s="5" t="n">
        <v>80</v>
      </c>
      <c r="M905" s="10">
        <f>IF(AND(ISNUMBER(K905),L905&gt;0),K905/L905,"")</f>
        <v/>
      </c>
      <c r="N905" s="5" t="n">
        <v>6.034</v>
      </c>
      <c r="O905" s="5" t="n">
        <v>140.9</v>
      </c>
      <c r="P905" s="5" t="n">
        <v>1</v>
      </c>
      <c r="Q905" s="5" t="n">
        <v>0</v>
      </c>
      <c r="R905" s="5" t="n">
        <v>0</v>
      </c>
      <c r="S905" s="5" t="n">
        <v>0</v>
      </c>
      <c r="T905" s="5" t="n">
        <v>0</v>
      </c>
      <c r="U905" s="5" t="n">
        <v>6</v>
      </c>
      <c r="V905" s="5" t="n">
        <v>28</v>
      </c>
      <c r="W905" s="5" t="n">
        <v>7.54</v>
      </c>
      <c r="X905" s="5" t="inlineStr"/>
      <c r="Y905" s="5" t="n">
        <v>993.9</v>
      </c>
      <c r="Z905" s="5" t="n">
        <v>2318.2</v>
      </c>
      <c r="AA905" s="5" t="n">
        <v>1181.7</v>
      </c>
      <c r="AB905" s="5" t="n">
        <v>2476.9</v>
      </c>
      <c r="AC905" s="5" t="inlineStr"/>
      <c r="AD905" s="5">
        <f>IF(AC905="","",IF(OR(AC905=F905,AND(AC905="crane_footing",F905="isolated_footing")),"yes","no"))</f>
        <v/>
      </c>
    </row>
    <row r="906">
      <c r="A906" s="5" t="n">
        <v>905</v>
      </c>
      <c r="B906" s="5" t="inlineStr">
        <is>
          <t>129</t>
        </is>
      </c>
      <c r="C906" s="5" t="inlineStr">
        <is>
          <t>region between joints</t>
        </is>
      </c>
      <c r="D906" s="5" t="inlineStr">
        <is>
          <t>band</t>
        </is>
      </c>
      <c r="E906" s="5" t="n">
        <v>6</v>
      </c>
      <c r="F906" s="5" t="inlineStr">
        <is>
          <t>strip_footing</t>
        </is>
      </c>
      <c r="G906" s="5" t="inlineStr">
        <is>
          <t>label vote</t>
        </is>
      </c>
      <c r="H906" s="5" t="inlineStr">
        <is>
          <t>(none)</t>
        </is>
      </c>
      <c r="I906" s="5" t="inlineStr"/>
      <c r="J906" s="5" t="inlineStr"/>
      <c r="K906" s="5" t="n">
        <v>170</v>
      </c>
      <c r="L906" s="5" t="n">
        <v>80</v>
      </c>
      <c r="M906" s="10">
        <f>IF(AND(ISNUMBER(K906),L906&gt;0),K906/L906,"")</f>
        <v/>
      </c>
      <c r="N906" s="5" t="n">
        <v>1.36</v>
      </c>
      <c r="O906" s="5" t="n">
        <v>75.2</v>
      </c>
      <c r="P906" s="5" t="n">
        <v>1</v>
      </c>
      <c r="Q906" s="5" t="n">
        <v>0</v>
      </c>
      <c r="R906" s="5" t="n">
        <v>0</v>
      </c>
      <c r="S906" s="5" t="n">
        <v>0</v>
      </c>
      <c r="T906" s="5" t="n">
        <v>0</v>
      </c>
      <c r="U906" s="5" t="n">
        <v>2</v>
      </c>
      <c r="V906" s="5" t="n">
        <v>0</v>
      </c>
      <c r="W906" s="5" t="n">
        <v>1.7</v>
      </c>
      <c r="X906" s="5" t="inlineStr"/>
      <c r="Y906" s="5" t="n">
        <v>823.6</v>
      </c>
      <c r="Z906" s="5" t="n">
        <v>1891</v>
      </c>
      <c r="AA906" s="5" t="n">
        <v>859.2</v>
      </c>
      <c r="AB906" s="5" t="n">
        <v>1945.5</v>
      </c>
      <c r="AC906" s="5" t="inlineStr"/>
      <c r="AD906" s="5">
        <f>IF(AC906="","",IF(OR(AC906=F906,AND(AC906="crane_footing",F906="isolated_footing")),"yes","no"))</f>
        <v/>
      </c>
    </row>
    <row r="907">
      <c r="A907" s="5" t="n">
        <v>906</v>
      </c>
      <c r="B907" s="5" t="inlineStr">
        <is>
          <t>129</t>
        </is>
      </c>
      <c r="C907" s="5" t="inlineStr">
        <is>
          <t>region between joints</t>
        </is>
      </c>
      <c r="D907" s="5" t="inlineStr">
        <is>
          <t>band</t>
        </is>
      </c>
      <c r="E907" s="5" t="n">
        <v>6</v>
      </c>
      <c r="F907" s="5" t="inlineStr">
        <is>
          <t>strip_footing</t>
        </is>
      </c>
      <c r="G907" s="5" t="inlineStr">
        <is>
          <t>label vote</t>
        </is>
      </c>
      <c r="H907" s="5" t="inlineStr">
        <is>
          <t>SF1</t>
        </is>
      </c>
      <c r="I907" s="5" t="inlineStr">
        <is>
          <t>printed label</t>
        </is>
      </c>
      <c r="J907" s="5" t="inlineStr">
        <is>
          <t>SF1 80x25</t>
        </is>
      </c>
      <c r="K907" s="5" t="n">
        <v>636</v>
      </c>
      <c r="L907" s="5" t="n">
        <v>80</v>
      </c>
      <c r="M907" s="10">
        <f>IF(AND(ISNUMBER(K907),L907&gt;0),K907/L907,"")</f>
        <v/>
      </c>
      <c r="N907" s="5" t="n">
        <v>5.09</v>
      </c>
      <c r="O907" s="5" t="n">
        <v>140.9</v>
      </c>
      <c r="P907" s="5" t="n">
        <v>1</v>
      </c>
      <c r="Q907" s="5" t="n">
        <v>0</v>
      </c>
      <c r="R907" s="5" t="n">
        <v>0</v>
      </c>
      <c r="S907" s="5" t="n">
        <v>0</v>
      </c>
      <c r="T907" s="5" t="n">
        <v>0</v>
      </c>
      <c r="U907" s="5" t="n">
        <v>4</v>
      </c>
      <c r="V907" s="5" t="n">
        <v>25</v>
      </c>
      <c r="W907" s="5" t="n">
        <v>6.36</v>
      </c>
      <c r="X907" s="5" t="inlineStr"/>
      <c r="Y907" s="5" t="n">
        <v>828</v>
      </c>
      <c r="Z907" s="5" t="n">
        <v>2474.9</v>
      </c>
      <c r="AA907" s="5" t="n">
        <v>988.7</v>
      </c>
      <c r="AB907" s="5" t="n">
        <v>2611.7</v>
      </c>
      <c r="AC907" s="5" t="inlineStr"/>
      <c r="AD907" s="5">
        <f>IF(AC907="","",IF(OR(AC907=F907,AND(AC907="crane_footing",F907="isolated_footing")),"yes","no"))</f>
        <v/>
      </c>
    </row>
    <row r="908">
      <c r="A908" s="5" t="n">
        <v>907</v>
      </c>
      <c r="B908" s="5" t="inlineStr">
        <is>
          <t>129</t>
        </is>
      </c>
      <c r="C908" s="5" t="inlineStr">
        <is>
          <t>region between joints</t>
        </is>
      </c>
      <c r="D908" s="5" t="inlineStr">
        <is>
          <t>band</t>
        </is>
      </c>
      <c r="E908" s="5" t="n">
        <v>6</v>
      </c>
      <c r="F908" s="5" t="inlineStr">
        <is>
          <t>strip_footing</t>
        </is>
      </c>
      <c r="G908" s="5" t="inlineStr">
        <is>
          <t>label vote</t>
        </is>
      </c>
      <c r="H908" s="5" t="inlineStr">
        <is>
          <t>SF1</t>
        </is>
      </c>
      <c r="I908" s="5" t="inlineStr">
        <is>
          <t>printed label</t>
        </is>
      </c>
      <c r="J908" s="5" t="inlineStr">
        <is>
          <t>VP20-SF1 80x25</t>
        </is>
      </c>
      <c r="K908" s="5" t="n">
        <v>336</v>
      </c>
      <c r="L908" s="5" t="n">
        <v>80</v>
      </c>
      <c r="M908" s="10">
        <f>IF(AND(ISNUMBER(K908),L908&gt;0),K908/L908,"")</f>
        <v/>
      </c>
      <c r="N908" s="5" t="n">
        <v>2.692</v>
      </c>
      <c r="O908" s="5" t="n">
        <v>75.3</v>
      </c>
      <c r="P908" s="5" t="n">
        <v>1</v>
      </c>
      <c r="Q908" s="5" t="n">
        <v>0</v>
      </c>
      <c r="R908" s="5" t="n">
        <v>0</v>
      </c>
      <c r="S908" s="5" t="n">
        <v>0</v>
      </c>
      <c r="T908" s="5" t="n">
        <v>1</v>
      </c>
      <c r="U908" s="5" t="n">
        <v>2</v>
      </c>
      <c r="V908" s="5" t="n">
        <v>0</v>
      </c>
      <c r="W908" s="5" t="n">
        <v>3.36</v>
      </c>
      <c r="X908" s="5" t="inlineStr"/>
      <c r="Y908" s="5" t="n">
        <v>945.8</v>
      </c>
      <c r="Z908" s="5" t="n">
        <v>2362.5</v>
      </c>
      <c r="AA908" s="5" t="n">
        <v>993.9</v>
      </c>
      <c r="AB908" s="5" t="n">
        <v>2464.6</v>
      </c>
      <c r="AC908" s="5" t="inlineStr"/>
      <c r="AD908" s="5">
        <f>IF(AC908="","",IF(OR(AC908=F908,AND(AC908="crane_footing",F908="isolated_footing")),"yes","no"))</f>
        <v/>
      </c>
    </row>
    <row r="909">
      <c r="A909" s="5" t="n">
        <v>908</v>
      </c>
      <c r="B909" s="5" t="inlineStr">
        <is>
          <t>129</t>
        </is>
      </c>
      <c r="C909" s="5" t="inlineStr">
        <is>
          <t>region between joints</t>
        </is>
      </c>
      <c r="D909" s="5" t="inlineStr">
        <is>
          <t>band</t>
        </is>
      </c>
      <c r="E909" s="5" t="n">
        <v>6</v>
      </c>
      <c r="F909" s="5" t="inlineStr">
        <is>
          <t>strip_footing</t>
        </is>
      </c>
      <c r="G909" s="5" t="inlineStr">
        <is>
          <t>label vote</t>
        </is>
      </c>
      <c r="H909" s="5" t="inlineStr">
        <is>
          <t>SF1</t>
        </is>
      </c>
      <c r="I909" s="5" t="inlineStr">
        <is>
          <t>printed label</t>
        </is>
      </c>
      <c r="J909" s="5" t="inlineStr">
        <is>
          <t>VP20-SF1 80x25</t>
        </is>
      </c>
      <c r="K909" s="5" t="n">
        <v>290</v>
      </c>
      <c r="L909" s="5" t="n">
        <v>80</v>
      </c>
      <c r="M909" s="10">
        <f>IF(AND(ISNUMBER(K909),L909&gt;0),K909/L909,"")</f>
        <v/>
      </c>
      <c r="N909" s="5" t="n">
        <v>2.316</v>
      </c>
      <c r="O909" s="5" t="n">
        <v>75.3</v>
      </c>
      <c r="P909" s="5" t="n">
        <v>1</v>
      </c>
      <c r="Q909" s="5" t="n">
        <v>0</v>
      </c>
      <c r="R909" s="5" t="n">
        <v>0</v>
      </c>
      <c r="S909" s="5" t="n">
        <v>0</v>
      </c>
      <c r="T909" s="5" t="n">
        <v>0</v>
      </c>
      <c r="U909" s="5" t="n">
        <v>5</v>
      </c>
      <c r="V909" s="5" t="n">
        <v>0</v>
      </c>
      <c r="W909" s="5" t="n">
        <v>2.89</v>
      </c>
      <c r="X909" s="5" t="inlineStr"/>
      <c r="Y909" s="5" t="n">
        <v>873.7</v>
      </c>
      <c r="Z909" s="5" t="n">
        <v>2082.4</v>
      </c>
      <c r="AA909" s="5" t="n">
        <v>918.3</v>
      </c>
      <c r="AB909" s="5" t="n">
        <v>2171</v>
      </c>
      <c r="AC909" s="5" t="inlineStr"/>
      <c r="AD909" s="5">
        <f>IF(AC909="","",IF(OR(AC909=F909,AND(AC909="crane_footing",F909="isolated_footing")),"yes","no"))</f>
        <v/>
      </c>
    </row>
    <row r="910">
      <c r="A910" s="5" t="n">
        <v>909</v>
      </c>
      <c r="B910" s="5" t="inlineStr">
        <is>
          <t>129</t>
        </is>
      </c>
      <c r="C910" s="5" t="inlineStr">
        <is>
          <t>region between joints</t>
        </is>
      </c>
      <c r="D910" s="5" t="inlineStr">
        <is>
          <t>band</t>
        </is>
      </c>
      <c r="E910" s="5" t="n">
        <v>2</v>
      </c>
      <c r="F910" s="5" t="inlineStr">
        <is>
          <t>grade_beam</t>
        </is>
      </c>
      <c r="G910" s="5" t="inlineStr">
        <is>
          <t>label vote</t>
        </is>
      </c>
      <c r="H910" s="5" t="inlineStr">
        <is>
          <t>LG25x40</t>
        </is>
      </c>
      <c r="I910" s="5" t="inlineStr">
        <is>
          <t>printed label</t>
        </is>
      </c>
      <c r="J910" s="5" t="inlineStr">
        <is>
          <t>LG 25X40</t>
        </is>
      </c>
      <c r="K910" s="5" t="n">
        <v>369</v>
      </c>
      <c r="L910" s="5" t="n">
        <v>26</v>
      </c>
      <c r="M910" s="10">
        <f>IF(AND(ISNUMBER(K910),L910&gt;0),K910/L910,"")</f>
        <v/>
      </c>
      <c r="N910" s="5" t="n">
        <v>0.959</v>
      </c>
      <c r="O910" s="5" t="n">
        <v>165.3</v>
      </c>
      <c r="P910" s="5" t="n">
        <v>2</v>
      </c>
      <c r="Q910" s="5" t="n">
        <v>1</v>
      </c>
      <c r="R910" s="5" t="n">
        <v>0</v>
      </c>
      <c r="S910" s="5" t="n">
        <v>0</v>
      </c>
      <c r="T910" s="5" t="n">
        <v>0</v>
      </c>
      <c r="U910" s="5" t="n">
        <v>0</v>
      </c>
      <c r="V910" s="5" t="n">
        <v>3</v>
      </c>
      <c r="W910" s="5" t="n">
        <v>1.86</v>
      </c>
      <c r="X910" s="5" t="inlineStr"/>
      <c r="Y910" s="5" t="n">
        <v>767</v>
      </c>
      <c r="Z910" s="5" t="n">
        <v>2560.1</v>
      </c>
      <c r="AA910" s="5" t="n">
        <v>874.2</v>
      </c>
      <c r="AB910" s="5" t="n">
        <v>2595.1</v>
      </c>
      <c r="AC910" s="5" t="inlineStr"/>
      <c r="AD910" s="5">
        <f>IF(AC910="","",IF(OR(AC910=F910,AND(AC910="crane_footing",F910="isolated_footing")),"yes","no"))</f>
        <v/>
      </c>
    </row>
    <row r="911">
      <c r="A911" s="5" t="n">
        <v>910</v>
      </c>
      <c r="B911" s="5" t="inlineStr">
        <is>
          <t>129</t>
        </is>
      </c>
      <c r="C911" s="5" t="inlineStr">
        <is>
          <t>region between joints</t>
        </is>
      </c>
      <c r="D911" s="5" t="inlineStr">
        <is>
          <t>band</t>
        </is>
      </c>
      <c r="E911" s="5" t="n">
        <v>2</v>
      </c>
      <c r="F911" s="5" t="inlineStr">
        <is>
          <t>grade_beam</t>
        </is>
      </c>
      <c r="G911" s="5" t="inlineStr">
        <is>
          <t>label vote</t>
        </is>
      </c>
      <c r="H911" s="5" t="inlineStr">
        <is>
          <t>LG25x40</t>
        </is>
      </c>
      <c r="I911" s="5" t="inlineStr">
        <is>
          <t>printed label</t>
        </is>
      </c>
      <c r="J911" s="5" t="inlineStr">
        <is>
          <t>LG 25x40</t>
        </is>
      </c>
      <c r="K911" s="5" t="n">
        <v>340</v>
      </c>
      <c r="L911" s="5" t="n">
        <v>26</v>
      </c>
      <c r="M911" s="10">
        <f>IF(AND(ISNUMBER(K911),L911&gt;0),K911/L911,"")</f>
        <v/>
      </c>
      <c r="N911" s="5" t="n">
        <v>0.884</v>
      </c>
      <c r="O911" s="5" t="n">
        <v>51</v>
      </c>
      <c r="P911" s="5" t="n">
        <v>2</v>
      </c>
      <c r="Q911" s="5" t="n">
        <v>1</v>
      </c>
      <c r="R911" s="5" t="n">
        <v>0</v>
      </c>
      <c r="S911" s="5" t="n">
        <v>0</v>
      </c>
      <c r="T911" s="5" t="n">
        <v>0</v>
      </c>
      <c r="U911" s="5" t="n">
        <v>5</v>
      </c>
      <c r="V911" s="5" t="n">
        <v>12</v>
      </c>
      <c r="W911" s="5" t="n">
        <v>1.4</v>
      </c>
      <c r="X911" s="5" t="inlineStr"/>
      <c r="Y911" s="5" t="n">
        <v>1161.2</v>
      </c>
      <c r="Z911" s="5" t="n">
        <v>2336.9</v>
      </c>
      <c r="AA911" s="5" t="n">
        <v>1230.3</v>
      </c>
      <c r="AB911" s="5" t="n">
        <v>2419.7</v>
      </c>
      <c r="AC911" s="5" t="inlineStr"/>
      <c r="AD911" s="5">
        <f>IF(AC911="","",IF(OR(AC911=F911,AND(AC911="crane_footing",F911="isolated_footing")),"yes","no"))</f>
        <v/>
      </c>
    </row>
    <row r="912">
      <c r="A912" s="5" t="n">
        <v>911</v>
      </c>
      <c r="B912" s="5" t="inlineStr">
        <is>
          <t>129</t>
        </is>
      </c>
      <c r="C912" s="5" t="inlineStr">
        <is>
          <t>region between joints</t>
        </is>
      </c>
      <c r="D912" s="5" t="inlineStr">
        <is>
          <t>band</t>
        </is>
      </c>
      <c r="E912" s="5" t="n">
        <v>4</v>
      </c>
      <c r="F912" s="5" t="inlineStr">
        <is>
          <t>grade_beam</t>
        </is>
      </c>
      <c r="G912" s="5" t="inlineStr">
        <is>
          <t>label vote</t>
        </is>
      </c>
      <c r="H912" s="5" t="inlineStr">
        <is>
          <t>LG40x15</t>
        </is>
      </c>
      <c r="I912" s="5" t="inlineStr">
        <is>
          <t>printed label</t>
        </is>
      </c>
      <c r="J912" s="5" t="inlineStr">
        <is>
          <t>LG-40x15</t>
        </is>
      </c>
      <c r="K912" s="5" t="n">
        <v>2027</v>
      </c>
      <c r="L912" s="5" t="n">
        <v>41</v>
      </c>
      <c r="M912" s="10">
        <f>IF(AND(ISNUMBER(K912),L912&gt;0),K912/L912,"")</f>
        <v/>
      </c>
      <c r="N912" s="5" t="n">
        <v>8.311999999999999</v>
      </c>
      <c r="O912" s="5" t="n">
        <v>165.2</v>
      </c>
      <c r="P912" s="5" t="n">
        <v>5</v>
      </c>
      <c r="Q912" s="5" t="n">
        <v>0</v>
      </c>
      <c r="R912" s="5" t="n">
        <v>0</v>
      </c>
      <c r="S912" s="5" t="n">
        <v>0</v>
      </c>
      <c r="T912" s="5" t="n">
        <v>2</v>
      </c>
      <c r="U912" s="5" t="n">
        <v>58</v>
      </c>
      <c r="V912" s="5" t="n">
        <v>7</v>
      </c>
      <c r="W912" s="5" t="n">
        <v>9.85</v>
      </c>
      <c r="X912" s="5" t="inlineStr"/>
      <c r="Y912" s="5" t="n">
        <v>826.9</v>
      </c>
      <c r="Z912" s="5" t="n">
        <v>1700.8</v>
      </c>
      <c r="AA912" s="5" t="n">
        <v>1408.9</v>
      </c>
      <c r="AB912" s="5" t="n">
        <v>1864.9</v>
      </c>
      <c r="AC912" s="5" t="inlineStr"/>
      <c r="AD912" s="5">
        <f>IF(AC912="","",IF(OR(AC912=F912,AND(AC912="crane_footing",F912="isolated_footing")),"yes","no"))</f>
        <v/>
      </c>
    </row>
    <row r="913">
      <c r="A913" s="5" t="n">
        <v>912</v>
      </c>
      <c r="B913" s="5" t="inlineStr">
        <is>
          <t>129</t>
        </is>
      </c>
      <c r="C913" s="5" t="inlineStr">
        <is>
          <t>region between joints</t>
        </is>
      </c>
      <c r="D913" s="5" t="inlineStr">
        <is>
          <t>band</t>
        </is>
      </c>
      <c r="E913" s="5" t="n">
        <v>4</v>
      </c>
      <c r="F913" s="5" t="inlineStr">
        <is>
          <t>grade_beam</t>
        </is>
      </c>
      <c r="G913" s="5" t="inlineStr">
        <is>
          <t>label vote</t>
        </is>
      </c>
      <c r="H913" s="5" t="inlineStr">
        <is>
          <t>LG40x15</t>
        </is>
      </c>
      <c r="I913" s="5" t="inlineStr">
        <is>
          <t>printed label</t>
        </is>
      </c>
      <c r="J913" s="5" t="inlineStr">
        <is>
          <t>LG-40x15</t>
        </is>
      </c>
      <c r="K913" s="5" t="n">
        <v>1821</v>
      </c>
      <c r="L913" s="5" t="n">
        <v>41</v>
      </c>
      <c r="M913" s="10">
        <f>IF(AND(ISNUMBER(K913),L913&gt;0),K913/L913,"")</f>
        <v/>
      </c>
      <c r="N913" s="5" t="n">
        <v>7.466</v>
      </c>
      <c r="O913" s="5" t="n">
        <v>75.5</v>
      </c>
      <c r="P913" s="5" t="n">
        <v>3</v>
      </c>
      <c r="Q913" s="5" t="n">
        <v>0</v>
      </c>
      <c r="R913" s="5" t="n">
        <v>0</v>
      </c>
      <c r="S913" s="5" t="n">
        <v>0</v>
      </c>
      <c r="T913" s="5" t="n">
        <v>0</v>
      </c>
      <c r="U913" s="5" t="n">
        <v>8</v>
      </c>
      <c r="V913" s="5" t="n">
        <v>9</v>
      </c>
      <c r="W913" s="5" t="n">
        <v>12.94</v>
      </c>
      <c r="X913" s="5" t="inlineStr"/>
      <c r="Y913" s="5" t="n">
        <v>1266.1</v>
      </c>
      <c r="Z913" s="5" t="n">
        <v>1740.8</v>
      </c>
      <c r="AA913" s="5" t="n">
        <v>1412.3</v>
      </c>
      <c r="AB913" s="5" t="n">
        <v>2264.4</v>
      </c>
      <c r="AC913" s="5" t="inlineStr"/>
      <c r="AD913" s="5">
        <f>IF(AC913="","",IF(OR(AC913=F913,AND(AC913="crane_footing",F913="isolated_footing")),"yes","no"))</f>
        <v/>
      </c>
    </row>
    <row r="914">
      <c r="A914" s="5" t="n">
        <v>913</v>
      </c>
      <c r="B914" s="5" t="inlineStr">
        <is>
          <t>129</t>
        </is>
      </c>
      <c r="C914" s="5" t="inlineStr">
        <is>
          <t>region between joints</t>
        </is>
      </c>
      <c r="D914" s="5" t="inlineStr">
        <is>
          <t>band</t>
        </is>
      </c>
      <c r="E914" s="5" t="n">
        <v>4</v>
      </c>
      <c r="F914" s="5" t="inlineStr">
        <is>
          <t>grade_beam</t>
        </is>
      </c>
      <c r="G914" s="5" t="inlineStr">
        <is>
          <t>label vote</t>
        </is>
      </c>
      <c r="H914" s="5" t="inlineStr">
        <is>
          <t>LG40x15</t>
        </is>
      </c>
      <c r="I914" s="5" t="inlineStr">
        <is>
          <t>printed label</t>
        </is>
      </c>
      <c r="J914" s="5" t="inlineStr">
        <is>
          <t>LG-40x15</t>
        </is>
      </c>
      <c r="K914" s="5" t="n">
        <v>1525</v>
      </c>
      <c r="L914" s="5" t="n">
        <v>41</v>
      </c>
      <c r="M914" s="10">
        <f>IF(AND(ISNUMBER(K914),L914&gt;0),K914/L914,"")</f>
        <v/>
      </c>
      <c r="N914" s="5" t="n">
        <v>6.253</v>
      </c>
      <c r="O914" s="5" t="n">
        <v>165.3</v>
      </c>
      <c r="P914" s="5" t="n">
        <v>2</v>
      </c>
      <c r="Q914" s="5" t="n">
        <v>0</v>
      </c>
      <c r="R914" s="5" t="n">
        <v>0</v>
      </c>
      <c r="S914" s="5" t="n">
        <v>0</v>
      </c>
      <c r="T914" s="5" t="n">
        <v>1</v>
      </c>
      <c r="U914" s="5" t="n">
        <v>40</v>
      </c>
      <c r="V914" s="5" t="n">
        <v>3</v>
      </c>
      <c r="W914" s="5" t="n">
        <v>8.5</v>
      </c>
      <c r="X914" s="5" t="inlineStr"/>
      <c r="Y914" s="5" t="n">
        <v>875.5</v>
      </c>
      <c r="Z914" s="5" t="n">
        <v>1917.6</v>
      </c>
      <c r="AA914" s="5" t="n">
        <v>1314.2</v>
      </c>
      <c r="AB914" s="5" t="n">
        <v>2043.5</v>
      </c>
      <c r="AC914" s="5" t="inlineStr"/>
      <c r="AD914" s="5">
        <f>IF(AC914="","",IF(OR(AC914=F914,AND(AC914="crane_footing",F914="isolated_footing")),"yes","no"))</f>
        <v/>
      </c>
    </row>
    <row r="915">
      <c r="A915" s="5" t="n">
        <v>914</v>
      </c>
      <c r="B915" s="5" t="inlineStr">
        <is>
          <t>129</t>
        </is>
      </c>
      <c r="C915" s="5" t="inlineStr">
        <is>
          <t>region between joints</t>
        </is>
      </c>
      <c r="D915" s="5" t="inlineStr">
        <is>
          <t>band</t>
        </is>
      </c>
      <c r="E915" s="5" t="n">
        <v>4</v>
      </c>
      <c r="F915" s="5" t="inlineStr">
        <is>
          <t>grade_beam</t>
        </is>
      </c>
      <c r="G915" s="5" t="inlineStr">
        <is>
          <t>label vote</t>
        </is>
      </c>
      <c r="H915" s="5" t="inlineStr">
        <is>
          <t>LG40x15</t>
        </is>
      </c>
      <c r="I915" s="5" t="inlineStr">
        <is>
          <t>printed label</t>
        </is>
      </c>
      <c r="J915" s="5" t="inlineStr">
        <is>
          <t>LG-40x15</t>
        </is>
      </c>
      <c r="K915" s="5" t="n">
        <v>1314</v>
      </c>
      <c r="L915" s="5" t="n">
        <v>41</v>
      </c>
      <c r="M915" s="10">
        <f>IF(AND(ISNUMBER(K915),L915&gt;0),K915/L915,"")</f>
        <v/>
      </c>
      <c r="N915" s="5" t="n">
        <v>5.388</v>
      </c>
      <c r="O915" s="5" t="n">
        <v>140.9</v>
      </c>
      <c r="P915" s="5" t="n">
        <v>3</v>
      </c>
      <c r="Q915" s="5" t="n">
        <v>0</v>
      </c>
      <c r="R915" s="5" t="n">
        <v>0</v>
      </c>
      <c r="S915" s="5" t="n">
        <v>0</v>
      </c>
      <c r="T915" s="5" t="n">
        <v>1</v>
      </c>
      <c r="U915" s="5" t="n">
        <v>39</v>
      </c>
      <c r="V915" s="5" t="n">
        <v>5</v>
      </c>
      <c r="W915" s="5" t="n">
        <v>7.89</v>
      </c>
      <c r="X915" s="5" t="inlineStr"/>
      <c r="Y915" s="5" t="n">
        <v>1227.4</v>
      </c>
      <c r="Z915" s="5" t="n">
        <v>2166.6</v>
      </c>
      <c r="AA915" s="5" t="n">
        <v>1536.1</v>
      </c>
      <c r="AB915" s="5" t="n">
        <v>2420.8</v>
      </c>
      <c r="AC915" s="5" t="inlineStr"/>
      <c r="AD915" s="5">
        <f>IF(AC915="","",IF(OR(AC915=F915,AND(AC915="crane_footing",F915="isolated_footing")),"yes","no"))</f>
        <v/>
      </c>
    </row>
    <row r="916">
      <c r="A916" s="5" t="n">
        <v>915</v>
      </c>
      <c r="B916" s="5" t="inlineStr">
        <is>
          <t>129</t>
        </is>
      </c>
      <c r="C916" s="5" t="inlineStr">
        <is>
          <t>region between joints</t>
        </is>
      </c>
      <c r="D916" s="5" t="inlineStr">
        <is>
          <t>band</t>
        </is>
      </c>
      <c r="E916" s="5" t="n">
        <v>4</v>
      </c>
      <c r="F916" s="5" t="inlineStr">
        <is>
          <t>grade_beam</t>
        </is>
      </c>
      <c r="G916" s="5" t="inlineStr">
        <is>
          <t>label vote</t>
        </is>
      </c>
      <c r="H916" s="5" t="inlineStr">
        <is>
          <t>LG40x15</t>
        </is>
      </c>
      <c r="I916" s="5" t="inlineStr">
        <is>
          <t>printed label</t>
        </is>
      </c>
      <c r="J916" s="5" t="inlineStr">
        <is>
          <t>LG-40x15</t>
        </is>
      </c>
      <c r="K916" s="5" t="n">
        <v>1269</v>
      </c>
      <c r="L916" s="5" t="n">
        <v>41</v>
      </c>
      <c r="M916" s="10">
        <f>IF(AND(ISNUMBER(K916),L916&gt;0),K916/L916,"")</f>
        <v/>
      </c>
      <c r="N916" s="5" t="n">
        <v>5.201</v>
      </c>
      <c r="O916" s="5" t="n">
        <v>165.3</v>
      </c>
      <c r="P916" s="5" t="n">
        <v>2</v>
      </c>
      <c r="Q916" s="5" t="n">
        <v>0</v>
      </c>
      <c r="R916" s="5" t="n">
        <v>0</v>
      </c>
      <c r="S916" s="5" t="n">
        <v>0</v>
      </c>
      <c r="T916" s="5" t="n">
        <v>1</v>
      </c>
      <c r="U916" s="5" t="n">
        <v>22</v>
      </c>
      <c r="V916" s="5" t="n">
        <v>3</v>
      </c>
      <c r="W916" s="5" t="n">
        <v>9.19</v>
      </c>
      <c r="X916" s="5" t="inlineStr"/>
      <c r="Y916" s="5" t="n">
        <v>1124</v>
      </c>
      <c r="Z916" s="5" t="n">
        <v>2006.2</v>
      </c>
      <c r="AA916" s="5" t="n">
        <v>1489.3</v>
      </c>
      <c r="AB916" s="5" t="n">
        <v>2112.9</v>
      </c>
      <c r="AC916" s="5" t="inlineStr"/>
      <c r="AD916" s="5">
        <f>IF(AC916="","",IF(OR(AC916=F916,AND(AC916="crane_footing",F916="isolated_footing")),"yes","no"))</f>
        <v/>
      </c>
    </row>
    <row r="917">
      <c r="A917" s="5" t="n">
        <v>916</v>
      </c>
      <c r="B917" s="5" t="inlineStr">
        <is>
          <t>129</t>
        </is>
      </c>
      <c r="C917" s="5" t="inlineStr">
        <is>
          <t>region between joints</t>
        </is>
      </c>
      <c r="D917" s="5" t="inlineStr">
        <is>
          <t>band</t>
        </is>
      </c>
      <c r="E917" s="5" t="n">
        <v>4</v>
      </c>
      <c r="F917" s="5" t="inlineStr">
        <is>
          <t>grade_beam</t>
        </is>
      </c>
      <c r="G917" s="5" t="inlineStr">
        <is>
          <t>label vote</t>
        </is>
      </c>
      <c r="H917" s="5" t="inlineStr">
        <is>
          <t>LG40x15</t>
        </is>
      </c>
      <c r="I917" s="5" t="inlineStr">
        <is>
          <t>printed label</t>
        </is>
      </c>
      <c r="J917" s="5" t="inlineStr">
        <is>
          <t>LG-40x15</t>
        </is>
      </c>
      <c r="K917" s="5" t="n">
        <v>1246</v>
      </c>
      <c r="L917" s="5" t="n">
        <v>41</v>
      </c>
      <c r="M917" s="10">
        <f>IF(AND(ISNUMBER(K917),L917&gt;0),K917/L917,"")</f>
        <v/>
      </c>
      <c r="N917" s="5" t="n">
        <v>5.107</v>
      </c>
      <c r="O917" s="5" t="n">
        <v>75.09999999999999</v>
      </c>
      <c r="P917" s="5" t="n">
        <v>3</v>
      </c>
      <c r="Q917" s="5" t="n">
        <v>0</v>
      </c>
      <c r="R917" s="5" t="n">
        <v>0</v>
      </c>
      <c r="S917" s="5" t="n">
        <v>0</v>
      </c>
      <c r="T917" s="5" t="n">
        <v>0</v>
      </c>
      <c r="U917" s="5" t="n">
        <v>4</v>
      </c>
      <c r="V917" s="5" t="n">
        <v>6</v>
      </c>
      <c r="W917" s="5" t="n">
        <v>7.06</v>
      </c>
      <c r="X917" s="5" t="inlineStr"/>
      <c r="Y917" s="5" t="n">
        <v>1033.4</v>
      </c>
      <c r="Z917" s="5" t="n">
        <v>1803.5</v>
      </c>
      <c r="AA917" s="5" t="n">
        <v>1139.4</v>
      </c>
      <c r="AB917" s="5" t="n">
        <v>2162.1</v>
      </c>
      <c r="AC917" s="5" t="inlineStr"/>
      <c r="AD917" s="5">
        <f>IF(AC917="","",IF(OR(AC917=F917,AND(AC917="crane_footing",F917="isolated_footing")),"yes","no"))</f>
        <v/>
      </c>
    </row>
    <row r="918">
      <c r="A918" s="5" t="n">
        <v>917</v>
      </c>
      <c r="B918" s="5" t="inlineStr">
        <is>
          <t>129</t>
        </is>
      </c>
      <c r="C918" s="5" t="inlineStr">
        <is>
          <t>region between joints</t>
        </is>
      </c>
      <c r="D918" s="5" t="inlineStr">
        <is>
          <t>band</t>
        </is>
      </c>
      <c r="E918" s="5" t="n">
        <v>4</v>
      </c>
      <c r="F918" s="5" t="inlineStr">
        <is>
          <t>grade_beam</t>
        </is>
      </c>
      <c r="G918" s="5" t="inlineStr">
        <is>
          <t>label vote</t>
        </is>
      </c>
      <c r="H918" s="5" t="inlineStr">
        <is>
          <t>LG40x15</t>
        </is>
      </c>
      <c r="I918" s="5" t="inlineStr">
        <is>
          <t>printed label</t>
        </is>
      </c>
      <c r="J918" s="5" t="inlineStr">
        <is>
          <t>LG-40x15</t>
        </is>
      </c>
      <c r="K918" s="5" t="n">
        <v>456</v>
      </c>
      <c r="L918" s="5" t="n">
        <v>41</v>
      </c>
      <c r="M918" s="10">
        <f>IF(AND(ISNUMBER(K918),L918&gt;0),K918/L918,"")</f>
        <v/>
      </c>
      <c r="N918" s="5" t="n">
        <v>1.868</v>
      </c>
      <c r="O918" s="5" t="n">
        <v>165.3</v>
      </c>
      <c r="P918" s="5" t="n">
        <v>2</v>
      </c>
      <c r="Q918" s="5" t="n">
        <v>0</v>
      </c>
      <c r="R918" s="5" t="n">
        <v>0</v>
      </c>
      <c r="S918" s="5" t="n">
        <v>0</v>
      </c>
      <c r="T918" s="5" t="n">
        <v>1</v>
      </c>
      <c r="U918" s="5" t="n">
        <v>3</v>
      </c>
      <c r="V918" s="5" t="n">
        <v>4</v>
      </c>
      <c r="W918" s="5" t="n">
        <v>2.79</v>
      </c>
      <c r="X918" s="5" t="inlineStr"/>
      <c r="Y918" s="5" t="n">
        <v>1297.9</v>
      </c>
      <c r="Z918" s="5" t="n">
        <v>1785.1</v>
      </c>
      <c r="AA918" s="5" t="n">
        <v>1431.1</v>
      </c>
      <c r="AB918" s="5" t="n">
        <v>1830.9</v>
      </c>
      <c r="AC918" s="5" t="inlineStr"/>
      <c r="AD918" s="5">
        <f>IF(AC918="","",IF(OR(AC918=F918,AND(AC918="crane_footing",F918="isolated_footing")),"yes","no"))</f>
        <v/>
      </c>
    </row>
    <row r="919">
      <c r="A919" s="5" t="n">
        <v>918</v>
      </c>
      <c r="B919" s="5" t="inlineStr">
        <is>
          <t>129</t>
        </is>
      </c>
      <c r="C919" s="5" t="inlineStr">
        <is>
          <t>region between joints</t>
        </is>
      </c>
      <c r="D919" s="5" t="inlineStr">
        <is>
          <t>stamped_region</t>
        </is>
      </c>
      <c r="E919" s="5" t="n">
        <v>39</v>
      </c>
      <c r="F919" s="5" t="inlineStr">
        <is>
          <t>raft</t>
        </is>
      </c>
      <c r="G919" s="5" t="inlineStr">
        <is>
          <t>label vote</t>
        </is>
      </c>
      <c r="H919" s="5" t="inlineStr">
        <is>
          <t>Radier 100</t>
        </is>
      </c>
      <c r="I919" s="5" t="inlineStr">
        <is>
          <t>printed label</t>
        </is>
      </c>
      <c r="J919" s="5" t="inlineStr">
        <is>
          <t>Radier</t>
        </is>
      </c>
      <c r="K919" s="5" t="n">
        <v>1864</v>
      </c>
      <c r="L919" s="5" t="n">
        <v>620</v>
      </c>
      <c r="M919" s="10">
        <f>IF(AND(ISNUMBER(K919),L919&gt;0),K919/L919,"")</f>
        <v/>
      </c>
      <c r="N919" s="5" t="n">
        <v>93.27</v>
      </c>
      <c r="O919" s="5" t="n">
        <v>165.3</v>
      </c>
      <c r="P919" s="5" t="n">
        <v>10</v>
      </c>
      <c r="Q919" s="5" t="n">
        <v>0</v>
      </c>
      <c r="R919" s="5" t="n">
        <v>0</v>
      </c>
      <c r="S919" s="5" t="n">
        <v>0</v>
      </c>
      <c r="T919" s="5" t="n">
        <v>9</v>
      </c>
      <c r="U919" s="5" t="n">
        <v>163</v>
      </c>
      <c r="V919" s="5" t="n">
        <v>29</v>
      </c>
      <c r="W919" s="5" t="n"/>
      <c r="X919" s="5" t="inlineStr">
        <is>
          <t>rays' extent (approximate)</t>
        </is>
      </c>
      <c r="Y919" s="5" t="n">
        <v>641.2</v>
      </c>
      <c r="Z919" s="5" t="n">
        <v>2119.5</v>
      </c>
      <c r="AA919" s="5" t="n">
        <v>1202.1</v>
      </c>
      <c r="AB919" s="5" t="n">
        <v>2436.3</v>
      </c>
      <c r="AC919" s="5" t="inlineStr"/>
      <c r="AD919" s="5">
        <f>IF(AC919="","",IF(OR(AC919=F919,AND(AC919="crane_footing",F919="isolated_footing")),"yes","no"))</f>
        <v/>
      </c>
    </row>
    <row r="920">
      <c r="A920" s="5" t="n">
        <v>919</v>
      </c>
      <c r="B920" s="5" t="inlineStr">
        <is>
          <t>129</t>
        </is>
      </c>
      <c r="C920" s="5" t="inlineStr">
        <is>
          <t>region between joints</t>
        </is>
      </c>
      <c r="D920" s="5" t="inlineStr">
        <is>
          <t>solid</t>
        </is>
      </c>
      <c r="E920" s="5" t="n">
        <v>34</v>
      </c>
      <c r="F920" s="5" t="inlineStr">
        <is>
          <t>unnamed</t>
        </is>
      </c>
      <c r="G920" s="5" t="inlineStr">
        <is>
          <t>no label votes</t>
        </is>
      </c>
      <c r="H920" s="5" t="inlineStr">
        <is>
          <t>(none)</t>
        </is>
      </c>
      <c r="I920" s="5" t="inlineStr"/>
      <c r="J920" s="5" t="inlineStr"/>
      <c r="K920" s="5" t="n">
        <v>494</v>
      </c>
      <c r="L920" s="5" t="n">
        <v>20</v>
      </c>
      <c r="M920" s="10">
        <f>IF(AND(ISNUMBER(K920),L920&gt;0),K920/L920,"")</f>
        <v/>
      </c>
      <c r="N920" s="5" t="n">
        <v>0.9409999999999999</v>
      </c>
      <c r="O920" s="5" t="n">
        <v>165.3</v>
      </c>
      <c r="P920" s="5" t="n">
        <v>1</v>
      </c>
      <c r="Q920" s="5" t="n">
        <v>0</v>
      </c>
      <c r="R920" s="5" t="n">
        <v>0</v>
      </c>
      <c r="S920" s="5" t="n">
        <v>1</v>
      </c>
      <c r="T920" s="5" t="n">
        <v>0</v>
      </c>
      <c r="U920" s="5" t="n">
        <v>2</v>
      </c>
      <c r="V920" s="5" t="n">
        <v>1</v>
      </c>
      <c r="W920" s="5" t="n"/>
      <c r="X920" s="5" t="inlineStr"/>
      <c r="Y920" s="5" t="n">
        <v>677.4</v>
      </c>
      <c r="Z920" s="5" t="n">
        <v>2244.9</v>
      </c>
      <c r="AA920" s="5" t="n">
        <v>820.1</v>
      </c>
      <c r="AB920" s="5" t="n">
        <v>2284.2</v>
      </c>
      <c r="AC920" s="5" t="inlineStr"/>
      <c r="AD920" s="5">
        <f>IF(AC920="","",IF(OR(AC920=F920,AND(AC920="crane_footing",F920="isolated_footing")),"yes","no"))</f>
        <v/>
      </c>
    </row>
    <row r="921">
      <c r="A921" s="5" t="n">
        <v>920</v>
      </c>
      <c r="B921" s="5" t="inlineStr">
        <is>
          <t>129</t>
        </is>
      </c>
      <c r="C921" s="5" t="inlineStr">
        <is>
          <t>region between joints</t>
        </is>
      </c>
      <c r="D921" s="5" t="inlineStr">
        <is>
          <t>solid</t>
        </is>
      </c>
      <c r="E921" s="5" t="n">
        <v>38</v>
      </c>
      <c r="F921" s="5" t="inlineStr">
        <is>
          <t>unnamed</t>
        </is>
      </c>
      <c r="G921" s="5" t="inlineStr">
        <is>
          <t>no label votes</t>
        </is>
      </c>
      <c r="H921" s="5" t="inlineStr">
        <is>
          <t>(none)</t>
        </is>
      </c>
      <c r="I921" s="5" t="inlineStr"/>
      <c r="J921" s="5" t="inlineStr"/>
      <c r="K921" s="5" t="n">
        <v>132</v>
      </c>
      <c r="L921" s="5" t="n">
        <v>20</v>
      </c>
      <c r="M921" s="10">
        <f>IF(AND(ISNUMBER(K921),L921&gt;0),K921/L921,"")</f>
        <v/>
      </c>
      <c r="N921" s="5" t="n">
        <v>0.264</v>
      </c>
      <c r="O921" s="5" t="n">
        <v>75.2</v>
      </c>
      <c r="P921" s="5" t="n">
        <v>2</v>
      </c>
      <c r="Q921" s="5" t="n">
        <v>0</v>
      </c>
      <c r="R921" s="5" t="n">
        <v>0</v>
      </c>
      <c r="S921" s="5" t="n">
        <v>1</v>
      </c>
      <c r="T921" s="5" t="n">
        <v>0</v>
      </c>
      <c r="U921" s="5" t="n">
        <v>1</v>
      </c>
      <c r="V921" s="5" t="n">
        <v>0</v>
      </c>
      <c r="W921" s="5" t="n"/>
      <c r="X921" s="5" t="inlineStr"/>
      <c r="Y921" s="5" t="n">
        <v>802.9</v>
      </c>
      <c r="Z921" s="5" t="n">
        <v>2205.4</v>
      </c>
      <c r="AA921" s="5" t="n">
        <v>818.5</v>
      </c>
      <c r="AB921" s="5" t="n">
        <v>2244.6</v>
      </c>
      <c r="AC921" s="5" t="inlineStr"/>
      <c r="AD921" s="5">
        <f>IF(AC921="","",IF(OR(AC921=F921,AND(AC921="crane_footing",F921="isolated_footing")),"yes","no"))</f>
        <v/>
      </c>
    </row>
    <row r="922">
      <c r="A922" s="5" t="n">
        <v>921</v>
      </c>
      <c r="B922" s="5" t="inlineStr">
        <is>
          <t>129</t>
        </is>
      </c>
      <c r="C922" s="5" t="inlineStr">
        <is>
          <t>region between joints</t>
        </is>
      </c>
      <c r="D922" s="5" t="inlineStr">
        <is>
          <t>solid</t>
        </is>
      </c>
      <c r="E922" s="5" t="n">
        <v>34</v>
      </c>
      <c r="F922" s="5" t="inlineStr">
        <is>
          <t>unnamed</t>
        </is>
      </c>
      <c r="G922" s="5" t="inlineStr">
        <is>
          <t>no label votes</t>
        </is>
      </c>
      <c r="H922" s="5" t="inlineStr">
        <is>
          <t>(none)</t>
        </is>
      </c>
      <c r="I922" s="5" t="inlineStr"/>
      <c r="J922" s="5" t="inlineStr"/>
      <c r="K922" s="5" t="n">
        <v>293</v>
      </c>
      <c r="L922" s="5" t="n">
        <v>20</v>
      </c>
      <c r="M922" s="10">
        <f>IF(AND(ISNUMBER(K922),L922&gt;0),K922/L922,"")</f>
        <v/>
      </c>
      <c r="N922" s="5" t="n">
        <v>0.586</v>
      </c>
      <c r="O922" s="5" t="n">
        <v>165.3</v>
      </c>
      <c r="P922" s="5" t="n">
        <v>0</v>
      </c>
      <c r="Q922" s="5" t="n">
        <v>0</v>
      </c>
      <c r="R922" s="5" t="n">
        <v>0</v>
      </c>
      <c r="S922" s="5" t="n">
        <v>1</v>
      </c>
      <c r="T922" s="5" t="n">
        <v>0</v>
      </c>
      <c r="U922" s="5" t="n">
        <v>1</v>
      </c>
      <c r="V922" s="5" t="n">
        <v>0</v>
      </c>
      <c r="W922" s="5" t="n"/>
      <c r="X922" s="5" t="inlineStr"/>
      <c r="Y922" s="5" t="n">
        <v>856.3</v>
      </c>
      <c r="Z922" s="5" t="n">
        <v>2337.9</v>
      </c>
      <c r="AA922" s="5" t="n">
        <v>941.5</v>
      </c>
      <c r="AB922" s="5" t="n">
        <v>2365.5</v>
      </c>
      <c r="AC922" s="5" t="inlineStr"/>
      <c r="AD922" s="5">
        <f>IF(AC922="","",IF(OR(AC922=F922,AND(AC922="crane_footing",F922="isolated_footing")),"yes","no"))</f>
        <v/>
      </c>
    </row>
    <row r="923">
      <c r="A923" s="5" t="n">
        <v>922</v>
      </c>
      <c r="B923" s="5" t="inlineStr">
        <is>
          <t>129</t>
        </is>
      </c>
      <c r="C923" s="5" t="inlineStr">
        <is>
          <t>region between joints</t>
        </is>
      </c>
      <c r="D923" s="5" t="inlineStr">
        <is>
          <t>solid</t>
        </is>
      </c>
      <c r="E923" s="5" t="n">
        <v>34</v>
      </c>
      <c r="F923" s="5" t="inlineStr">
        <is>
          <t>unnamed</t>
        </is>
      </c>
      <c r="G923" s="5" t="inlineStr">
        <is>
          <t>no label votes</t>
        </is>
      </c>
      <c r="H923" s="5" t="inlineStr">
        <is>
          <t>(none)</t>
        </is>
      </c>
      <c r="I923" s="5" t="inlineStr"/>
      <c r="J923" s="5" t="inlineStr"/>
      <c r="K923" s="5" t="n">
        <v>291</v>
      </c>
      <c r="L923" s="5" t="n">
        <v>20</v>
      </c>
      <c r="M923" s="10">
        <f>IF(AND(ISNUMBER(K923),L923&gt;0),K923/L923,"")</f>
        <v/>
      </c>
      <c r="N923" s="5" t="n">
        <v>0.583</v>
      </c>
      <c r="O923" s="5" t="n">
        <v>165.2</v>
      </c>
      <c r="P923" s="5" t="n">
        <v>0</v>
      </c>
      <c r="Q923" s="5" t="n">
        <v>0</v>
      </c>
      <c r="R923" s="5" t="n">
        <v>0</v>
      </c>
      <c r="S923" s="5" t="n">
        <v>1</v>
      </c>
      <c r="T923" s="5" t="n">
        <v>0</v>
      </c>
      <c r="U923" s="5" t="n">
        <v>2</v>
      </c>
      <c r="V923" s="5" t="n">
        <v>0</v>
      </c>
      <c r="W923" s="5" t="n"/>
      <c r="X923" s="5" t="inlineStr"/>
      <c r="Y923" s="5" t="n">
        <v>745.9</v>
      </c>
      <c r="Z923" s="5" t="n">
        <v>2332</v>
      </c>
      <c r="AA923" s="5" t="n">
        <v>830.5</v>
      </c>
      <c r="AB923" s="5" t="n">
        <v>2359.7</v>
      </c>
      <c r="AC923" s="5" t="inlineStr"/>
      <c r="AD923" s="5">
        <f>IF(AC923="","",IF(OR(AC923=F923,AND(AC923="crane_footing",F923="isolated_footing")),"yes","no"))</f>
        <v/>
      </c>
    </row>
    <row r="924">
      <c r="A924" s="5" t="n">
        <v>923</v>
      </c>
      <c r="B924" s="5" t="inlineStr">
        <is>
          <t>129</t>
        </is>
      </c>
      <c r="C924" s="5" t="inlineStr">
        <is>
          <t>region between joints</t>
        </is>
      </c>
      <c r="D924" s="5" t="inlineStr">
        <is>
          <t>solid</t>
        </is>
      </c>
      <c r="E924" s="5" t="n">
        <v>34</v>
      </c>
      <c r="F924" s="5" t="inlineStr">
        <is>
          <t>unnamed</t>
        </is>
      </c>
      <c r="G924" s="5" t="inlineStr">
        <is>
          <t>no label votes</t>
        </is>
      </c>
      <c r="H924" s="5" t="inlineStr">
        <is>
          <t>(none)</t>
        </is>
      </c>
      <c r="I924" s="5" t="inlineStr"/>
      <c r="J924" s="5" t="inlineStr"/>
      <c r="K924" s="5" t="n">
        <v>118</v>
      </c>
      <c r="L924" s="5" t="n">
        <v>20</v>
      </c>
      <c r="M924" s="10">
        <f>IF(AND(ISNUMBER(K924),L924&gt;0),K924/L924,"")</f>
        <v/>
      </c>
      <c r="N924" s="5" t="n">
        <v>0.237</v>
      </c>
      <c r="O924" s="5" t="n">
        <v>165.1</v>
      </c>
      <c r="P924" s="5" t="n">
        <v>0</v>
      </c>
      <c r="Q924" s="5" t="n">
        <v>0</v>
      </c>
      <c r="R924" s="5" t="n">
        <v>0</v>
      </c>
      <c r="S924" s="5" t="n">
        <v>1</v>
      </c>
      <c r="T924" s="5" t="n">
        <v>0</v>
      </c>
      <c r="U924" s="5" t="n">
        <v>0</v>
      </c>
      <c r="V924" s="5" t="n">
        <v>0</v>
      </c>
      <c r="W924" s="5" t="n"/>
      <c r="X924" s="5" t="inlineStr"/>
      <c r="Y924" s="5" t="n">
        <v>705.8</v>
      </c>
      <c r="Z924" s="5" t="n">
        <v>2355.7</v>
      </c>
      <c r="AA924" s="5" t="n">
        <v>741</v>
      </c>
      <c r="AB924" s="5" t="n">
        <v>2370.4</v>
      </c>
      <c r="AC924" s="5" t="inlineStr"/>
      <c r="AD924" s="5">
        <f>IF(AC924="","",IF(OR(AC924=F924,AND(AC924="crane_footing",F924="isolated_footing")),"yes","no"))</f>
        <v/>
      </c>
    </row>
    <row r="925">
      <c r="A925" s="5" t="n">
        <v>924</v>
      </c>
      <c r="B925" s="5" t="inlineStr">
        <is>
          <t>129</t>
        </is>
      </c>
      <c r="C925" s="5" t="inlineStr">
        <is>
          <t>region between joints</t>
        </is>
      </c>
      <c r="D925" s="5" t="inlineStr">
        <is>
          <t>single_hatch</t>
        </is>
      </c>
      <c r="E925" s="5" t="n">
        <v>27</v>
      </c>
      <c r="F925" s="5" t="inlineStr">
        <is>
          <t>unnamed</t>
        </is>
      </c>
      <c r="G925" s="5" t="inlineStr">
        <is>
          <t>no label votes</t>
        </is>
      </c>
      <c r="H925" s="5" t="inlineStr">
        <is>
          <t>(none)</t>
        </is>
      </c>
      <c r="I925" s="5" t="inlineStr"/>
      <c r="J925" s="5" t="inlineStr"/>
      <c r="K925" s="5" t="n">
        <v>59</v>
      </c>
      <c r="L925" s="5" t="n">
        <v>19</v>
      </c>
      <c r="M925" s="10">
        <f>IF(AND(ISNUMBER(K925),L925&gt;0),K925/L925,"")</f>
        <v/>
      </c>
      <c r="N925" s="5" t="n">
        <v>0.07099999999999999</v>
      </c>
      <c r="O925" s="5" t="n">
        <v>26.7</v>
      </c>
      <c r="P925" s="5" t="n">
        <v>1</v>
      </c>
      <c r="Q925" s="5" t="n">
        <v>0</v>
      </c>
      <c r="R925" s="5" t="n">
        <v>0</v>
      </c>
      <c r="S925" s="5" t="n">
        <v>1</v>
      </c>
      <c r="T925" s="5" t="n">
        <v>0</v>
      </c>
      <c r="U925" s="5" t="n">
        <v>0</v>
      </c>
      <c r="V925" s="5" t="n">
        <v>0</v>
      </c>
      <c r="W925" s="5" t="n"/>
      <c r="X925" s="5" t="inlineStr"/>
      <c r="Y925" s="5" t="n">
        <v>737.3</v>
      </c>
      <c r="Z925" s="5" t="n">
        <v>2262.4</v>
      </c>
      <c r="AA925" s="5" t="n">
        <v>755.3</v>
      </c>
      <c r="AB925" s="5" t="n">
        <v>2269.5</v>
      </c>
      <c r="AC925" s="5" t="inlineStr"/>
      <c r="AD925" s="5">
        <f>IF(AC925="","",IF(OR(AC925=F925,AND(AC925="crane_footing",F925="isolated_footing")),"yes","no"))</f>
        <v/>
      </c>
    </row>
    <row r="926">
      <c r="A926" s="5" t="n">
        <v>925</v>
      </c>
      <c r="B926" s="5" t="inlineStr">
        <is>
          <t>129</t>
        </is>
      </c>
      <c r="C926" s="5" t="inlineStr">
        <is>
          <t>region between joints</t>
        </is>
      </c>
      <c r="D926" s="5" t="inlineStr">
        <is>
          <t>cross_hatch</t>
        </is>
      </c>
      <c r="E926" s="5" t="n">
        <v>14</v>
      </c>
      <c r="F926" s="5" t="inlineStr">
        <is>
          <t>unnamed</t>
        </is>
      </c>
      <c r="G926" s="5" t="inlineStr">
        <is>
          <t>no label votes</t>
        </is>
      </c>
      <c r="H926" s="5" t="inlineStr">
        <is>
          <t>(none)</t>
        </is>
      </c>
      <c r="I926" s="5" t="inlineStr"/>
      <c r="J926" s="5" t="inlineStr"/>
      <c r="K926" s="5" t="n">
        <v>1020</v>
      </c>
      <c r="L926" s="5" t="n">
        <v>20</v>
      </c>
      <c r="M926" s="10">
        <f>IF(AND(ISNUMBER(K926),L926&gt;0),K926/L926,"")</f>
        <v/>
      </c>
      <c r="N926" s="5" t="n">
        <v>2.061</v>
      </c>
      <c r="O926" s="5" t="n">
        <v>162.5</v>
      </c>
      <c r="P926" s="5" t="n">
        <v>3</v>
      </c>
      <c r="Q926" s="5" t="n">
        <v>0</v>
      </c>
      <c r="R926" s="5" t="n">
        <v>0</v>
      </c>
      <c r="S926" s="5" t="n">
        <v>1</v>
      </c>
      <c r="T926" s="5" t="n">
        <v>0</v>
      </c>
      <c r="U926" s="5" t="n">
        <v>8</v>
      </c>
      <c r="V926" s="5" t="n">
        <v>5</v>
      </c>
      <c r="W926" s="5" t="n"/>
      <c r="X926" s="5" t="inlineStr"/>
      <c r="Y926" s="5" t="n">
        <v>810.3</v>
      </c>
      <c r="Z926" s="5" t="n">
        <v>2202.9</v>
      </c>
      <c r="AA926" s="5" t="n">
        <v>969.9</v>
      </c>
      <c r="AB926" s="5" t="n">
        <v>2294.2</v>
      </c>
      <c r="AC926" s="5" t="inlineStr"/>
      <c r="AD926" s="5">
        <f>IF(AC926="","",IF(OR(AC926=F926,AND(AC926="crane_footing",F926="isolated_footing")),"yes","no"))</f>
        <v/>
      </c>
    </row>
    <row r="927">
      <c r="A927" s="5" t="n">
        <v>926</v>
      </c>
      <c r="B927" s="5" t="inlineStr">
        <is>
          <t>129</t>
        </is>
      </c>
      <c r="C927" s="5" t="inlineStr">
        <is>
          <t>region between joints</t>
        </is>
      </c>
      <c r="D927" s="5" t="inlineStr">
        <is>
          <t>cross_hatch</t>
        </is>
      </c>
      <c r="E927" s="5" t="n">
        <v>14</v>
      </c>
      <c r="F927" s="5" t="inlineStr">
        <is>
          <t>unnamed</t>
        </is>
      </c>
      <c r="G927" s="5" t="inlineStr">
        <is>
          <t>no label votes</t>
        </is>
      </c>
      <c r="H927" s="5" t="inlineStr">
        <is>
          <t>(none)</t>
        </is>
      </c>
      <c r="I927" s="5" t="inlineStr"/>
      <c r="J927" s="5" t="inlineStr"/>
      <c r="K927" s="5" t="n">
        <v>263</v>
      </c>
      <c r="L927" s="5" t="n">
        <v>20</v>
      </c>
      <c r="M927" s="10">
        <f>IF(AND(ISNUMBER(K927),L927&gt;0),K927/L927,"")</f>
        <v/>
      </c>
      <c r="N927" s="5" t="n">
        <v>0.531</v>
      </c>
      <c r="O927" s="5" t="n">
        <v>165.3</v>
      </c>
      <c r="P927" s="5" t="n">
        <v>0</v>
      </c>
      <c r="Q927" s="5" t="n">
        <v>0</v>
      </c>
      <c r="R927" s="5" t="n">
        <v>0</v>
      </c>
      <c r="S927" s="5" t="n">
        <v>1</v>
      </c>
      <c r="T927" s="5" t="n">
        <v>0</v>
      </c>
      <c r="U927" s="5" t="n">
        <v>1</v>
      </c>
      <c r="V927" s="5" t="n">
        <v>1</v>
      </c>
      <c r="W927" s="5" t="n"/>
      <c r="X927" s="5" t="inlineStr"/>
      <c r="Y927" s="5" t="n">
        <v>839.1</v>
      </c>
      <c r="Z927" s="5" t="n">
        <v>2285.2</v>
      </c>
      <c r="AA927" s="5" t="n">
        <v>935.3</v>
      </c>
      <c r="AB927" s="5" t="n">
        <v>2314.2</v>
      </c>
      <c r="AC927" s="5" t="inlineStr"/>
      <c r="AD927" s="5">
        <f>IF(AC927="","",IF(OR(AC927=F927,AND(AC927="crane_footing",F927="isolated_footing")),"yes","no"))</f>
        <v/>
      </c>
    </row>
    <row r="928">
      <c r="A928" s="5" t="n">
        <v>927</v>
      </c>
      <c r="B928" s="5" t="inlineStr">
        <is>
          <t>129</t>
        </is>
      </c>
      <c r="C928" s="5" t="inlineStr">
        <is>
          <t>region between joints</t>
        </is>
      </c>
      <c r="D928" s="5" t="inlineStr">
        <is>
          <t>single_hatch</t>
        </is>
      </c>
      <c r="E928" s="5" t="n">
        <v>27</v>
      </c>
      <c r="F928" s="5" t="inlineStr">
        <is>
          <t>unnamed</t>
        </is>
      </c>
      <c r="G928" s="5" t="inlineStr">
        <is>
          <t>no label votes</t>
        </is>
      </c>
      <c r="H928" s="5" t="inlineStr">
        <is>
          <t>(none)</t>
        </is>
      </c>
      <c r="I928" s="5" t="inlineStr"/>
      <c r="J928" s="5" t="inlineStr"/>
      <c r="K928" s="5" t="n">
        <v>127</v>
      </c>
      <c r="L928" s="5" t="n">
        <v>62</v>
      </c>
      <c r="M928" s="10">
        <f>IF(AND(ISNUMBER(K928),L928&gt;0),K928/L928,"")</f>
        <v/>
      </c>
      <c r="N928" s="5" t="n">
        <v>0.089</v>
      </c>
      <c r="O928" s="5" t="n">
        <v>21.8</v>
      </c>
      <c r="P928" s="5" t="n">
        <v>2</v>
      </c>
      <c r="Q928" s="5" t="n">
        <v>0</v>
      </c>
      <c r="R928" s="5" t="n">
        <v>0</v>
      </c>
      <c r="S928" s="5" t="n">
        <v>1</v>
      </c>
      <c r="T928" s="5" t="n">
        <v>0</v>
      </c>
      <c r="U928" s="5" t="n">
        <v>0</v>
      </c>
      <c r="V928" s="5" t="n">
        <v>0</v>
      </c>
      <c r="W928" s="5" t="n"/>
      <c r="X928" s="5" t="inlineStr"/>
      <c r="Y928" s="5" t="n">
        <v>843.3</v>
      </c>
      <c r="Z928" s="5" t="n">
        <v>2339.2</v>
      </c>
      <c r="AA928" s="5" t="n">
        <v>877.4</v>
      </c>
      <c r="AB928" s="5" t="n">
        <v>2362.9</v>
      </c>
      <c r="AC928" s="5" t="inlineStr"/>
      <c r="AD928" s="5">
        <f>IF(AC928="","",IF(OR(AC928=F928,AND(AC928="crane_footing",F928="isolated_footing")),"yes","no"))</f>
        <v/>
      </c>
    </row>
    <row r="929">
      <c r="A929" s="5" t="n">
        <v>928</v>
      </c>
      <c r="B929" s="5" t="inlineStr">
        <is>
          <t>129</t>
        </is>
      </c>
      <c r="C929" s="5" t="inlineStr">
        <is>
          <t>region between joints</t>
        </is>
      </c>
      <c r="D929" s="5" t="inlineStr">
        <is>
          <t>cross_hatch</t>
        </is>
      </c>
      <c r="E929" s="5" t="n">
        <v>14</v>
      </c>
      <c r="F929" s="5" t="inlineStr">
        <is>
          <t>unnamed</t>
        </is>
      </c>
      <c r="G929" s="5" t="inlineStr">
        <is>
          <t>no label votes</t>
        </is>
      </c>
      <c r="H929" s="5" t="inlineStr">
        <is>
          <t>(none)</t>
        </is>
      </c>
      <c r="I929" s="5" t="inlineStr"/>
      <c r="J929" s="5" t="inlineStr"/>
      <c r="K929" s="5" t="n">
        <v>689</v>
      </c>
      <c r="L929" s="5" t="n">
        <v>20</v>
      </c>
      <c r="M929" s="10">
        <f>IF(AND(ISNUMBER(K929),L929&gt;0),K929/L929,"")</f>
        <v/>
      </c>
      <c r="N929" s="5" t="n">
        <v>1.39</v>
      </c>
      <c r="O929" s="5" t="n">
        <v>165.3</v>
      </c>
      <c r="P929" s="5" t="n">
        <v>2</v>
      </c>
      <c r="Q929" s="5" t="n">
        <v>0</v>
      </c>
      <c r="R929" s="5" t="n">
        <v>0</v>
      </c>
      <c r="S929" s="5" t="n">
        <v>1</v>
      </c>
      <c r="T929" s="5" t="n">
        <v>0</v>
      </c>
      <c r="U929" s="5" t="n">
        <v>5</v>
      </c>
      <c r="V929" s="5" t="n">
        <v>3</v>
      </c>
      <c r="W929" s="5" t="n"/>
      <c r="X929" s="5" t="inlineStr"/>
      <c r="Y929" s="5" t="n">
        <v>995.7</v>
      </c>
      <c r="Z929" s="5" t="n">
        <v>2176.2</v>
      </c>
      <c r="AA929" s="5" t="n">
        <v>1070</v>
      </c>
      <c r="AB929" s="5" t="n">
        <v>2258.3</v>
      </c>
      <c r="AC929" s="5" t="inlineStr"/>
      <c r="AD929" s="5">
        <f>IF(AC929="","",IF(OR(AC929=F929,AND(AC929="crane_footing",F929="isolated_footing")),"yes","no"))</f>
        <v/>
      </c>
    </row>
    <row r="930">
      <c r="A930" s="5" t="n">
        <v>929</v>
      </c>
      <c r="B930" s="5" t="inlineStr">
        <is>
          <t>129</t>
        </is>
      </c>
      <c r="C930" s="5" t="inlineStr">
        <is>
          <t>region between joints</t>
        </is>
      </c>
      <c r="D930" s="5" t="inlineStr">
        <is>
          <t>cross_hatch</t>
        </is>
      </c>
      <c r="E930" s="5" t="n">
        <v>14</v>
      </c>
      <c r="F930" s="5" t="inlineStr">
        <is>
          <t>unnamed</t>
        </is>
      </c>
      <c r="G930" s="5" t="inlineStr">
        <is>
          <t>no label votes</t>
        </is>
      </c>
      <c r="H930" s="5" t="inlineStr">
        <is>
          <t>(none)</t>
        </is>
      </c>
      <c r="I930" s="5" t="inlineStr"/>
      <c r="J930" s="5" t="inlineStr"/>
      <c r="K930" s="5" t="n">
        <v>307</v>
      </c>
      <c r="L930" s="5" t="n">
        <v>20</v>
      </c>
      <c r="M930" s="10">
        <f>IF(AND(ISNUMBER(K930),L930&gt;0),K930/L930,"")</f>
        <v/>
      </c>
      <c r="N930" s="5" t="n">
        <v>0.62</v>
      </c>
      <c r="O930" s="5" t="n">
        <v>165.3</v>
      </c>
      <c r="P930" s="5" t="n">
        <v>0</v>
      </c>
      <c r="Q930" s="5" t="n">
        <v>0</v>
      </c>
      <c r="R930" s="5" t="n">
        <v>0</v>
      </c>
      <c r="S930" s="5" t="n">
        <v>1</v>
      </c>
      <c r="T930" s="5" t="n">
        <v>0</v>
      </c>
      <c r="U930" s="5" t="n">
        <v>2</v>
      </c>
      <c r="V930" s="5" t="n">
        <v>3</v>
      </c>
      <c r="W930" s="5" t="n"/>
      <c r="X930" s="5" t="inlineStr"/>
      <c r="Y930" s="5" t="n">
        <v>944</v>
      </c>
      <c r="Z930" s="5" t="n">
        <v>2223.3</v>
      </c>
      <c r="AA930" s="5" t="n">
        <v>1011.1</v>
      </c>
      <c r="AB930" s="5" t="n">
        <v>2286.7</v>
      </c>
      <c r="AC930" s="5" t="inlineStr"/>
      <c r="AD930" s="5">
        <f>IF(AC930="","",IF(OR(AC930=F930,AND(AC930="crane_footing",F930="isolated_footing")),"yes","no"))</f>
        <v/>
      </c>
    </row>
    <row r="931">
      <c r="A931" s="5" t="n">
        <v>930</v>
      </c>
      <c r="B931" s="5" t="inlineStr">
        <is>
          <t>129</t>
        </is>
      </c>
      <c r="C931" s="5" t="inlineStr">
        <is>
          <t>region between joints</t>
        </is>
      </c>
      <c r="D931" s="5" t="inlineStr">
        <is>
          <t>band</t>
        </is>
      </c>
      <c r="E931" s="5" t="n">
        <v>1</v>
      </c>
      <c r="F931" s="5" t="inlineStr">
        <is>
          <t>unnamed</t>
        </is>
      </c>
      <c r="G931" s="5" t="inlineStr">
        <is>
          <t>no label votes</t>
        </is>
      </c>
      <c r="H931" s="5" t="inlineStr">
        <is>
          <t>(none)</t>
        </is>
      </c>
      <c r="I931" s="5" t="inlineStr"/>
      <c r="J931" s="5" t="inlineStr"/>
      <c r="K931" s="5" t="n">
        <v>625</v>
      </c>
      <c r="L931" s="5" t="n">
        <v>20</v>
      </c>
      <c r="M931" s="10">
        <f>IF(AND(ISNUMBER(K931),L931&gt;0),K931/L931,"")</f>
        <v/>
      </c>
      <c r="N931" s="5" t="n">
        <v>1.25</v>
      </c>
      <c r="O931" s="5" t="n">
        <v>165.3</v>
      </c>
      <c r="P931" s="5" t="n">
        <v>1</v>
      </c>
      <c r="Q931" s="5" t="n">
        <v>0</v>
      </c>
      <c r="R931" s="5" t="n">
        <v>0</v>
      </c>
      <c r="S931" s="5" t="n">
        <v>1</v>
      </c>
      <c r="T931" s="5" t="n">
        <v>0</v>
      </c>
      <c r="U931" s="5" t="n">
        <v>11</v>
      </c>
      <c r="V931" s="5" t="n">
        <v>1</v>
      </c>
      <c r="W931" s="5" t="n">
        <v>6.25</v>
      </c>
      <c r="X931" s="5" t="inlineStr"/>
      <c r="Y931" s="5" t="n">
        <v>836.2</v>
      </c>
      <c r="Z931" s="5" t="n">
        <v>2263.4</v>
      </c>
      <c r="AA931" s="5" t="n">
        <v>1016.2</v>
      </c>
      <c r="AB931" s="5" t="n">
        <v>2315.9</v>
      </c>
      <c r="AC931" s="5" t="inlineStr"/>
      <c r="AD931" s="5">
        <f>IF(AC931="","",IF(OR(AC931=F931,AND(AC931="crane_footing",F931="isolated_footing")),"yes","no"))</f>
        <v/>
      </c>
    </row>
    <row r="932">
      <c r="A932" s="5" t="n">
        <v>931</v>
      </c>
      <c r="B932" s="5" t="inlineStr">
        <is>
          <t>129</t>
        </is>
      </c>
      <c r="C932" s="5" t="inlineStr">
        <is>
          <t>region between joints</t>
        </is>
      </c>
      <c r="D932" s="5" t="inlineStr">
        <is>
          <t>band</t>
        </is>
      </c>
      <c r="E932" s="5" t="n">
        <v>1</v>
      </c>
      <c r="F932" s="5" t="inlineStr">
        <is>
          <t>unnamed</t>
        </is>
      </c>
      <c r="G932" s="5" t="inlineStr">
        <is>
          <t>no label votes</t>
        </is>
      </c>
      <c r="H932" s="5" t="inlineStr">
        <is>
          <t>(none)</t>
        </is>
      </c>
      <c r="I932" s="5" t="inlineStr"/>
      <c r="J932" s="5" t="inlineStr"/>
      <c r="K932" s="5" t="n">
        <v>518</v>
      </c>
      <c r="L932" s="5" t="n">
        <v>20</v>
      </c>
      <c r="M932" s="10">
        <f>IF(AND(ISNUMBER(K932),L932&gt;0),K932/L932,"")</f>
        <v/>
      </c>
      <c r="N932" s="5" t="n">
        <v>1.035</v>
      </c>
      <c r="O932" s="5" t="n">
        <v>165.3</v>
      </c>
      <c r="P932" s="5" t="n">
        <v>1</v>
      </c>
      <c r="Q932" s="5" t="n">
        <v>0</v>
      </c>
      <c r="R932" s="5" t="n">
        <v>0</v>
      </c>
      <c r="S932" s="5" t="n">
        <v>1</v>
      </c>
      <c r="T932" s="5" t="n">
        <v>0</v>
      </c>
      <c r="U932" s="5" t="n">
        <v>6</v>
      </c>
      <c r="V932" s="5" t="n">
        <v>2</v>
      </c>
      <c r="W932" s="5" t="n">
        <v>5.18</v>
      </c>
      <c r="X932" s="5" t="inlineStr"/>
      <c r="Y932" s="5" t="n">
        <v>820.1</v>
      </c>
      <c r="Z932" s="5" t="n">
        <v>2204</v>
      </c>
      <c r="AA932" s="5" t="n">
        <v>969.5</v>
      </c>
      <c r="AB932" s="5" t="n">
        <v>2248.4</v>
      </c>
      <c r="AC932" s="5" t="inlineStr"/>
      <c r="AD932" s="5">
        <f>IF(AC932="","",IF(OR(AC932=F932,AND(AC932="crane_footing",F932="isolated_footing")),"yes","no"))</f>
        <v/>
      </c>
    </row>
    <row r="933">
      <c r="A933" s="5" t="n">
        <v>932</v>
      </c>
      <c r="B933" s="5" t="inlineStr">
        <is>
          <t>129</t>
        </is>
      </c>
      <c r="C933" s="5" t="inlineStr">
        <is>
          <t>region between joints</t>
        </is>
      </c>
      <c r="D933" s="5" t="inlineStr">
        <is>
          <t>band</t>
        </is>
      </c>
      <c r="E933" s="5" t="n">
        <v>1</v>
      </c>
      <c r="F933" s="5" t="inlineStr">
        <is>
          <t>unnamed</t>
        </is>
      </c>
      <c r="G933" s="5" t="inlineStr">
        <is>
          <t>no label votes</t>
        </is>
      </c>
      <c r="H933" s="5" t="inlineStr">
        <is>
          <t>(none)</t>
        </is>
      </c>
      <c r="I933" s="5" t="inlineStr"/>
      <c r="J933" s="5" t="inlineStr"/>
      <c r="K933" s="5" t="n">
        <v>250</v>
      </c>
      <c r="L933" s="5" t="n">
        <v>20</v>
      </c>
      <c r="M933" s="10">
        <f>IF(AND(ISNUMBER(K933),L933&gt;0),K933/L933,"")</f>
        <v/>
      </c>
      <c r="N933" s="5" t="n">
        <v>0.499</v>
      </c>
      <c r="O933" s="5" t="n">
        <v>165.3</v>
      </c>
      <c r="P933" s="5" t="n">
        <v>1</v>
      </c>
      <c r="Q933" s="5" t="n">
        <v>0</v>
      </c>
      <c r="R933" s="5" t="n">
        <v>0</v>
      </c>
      <c r="S933" s="5" t="n">
        <v>1</v>
      </c>
      <c r="T933" s="5" t="n">
        <v>0</v>
      </c>
      <c r="U933" s="5" t="n">
        <v>4</v>
      </c>
      <c r="V933" s="5" t="n">
        <v>2</v>
      </c>
      <c r="W933" s="5" t="n">
        <v>2.5</v>
      </c>
      <c r="X933" s="5" t="inlineStr"/>
      <c r="Y933" s="5" t="n">
        <v>996.6</v>
      </c>
      <c r="Z933" s="5" t="n">
        <v>2177.8</v>
      </c>
      <c r="AA933" s="5" t="n">
        <v>1069.4</v>
      </c>
      <c r="AB933" s="5" t="n">
        <v>2202.2</v>
      </c>
      <c r="AC933" s="5" t="inlineStr"/>
      <c r="AD933" s="5">
        <f>IF(AC933="","",IF(OR(AC933=F933,AND(AC933="crane_footing",F933="isolated_footing")),"yes","no"))</f>
        <v/>
      </c>
    </row>
    <row r="934">
      <c r="A934" s="5" t="n">
        <v>933</v>
      </c>
      <c r="B934" s="5" t="inlineStr">
        <is>
          <t>129</t>
        </is>
      </c>
      <c r="C934" s="5" t="inlineStr">
        <is>
          <t>region between joints</t>
        </is>
      </c>
      <c r="D934" s="5" t="inlineStr">
        <is>
          <t>band</t>
        </is>
      </c>
      <c r="E934" s="5" t="n">
        <v>1</v>
      </c>
      <c r="F934" s="5" t="inlineStr">
        <is>
          <t>unnamed</t>
        </is>
      </c>
      <c r="G934" s="5" t="inlineStr">
        <is>
          <t>no label votes</t>
        </is>
      </c>
      <c r="H934" s="5" t="inlineStr">
        <is>
          <t>(none)</t>
        </is>
      </c>
      <c r="I934" s="5" t="inlineStr"/>
      <c r="J934" s="5" t="inlineStr"/>
      <c r="K934" s="5" t="n">
        <v>215</v>
      </c>
      <c r="L934" s="5" t="n">
        <v>20</v>
      </c>
      <c r="M934" s="10">
        <f>IF(AND(ISNUMBER(K934),L934&gt;0),K934/L934,"")</f>
        <v/>
      </c>
      <c r="N934" s="5" t="n">
        <v>0.43</v>
      </c>
      <c r="O934" s="5" t="n">
        <v>75.3</v>
      </c>
      <c r="P934" s="5" t="n">
        <v>1</v>
      </c>
      <c r="Q934" s="5" t="n">
        <v>0</v>
      </c>
      <c r="R934" s="5" t="n">
        <v>0</v>
      </c>
      <c r="S934" s="5" t="n">
        <v>1</v>
      </c>
      <c r="T934" s="5" t="n">
        <v>0</v>
      </c>
      <c r="U934" s="5" t="n">
        <v>3</v>
      </c>
      <c r="V934" s="5" t="n">
        <v>2</v>
      </c>
      <c r="W934" s="5" t="n">
        <v>2.15</v>
      </c>
      <c r="X934" s="5" t="inlineStr"/>
      <c r="Y934" s="5" t="n">
        <v>1021.4</v>
      </c>
      <c r="Z934" s="5" t="n">
        <v>2194.5</v>
      </c>
      <c r="AA934" s="5" t="n">
        <v>1043.2</v>
      </c>
      <c r="AB934" s="5" t="n">
        <v>2257.4</v>
      </c>
      <c r="AC934" s="5" t="inlineStr"/>
      <c r="AD934" s="5">
        <f>IF(AC934="","",IF(OR(AC934=F934,AND(AC934="crane_footing",F934="isolated_footing")),"yes","no"))</f>
        <v/>
      </c>
    </row>
    <row r="935">
      <c r="A935" s="5" t="n">
        <v>934</v>
      </c>
      <c r="B935" s="5" t="inlineStr">
        <is>
          <t>129</t>
        </is>
      </c>
      <c r="C935" s="5" t="inlineStr">
        <is>
          <t>region between joints</t>
        </is>
      </c>
      <c r="D935" s="5" t="inlineStr">
        <is>
          <t>band</t>
        </is>
      </c>
      <c r="E935" s="5" t="n">
        <v>1</v>
      </c>
      <c r="F935" s="5" t="inlineStr">
        <is>
          <t>unnamed</t>
        </is>
      </c>
      <c r="G935" s="5" t="inlineStr">
        <is>
          <t>no label votes</t>
        </is>
      </c>
      <c r="H935" s="5" t="inlineStr">
        <is>
          <t>(none)</t>
        </is>
      </c>
      <c r="I935" s="5" t="inlineStr"/>
      <c r="J935" s="5" t="inlineStr"/>
      <c r="K935" s="5" t="n">
        <v>210</v>
      </c>
      <c r="L935" s="5" t="n">
        <v>20</v>
      </c>
      <c r="M935" s="10">
        <f>IF(AND(ISNUMBER(K935),L935&gt;0),K935/L935,"")</f>
        <v/>
      </c>
      <c r="N935" s="5" t="n">
        <v>0.42</v>
      </c>
      <c r="O935" s="5" t="n">
        <v>75.3</v>
      </c>
      <c r="P935" s="5" t="n">
        <v>1</v>
      </c>
      <c r="Q935" s="5" t="n">
        <v>0</v>
      </c>
      <c r="R935" s="5" t="n">
        <v>0</v>
      </c>
      <c r="S935" s="5" t="n">
        <v>1</v>
      </c>
      <c r="T935" s="5" t="n">
        <v>0</v>
      </c>
      <c r="U935" s="5" t="n">
        <v>3</v>
      </c>
      <c r="V935" s="5" t="n">
        <v>2</v>
      </c>
      <c r="W935" s="5" t="n">
        <v>2.1</v>
      </c>
      <c r="X935" s="5" t="inlineStr"/>
      <c r="Y935" s="5" t="n">
        <v>969.8</v>
      </c>
      <c r="Z935" s="5" t="n">
        <v>2209.6</v>
      </c>
      <c r="AA935" s="5" t="n">
        <v>991.3</v>
      </c>
      <c r="AB935" s="5" t="n">
        <v>2271</v>
      </c>
      <c r="AC935" s="5" t="inlineStr"/>
      <c r="AD935" s="5">
        <f>IF(AC935="","",IF(OR(AC935=F935,AND(AC935="crane_footing",F935="isolated_footing")),"yes","no"))</f>
        <v/>
      </c>
    </row>
    <row r="936">
      <c r="A936" s="5" t="n">
        <v>935</v>
      </c>
      <c r="B936" s="5" t="inlineStr">
        <is>
          <t>129</t>
        </is>
      </c>
      <c r="C936" s="5" t="inlineStr">
        <is>
          <t>region between joints</t>
        </is>
      </c>
      <c r="D936" s="5" t="inlineStr">
        <is>
          <t>band</t>
        </is>
      </c>
      <c r="E936" s="5" t="n">
        <v>3</v>
      </c>
      <c r="F936" s="5" t="inlineStr">
        <is>
          <t>unnamed</t>
        </is>
      </c>
      <c r="G936" s="5" t="inlineStr">
        <is>
          <t>no label votes</t>
        </is>
      </c>
      <c r="H936" s="5" t="inlineStr">
        <is>
          <t>(none)</t>
        </is>
      </c>
      <c r="I936" s="5" t="inlineStr"/>
      <c r="J936" s="5" t="inlineStr"/>
      <c r="K936" s="5" t="n">
        <v>239</v>
      </c>
      <c r="L936" s="5" t="n">
        <v>31</v>
      </c>
      <c r="M936" s="10">
        <f>IF(AND(ISNUMBER(K936),L936&gt;0),K936/L936,"")</f>
        <v/>
      </c>
      <c r="N936" s="5" t="n">
        <v>0.741</v>
      </c>
      <c r="O936" s="5" t="n">
        <v>101.7</v>
      </c>
      <c r="P936" s="5" t="n">
        <v>1</v>
      </c>
      <c r="Q936" s="5" t="n">
        <v>1</v>
      </c>
      <c r="R936" s="5" t="n">
        <v>0</v>
      </c>
      <c r="S936" s="5" t="n">
        <v>0</v>
      </c>
      <c r="T936" s="5" t="n">
        <v>0</v>
      </c>
      <c r="U936" s="5" t="n">
        <v>0</v>
      </c>
      <c r="V936" s="5" t="n">
        <v>6</v>
      </c>
      <c r="W936" s="5" t="n">
        <v>0</v>
      </c>
      <c r="X936" s="5" t="inlineStr"/>
      <c r="Y936" s="5" t="n">
        <v>1156.5</v>
      </c>
      <c r="Z936" s="5" t="n">
        <v>2398.6</v>
      </c>
      <c r="AA936" s="5" t="n">
        <v>1179.7</v>
      </c>
      <c r="AB936" s="5" t="n">
        <v>2469.6</v>
      </c>
      <c r="AC936" s="5" t="inlineStr"/>
      <c r="AD936" s="5">
        <f>IF(AC936="","",IF(OR(AC936=F936,AND(AC936="crane_footing",F936="isolated_footing")),"yes","no"))</f>
        <v/>
      </c>
    </row>
    <row r="937">
      <c r="A937" s="5" t="n">
        <v>936</v>
      </c>
      <c r="B937" s="5" t="inlineStr">
        <is>
          <t>129</t>
        </is>
      </c>
      <c r="C937" s="5" t="inlineStr">
        <is>
          <t>region between joints</t>
        </is>
      </c>
      <c r="D937" s="5" t="inlineStr">
        <is>
          <t>band</t>
        </is>
      </c>
      <c r="E937" s="5" t="n">
        <v>3</v>
      </c>
      <c r="F937" s="5" t="inlineStr">
        <is>
          <t>unnamed</t>
        </is>
      </c>
      <c r="G937" s="5" t="inlineStr">
        <is>
          <t>no label votes</t>
        </is>
      </c>
      <c r="H937" s="5" t="inlineStr">
        <is>
          <t>(none)</t>
        </is>
      </c>
      <c r="I937" s="5" t="inlineStr"/>
      <c r="J937" s="5" t="inlineStr"/>
      <c r="K937" s="5" t="n">
        <v>239</v>
      </c>
      <c r="L937" s="5" t="n">
        <v>31</v>
      </c>
      <c r="M937" s="10">
        <f>IF(AND(ISNUMBER(K937),L937&gt;0),K937/L937,"")</f>
        <v/>
      </c>
      <c r="N937" s="5" t="n">
        <v>0.741</v>
      </c>
      <c r="O937" s="5" t="n">
        <v>101.6</v>
      </c>
      <c r="P937" s="5" t="n">
        <v>1</v>
      </c>
      <c r="Q937" s="5" t="n">
        <v>1</v>
      </c>
      <c r="R937" s="5" t="n">
        <v>0</v>
      </c>
      <c r="S937" s="5" t="n">
        <v>0</v>
      </c>
      <c r="T937" s="5" t="n">
        <v>0</v>
      </c>
      <c r="U937" s="5" t="n">
        <v>1</v>
      </c>
      <c r="V937" s="5" t="n">
        <v>6</v>
      </c>
      <c r="W937" s="5" t="n">
        <v>0</v>
      </c>
      <c r="X937" s="5" t="inlineStr"/>
      <c r="Y937" s="5" t="n">
        <v>1168</v>
      </c>
      <c r="Z937" s="5" t="n">
        <v>2389.3</v>
      </c>
      <c r="AA937" s="5" t="n">
        <v>1191.2</v>
      </c>
      <c r="AB937" s="5" t="n">
        <v>2460.3</v>
      </c>
      <c r="AC937" s="5" t="inlineStr"/>
      <c r="AD937" s="5">
        <f>IF(AC937="","",IF(OR(AC937=F937,AND(AC937="crane_footing",F937="isolated_footing")),"yes","no"))</f>
        <v/>
      </c>
    </row>
    <row r="938">
      <c r="A938" s="5" t="n">
        <v>937</v>
      </c>
      <c r="B938" s="5" t="inlineStr">
        <is>
          <t>129</t>
        </is>
      </c>
      <c r="C938" s="5" t="inlineStr">
        <is>
          <t>region between joints</t>
        </is>
      </c>
      <c r="D938" s="5" t="inlineStr">
        <is>
          <t>band</t>
        </is>
      </c>
      <c r="E938" s="5" t="n">
        <v>3</v>
      </c>
      <c r="F938" s="5" t="inlineStr">
        <is>
          <t>unnamed</t>
        </is>
      </c>
      <c r="G938" s="5" t="inlineStr">
        <is>
          <t>no label votes</t>
        </is>
      </c>
      <c r="H938" s="5" t="inlineStr">
        <is>
          <t>(none)</t>
        </is>
      </c>
      <c r="I938" s="5" t="inlineStr"/>
      <c r="J938" s="5" t="inlineStr"/>
      <c r="K938" s="5" t="n">
        <v>239</v>
      </c>
      <c r="L938" s="5" t="n">
        <v>31</v>
      </c>
      <c r="M938" s="10">
        <f>IF(AND(ISNUMBER(K938),L938&gt;0),K938/L938,"")</f>
        <v/>
      </c>
      <c r="N938" s="5" t="n">
        <v>0.74</v>
      </c>
      <c r="O938" s="5" t="n">
        <v>101.6</v>
      </c>
      <c r="P938" s="5" t="n">
        <v>1</v>
      </c>
      <c r="Q938" s="5" t="n">
        <v>1</v>
      </c>
      <c r="R938" s="5" t="n">
        <v>0</v>
      </c>
      <c r="S938" s="5" t="n">
        <v>0</v>
      </c>
      <c r="T938" s="5" t="n">
        <v>0</v>
      </c>
      <c r="U938" s="5" t="n">
        <v>0</v>
      </c>
      <c r="V938" s="5" t="n">
        <v>6</v>
      </c>
      <c r="W938" s="5" t="n">
        <v>0.93</v>
      </c>
      <c r="X938" s="5" t="inlineStr"/>
      <c r="Y938" s="5" t="n">
        <v>1122.1</v>
      </c>
      <c r="Z938" s="5" t="n">
        <v>2426.6</v>
      </c>
      <c r="AA938" s="5" t="n">
        <v>1145.3</v>
      </c>
      <c r="AB938" s="5" t="n">
        <v>2497.5</v>
      </c>
      <c r="AC938" s="5" t="inlineStr"/>
      <c r="AD938" s="5">
        <f>IF(AC938="","",IF(OR(AC938=F938,AND(AC938="crane_footing",F938="isolated_footing")),"yes","no"))</f>
        <v/>
      </c>
    </row>
    <row r="939">
      <c r="A939" s="5" t="n">
        <v>938</v>
      </c>
      <c r="B939" s="5" t="inlineStr">
        <is>
          <t>129</t>
        </is>
      </c>
      <c r="C939" s="5" t="inlineStr">
        <is>
          <t>region between joints</t>
        </is>
      </c>
      <c r="D939" s="5" t="inlineStr">
        <is>
          <t>band</t>
        </is>
      </c>
      <c r="E939" s="5" t="n">
        <v>3</v>
      </c>
      <c r="F939" s="5" t="inlineStr">
        <is>
          <t>unnamed</t>
        </is>
      </c>
      <c r="G939" s="5" t="inlineStr">
        <is>
          <t>no label votes</t>
        </is>
      </c>
      <c r="H939" s="5" t="inlineStr">
        <is>
          <t>(none)</t>
        </is>
      </c>
      <c r="I939" s="5" t="inlineStr"/>
      <c r="J939" s="5" t="inlineStr"/>
      <c r="K939" s="5" t="n">
        <v>239</v>
      </c>
      <c r="L939" s="5" t="n">
        <v>31</v>
      </c>
      <c r="M939" s="10">
        <f>IF(AND(ISNUMBER(K939),L939&gt;0),K939/L939,"")</f>
        <v/>
      </c>
      <c r="N939" s="5" t="n">
        <v>0.74</v>
      </c>
      <c r="O939" s="5" t="n">
        <v>101.7</v>
      </c>
      <c r="P939" s="5" t="n">
        <v>1</v>
      </c>
      <c r="Q939" s="5" t="n">
        <v>1</v>
      </c>
      <c r="R939" s="5" t="n">
        <v>0</v>
      </c>
      <c r="S939" s="5" t="n">
        <v>0</v>
      </c>
      <c r="T939" s="5" t="n">
        <v>0</v>
      </c>
      <c r="U939" s="5" t="n">
        <v>0</v>
      </c>
      <c r="V939" s="5" t="n">
        <v>6</v>
      </c>
      <c r="W939" s="5" t="n">
        <v>0.28</v>
      </c>
      <c r="X939" s="5" t="inlineStr"/>
      <c r="Y939" s="5" t="n">
        <v>1133.5</v>
      </c>
      <c r="Z939" s="5" t="n">
        <v>2417.3</v>
      </c>
      <c r="AA939" s="5" t="n">
        <v>1156.8</v>
      </c>
      <c r="AB939" s="5" t="n">
        <v>2488.2</v>
      </c>
      <c r="AC939" s="5" t="inlineStr"/>
      <c r="AD939" s="5">
        <f>IF(AC939="","",IF(OR(AC939=F939,AND(AC939="crane_footing",F939="isolated_footing")),"yes","no"))</f>
        <v/>
      </c>
    </row>
    <row r="940">
      <c r="A940" s="5" t="n">
        <v>939</v>
      </c>
      <c r="B940" s="5" t="inlineStr">
        <is>
          <t>129</t>
        </is>
      </c>
      <c r="C940" s="5" t="inlineStr">
        <is>
          <t>region between joints</t>
        </is>
      </c>
      <c r="D940" s="5" t="inlineStr">
        <is>
          <t>band</t>
        </is>
      </c>
      <c r="E940" s="5" t="n">
        <v>3</v>
      </c>
      <c r="F940" s="5" t="inlineStr">
        <is>
          <t>unnamed</t>
        </is>
      </c>
      <c r="G940" s="5" t="inlineStr">
        <is>
          <t>no label votes</t>
        </is>
      </c>
      <c r="H940" s="5" t="inlineStr">
        <is>
          <t>(none)</t>
        </is>
      </c>
      <c r="I940" s="5" t="inlineStr"/>
      <c r="J940" s="5" t="inlineStr"/>
      <c r="K940" s="5" t="n">
        <v>239</v>
      </c>
      <c r="L940" s="5" t="n">
        <v>31</v>
      </c>
      <c r="M940" s="10">
        <f>IF(AND(ISNUMBER(K940),L940&gt;0),K940/L940,"")</f>
        <v/>
      </c>
      <c r="N940" s="5" t="n">
        <v>0.74</v>
      </c>
      <c r="O940" s="5" t="n">
        <v>101.7</v>
      </c>
      <c r="P940" s="5" t="n">
        <v>1</v>
      </c>
      <c r="Q940" s="5" t="n">
        <v>1</v>
      </c>
      <c r="R940" s="5" t="n">
        <v>0</v>
      </c>
      <c r="S940" s="5" t="n">
        <v>0</v>
      </c>
      <c r="T940" s="5" t="n">
        <v>0</v>
      </c>
      <c r="U940" s="5" t="n">
        <v>0</v>
      </c>
      <c r="V940" s="5" t="n">
        <v>6</v>
      </c>
      <c r="W940" s="5" t="n">
        <v>0</v>
      </c>
      <c r="X940" s="5" t="inlineStr"/>
      <c r="Y940" s="5" t="n">
        <v>1145</v>
      </c>
      <c r="Z940" s="5" t="n">
        <v>2408</v>
      </c>
      <c r="AA940" s="5" t="n">
        <v>1168.3</v>
      </c>
      <c r="AB940" s="5" t="n">
        <v>2478.9</v>
      </c>
      <c r="AC940" s="5" t="inlineStr"/>
      <c r="AD940" s="5">
        <f>IF(AC940="","",IF(OR(AC940=F940,AND(AC940="crane_footing",F940="isolated_footing")),"yes","no"))</f>
        <v/>
      </c>
    </row>
    <row r="941">
      <c r="A941" s="5" t="n">
        <v>940</v>
      </c>
      <c r="B941" s="5" t="inlineStr">
        <is>
          <t>129</t>
        </is>
      </c>
      <c r="C941" s="5" t="inlineStr">
        <is>
          <t>region between joints</t>
        </is>
      </c>
      <c r="D941" s="5" t="inlineStr">
        <is>
          <t>band</t>
        </is>
      </c>
      <c r="E941" s="5" t="n">
        <v>3</v>
      </c>
      <c r="F941" s="5" t="inlineStr">
        <is>
          <t>unnamed</t>
        </is>
      </c>
      <c r="G941" s="5" t="inlineStr">
        <is>
          <t>no label votes</t>
        </is>
      </c>
      <c r="H941" s="5" t="inlineStr">
        <is>
          <t>(none)</t>
        </is>
      </c>
      <c r="I941" s="5" t="inlineStr"/>
      <c r="J941" s="5" t="inlineStr"/>
      <c r="K941" s="5" t="n">
        <v>239</v>
      </c>
      <c r="L941" s="5" t="n">
        <v>31</v>
      </c>
      <c r="M941" s="10">
        <f>IF(AND(ISNUMBER(K941),L941&gt;0),K941/L941,"")</f>
        <v/>
      </c>
      <c r="N941" s="5" t="n">
        <v>0.739</v>
      </c>
      <c r="O941" s="5" t="n">
        <v>101.6</v>
      </c>
      <c r="P941" s="5" t="n">
        <v>1</v>
      </c>
      <c r="Q941" s="5" t="n">
        <v>0</v>
      </c>
      <c r="R941" s="5" t="n">
        <v>0</v>
      </c>
      <c r="S941" s="5" t="n">
        <v>0</v>
      </c>
      <c r="T941" s="5" t="n">
        <v>0</v>
      </c>
      <c r="U941" s="5" t="n">
        <v>0</v>
      </c>
      <c r="V941" s="5" t="n">
        <v>6</v>
      </c>
      <c r="W941" s="5" t="n">
        <v>2.39</v>
      </c>
      <c r="X941" s="5" t="inlineStr"/>
      <c r="Y941" s="5" t="n">
        <v>1087.6</v>
      </c>
      <c r="Z941" s="5" t="n">
        <v>2454.6</v>
      </c>
      <c r="AA941" s="5" t="n">
        <v>1110.8</v>
      </c>
      <c r="AB941" s="5" t="n">
        <v>2525.5</v>
      </c>
      <c r="AC941" s="5" t="inlineStr"/>
      <c r="AD941" s="5">
        <f>IF(AC941="","",IF(OR(AC941=F941,AND(AC941="crane_footing",F941="isolated_footing")),"yes","no"))</f>
        <v/>
      </c>
    </row>
    <row r="942">
      <c r="A942" s="5" t="n">
        <v>941</v>
      </c>
      <c r="B942" s="5" t="inlineStr">
        <is>
          <t>129</t>
        </is>
      </c>
      <c r="C942" s="5" t="inlineStr">
        <is>
          <t>region between joints</t>
        </is>
      </c>
      <c r="D942" s="5" t="inlineStr">
        <is>
          <t>band</t>
        </is>
      </c>
      <c r="E942" s="5" t="n">
        <v>3</v>
      </c>
      <c r="F942" s="5" t="inlineStr">
        <is>
          <t>unnamed</t>
        </is>
      </c>
      <c r="G942" s="5" t="inlineStr">
        <is>
          <t>no label votes</t>
        </is>
      </c>
      <c r="H942" s="5" t="inlineStr">
        <is>
          <t>(none)</t>
        </is>
      </c>
      <c r="I942" s="5" t="inlineStr"/>
      <c r="J942" s="5" t="inlineStr"/>
      <c r="K942" s="5" t="n">
        <v>239</v>
      </c>
      <c r="L942" s="5" t="n">
        <v>31</v>
      </c>
      <c r="M942" s="10">
        <f>IF(AND(ISNUMBER(K942),L942&gt;0),K942/L942,"")</f>
        <v/>
      </c>
      <c r="N942" s="5" t="n">
        <v>0.739</v>
      </c>
      <c r="O942" s="5" t="n">
        <v>101.6</v>
      </c>
      <c r="P942" s="5" t="n">
        <v>1</v>
      </c>
      <c r="Q942" s="5" t="n">
        <v>0</v>
      </c>
      <c r="R942" s="5" t="n">
        <v>0</v>
      </c>
      <c r="S942" s="5" t="n">
        <v>0</v>
      </c>
      <c r="T942" s="5" t="n">
        <v>0</v>
      </c>
      <c r="U942" s="5" t="n">
        <v>1</v>
      </c>
      <c r="V942" s="5" t="n">
        <v>6</v>
      </c>
      <c r="W942" s="5" t="n">
        <v>2.22</v>
      </c>
      <c r="X942" s="5" t="inlineStr"/>
      <c r="Y942" s="5" t="n">
        <v>1099.1</v>
      </c>
      <c r="Z942" s="5" t="n">
        <v>2445.3</v>
      </c>
      <c r="AA942" s="5" t="n">
        <v>1122.3</v>
      </c>
      <c r="AB942" s="5" t="n">
        <v>2516.1</v>
      </c>
      <c r="AC942" s="5" t="inlineStr"/>
      <c r="AD942" s="5">
        <f>IF(AC942="","",IF(OR(AC942=F942,AND(AC942="crane_footing",F942="isolated_footing")),"yes","no"))</f>
        <v/>
      </c>
    </row>
    <row r="943">
      <c r="A943" s="5" t="n">
        <v>942</v>
      </c>
      <c r="B943" s="5" t="inlineStr">
        <is>
          <t>129</t>
        </is>
      </c>
      <c r="C943" s="5" t="inlineStr">
        <is>
          <t>region between joints</t>
        </is>
      </c>
      <c r="D943" s="5" t="inlineStr">
        <is>
          <t>band</t>
        </is>
      </c>
      <c r="E943" s="5" t="n">
        <v>3</v>
      </c>
      <c r="F943" s="5" t="inlineStr">
        <is>
          <t>unnamed</t>
        </is>
      </c>
      <c r="G943" s="5" t="inlineStr">
        <is>
          <t>no label votes</t>
        </is>
      </c>
      <c r="H943" s="5" t="inlineStr">
        <is>
          <t>(none)</t>
        </is>
      </c>
      <c r="I943" s="5" t="inlineStr"/>
      <c r="J943" s="5" t="inlineStr"/>
      <c r="K943" s="5" t="n">
        <v>239</v>
      </c>
      <c r="L943" s="5" t="n">
        <v>31</v>
      </c>
      <c r="M943" s="10">
        <f>IF(AND(ISNUMBER(K943),L943&gt;0),K943/L943,"")</f>
        <v/>
      </c>
      <c r="N943" s="5" t="n">
        <v>0.739</v>
      </c>
      <c r="O943" s="5" t="n">
        <v>101.6</v>
      </c>
      <c r="P943" s="5" t="n">
        <v>1</v>
      </c>
      <c r="Q943" s="5" t="n">
        <v>0</v>
      </c>
      <c r="R943" s="5" t="n">
        <v>0</v>
      </c>
      <c r="S943" s="5" t="n">
        <v>0</v>
      </c>
      <c r="T943" s="5" t="n">
        <v>0</v>
      </c>
      <c r="U943" s="5" t="n">
        <v>0</v>
      </c>
      <c r="V943" s="5" t="n">
        <v>6</v>
      </c>
      <c r="W943" s="5" t="n">
        <v>1.58</v>
      </c>
      <c r="X943" s="5" t="inlineStr"/>
      <c r="Y943" s="5" t="n">
        <v>1110.6</v>
      </c>
      <c r="Z943" s="5" t="n">
        <v>2436</v>
      </c>
      <c r="AA943" s="5" t="n">
        <v>1133.8</v>
      </c>
      <c r="AB943" s="5" t="n">
        <v>2506.8</v>
      </c>
      <c r="AC943" s="5" t="inlineStr"/>
      <c r="AD943" s="5">
        <f>IF(AC943="","",IF(OR(AC943=F943,AND(AC943="crane_footing",F943="isolated_footing")),"yes","no"))</f>
        <v/>
      </c>
    </row>
    <row r="944">
      <c r="A944" s="5" t="n">
        <v>943</v>
      </c>
      <c r="B944" s="5" t="inlineStr">
        <is>
          <t>129</t>
        </is>
      </c>
      <c r="C944" s="5" t="inlineStr">
        <is>
          <t>region between joints</t>
        </is>
      </c>
      <c r="D944" s="5" t="inlineStr">
        <is>
          <t>band</t>
        </is>
      </c>
      <c r="E944" s="5" t="n">
        <v>3</v>
      </c>
      <c r="F944" s="5" t="inlineStr">
        <is>
          <t>unnamed</t>
        </is>
      </c>
      <c r="G944" s="5" t="inlineStr">
        <is>
          <t>no label votes</t>
        </is>
      </c>
      <c r="H944" s="5" t="inlineStr">
        <is>
          <t>(none)</t>
        </is>
      </c>
      <c r="I944" s="5" t="inlineStr"/>
      <c r="J944" s="5" t="inlineStr"/>
      <c r="K944" s="5" t="n">
        <v>238</v>
      </c>
      <c r="L944" s="5" t="n">
        <v>31</v>
      </c>
      <c r="M944" s="10">
        <f>IF(AND(ISNUMBER(K944),L944&gt;0),K944/L944,"")</f>
        <v/>
      </c>
      <c r="N944" s="5" t="n">
        <v>0.739</v>
      </c>
      <c r="O944" s="5" t="n">
        <v>101.6</v>
      </c>
      <c r="P944" s="5" t="n">
        <v>1</v>
      </c>
      <c r="Q944" s="5" t="n">
        <v>1</v>
      </c>
      <c r="R944" s="5" t="n">
        <v>0</v>
      </c>
      <c r="S944" s="5" t="n">
        <v>0</v>
      </c>
      <c r="T944" s="5" t="n">
        <v>0</v>
      </c>
      <c r="U944" s="5" t="n">
        <v>1</v>
      </c>
      <c r="V944" s="5" t="n">
        <v>6</v>
      </c>
      <c r="W944" s="5" t="n">
        <v>0.98</v>
      </c>
      <c r="X944" s="5" t="inlineStr"/>
      <c r="Y944" s="5" t="n">
        <v>1053.1</v>
      </c>
      <c r="Z944" s="5" t="n">
        <v>2482.6</v>
      </c>
      <c r="AA944" s="5" t="n">
        <v>1076.3</v>
      </c>
      <c r="AB944" s="5" t="n">
        <v>2553.4</v>
      </c>
      <c r="AC944" s="5" t="inlineStr"/>
      <c r="AD944" s="5">
        <f>IF(AC944="","",IF(OR(AC944=F944,AND(AC944="crane_footing",F944="isolated_footing")),"yes","no"))</f>
        <v/>
      </c>
    </row>
    <row r="945">
      <c r="A945" s="5" t="n">
        <v>944</v>
      </c>
      <c r="B945" s="5" t="inlineStr">
        <is>
          <t>129</t>
        </is>
      </c>
      <c r="C945" s="5" t="inlineStr">
        <is>
          <t>region between joints</t>
        </is>
      </c>
      <c r="D945" s="5" t="inlineStr">
        <is>
          <t>band</t>
        </is>
      </c>
      <c r="E945" s="5" t="n">
        <v>3</v>
      </c>
      <c r="F945" s="5" t="inlineStr">
        <is>
          <t>unnamed</t>
        </is>
      </c>
      <c r="G945" s="5" t="inlineStr">
        <is>
          <t>no label votes</t>
        </is>
      </c>
      <c r="H945" s="5" t="inlineStr">
        <is>
          <t>(none)</t>
        </is>
      </c>
      <c r="I945" s="5" t="inlineStr"/>
      <c r="J945" s="5" t="inlineStr"/>
      <c r="K945" s="5" t="n">
        <v>238</v>
      </c>
      <c r="L945" s="5" t="n">
        <v>31</v>
      </c>
      <c r="M945" s="10">
        <f>IF(AND(ISNUMBER(K945),L945&gt;0),K945/L945,"")</f>
        <v/>
      </c>
      <c r="N945" s="5" t="n">
        <v>0.739</v>
      </c>
      <c r="O945" s="5" t="n">
        <v>101.6</v>
      </c>
      <c r="P945" s="5" t="n">
        <v>1</v>
      </c>
      <c r="Q945" s="5" t="n">
        <v>1</v>
      </c>
      <c r="R945" s="5" t="n">
        <v>0</v>
      </c>
      <c r="S945" s="5" t="n">
        <v>0</v>
      </c>
      <c r="T945" s="5" t="n">
        <v>0</v>
      </c>
      <c r="U945" s="5" t="n">
        <v>2</v>
      </c>
      <c r="V945" s="5" t="n">
        <v>6</v>
      </c>
      <c r="W945" s="5" t="n">
        <v>0.33</v>
      </c>
      <c r="X945" s="5" t="inlineStr"/>
      <c r="Y945" s="5" t="n">
        <v>1041.7</v>
      </c>
      <c r="Z945" s="5" t="n">
        <v>2491.9</v>
      </c>
      <c r="AA945" s="5" t="n">
        <v>1064.8</v>
      </c>
      <c r="AB945" s="5" t="n">
        <v>2562.7</v>
      </c>
      <c r="AC945" s="5" t="inlineStr"/>
      <c r="AD945" s="5">
        <f>IF(AC945="","",IF(OR(AC945=F945,AND(AC945="crane_footing",F945="isolated_footing")),"yes","no"))</f>
        <v/>
      </c>
    </row>
    <row r="946">
      <c r="A946" s="5" t="n">
        <v>945</v>
      </c>
      <c r="B946" s="5" t="inlineStr">
        <is>
          <t>129</t>
        </is>
      </c>
      <c r="C946" s="5" t="inlineStr">
        <is>
          <t>region between joints</t>
        </is>
      </c>
      <c r="D946" s="5" t="inlineStr">
        <is>
          <t>band</t>
        </is>
      </c>
      <c r="E946" s="5" t="n">
        <v>3</v>
      </c>
      <c r="F946" s="5" t="inlineStr">
        <is>
          <t>unnamed</t>
        </is>
      </c>
      <c r="G946" s="5" t="inlineStr">
        <is>
          <t>no label votes</t>
        </is>
      </c>
      <c r="H946" s="5" t="inlineStr">
        <is>
          <t>(none)</t>
        </is>
      </c>
      <c r="I946" s="5" t="inlineStr"/>
      <c r="J946" s="5" t="inlineStr"/>
      <c r="K946" s="5" t="n">
        <v>238</v>
      </c>
      <c r="L946" s="5" t="n">
        <v>31</v>
      </c>
      <c r="M946" s="10">
        <f>IF(AND(ISNUMBER(K946),L946&gt;0),K946/L946,"")</f>
        <v/>
      </c>
      <c r="N946" s="5" t="n">
        <v>0.739</v>
      </c>
      <c r="O946" s="5" t="n">
        <v>101.6</v>
      </c>
      <c r="P946" s="5" t="n">
        <v>1</v>
      </c>
      <c r="Q946" s="5" t="n">
        <v>0</v>
      </c>
      <c r="R946" s="5" t="n">
        <v>0</v>
      </c>
      <c r="S946" s="5" t="n">
        <v>0</v>
      </c>
      <c r="T946" s="5" t="n">
        <v>0</v>
      </c>
      <c r="U946" s="5" t="n">
        <v>0</v>
      </c>
      <c r="V946" s="5" t="n">
        <v>6</v>
      </c>
      <c r="W946" s="5" t="n">
        <v>1.63</v>
      </c>
      <c r="X946" s="5" t="inlineStr"/>
      <c r="Y946" s="5" t="n">
        <v>1064.6</v>
      </c>
      <c r="Z946" s="5" t="n">
        <v>2473.3</v>
      </c>
      <c r="AA946" s="5" t="n">
        <v>1087.8</v>
      </c>
      <c r="AB946" s="5" t="n">
        <v>2544.1</v>
      </c>
      <c r="AC946" s="5" t="inlineStr"/>
      <c r="AD946" s="5">
        <f>IF(AC946="","",IF(OR(AC946=F946,AND(AC946="crane_footing",F946="isolated_footing")),"yes","no"))</f>
        <v/>
      </c>
    </row>
    <row r="947">
      <c r="A947" s="5" t="n">
        <v>946</v>
      </c>
      <c r="B947" s="5" t="inlineStr">
        <is>
          <t>129</t>
        </is>
      </c>
      <c r="C947" s="5" t="inlineStr">
        <is>
          <t>region between joints</t>
        </is>
      </c>
      <c r="D947" s="5" t="inlineStr">
        <is>
          <t>band</t>
        </is>
      </c>
      <c r="E947" s="5" t="n">
        <v>3</v>
      </c>
      <c r="F947" s="5" t="inlineStr">
        <is>
          <t>unnamed</t>
        </is>
      </c>
      <c r="G947" s="5" t="inlineStr">
        <is>
          <t>no label votes</t>
        </is>
      </c>
      <c r="H947" s="5" t="inlineStr">
        <is>
          <t>(none)</t>
        </is>
      </c>
      <c r="I947" s="5" t="inlineStr"/>
      <c r="J947" s="5" t="inlineStr"/>
      <c r="K947" s="5" t="n">
        <v>238</v>
      </c>
      <c r="L947" s="5" t="n">
        <v>31</v>
      </c>
      <c r="M947" s="10">
        <f>IF(AND(ISNUMBER(K947),L947&gt;0),K947/L947,"")</f>
        <v/>
      </c>
      <c r="N947" s="5" t="n">
        <v>0.739</v>
      </c>
      <c r="O947" s="5" t="n">
        <v>101.6</v>
      </c>
      <c r="P947" s="5" t="n">
        <v>1</v>
      </c>
      <c r="Q947" s="5" t="n">
        <v>0</v>
      </c>
      <c r="R947" s="5" t="n">
        <v>0</v>
      </c>
      <c r="S947" s="5" t="n">
        <v>0</v>
      </c>
      <c r="T947" s="5" t="n">
        <v>0</v>
      </c>
      <c r="U947" s="5" t="n">
        <v>0</v>
      </c>
      <c r="V947" s="5" t="n">
        <v>6</v>
      </c>
      <c r="W947" s="5" t="n">
        <v>2.27</v>
      </c>
      <c r="X947" s="5" t="inlineStr"/>
      <c r="Y947" s="5" t="n">
        <v>1076.1</v>
      </c>
      <c r="Z947" s="5" t="n">
        <v>2464</v>
      </c>
      <c r="AA947" s="5" t="n">
        <v>1099.3</v>
      </c>
      <c r="AB947" s="5" t="n">
        <v>2534.8</v>
      </c>
      <c r="AC947" s="5" t="inlineStr"/>
      <c r="AD947" s="5">
        <f>IF(AC947="","",IF(OR(AC947=F947,AND(AC947="crane_footing",F947="isolated_footing")),"yes","no"))</f>
        <v/>
      </c>
    </row>
    <row r="948">
      <c r="A948" s="5" t="n">
        <v>947</v>
      </c>
      <c r="B948" s="5" t="inlineStr">
        <is>
          <t>129</t>
        </is>
      </c>
      <c r="C948" s="5" t="inlineStr">
        <is>
          <t>region between joints</t>
        </is>
      </c>
      <c r="D948" s="5" t="inlineStr">
        <is>
          <t>band</t>
        </is>
      </c>
      <c r="E948" s="5" t="n">
        <v>3</v>
      </c>
      <c r="F948" s="5" t="inlineStr">
        <is>
          <t>unnamed</t>
        </is>
      </c>
      <c r="G948" s="5" t="inlineStr">
        <is>
          <t>no label votes</t>
        </is>
      </c>
      <c r="H948" s="5" t="inlineStr">
        <is>
          <t>(none)</t>
        </is>
      </c>
      <c r="I948" s="5" t="inlineStr"/>
      <c r="J948" s="5" t="inlineStr"/>
      <c r="K948" s="5" t="n">
        <v>238</v>
      </c>
      <c r="L948" s="5" t="n">
        <v>31</v>
      </c>
      <c r="M948" s="10">
        <f>IF(AND(ISNUMBER(K948),L948&gt;0),K948/L948,"")</f>
        <v/>
      </c>
      <c r="N948" s="5" t="n">
        <v>0.738</v>
      </c>
      <c r="O948" s="5" t="n">
        <v>101.7</v>
      </c>
      <c r="P948" s="5" t="n">
        <v>2</v>
      </c>
      <c r="Q948" s="5" t="n">
        <v>1</v>
      </c>
      <c r="R948" s="5" t="n">
        <v>0</v>
      </c>
      <c r="S948" s="5" t="n">
        <v>0</v>
      </c>
      <c r="T948" s="5" t="n">
        <v>0</v>
      </c>
      <c r="U948" s="5" t="n">
        <v>0</v>
      </c>
      <c r="V948" s="5" t="n">
        <v>6</v>
      </c>
      <c r="W948" s="5" t="n">
        <v>0</v>
      </c>
      <c r="X948" s="5" t="inlineStr"/>
      <c r="Y948" s="5" t="n">
        <v>1030.2</v>
      </c>
      <c r="Z948" s="5" t="n">
        <v>2501.3</v>
      </c>
      <c r="AA948" s="5" t="n">
        <v>1053.3</v>
      </c>
      <c r="AB948" s="5" t="n">
        <v>2572</v>
      </c>
      <c r="AC948" s="5" t="inlineStr"/>
      <c r="AD948" s="5">
        <f>IF(AC948="","",IF(OR(AC948=F948,AND(AC948="crane_footing",F948="isolated_footing")),"yes","no"))</f>
        <v/>
      </c>
    </row>
    <row r="949">
      <c r="A949" s="5" t="n">
        <v>948</v>
      </c>
      <c r="B949" s="5" t="inlineStr">
        <is>
          <t>129</t>
        </is>
      </c>
      <c r="C949" s="5" t="inlineStr">
        <is>
          <t>region between joints</t>
        </is>
      </c>
      <c r="D949" s="5" t="inlineStr">
        <is>
          <t>band</t>
        </is>
      </c>
      <c r="E949" s="5" t="n">
        <v>3</v>
      </c>
      <c r="F949" s="5" t="inlineStr">
        <is>
          <t>unnamed</t>
        </is>
      </c>
      <c r="G949" s="5" t="inlineStr">
        <is>
          <t>no label votes</t>
        </is>
      </c>
      <c r="H949" s="5" t="inlineStr">
        <is>
          <t>(none)</t>
        </is>
      </c>
      <c r="I949" s="5" t="inlineStr"/>
      <c r="J949" s="5" t="inlineStr"/>
      <c r="K949" s="5" t="n">
        <v>238</v>
      </c>
      <c r="L949" s="5" t="n">
        <v>31</v>
      </c>
      <c r="M949" s="10">
        <f>IF(AND(ISNUMBER(K949),L949&gt;0),K949/L949,"")</f>
        <v/>
      </c>
      <c r="N949" s="5" t="n">
        <v>0.737</v>
      </c>
      <c r="O949" s="5" t="n">
        <v>101.7</v>
      </c>
      <c r="P949" s="5" t="n">
        <v>1</v>
      </c>
      <c r="Q949" s="5" t="n">
        <v>0</v>
      </c>
      <c r="R949" s="5" t="n">
        <v>0</v>
      </c>
      <c r="S949" s="5" t="n">
        <v>0</v>
      </c>
      <c r="T949" s="5" t="n">
        <v>0</v>
      </c>
      <c r="U949" s="5" t="n">
        <v>1</v>
      </c>
      <c r="V949" s="5" t="n">
        <v>9</v>
      </c>
      <c r="W949" s="5" t="n">
        <v>2.06</v>
      </c>
      <c r="X949" s="5" t="inlineStr"/>
      <c r="Y949" s="5" t="n">
        <v>926.7</v>
      </c>
      <c r="Z949" s="5" t="n">
        <v>2585.3</v>
      </c>
      <c r="AA949" s="5" t="n">
        <v>949.9</v>
      </c>
      <c r="AB949" s="5" t="n">
        <v>2655.9</v>
      </c>
      <c r="AC949" s="5" t="inlineStr"/>
      <c r="AD949" s="5">
        <f>IF(AC949="","",IF(OR(AC949=F949,AND(AC949="crane_footing",F949="isolated_footing")),"yes","no"))</f>
        <v/>
      </c>
    </row>
    <row r="950">
      <c r="A950" s="5" t="n">
        <v>949</v>
      </c>
      <c r="B950" s="5" t="inlineStr">
        <is>
          <t>129</t>
        </is>
      </c>
      <c r="C950" s="5" t="inlineStr">
        <is>
          <t>region between joints</t>
        </is>
      </c>
      <c r="D950" s="5" t="inlineStr">
        <is>
          <t>band</t>
        </is>
      </c>
      <c r="E950" s="5" t="n">
        <v>3</v>
      </c>
      <c r="F950" s="5" t="inlineStr">
        <is>
          <t>unnamed</t>
        </is>
      </c>
      <c r="G950" s="5" t="inlineStr">
        <is>
          <t>no label votes</t>
        </is>
      </c>
      <c r="H950" s="5" t="inlineStr">
        <is>
          <t>(none)</t>
        </is>
      </c>
      <c r="I950" s="5" t="inlineStr"/>
      <c r="J950" s="5" t="inlineStr"/>
      <c r="K950" s="5" t="n">
        <v>238</v>
      </c>
      <c r="L950" s="5" t="n">
        <v>31</v>
      </c>
      <c r="M950" s="10">
        <f>IF(AND(ISNUMBER(K950),L950&gt;0),K950/L950,"")</f>
        <v/>
      </c>
      <c r="N950" s="5" t="n">
        <v>0.737</v>
      </c>
      <c r="O950" s="5" t="n">
        <v>101.6</v>
      </c>
      <c r="P950" s="5" t="n">
        <v>1</v>
      </c>
      <c r="Q950" s="5" t="n">
        <v>1</v>
      </c>
      <c r="R950" s="5" t="n">
        <v>0</v>
      </c>
      <c r="S950" s="5" t="n">
        <v>0</v>
      </c>
      <c r="T950" s="5" t="n">
        <v>0</v>
      </c>
      <c r="U950" s="5" t="n">
        <v>2</v>
      </c>
      <c r="V950" s="5" t="n">
        <v>8</v>
      </c>
      <c r="W950" s="5" t="n">
        <v>0.12</v>
      </c>
      <c r="X950" s="5" t="inlineStr"/>
      <c r="Y950" s="5" t="n">
        <v>961.2</v>
      </c>
      <c r="Z950" s="5" t="n">
        <v>2557.3</v>
      </c>
      <c r="AA950" s="5" t="n">
        <v>984.3</v>
      </c>
      <c r="AB950" s="5" t="n">
        <v>2627.9</v>
      </c>
      <c r="AC950" s="5" t="inlineStr"/>
      <c r="AD950" s="5">
        <f>IF(AC950="","",IF(OR(AC950=F950,AND(AC950="crane_footing",F950="isolated_footing")),"yes","no"))</f>
        <v/>
      </c>
    </row>
    <row r="951">
      <c r="A951" s="5" t="n">
        <v>950</v>
      </c>
      <c r="B951" s="5" t="inlineStr">
        <is>
          <t>129</t>
        </is>
      </c>
      <c r="C951" s="5" t="inlineStr">
        <is>
          <t>region between joints</t>
        </is>
      </c>
      <c r="D951" s="5" t="inlineStr">
        <is>
          <t>band</t>
        </is>
      </c>
      <c r="E951" s="5" t="n">
        <v>3</v>
      </c>
      <c r="F951" s="5" t="inlineStr">
        <is>
          <t>unnamed</t>
        </is>
      </c>
      <c r="G951" s="5" t="inlineStr">
        <is>
          <t>no label votes</t>
        </is>
      </c>
      <c r="H951" s="5" t="inlineStr">
        <is>
          <t>(none)</t>
        </is>
      </c>
      <c r="I951" s="5" t="inlineStr"/>
      <c r="J951" s="5" t="inlineStr"/>
      <c r="K951" s="5" t="n">
        <v>238</v>
      </c>
      <c r="L951" s="5" t="n">
        <v>31</v>
      </c>
      <c r="M951" s="10">
        <f>IF(AND(ISNUMBER(K951),L951&gt;0),K951/L951,"")</f>
        <v/>
      </c>
      <c r="N951" s="5" t="n">
        <v>0.737</v>
      </c>
      <c r="O951" s="5" t="n">
        <v>101.6</v>
      </c>
      <c r="P951" s="5" t="n">
        <v>1</v>
      </c>
      <c r="Q951" s="5" t="n">
        <v>1</v>
      </c>
      <c r="R951" s="5" t="n">
        <v>0</v>
      </c>
      <c r="S951" s="5" t="n">
        <v>0</v>
      </c>
      <c r="T951" s="5" t="n">
        <v>0</v>
      </c>
      <c r="U951" s="5" t="n">
        <v>7</v>
      </c>
      <c r="V951" s="5" t="n">
        <v>7</v>
      </c>
      <c r="W951" s="5" t="n">
        <v>0</v>
      </c>
      <c r="X951" s="5" t="inlineStr"/>
      <c r="Y951" s="5" t="n">
        <v>972.7</v>
      </c>
      <c r="Z951" s="5" t="n">
        <v>2547.9</v>
      </c>
      <c r="AA951" s="5" t="n">
        <v>995.8</v>
      </c>
      <c r="AB951" s="5" t="n">
        <v>2618.6</v>
      </c>
      <c r="AC951" s="5" t="inlineStr"/>
      <c r="AD951" s="5">
        <f>IF(AC951="","",IF(OR(AC951=F951,AND(AC951="crane_footing",F951="isolated_footing")),"yes","no"))</f>
        <v/>
      </c>
    </row>
    <row r="952">
      <c r="A952" s="5" t="n">
        <v>951</v>
      </c>
      <c r="B952" s="5" t="inlineStr">
        <is>
          <t>129</t>
        </is>
      </c>
      <c r="C952" s="5" t="inlineStr">
        <is>
          <t>region between joints</t>
        </is>
      </c>
      <c r="D952" s="5" t="inlineStr">
        <is>
          <t>band</t>
        </is>
      </c>
      <c r="E952" s="5" t="n">
        <v>3</v>
      </c>
      <c r="F952" s="5" t="inlineStr">
        <is>
          <t>unnamed</t>
        </is>
      </c>
      <c r="G952" s="5" t="inlineStr">
        <is>
          <t>no label votes</t>
        </is>
      </c>
      <c r="H952" s="5" t="inlineStr">
        <is>
          <t>(none)</t>
        </is>
      </c>
      <c r="I952" s="5" t="inlineStr"/>
      <c r="J952" s="5" t="inlineStr"/>
      <c r="K952" s="5" t="n">
        <v>238</v>
      </c>
      <c r="L952" s="5" t="n">
        <v>31</v>
      </c>
      <c r="M952" s="10">
        <f>IF(AND(ISNUMBER(K952),L952&gt;0),K952/L952,"")</f>
        <v/>
      </c>
      <c r="N952" s="5" t="n">
        <v>0.737</v>
      </c>
      <c r="O952" s="5" t="n">
        <v>101.6</v>
      </c>
      <c r="P952" s="5" t="n">
        <v>1</v>
      </c>
      <c r="Q952" s="5" t="n">
        <v>0</v>
      </c>
      <c r="R952" s="5" t="n">
        <v>0</v>
      </c>
      <c r="S952" s="5" t="n">
        <v>0</v>
      </c>
      <c r="T952" s="5" t="n">
        <v>0</v>
      </c>
      <c r="U952" s="5" t="n">
        <v>1</v>
      </c>
      <c r="V952" s="5" t="n">
        <v>8</v>
      </c>
      <c r="W952" s="5" t="n">
        <v>2.38</v>
      </c>
      <c r="X952" s="5" t="inlineStr"/>
      <c r="Y952" s="5" t="n">
        <v>915.3</v>
      </c>
      <c r="Z952" s="5" t="n">
        <v>2594.6</v>
      </c>
      <c r="AA952" s="5" t="n">
        <v>938.4</v>
      </c>
      <c r="AB952" s="5" t="n">
        <v>2665.2</v>
      </c>
      <c r="AC952" s="5" t="inlineStr"/>
      <c r="AD952" s="5">
        <f>IF(AC952="","",IF(OR(AC952=F952,AND(AC952="crane_footing",F952="isolated_footing")),"yes","no"))</f>
        <v/>
      </c>
    </row>
    <row r="953">
      <c r="A953" s="5" t="n">
        <v>952</v>
      </c>
      <c r="B953" s="5" t="inlineStr">
        <is>
          <t>129</t>
        </is>
      </c>
      <c r="C953" s="5" t="inlineStr">
        <is>
          <t>region between joints</t>
        </is>
      </c>
      <c r="D953" s="5" t="inlineStr">
        <is>
          <t>band</t>
        </is>
      </c>
      <c r="E953" s="5" t="n">
        <v>3</v>
      </c>
      <c r="F953" s="5" t="inlineStr">
        <is>
          <t>unnamed</t>
        </is>
      </c>
      <c r="G953" s="5" t="inlineStr">
        <is>
          <t>no label votes</t>
        </is>
      </c>
      <c r="H953" s="5" t="inlineStr">
        <is>
          <t>(none)</t>
        </is>
      </c>
      <c r="I953" s="5" t="inlineStr"/>
      <c r="J953" s="5" t="inlineStr"/>
      <c r="K953" s="5" t="n">
        <v>238</v>
      </c>
      <c r="L953" s="5" t="n">
        <v>31</v>
      </c>
      <c r="M953" s="10">
        <f>IF(AND(ISNUMBER(K953),L953&gt;0),K953/L953,"")</f>
        <v/>
      </c>
      <c r="N953" s="5" t="n">
        <v>0.737</v>
      </c>
      <c r="O953" s="5" t="n">
        <v>101.7</v>
      </c>
      <c r="P953" s="5" t="n">
        <v>1</v>
      </c>
      <c r="Q953" s="5" t="n">
        <v>0</v>
      </c>
      <c r="R953" s="5" t="n">
        <v>0</v>
      </c>
      <c r="S953" s="5" t="n">
        <v>0</v>
      </c>
      <c r="T953" s="5" t="n">
        <v>0</v>
      </c>
      <c r="U953" s="5" t="n">
        <v>1</v>
      </c>
      <c r="V953" s="5" t="n">
        <v>9</v>
      </c>
      <c r="W953" s="5" t="n">
        <v>1.41</v>
      </c>
      <c r="X953" s="5" t="inlineStr"/>
      <c r="Y953" s="5" t="n">
        <v>938.2</v>
      </c>
      <c r="Z953" s="5" t="n">
        <v>2575.9</v>
      </c>
      <c r="AA953" s="5" t="n">
        <v>961.4</v>
      </c>
      <c r="AB953" s="5" t="n">
        <v>2646.5</v>
      </c>
      <c r="AC953" s="5" t="inlineStr"/>
      <c r="AD953" s="5">
        <f>IF(AC953="","",IF(OR(AC953=F953,AND(AC953="crane_footing",F953="isolated_footing")),"yes","no"))</f>
        <v/>
      </c>
    </row>
    <row r="954">
      <c r="A954" s="5" t="n">
        <v>953</v>
      </c>
      <c r="B954" s="5" t="inlineStr">
        <is>
          <t>129</t>
        </is>
      </c>
      <c r="C954" s="5" t="inlineStr">
        <is>
          <t>region between joints</t>
        </is>
      </c>
      <c r="D954" s="5" t="inlineStr">
        <is>
          <t>band</t>
        </is>
      </c>
      <c r="E954" s="5" t="n">
        <v>3</v>
      </c>
      <c r="F954" s="5" t="inlineStr">
        <is>
          <t>unnamed</t>
        </is>
      </c>
      <c r="G954" s="5" t="inlineStr">
        <is>
          <t>no label votes</t>
        </is>
      </c>
      <c r="H954" s="5" t="inlineStr">
        <is>
          <t>(none)</t>
        </is>
      </c>
      <c r="I954" s="5" t="inlineStr"/>
      <c r="J954" s="5" t="inlineStr"/>
      <c r="K954" s="5" t="n">
        <v>238</v>
      </c>
      <c r="L954" s="5" t="n">
        <v>31</v>
      </c>
      <c r="M954" s="10">
        <f>IF(AND(ISNUMBER(K954),L954&gt;0),K954/L954,"")</f>
        <v/>
      </c>
      <c r="N954" s="5" t="n">
        <v>0.737</v>
      </c>
      <c r="O954" s="5" t="n">
        <v>101.7</v>
      </c>
      <c r="P954" s="5" t="n">
        <v>1</v>
      </c>
      <c r="Q954" s="5" t="n">
        <v>1</v>
      </c>
      <c r="R954" s="5" t="n">
        <v>0</v>
      </c>
      <c r="S954" s="5" t="n">
        <v>0</v>
      </c>
      <c r="T954" s="5" t="n">
        <v>0</v>
      </c>
      <c r="U954" s="5" t="n">
        <v>1</v>
      </c>
      <c r="V954" s="5" t="n">
        <v>8</v>
      </c>
      <c r="W954" s="5" t="n">
        <v>0.77</v>
      </c>
      <c r="X954" s="5" t="inlineStr"/>
      <c r="Y954" s="5" t="n">
        <v>949.7</v>
      </c>
      <c r="Z954" s="5" t="n">
        <v>2566.6</v>
      </c>
      <c r="AA954" s="5" t="n">
        <v>972.9</v>
      </c>
      <c r="AB954" s="5" t="n">
        <v>2637.2</v>
      </c>
      <c r="AC954" s="5" t="inlineStr"/>
      <c r="AD954" s="5">
        <f>IF(AC954="","",IF(OR(AC954=F954,AND(AC954="crane_footing",F954="isolated_footing")),"yes","no"))</f>
        <v/>
      </c>
    </row>
    <row r="955">
      <c r="A955" s="5" t="n">
        <v>954</v>
      </c>
      <c r="B955" s="5" t="inlineStr">
        <is>
          <t>129</t>
        </is>
      </c>
      <c r="C955" s="5" t="inlineStr">
        <is>
          <t>region between joints</t>
        </is>
      </c>
      <c r="D955" s="5" t="inlineStr">
        <is>
          <t>band</t>
        </is>
      </c>
      <c r="E955" s="5" t="n">
        <v>3</v>
      </c>
      <c r="F955" s="5" t="inlineStr">
        <is>
          <t>unnamed</t>
        </is>
      </c>
      <c r="G955" s="5" t="inlineStr">
        <is>
          <t>no label votes</t>
        </is>
      </c>
      <c r="H955" s="5" t="inlineStr">
        <is>
          <t>(none)</t>
        </is>
      </c>
      <c r="I955" s="5" t="inlineStr"/>
      <c r="J955" s="5" t="inlineStr"/>
      <c r="K955" s="5" t="n">
        <v>238</v>
      </c>
      <c r="L955" s="5" t="n">
        <v>31</v>
      </c>
      <c r="M955" s="10">
        <f>IF(AND(ISNUMBER(K955),L955&gt;0),K955/L955,"")</f>
        <v/>
      </c>
      <c r="N955" s="5" t="n">
        <v>0.737</v>
      </c>
      <c r="O955" s="5" t="n">
        <v>101.6</v>
      </c>
      <c r="P955" s="5" t="n">
        <v>1</v>
      </c>
      <c r="Q955" s="5" t="n">
        <v>0</v>
      </c>
      <c r="R955" s="5" t="n">
        <v>0</v>
      </c>
      <c r="S955" s="5" t="n">
        <v>0</v>
      </c>
      <c r="T955" s="5" t="n">
        <v>0</v>
      </c>
      <c r="U955" s="5" t="n">
        <v>0</v>
      </c>
      <c r="V955" s="5" t="n">
        <v>8</v>
      </c>
      <c r="W955" s="5" t="n">
        <v>2.38</v>
      </c>
      <c r="X955" s="5" t="inlineStr"/>
      <c r="Y955" s="5" t="n">
        <v>903.8</v>
      </c>
      <c r="Z955" s="5" t="n">
        <v>2603.9</v>
      </c>
      <c r="AA955" s="5" t="n">
        <v>926.9</v>
      </c>
      <c r="AB955" s="5" t="n">
        <v>2674.5</v>
      </c>
      <c r="AC955" s="5" t="inlineStr"/>
      <c r="AD955" s="5">
        <f>IF(AC955="","",IF(OR(AC955=F955,AND(AC955="crane_footing",F955="isolated_footing")),"yes","no"))</f>
        <v/>
      </c>
    </row>
    <row r="956">
      <c r="A956" s="5" t="n">
        <v>955</v>
      </c>
      <c r="B956" s="5" t="inlineStr">
        <is>
          <t>129</t>
        </is>
      </c>
      <c r="C956" s="5" t="inlineStr">
        <is>
          <t>region between joints</t>
        </is>
      </c>
      <c r="D956" s="5" t="inlineStr">
        <is>
          <t>band</t>
        </is>
      </c>
      <c r="E956" s="5" t="n">
        <v>3</v>
      </c>
      <c r="F956" s="5" t="inlineStr">
        <is>
          <t>unnamed</t>
        </is>
      </c>
      <c r="G956" s="5" t="inlineStr">
        <is>
          <t>no label votes</t>
        </is>
      </c>
      <c r="H956" s="5" t="inlineStr">
        <is>
          <t>(none)</t>
        </is>
      </c>
      <c r="I956" s="5" t="inlineStr"/>
      <c r="J956" s="5" t="inlineStr"/>
      <c r="K956" s="5" t="n">
        <v>238</v>
      </c>
      <c r="L956" s="5" t="n">
        <v>31</v>
      </c>
      <c r="M956" s="10">
        <f>IF(AND(ISNUMBER(K956),L956&gt;0),K956/L956,"")</f>
        <v/>
      </c>
      <c r="N956" s="5" t="n">
        <v>0.737</v>
      </c>
      <c r="O956" s="5" t="n">
        <v>101.6</v>
      </c>
      <c r="P956" s="5" t="n">
        <v>1</v>
      </c>
      <c r="Q956" s="5" t="n">
        <v>0</v>
      </c>
      <c r="R956" s="5" t="n">
        <v>0</v>
      </c>
      <c r="S956" s="5" t="n">
        <v>0</v>
      </c>
      <c r="T956" s="5" t="n">
        <v>0</v>
      </c>
      <c r="U956" s="5" t="n">
        <v>0</v>
      </c>
      <c r="V956" s="5" t="n">
        <v>8</v>
      </c>
      <c r="W956" s="5" t="n">
        <v>2.38</v>
      </c>
      <c r="X956" s="5" t="inlineStr"/>
      <c r="Y956" s="5" t="n">
        <v>892.3</v>
      </c>
      <c r="Z956" s="5" t="n">
        <v>2613.3</v>
      </c>
      <c r="AA956" s="5" t="n">
        <v>915.4</v>
      </c>
      <c r="AB956" s="5" t="n">
        <v>2683.8</v>
      </c>
      <c r="AC956" s="5" t="inlineStr"/>
      <c r="AD956" s="5">
        <f>IF(AC956="","",IF(OR(AC956=F956,AND(AC956="crane_footing",F956="isolated_footing")),"yes","no"))</f>
        <v/>
      </c>
    </row>
    <row r="957">
      <c r="A957" s="5" t="n">
        <v>956</v>
      </c>
      <c r="B957" s="5" t="inlineStr">
        <is>
          <t>129</t>
        </is>
      </c>
      <c r="C957" s="5" t="inlineStr">
        <is>
          <t>region between joints</t>
        </is>
      </c>
      <c r="D957" s="5" t="inlineStr">
        <is>
          <t>band</t>
        </is>
      </c>
      <c r="E957" s="5" t="n">
        <v>3</v>
      </c>
      <c r="F957" s="5" t="inlineStr">
        <is>
          <t>unnamed</t>
        </is>
      </c>
      <c r="G957" s="5" t="inlineStr">
        <is>
          <t>no label votes</t>
        </is>
      </c>
      <c r="H957" s="5" t="inlineStr">
        <is>
          <t>(none)</t>
        </is>
      </c>
      <c r="I957" s="5" t="inlineStr"/>
      <c r="J957" s="5" t="inlineStr"/>
      <c r="K957" s="5" t="n">
        <v>237</v>
      </c>
      <c r="L957" s="5" t="n">
        <v>31</v>
      </c>
      <c r="M957" s="10">
        <f>IF(AND(ISNUMBER(K957),L957&gt;0),K957/L957,"")</f>
        <v/>
      </c>
      <c r="N957" s="5" t="n">
        <v>0.736</v>
      </c>
      <c r="O957" s="5" t="n">
        <v>101.6</v>
      </c>
      <c r="P957" s="5" t="n">
        <v>1</v>
      </c>
      <c r="Q957" s="5" t="n">
        <v>1</v>
      </c>
      <c r="R957" s="5" t="n">
        <v>0</v>
      </c>
      <c r="S957" s="5" t="n">
        <v>0</v>
      </c>
      <c r="T957" s="5" t="n">
        <v>0</v>
      </c>
      <c r="U957" s="5" t="n">
        <v>0</v>
      </c>
      <c r="V957" s="5" t="n">
        <v>6</v>
      </c>
      <c r="W957" s="5" t="n">
        <v>0.66</v>
      </c>
      <c r="X957" s="5" t="inlineStr"/>
      <c r="Y957" s="5" t="n">
        <v>846.3</v>
      </c>
      <c r="Z957" s="5" t="n">
        <v>2650.6</v>
      </c>
      <c r="AA957" s="5" t="n">
        <v>869.4</v>
      </c>
      <c r="AB957" s="5" t="n">
        <v>2721.1</v>
      </c>
      <c r="AC957" s="5" t="inlineStr"/>
      <c r="AD957" s="5">
        <f>IF(AC957="","",IF(OR(AC957=F957,AND(AC957="crane_footing",F957="isolated_footing")),"yes","no"))</f>
        <v/>
      </c>
    </row>
    <row r="958">
      <c r="A958" s="5" t="n">
        <v>957</v>
      </c>
      <c r="B958" s="5" t="inlineStr">
        <is>
          <t>129</t>
        </is>
      </c>
      <c r="C958" s="5" t="inlineStr">
        <is>
          <t>region between joints</t>
        </is>
      </c>
      <c r="D958" s="5" t="inlineStr">
        <is>
          <t>band</t>
        </is>
      </c>
      <c r="E958" s="5" t="n">
        <v>3</v>
      </c>
      <c r="F958" s="5" t="inlineStr">
        <is>
          <t>unnamed</t>
        </is>
      </c>
      <c r="G958" s="5" t="inlineStr">
        <is>
          <t>no label votes</t>
        </is>
      </c>
      <c r="H958" s="5" t="inlineStr">
        <is>
          <t>(none)</t>
        </is>
      </c>
      <c r="I958" s="5" t="inlineStr"/>
      <c r="J958" s="5" t="inlineStr"/>
      <c r="K958" s="5" t="n">
        <v>237</v>
      </c>
      <c r="L958" s="5" t="n">
        <v>31</v>
      </c>
      <c r="M958" s="10">
        <f>IF(AND(ISNUMBER(K958),L958&gt;0),K958/L958,"")</f>
        <v/>
      </c>
      <c r="N958" s="5" t="n">
        <v>0.736</v>
      </c>
      <c r="O958" s="5" t="n">
        <v>101.6</v>
      </c>
      <c r="P958" s="5" t="n">
        <v>1</v>
      </c>
      <c r="Q958" s="5" t="n">
        <v>0</v>
      </c>
      <c r="R958" s="5" t="n">
        <v>0</v>
      </c>
      <c r="S958" s="5" t="n">
        <v>0</v>
      </c>
      <c r="T958" s="5" t="n">
        <v>0</v>
      </c>
      <c r="U958" s="5" t="n">
        <v>0</v>
      </c>
      <c r="V958" s="5" t="n">
        <v>7</v>
      </c>
      <c r="W958" s="5" t="n">
        <v>1.31</v>
      </c>
      <c r="X958" s="5" t="inlineStr"/>
      <c r="Y958" s="5" t="n">
        <v>857.8</v>
      </c>
      <c r="Z958" s="5" t="n">
        <v>2641.3</v>
      </c>
      <c r="AA958" s="5" t="n">
        <v>880.9</v>
      </c>
      <c r="AB958" s="5" t="n">
        <v>2711.8</v>
      </c>
      <c r="AC958" s="5" t="inlineStr"/>
      <c r="AD958" s="5">
        <f>IF(AC958="","",IF(OR(AC958=F958,AND(AC958="crane_footing",F958="isolated_footing")),"yes","no"))</f>
        <v/>
      </c>
    </row>
    <row r="959">
      <c r="A959" s="5" t="n">
        <v>958</v>
      </c>
      <c r="B959" s="5" t="inlineStr">
        <is>
          <t>129</t>
        </is>
      </c>
      <c r="C959" s="5" t="inlineStr">
        <is>
          <t>region between joints</t>
        </is>
      </c>
      <c r="D959" s="5" t="inlineStr">
        <is>
          <t>band</t>
        </is>
      </c>
      <c r="E959" s="5" t="n">
        <v>3</v>
      </c>
      <c r="F959" s="5" t="inlineStr">
        <is>
          <t>unnamed</t>
        </is>
      </c>
      <c r="G959" s="5" t="inlineStr">
        <is>
          <t>no label votes</t>
        </is>
      </c>
      <c r="H959" s="5" t="inlineStr">
        <is>
          <t>(none)</t>
        </is>
      </c>
      <c r="I959" s="5" t="inlineStr"/>
      <c r="J959" s="5" t="inlineStr"/>
      <c r="K959" s="5" t="n">
        <v>237</v>
      </c>
      <c r="L959" s="5" t="n">
        <v>31</v>
      </c>
      <c r="M959" s="10">
        <f>IF(AND(ISNUMBER(K959),L959&gt;0),K959/L959,"")</f>
        <v/>
      </c>
      <c r="N959" s="5" t="n">
        <v>0.736</v>
      </c>
      <c r="O959" s="5" t="n">
        <v>101.6</v>
      </c>
      <c r="P959" s="5" t="n">
        <v>1</v>
      </c>
      <c r="Q959" s="5" t="n">
        <v>0</v>
      </c>
      <c r="R959" s="5" t="n">
        <v>0</v>
      </c>
      <c r="S959" s="5" t="n">
        <v>0</v>
      </c>
      <c r="T959" s="5" t="n">
        <v>0</v>
      </c>
      <c r="U959" s="5" t="n">
        <v>0</v>
      </c>
      <c r="V959" s="5" t="n">
        <v>8</v>
      </c>
      <c r="W959" s="5" t="n">
        <v>2.37</v>
      </c>
      <c r="X959" s="5" t="inlineStr"/>
      <c r="Y959" s="5" t="n">
        <v>880.8</v>
      </c>
      <c r="Z959" s="5" t="n">
        <v>2622.6</v>
      </c>
      <c r="AA959" s="5" t="n">
        <v>903.9</v>
      </c>
      <c r="AB959" s="5" t="n">
        <v>2693.1</v>
      </c>
      <c r="AC959" s="5" t="inlineStr"/>
      <c r="AD959" s="5">
        <f>IF(AC959="","",IF(OR(AC959=F959,AND(AC959="crane_footing",F959="isolated_footing")),"yes","no"))</f>
        <v/>
      </c>
    </row>
    <row r="960">
      <c r="A960" s="5" t="n">
        <v>959</v>
      </c>
      <c r="B960" s="5" t="inlineStr">
        <is>
          <t>129</t>
        </is>
      </c>
      <c r="C960" s="5" t="inlineStr">
        <is>
          <t>region between joints</t>
        </is>
      </c>
      <c r="D960" s="5" t="inlineStr">
        <is>
          <t>band</t>
        </is>
      </c>
      <c r="E960" s="5" t="n">
        <v>3</v>
      </c>
      <c r="F960" s="5" t="inlineStr">
        <is>
          <t>unnamed</t>
        </is>
      </c>
      <c r="G960" s="5" t="inlineStr">
        <is>
          <t>no label votes</t>
        </is>
      </c>
      <c r="H960" s="5" t="inlineStr">
        <is>
          <t>(none)</t>
        </is>
      </c>
      <c r="I960" s="5" t="inlineStr"/>
      <c r="J960" s="5" t="inlineStr"/>
      <c r="K960" s="5" t="n">
        <v>237</v>
      </c>
      <c r="L960" s="5" t="n">
        <v>31</v>
      </c>
      <c r="M960" s="10">
        <f>IF(AND(ISNUMBER(K960),L960&gt;0),K960/L960,"")</f>
        <v/>
      </c>
      <c r="N960" s="5" t="n">
        <v>0.736</v>
      </c>
      <c r="O960" s="5" t="n">
        <v>101.6</v>
      </c>
      <c r="P960" s="5" t="n">
        <v>1</v>
      </c>
      <c r="Q960" s="5" t="n">
        <v>0</v>
      </c>
      <c r="R960" s="5" t="n">
        <v>0</v>
      </c>
      <c r="S960" s="5" t="n">
        <v>0</v>
      </c>
      <c r="T960" s="5" t="n">
        <v>0</v>
      </c>
      <c r="U960" s="5" t="n">
        <v>0</v>
      </c>
      <c r="V960" s="5" t="n">
        <v>7</v>
      </c>
      <c r="W960" s="5" t="n">
        <v>1.96</v>
      </c>
      <c r="X960" s="5" t="inlineStr"/>
      <c r="Y960" s="5" t="n">
        <v>869.3</v>
      </c>
      <c r="Z960" s="5" t="n">
        <v>2631.9</v>
      </c>
      <c r="AA960" s="5" t="n">
        <v>892.4</v>
      </c>
      <c r="AB960" s="5" t="n">
        <v>2702.5</v>
      </c>
      <c r="AC960" s="5" t="inlineStr"/>
      <c r="AD960" s="5">
        <f>IF(AC960="","",IF(OR(AC960=F960,AND(AC960="crane_footing",F960="isolated_footing")),"yes","no"))</f>
        <v/>
      </c>
    </row>
    <row r="961">
      <c r="A961" s="5" t="n">
        <v>960</v>
      </c>
      <c r="B961" s="5" t="inlineStr">
        <is>
          <t>129</t>
        </is>
      </c>
      <c r="C961" s="5" t="inlineStr">
        <is>
          <t>region between joints</t>
        </is>
      </c>
      <c r="D961" s="5" t="inlineStr">
        <is>
          <t>band</t>
        </is>
      </c>
      <c r="E961" s="5" t="n">
        <v>3</v>
      </c>
      <c r="F961" s="5" t="inlineStr">
        <is>
          <t>unnamed</t>
        </is>
      </c>
      <c r="G961" s="5" t="inlineStr">
        <is>
          <t>no label votes</t>
        </is>
      </c>
      <c r="H961" s="5" t="inlineStr">
        <is>
          <t>(none)</t>
        </is>
      </c>
      <c r="I961" s="5" t="inlineStr"/>
      <c r="J961" s="5" t="inlineStr"/>
      <c r="K961" s="5" t="n">
        <v>232</v>
      </c>
      <c r="L961" s="5" t="n">
        <v>31</v>
      </c>
      <c r="M961" s="10">
        <f>IF(AND(ISNUMBER(K961),L961&gt;0),K961/L961,"")</f>
        <v/>
      </c>
      <c r="N961" s="5" t="n">
        <v>0.719</v>
      </c>
      <c r="O961" s="5" t="n">
        <v>101.6</v>
      </c>
      <c r="P961" s="5" t="n">
        <v>0</v>
      </c>
      <c r="Q961" s="5" t="n">
        <v>1</v>
      </c>
      <c r="R961" s="5" t="n">
        <v>0</v>
      </c>
      <c r="S961" s="5" t="n">
        <v>0</v>
      </c>
      <c r="T961" s="5" t="n">
        <v>0</v>
      </c>
      <c r="U961" s="5" t="n">
        <v>1</v>
      </c>
      <c r="V961" s="5" t="n">
        <v>6</v>
      </c>
      <c r="W961" s="5" t="n">
        <v>0.19</v>
      </c>
      <c r="X961" s="5" t="inlineStr"/>
      <c r="Y961" s="5" t="n">
        <v>835.2</v>
      </c>
      <c r="Z961" s="5" t="n">
        <v>2659.9</v>
      </c>
      <c r="AA961" s="5" t="n">
        <v>857.9</v>
      </c>
      <c r="AB961" s="5" t="n">
        <v>2728.8</v>
      </c>
      <c r="AC961" s="5" t="inlineStr"/>
      <c r="AD961" s="5">
        <f>IF(AC961="","",IF(OR(AC961=F961,AND(AC961="crane_footing",F961="isolated_footing")),"yes","no"))</f>
        <v/>
      </c>
    </row>
    <row r="962">
      <c r="A962" s="5" t="n">
        <v>961</v>
      </c>
      <c r="B962" s="5" t="inlineStr">
        <is>
          <t>129</t>
        </is>
      </c>
      <c r="C962" s="5" t="inlineStr">
        <is>
          <t>region between joints</t>
        </is>
      </c>
      <c r="D962" s="5" t="inlineStr">
        <is>
          <t>band</t>
        </is>
      </c>
      <c r="E962" s="5" t="n">
        <v>3</v>
      </c>
      <c r="F962" s="5" t="inlineStr">
        <is>
          <t>unnamed</t>
        </is>
      </c>
      <c r="G962" s="5" t="inlineStr">
        <is>
          <t>no label votes</t>
        </is>
      </c>
      <c r="H962" s="5" t="inlineStr">
        <is>
          <t>(none)</t>
        </is>
      </c>
      <c r="I962" s="5" t="inlineStr"/>
      <c r="J962" s="5" t="inlineStr"/>
      <c r="K962" s="5" t="n">
        <v>230</v>
      </c>
      <c r="L962" s="5" t="n">
        <v>31</v>
      </c>
      <c r="M962" s="10">
        <f>IF(AND(ISNUMBER(K962),L962&gt;0),K962/L962,"")</f>
        <v/>
      </c>
      <c r="N962" s="5" t="n">
        <v>0.712</v>
      </c>
      <c r="O962" s="5" t="n">
        <v>101.6</v>
      </c>
      <c r="P962" s="5" t="n">
        <v>1</v>
      </c>
      <c r="Q962" s="5" t="n">
        <v>1</v>
      </c>
      <c r="R962" s="5" t="n">
        <v>0</v>
      </c>
      <c r="S962" s="5" t="n">
        <v>0</v>
      </c>
      <c r="T962" s="5" t="n">
        <v>0</v>
      </c>
      <c r="U962" s="5" t="n">
        <v>0</v>
      </c>
      <c r="V962" s="5" t="n">
        <v>5</v>
      </c>
      <c r="W962" s="5" t="n">
        <v>0</v>
      </c>
      <c r="X962" s="5" t="inlineStr"/>
      <c r="Y962" s="5" t="n">
        <v>1180.1</v>
      </c>
      <c r="Z962" s="5" t="n">
        <v>2380</v>
      </c>
      <c r="AA962" s="5" t="n">
        <v>1202.7</v>
      </c>
      <c r="AB962" s="5" t="n">
        <v>2448.3</v>
      </c>
      <c r="AC962" s="5" t="inlineStr"/>
      <c r="AD962" s="5">
        <f>IF(AC962="","",IF(OR(AC962=F962,AND(AC962="crane_footing",F962="isolated_footing")),"yes","no"))</f>
        <v/>
      </c>
    </row>
    <row r="963">
      <c r="A963" s="5" t="n">
        <v>962</v>
      </c>
      <c r="B963" s="5" t="inlineStr">
        <is>
          <t>129</t>
        </is>
      </c>
      <c r="C963" s="5" t="inlineStr">
        <is>
          <t>region between joints</t>
        </is>
      </c>
      <c r="D963" s="5" t="inlineStr">
        <is>
          <t>band</t>
        </is>
      </c>
      <c r="E963" s="5" t="n">
        <v>3</v>
      </c>
      <c r="F963" s="5" t="inlineStr">
        <is>
          <t>unnamed</t>
        </is>
      </c>
      <c r="G963" s="5" t="inlineStr">
        <is>
          <t>no label votes</t>
        </is>
      </c>
      <c r="H963" s="5" t="inlineStr">
        <is>
          <t>(none)</t>
        </is>
      </c>
      <c r="I963" s="5" t="inlineStr"/>
      <c r="J963" s="5" t="inlineStr"/>
      <c r="K963" s="5" t="n">
        <v>224</v>
      </c>
      <c r="L963" s="5" t="n">
        <v>31</v>
      </c>
      <c r="M963" s="10">
        <f>IF(AND(ISNUMBER(K963),L963&gt;0),K963/L963,"")</f>
        <v/>
      </c>
      <c r="N963" s="5" t="n">
        <v>0.6929999999999999</v>
      </c>
      <c r="O963" s="5" t="n">
        <v>1.6</v>
      </c>
      <c r="P963" s="5" t="n">
        <v>1</v>
      </c>
      <c r="Q963" s="5" t="n">
        <v>0</v>
      </c>
      <c r="R963" s="5" t="n">
        <v>0</v>
      </c>
      <c r="S963" s="5" t="n">
        <v>0</v>
      </c>
      <c r="T963" s="5" t="n">
        <v>0</v>
      </c>
      <c r="U963" s="5" t="n">
        <v>0</v>
      </c>
      <c r="V963" s="5" t="n">
        <v>4</v>
      </c>
      <c r="W963" s="5" t="n">
        <v>1.96</v>
      </c>
      <c r="X963" s="5" t="inlineStr"/>
      <c r="Y963" s="5" t="n">
        <v>1121.9</v>
      </c>
      <c r="Z963" s="5" t="n">
        <v>2373.5</v>
      </c>
      <c r="AA963" s="5" t="n">
        <v>1188.2</v>
      </c>
      <c r="AB963" s="5" t="n">
        <v>2384.5</v>
      </c>
      <c r="AC963" s="5" t="inlineStr"/>
      <c r="AD963" s="5">
        <f>IF(AC963="","",IF(OR(AC963=F963,AND(AC963="crane_footing",F963="isolated_footing")),"yes","no"))</f>
        <v/>
      </c>
    </row>
    <row r="964">
      <c r="A964" s="5" t="n">
        <v>963</v>
      </c>
      <c r="B964" s="5" t="inlineStr">
        <is>
          <t>129</t>
        </is>
      </c>
      <c r="C964" s="5" t="inlineStr">
        <is>
          <t>region between joints</t>
        </is>
      </c>
      <c r="D964" s="5" t="inlineStr">
        <is>
          <t>band</t>
        </is>
      </c>
      <c r="E964" s="5" t="n">
        <v>3</v>
      </c>
      <c r="F964" s="5" t="inlineStr">
        <is>
          <t>unnamed</t>
        </is>
      </c>
      <c r="G964" s="5" t="inlineStr">
        <is>
          <t>no label votes</t>
        </is>
      </c>
      <c r="H964" s="5" t="inlineStr">
        <is>
          <t>(none)</t>
        </is>
      </c>
      <c r="I964" s="5" t="inlineStr"/>
      <c r="J964" s="5" t="inlineStr"/>
      <c r="K964" s="5" t="n">
        <v>224</v>
      </c>
      <c r="L964" s="5" t="n">
        <v>31</v>
      </c>
      <c r="M964" s="10">
        <f>IF(AND(ISNUMBER(K964),L964&gt;0),K964/L964,"")</f>
        <v/>
      </c>
      <c r="N964" s="5" t="n">
        <v>0.6929999999999999</v>
      </c>
      <c r="O964" s="5" t="n">
        <v>1.6</v>
      </c>
      <c r="P964" s="5" t="n">
        <v>1</v>
      </c>
      <c r="Q964" s="5" t="n">
        <v>0</v>
      </c>
      <c r="R964" s="5" t="n">
        <v>0</v>
      </c>
      <c r="S964" s="5" t="n">
        <v>0</v>
      </c>
      <c r="T964" s="5" t="n">
        <v>0</v>
      </c>
      <c r="U964" s="5" t="n">
        <v>0</v>
      </c>
      <c r="V964" s="5" t="n">
        <v>4</v>
      </c>
      <c r="W964" s="5" t="n">
        <v>1.96</v>
      </c>
      <c r="X964" s="5" t="inlineStr"/>
      <c r="Y964" s="5" t="n">
        <v>1066.1</v>
      </c>
      <c r="Z964" s="5" t="n">
        <v>2418.8</v>
      </c>
      <c r="AA964" s="5" t="n">
        <v>1132.4</v>
      </c>
      <c r="AB964" s="5" t="n">
        <v>2429.8</v>
      </c>
      <c r="AC964" s="5" t="inlineStr"/>
      <c r="AD964" s="5">
        <f>IF(AC964="","",IF(OR(AC964=F964,AND(AC964="crane_footing",F964="isolated_footing")),"yes","no"))</f>
        <v/>
      </c>
    </row>
    <row r="965">
      <c r="A965" s="5" t="n">
        <v>964</v>
      </c>
      <c r="B965" s="5" t="inlineStr">
        <is>
          <t>129</t>
        </is>
      </c>
      <c r="C965" s="5" t="inlineStr">
        <is>
          <t>region between joints</t>
        </is>
      </c>
      <c r="D965" s="5" t="inlineStr">
        <is>
          <t>band</t>
        </is>
      </c>
      <c r="E965" s="5" t="n">
        <v>3</v>
      </c>
      <c r="F965" s="5" t="inlineStr">
        <is>
          <t>unnamed</t>
        </is>
      </c>
      <c r="G965" s="5" t="inlineStr">
        <is>
          <t>no label votes</t>
        </is>
      </c>
      <c r="H965" s="5" t="inlineStr">
        <is>
          <t>(none)</t>
        </is>
      </c>
      <c r="I965" s="5" t="inlineStr"/>
      <c r="J965" s="5" t="inlineStr"/>
      <c r="K965" s="5" t="n">
        <v>224</v>
      </c>
      <c r="L965" s="5" t="n">
        <v>31</v>
      </c>
      <c r="M965" s="10">
        <f>IF(AND(ISNUMBER(K965),L965&gt;0),K965/L965,"")</f>
        <v/>
      </c>
      <c r="N965" s="5" t="n">
        <v>0.6929999999999999</v>
      </c>
      <c r="O965" s="5" t="n">
        <v>1.6</v>
      </c>
      <c r="P965" s="5" t="n">
        <v>1</v>
      </c>
      <c r="Q965" s="5" t="n">
        <v>0</v>
      </c>
      <c r="R965" s="5" t="n">
        <v>0</v>
      </c>
      <c r="S965" s="5" t="n">
        <v>0</v>
      </c>
      <c r="T965" s="5" t="n">
        <v>0</v>
      </c>
      <c r="U965" s="5" t="n">
        <v>0</v>
      </c>
      <c r="V965" s="5" t="n">
        <v>4</v>
      </c>
      <c r="W965" s="5" t="n">
        <v>1.96</v>
      </c>
      <c r="X965" s="5" t="inlineStr"/>
      <c r="Y965" s="5" t="n">
        <v>1099.6</v>
      </c>
      <c r="Z965" s="5" t="n">
        <v>2391.6</v>
      </c>
      <c r="AA965" s="5" t="n">
        <v>1165.9</v>
      </c>
      <c r="AB965" s="5" t="n">
        <v>2402.6</v>
      </c>
      <c r="AC965" s="5" t="inlineStr"/>
      <c r="AD965" s="5">
        <f>IF(AC965="","",IF(OR(AC965=F965,AND(AC965="crane_footing",F965="isolated_footing")),"yes","no"))</f>
        <v/>
      </c>
    </row>
    <row r="966">
      <c r="A966" s="5" t="n">
        <v>965</v>
      </c>
      <c r="B966" s="5" t="inlineStr">
        <is>
          <t>129</t>
        </is>
      </c>
      <c r="C966" s="5" t="inlineStr">
        <is>
          <t>region between joints</t>
        </is>
      </c>
      <c r="D966" s="5" t="inlineStr">
        <is>
          <t>band</t>
        </is>
      </c>
      <c r="E966" s="5" t="n">
        <v>3</v>
      </c>
      <c r="F966" s="5" t="inlineStr">
        <is>
          <t>unnamed</t>
        </is>
      </c>
      <c r="G966" s="5" t="inlineStr">
        <is>
          <t>no label votes</t>
        </is>
      </c>
      <c r="H966" s="5" t="inlineStr">
        <is>
          <t>(none)</t>
        </is>
      </c>
      <c r="I966" s="5" t="inlineStr"/>
      <c r="J966" s="5" t="inlineStr"/>
      <c r="K966" s="5" t="n">
        <v>224</v>
      </c>
      <c r="L966" s="5" t="n">
        <v>31</v>
      </c>
      <c r="M966" s="10">
        <f>IF(AND(ISNUMBER(K966),L966&gt;0),K966/L966,"")</f>
        <v/>
      </c>
      <c r="N966" s="5" t="n">
        <v>0.6929999999999999</v>
      </c>
      <c r="O966" s="5" t="n">
        <v>1.6</v>
      </c>
      <c r="P966" s="5" t="n">
        <v>1</v>
      </c>
      <c r="Q966" s="5" t="n">
        <v>0</v>
      </c>
      <c r="R966" s="5" t="n">
        <v>0</v>
      </c>
      <c r="S966" s="5" t="n">
        <v>0</v>
      </c>
      <c r="T966" s="5" t="n">
        <v>0</v>
      </c>
      <c r="U966" s="5" t="n">
        <v>0</v>
      </c>
      <c r="V966" s="5" t="n">
        <v>3</v>
      </c>
      <c r="W966" s="5" t="n">
        <v>1.96</v>
      </c>
      <c r="X966" s="5" t="inlineStr"/>
      <c r="Y966" s="5" t="n">
        <v>1088.4</v>
      </c>
      <c r="Z966" s="5" t="n">
        <v>2400.7</v>
      </c>
      <c r="AA966" s="5" t="n">
        <v>1154.7</v>
      </c>
      <c r="AB966" s="5" t="n">
        <v>2411.7</v>
      </c>
      <c r="AC966" s="5" t="inlineStr"/>
      <c r="AD966" s="5">
        <f>IF(AC966="","",IF(OR(AC966=F966,AND(AC966="crane_footing",F966="isolated_footing")),"yes","no"))</f>
        <v/>
      </c>
    </row>
    <row r="967">
      <c r="A967" s="5" t="n">
        <v>966</v>
      </c>
      <c r="B967" s="5" t="inlineStr">
        <is>
          <t>129</t>
        </is>
      </c>
      <c r="C967" s="5" t="inlineStr">
        <is>
          <t>region between joints</t>
        </is>
      </c>
      <c r="D967" s="5" t="inlineStr">
        <is>
          <t>band</t>
        </is>
      </c>
      <c r="E967" s="5" t="n">
        <v>3</v>
      </c>
      <c r="F967" s="5" t="inlineStr">
        <is>
          <t>unnamed</t>
        </is>
      </c>
      <c r="G967" s="5" t="inlineStr">
        <is>
          <t>no label votes</t>
        </is>
      </c>
      <c r="H967" s="5" t="inlineStr">
        <is>
          <t>(none)</t>
        </is>
      </c>
      <c r="I967" s="5" t="inlineStr"/>
      <c r="J967" s="5" t="inlineStr"/>
      <c r="K967" s="5" t="n">
        <v>224</v>
      </c>
      <c r="L967" s="5" t="n">
        <v>31</v>
      </c>
      <c r="M967" s="10">
        <f>IF(AND(ISNUMBER(K967),L967&gt;0),K967/L967,"")</f>
        <v/>
      </c>
      <c r="N967" s="5" t="n">
        <v>0.6929999999999999</v>
      </c>
      <c r="O967" s="5" t="n">
        <v>1.6</v>
      </c>
      <c r="P967" s="5" t="n">
        <v>1</v>
      </c>
      <c r="Q967" s="5" t="n">
        <v>0</v>
      </c>
      <c r="R967" s="5" t="n">
        <v>0</v>
      </c>
      <c r="S967" s="5" t="n">
        <v>0</v>
      </c>
      <c r="T967" s="5" t="n">
        <v>0</v>
      </c>
      <c r="U967" s="5" t="n">
        <v>0</v>
      </c>
      <c r="V967" s="5" t="n">
        <v>4</v>
      </c>
      <c r="W967" s="5" t="n">
        <v>1.96</v>
      </c>
      <c r="X967" s="5" t="inlineStr"/>
      <c r="Y967" s="5" t="n">
        <v>1110.7</v>
      </c>
      <c r="Z967" s="5" t="n">
        <v>2382.5</v>
      </c>
      <c r="AA967" s="5" t="n">
        <v>1177</v>
      </c>
      <c r="AB967" s="5" t="n">
        <v>2393.6</v>
      </c>
      <c r="AC967" s="5" t="inlineStr"/>
      <c r="AD967" s="5">
        <f>IF(AC967="","",IF(OR(AC967=F967,AND(AC967="crane_footing",F967="isolated_footing")),"yes","no"))</f>
        <v/>
      </c>
    </row>
    <row r="968">
      <c r="A968" s="5" t="n">
        <v>967</v>
      </c>
      <c r="B968" s="5" t="inlineStr">
        <is>
          <t>129</t>
        </is>
      </c>
      <c r="C968" s="5" t="inlineStr">
        <is>
          <t>region between joints</t>
        </is>
      </c>
      <c r="D968" s="5" t="inlineStr">
        <is>
          <t>band</t>
        </is>
      </c>
      <c r="E968" s="5" t="n">
        <v>3</v>
      </c>
      <c r="F968" s="5" t="inlineStr">
        <is>
          <t>unnamed</t>
        </is>
      </c>
      <c r="G968" s="5" t="inlineStr">
        <is>
          <t>no label votes</t>
        </is>
      </c>
      <c r="H968" s="5" t="inlineStr">
        <is>
          <t>(none)</t>
        </is>
      </c>
      <c r="I968" s="5" t="inlineStr"/>
      <c r="J968" s="5" t="inlineStr"/>
      <c r="K968" s="5" t="n">
        <v>223</v>
      </c>
      <c r="L968" s="5" t="n">
        <v>31</v>
      </c>
      <c r="M968" s="10">
        <f>IF(AND(ISNUMBER(K968),L968&gt;0),K968/L968,"")</f>
        <v/>
      </c>
      <c r="N968" s="5" t="n">
        <v>0.6929999999999999</v>
      </c>
      <c r="O968" s="5" t="n">
        <v>1.6</v>
      </c>
      <c r="P968" s="5" t="n">
        <v>1</v>
      </c>
      <c r="Q968" s="5" t="n">
        <v>0</v>
      </c>
      <c r="R968" s="5" t="n">
        <v>0</v>
      </c>
      <c r="S968" s="5" t="n">
        <v>0</v>
      </c>
      <c r="T968" s="5" t="n">
        <v>0</v>
      </c>
      <c r="U968" s="5" t="n">
        <v>0</v>
      </c>
      <c r="V968" s="5" t="n">
        <v>4</v>
      </c>
      <c r="W968" s="5" t="n">
        <v>2.23</v>
      </c>
      <c r="X968" s="5" t="inlineStr"/>
      <c r="Y968" s="5" t="n">
        <v>1010.4</v>
      </c>
      <c r="Z968" s="5" t="n">
        <v>2464.1</v>
      </c>
      <c r="AA968" s="5" t="n">
        <v>1076.6</v>
      </c>
      <c r="AB968" s="5" t="n">
        <v>2475.1</v>
      </c>
      <c r="AC968" s="5" t="inlineStr"/>
      <c r="AD968" s="5">
        <f>IF(AC968="","",IF(OR(AC968=F968,AND(AC968="crane_footing",F968="isolated_footing")),"yes","no"))</f>
        <v/>
      </c>
    </row>
    <row r="969">
      <c r="A969" s="5" t="n">
        <v>968</v>
      </c>
      <c r="B969" s="5" t="inlineStr">
        <is>
          <t>129</t>
        </is>
      </c>
      <c r="C969" s="5" t="inlineStr">
        <is>
          <t>region between joints</t>
        </is>
      </c>
      <c r="D969" s="5" t="inlineStr">
        <is>
          <t>band</t>
        </is>
      </c>
      <c r="E969" s="5" t="n">
        <v>3</v>
      </c>
      <c r="F969" s="5" t="inlineStr">
        <is>
          <t>unnamed</t>
        </is>
      </c>
      <c r="G969" s="5" t="inlineStr">
        <is>
          <t>no label votes</t>
        </is>
      </c>
      <c r="H969" s="5" t="inlineStr">
        <is>
          <t>(none)</t>
        </is>
      </c>
      <c r="I969" s="5" t="inlineStr"/>
      <c r="J969" s="5" t="inlineStr"/>
      <c r="K969" s="5" t="n">
        <v>223</v>
      </c>
      <c r="L969" s="5" t="n">
        <v>31</v>
      </c>
      <c r="M969" s="10">
        <f>IF(AND(ISNUMBER(K969),L969&gt;0),K969/L969,"")</f>
        <v/>
      </c>
      <c r="N969" s="5" t="n">
        <v>0.6929999999999999</v>
      </c>
      <c r="O969" s="5" t="n">
        <v>1.6</v>
      </c>
      <c r="P969" s="5" t="n">
        <v>1</v>
      </c>
      <c r="Q969" s="5" t="n">
        <v>0</v>
      </c>
      <c r="R969" s="5" t="n">
        <v>0</v>
      </c>
      <c r="S969" s="5" t="n">
        <v>0</v>
      </c>
      <c r="T969" s="5" t="n">
        <v>0</v>
      </c>
      <c r="U969" s="5" t="n">
        <v>0</v>
      </c>
      <c r="V969" s="5" t="n">
        <v>4</v>
      </c>
      <c r="W969" s="5" t="n">
        <v>2.23</v>
      </c>
      <c r="X969" s="5" t="inlineStr"/>
      <c r="Y969" s="5" t="n">
        <v>1032.7</v>
      </c>
      <c r="Z969" s="5" t="n">
        <v>2446</v>
      </c>
      <c r="AA969" s="5" t="n">
        <v>1098.9</v>
      </c>
      <c r="AB969" s="5" t="n">
        <v>2457</v>
      </c>
      <c r="AC969" s="5" t="inlineStr"/>
      <c r="AD969" s="5">
        <f>IF(AC969="","",IF(OR(AC969=F969,AND(AC969="crane_footing",F969="isolated_footing")),"yes","no"))</f>
        <v/>
      </c>
    </row>
    <row r="970">
      <c r="A970" s="5" t="n">
        <v>969</v>
      </c>
      <c r="B970" s="5" t="inlineStr">
        <is>
          <t>129</t>
        </is>
      </c>
      <c r="C970" s="5" t="inlineStr">
        <is>
          <t>region between joints</t>
        </is>
      </c>
      <c r="D970" s="5" t="inlineStr">
        <is>
          <t>band</t>
        </is>
      </c>
      <c r="E970" s="5" t="n">
        <v>3</v>
      </c>
      <c r="F970" s="5" t="inlineStr">
        <is>
          <t>unnamed</t>
        </is>
      </c>
      <c r="G970" s="5" t="inlineStr">
        <is>
          <t>no label votes</t>
        </is>
      </c>
      <c r="H970" s="5" t="inlineStr">
        <is>
          <t>(none)</t>
        </is>
      </c>
      <c r="I970" s="5" t="inlineStr"/>
      <c r="J970" s="5" t="inlineStr"/>
      <c r="K970" s="5" t="n">
        <v>223</v>
      </c>
      <c r="L970" s="5" t="n">
        <v>31</v>
      </c>
      <c r="M970" s="10">
        <f>IF(AND(ISNUMBER(K970),L970&gt;0),K970/L970,"")</f>
        <v/>
      </c>
      <c r="N970" s="5" t="n">
        <v>0.6929999999999999</v>
      </c>
      <c r="O970" s="5" t="n">
        <v>1.6</v>
      </c>
      <c r="P970" s="5" t="n">
        <v>1</v>
      </c>
      <c r="Q970" s="5" t="n">
        <v>0</v>
      </c>
      <c r="R970" s="5" t="n">
        <v>0</v>
      </c>
      <c r="S970" s="5" t="n">
        <v>0</v>
      </c>
      <c r="T970" s="5" t="n">
        <v>0</v>
      </c>
      <c r="U970" s="5" t="n">
        <v>0</v>
      </c>
      <c r="V970" s="5" t="n">
        <v>3</v>
      </c>
      <c r="W970" s="5" t="n">
        <v>1.96</v>
      </c>
      <c r="X970" s="5" t="inlineStr"/>
      <c r="Y970" s="5" t="n">
        <v>1077.3</v>
      </c>
      <c r="Z970" s="5" t="n">
        <v>2409.7</v>
      </c>
      <c r="AA970" s="5" t="n">
        <v>1143.5</v>
      </c>
      <c r="AB970" s="5" t="n">
        <v>2420.7</v>
      </c>
      <c r="AC970" s="5" t="inlineStr"/>
      <c r="AD970" s="5">
        <f>IF(AC970="","",IF(OR(AC970=F970,AND(AC970="crane_footing",F970="isolated_footing")),"yes","no"))</f>
        <v/>
      </c>
    </row>
    <row r="971">
      <c r="A971" s="5" t="n">
        <v>970</v>
      </c>
      <c r="B971" s="5" t="inlineStr">
        <is>
          <t>129</t>
        </is>
      </c>
      <c r="C971" s="5" t="inlineStr">
        <is>
          <t>region between joints</t>
        </is>
      </c>
      <c r="D971" s="5" t="inlineStr">
        <is>
          <t>band</t>
        </is>
      </c>
      <c r="E971" s="5" t="n">
        <v>3</v>
      </c>
      <c r="F971" s="5" t="inlineStr">
        <is>
          <t>unnamed</t>
        </is>
      </c>
      <c r="G971" s="5" t="inlineStr">
        <is>
          <t>no label votes</t>
        </is>
      </c>
      <c r="H971" s="5" t="inlineStr">
        <is>
          <t>(none)</t>
        </is>
      </c>
      <c r="I971" s="5" t="inlineStr"/>
      <c r="J971" s="5" t="inlineStr"/>
      <c r="K971" s="5" t="n">
        <v>223</v>
      </c>
      <c r="L971" s="5" t="n">
        <v>31</v>
      </c>
      <c r="M971" s="10">
        <f>IF(AND(ISNUMBER(K971),L971&gt;0),K971/L971,"")</f>
        <v/>
      </c>
      <c r="N971" s="5" t="n">
        <v>0.6929999999999999</v>
      </c>
      <c r="O971" s="5" t="n">
        <v>1.6</v>
      </c>
      <c r="P971" s="5" t="n">
        <v>1</v>
      </c>
      <c r="Q971" s="5" t="n">
        <v>0</v>
      </c>
      <c r="R971" s="5" t="n">
        <v>0</v>
      </c>
      <c r="S971" s="5" t="n">
        <v>0</v>
      </c>
      <c r="T971" s="5" t="n">
        <v>0</v>
      </c>
      <c r="U971" s="5" t="n">
        <v>0</v>
      </c>
      <c r="V971" s="5" t="n">
        <v>4</v>
      </c>
      <c r="W971" s="5" t="n">
        <v>1.96</v>
      </c>
      <c r="X971" s="5" t="inlineStr"/>
      <c r="Y971" s="5" t="n">
        <v>1055</v>
      </c>
      <c r="Z971" s="5" t="n">
        <v>2427.8</v>
      </c>
      <c r="AA971" s="5" t="n">
        <v>1121.2</v>
      </c>
      <c r="AB971" s="5" t="n">
        <v>2438.9</v>
      </c>
      <c r="AC971" s="5" t="inlineStr"/>
      <c r="AD971" s="5">
        <f>IF(AC971="","",IF(OR(AC971=F971,AND(AC971="crane_footing",F971="isolated_footing")),"yes","no"))</f>
        <v/>
      </c>
    </row>
    <row r="972">
      <c r="A972" s="5" t="n">
        <v>971</v>
      </c>
      <c r="B972" s="5" t="inlineStr">
        <is>
          <t>129</t>
        </is>
      </c>
      <c r="C972" s="5" t="inlineStr">
        <is>
          <t>region between joints</t>
        </is>
      </c>
      <c r="D972" s="5" t="inlineStr">
        <is>
          <t>band</t>
        </is>
      </c>
      <c r="E972" s="5" t="n">
        <v>3</v>
      </c>
      <c r="F972" s="5" t="inlineStr">
        <is>
          <t>unnamed</t>
        </is>
      </c>
      <c r="G972" s="5" t="inlineStr">
        <is>
          <t>no label votes</t>
        </is>
      </c>
      <c r="H972" s="5" t="inlineStr">
        <is>
          <t>(none)</t>
        </is>
      </c>
      <c r="I972" s="5" t="inlineStr"/>
      <c r="J972" s="5" t="inlineStr"/>
      <c r="K972" s="5" t="n">
        <v>223</v>
      </c>
      <c r="L972" s="5" t="n">
        <v>31</v>
      </c>
      <c r="M972" s="10">
        <f>IF(AND(ISNUMBER(K972),L972&gt;0),K972/L972,"")</f>
        <v/>
      </c>
      <c r="N972" s="5" t="n">
        <v>0.6919999999999999</v>
      </c>
      <c r="O972" s="5" t="n">
        <v>1.6</v>
      </c>
      <c r="P972" s="5" t="n">
        <v>1</v>
      </c>
      <c r="Q972" s="5" t="n">
        <v>0</v>
      </c>
      <c r="R972" s="5" t="n">
        <v>0</v>
      </c>
      <c r="S972" s="5" t="n">
        <v>0</v>
      </c>
      <c r="T972" s="5" t="n">
        <v>0</v>
      </c>
      <c r="U972" s="5" t="n">
        <v>1</v>
      </c>
      <c r="V972" s="5" t="n">
        <v>4</v>
      </c>
      <c r="W972" s="5" t="n">
        <v>2.06</v>
      </c>
      <c r="X972" s="5" t="inlineStr"/>
      <c r="Y972" s="5" t="n">
        <v>976.9</v>
      </c>
      <c r="Z972" s="5" t="n">
        <v>2491.3</v>
      </c>
      <c r="AA972" s="5" t="n">
        <v>1043.1</v>
      </c>
      <c r="AB972" s="5" t="n">
        <v>2502.3</v>
      </c>
      <c r="AC972" s="5" t="inlineStr"/>
      <c r="AD972" s="5">
        <f>IF(AC972="","",IF(OR(AC972=F972,AND(AC972="crane_footing",F972="isolated_footing")),"yes","no"))</f>
        <v/>
      </c>
    </row>
    <row r="973">
      <c r="A973" s="5" t="n">
        <v>972</v>
      </c>
      <c r="B973" s="5" t="inlineStr">
        <is>
          <t>129</t>
        </is>
      </c>
      <c r="C973" s="5" t="inlineStr">
        <is>
          <t>region between joints</t>
        </is>
      </c>
      <c r="D973" s="5" t="inlineStr">
        <is>
          <t>band</t>
        </is>
      </c>
      <c r="E973" s="5" t="n">
        <v>3</v>
      </c>
      <c r="F973" s="5" t="inlineStr">
        <is>
          <t>unnamed</t>
        </is>
      </c>
      <c r="G973" s="5" t="inlineStr">
        <is>
          <t>no label votes</t>
        </is>
      </c>
      <c r="H973" s="5" t="inlineStr">
        <is>
          <t>(none)</t>
        </is>
      </c>
      <c r="I973" s="5" t="inlineStr"/>
      <c r="J973" s="5" t="inlineStr"/>
      <c r="K973" s="5" t="n">
        <v>223</v>
      </c>
      <c r="L973" s="5" t="n">
        <v>31</v>
      </c>
      <c r="M973" s="10">
        <f>IF(AND(ISNUMBER(K973),L973&gt;0),K973/L973,"")</f>
        <v/>
      </c>
      <c r="N973" s="5" t="n">
        <v>0.6919999999999999</v>
      </c>
      <c r="O973" s="5" t="n">
        <v>1.6</v>
      </c>
      <c r="P973" s="5" t="n">
        <v>1</v>
      </c>
      <c r="Q973" s="5" t="n">
        <v>0</v>
      </c>
      <c r="R973" s="5" t="n">
        <v>0</v>
      </c>
      <c r="S973" s="5" t="n">
        <v>0</v>
      </c>
      <c r="T973" s="5" t="n">
        <v>0</v>
      </c>
      <c r="U973" s="5" t="n">
        <v>1</v>
      </c>
      <c r="V973" s="5" t="n">
        <v>4</v>
      </c>
      <c r="W973" s="5" t="n">
        <v>2.06</v>
      </c>
      <c r="X973" s="5" t="inlineStr"/>
      <c r="Y973" s="5" t="n">
        <v>943.4</v>
      </c>
      <c r="Z973" s="5" t="n">
        <v>2518.5</v>
      </c>
      <c r="AA973" s="5" t="n">
        <v>1009.6</v>
      </c>
      <c r="AB973" s="5" t="n">
        <v>2529.5</v>
      </c>
      <c r="AC973" s="5" t="inlineStr"/>
      <c r="AD973" s="5">
        <f>IF(AC973="","",IF(OR(AC973=F973,AND(AC973="crane_footing",F973="isolated_footing")),"yes","no"))</f>
        <v/>
      </c>
    </row>
    <row r="974">
      <c r="A974" s="5" t="n">
        <v>973</v>
      </c>
      <c r="B974" s="5" t="inlineStr">
        <is>
          <t>129</t>
        </is>
      </c>
      <c r="C974" s="5" t="inlineStr">
        <is>
          <t>region between joints</t>
        </is>
      </c>
      <c r="D974" s="5" t="inlineStr">
        <is>
          <t>band</t>
        </is>
      </c>
      <c r="E974" s="5" t="n">
        <v>3</v>
      </c>
      <c r="F974" s="5" t="inlineStr">
        <is>
          <t>unnamed</t>
        </is>
      </c>
      <c r="G974" s="5" t="inlineStr">
        <is>
          <t>no label votes</t>
        </is>
      </c>
      <c r="H974" s="5" t="inlineStr">
        <is>
          <t>(none)</t>
        </is>
      </c>
      <c r="I974" s="5" t="inlineStr"/>
      <c r="J974" s="5" t="inlineStr"/>
      <c r="K974" s="5" t="n">
        <v>223</v>
      </c>
      <c r="L974" s="5" t="n">
        <v>31</v>
      </c>
      <c r="M974" s="10">
        <f>IF(AND(ISNUMBER(K974),L974&gt;0),K974/L974,"")</f>
        <v/>
      </c>
      <c r="N974" s="5" t="n">
        <v>0.6919999999999999</v>
      </c>
      <c r="O974" s="5" t="n">
        <v>1.6</v>
      </c>
      <c r="P974" s="5" t="n">
        <v>1</v>
      </c>
      <c r="Q974" s="5" t="n">
        <v>0</v>
      </c>
      <c r="R974" s="5" t="n">
        <v>0</v>
      </c>
      <c r="S974" s="5" t="n">
        <v>0</v>
      </c>
      <c r="T974" s="5" t="n">
        <v>0</v>
      </c>
      <c r="U974" s="5" t="n">
        <v>1</v>
      </c>
      <c r="V974" s="5" t="n">
        <v>4</v>
      </c>
      <c r="W974" s="5" t="n">
        <v>2.23</v>
      </c>
      <c r="X974" s="5" t="inlineStr"/>
      <c r="Y974" s="5" t="n">
        <v>999.2</v>
      </c>
      <c r="Z974" s="5" t="n">
        <v>2473.2</v>
      </c>
      <c r="AA974" s="5" t="n">
        <v>1065.4</v>
      </c>
      <c r="AB974" s="5" t="n">
        <v>2484.2</v>
      </c>
      <c r="AC974" s="5" t="inlineStr"/>
      <c r="AD974" s="5">
        <f>IF(AC974="","",IF(OR(AC974=F974,AND(AC974="crane_footing",F974="isolated_footing")),"yes","no"))</f>
        <v/>
      </c>
    </row>
    <row r="975">
      <c r="A975" s="5" t="n">
        <v>974</v>
      </c>
      <c r="B975" s="5" t="inlineStr">
        <is>
          <t>129</t>
        </is>
      </c>
      <c r="C975" s="5" t="inlineStr">
        <is>
          <t>region between joints</t>
        </is>
      </c>
      <c r="D975" s="5" t="inlineStr">
        <is>
          <t>band</t>
        </is>
      </c>
      <c r="E975" s="5" t="n">
        <v>3</v>
      </c>
      <c r="F975" s="5" t="inlineStr">
        <is>
          <t>unnamed</t>
        </is>
      </c>
      <c r="G975" s="5" t="inlineStr">
        <is>
          <t>no label votes</t>
        </is>
      </c>
      <c r="H975" s="5" t="inlineStr">
        <is>
          <t>(none)</t>
        </is>
      </c>
      <c r="I975" s="5" t="inlineStr"/>
      <c r="J975" s="5" t="inlineStr"/>
      <c r="K975" s="5" t="n">
        <v>223</v>
      </c>
      <c r="L975" s="5" t="n">
        <v>31</v>
      </c>
      <c r="M975" s="10">
        <f>IF(AND(ISNUMBER(K975),L975&gt;0),K975/L975,"")</f>
        <v/>
      </c>
      <c r="N975" s="5" t="n">
        <v>0.6919999999999999</v>
      </c>
      <c r="O975" s="5" t="n">
        <v>1.6</v>
      </c>
      <c r="P975" s="5" t="n">
        <v>1</v>
      </c>
      <c r="Q975" s="5" t="n">
        <v>0</v>
      </c>
      <c r="R975" s="5" t="n">
        <v>0</v>
      </c>
      <c r="S975" s="5" t="n">
        <v>0</v>
      </c>
      <c r="T975" s="5" t="n">
        <v>0</v>
      </c>
      <c r="U975" s="5" t="n">
        <v>0</v>
      </c>
      <c r="V975" s="5" t="n">
        <v>4</v>
      </c>
      <c r="W975" s="5" t="n">
        <v>2.23</v>
      </c>
      <c r="X975" s="5" t="inlineStr"/>
      <c r="Y975" s="5" t="n">
        <v>988</v>
      </c>
      <c r="Z975" s="5" t="n">
        <v>2482.2</v>
      </c>
      <c r="AA975" s="5" t="n">
        <v>1054.2</v>
      </c>
      <c r="AB975" s="5" t="n">
        <v>2493.2</v>
      </c>
      <c r="AC975" s="5" t="inlineStr"/>
      <c r="AD975" s="5">
        <f>IF(AC975="","",IF(OR(AC975=F975,AND(AC975="crane_footing",F975="isolated_footing")),"yes","no"))</f>
        <v/>
      </c>
    </row>
    <row r="976">
      <c r="A976" s="5" t="n">
        <v>975</v>
      </c>
      <c r="B976" s="5" t="inlineStr">
        <is>
          <t>129</t>
        </is>
      </c>
      <c r="C976" s="5" t="inlineStr">
        <is>
          <t>region between joints</t>
        </is>
      </c>
      <c r="D976" s="5" t="inlineStr">
        <is>
          <t>band</t>
        </is>
      </c>
      <c r="E976" s="5" t="n">
        <v>3</v>
      </c>
      <c r="F976" s="5" t="inlineStr">
        <is>
          <t>unnamed</t>
        </is>
      </c>
      <c r="G976" s="5" t="inlineStr">
        <is>
          <t>no label votes</t>
        </is>
      </c>
      <c r="H976" s="5" t="inlineStr">
        <is>
          <t>(none)</t>
        </is>
      </c>
      <c r="I976" s="5" t="inlineStr"/>
      <c r="J976" s="5" t="inlineStr"/>
      <c r="K976" s="5" t="n">
        <v>223</v>
      </c>
      <c r="L976" s="5" t="n">
        <v>31</v>
      </c>
      <c r="M976" s="10">
        <f>IF(AND(ISNUMBER(K976),L976&gt;0),K976/L976,"")</f>
        <v/>
      </c>
      <c r="N976" s="5" t="n">
        <v>0.6919999999999999</v>
      </c>
      <c r="O976" s="5" t="n">
        <v>1.6</v>
      </c>
      <c r="P976" s="5" t="n">
        <v>1</v>
      </c>
      <c r="Q976" s="5" t="n">
        <v>0</v>
      </c>
      <c r="R976" s="5" t="n">
        <v>0</v>
      </c>
      <c r="S976" s="5" t="n">
        <v>0</v>
      </c>
      <c r="T976" s="5" t="n">
        <v>0</v>
      </c>
      <c r="U976" s="5" t="n">
        <v>0</v>
      </c>
      <c r="V976" s="5" t="n">
        <v>4</v>
      </c>
      <c r="W976" s="5" t="n">
        <v>2.23</v>
      </c>
      <c r="X976" s="5" t="inlineStr"/>
      <c r="Y976" s="5" t="n">
        <v>1043.9</v>
      </c>
      <c r="Z976" s="5" t="n">
        <v>2436.9</v>
      </c>
      <c r="AA976" s="5" t="n">
        <v>1110</v>
      </c>
      <c r="AB976" s="5" t="n">
        <v>2447.9</v>
      </c>
      <c r="AC976" s="5" t="inlineStr"/>
      <c r="AD976" s="5">
        <f>IF(AC976="","",IF(OR(AC976=F976,AND(AC976="crane_footing",F976="isolated_footing")),"yes","no"))</f>
        <v/>
      </c>
    </row>
    <row r="977">
      <c r="A977" s="5" t="n">
        <v>976</v>
      </c>
      <c r="B977" s="5" t="inlineStr">
        <is>
          <t>129</t>
        </is>
      </c>
      <c r="C977" s="5" t="inlineStr">
        <is>
          <t>region between joints</t>
        </is>
      </c>
      <c r="D977" s="5" t="inlineStr">
        <is>
          <t>band</t>
        </is>
      </c>
      <c r="E977" s="5" t="n">
        <v>3</v>
      </c>
      <c r="F977" s="5" t="inlineStr">
        <is>
          <t>unnamed</t>
        </is>
      </c>
      <c r="G977" s="5" t="inlineStr">
        <is>
          <t>no label votes</t>
        </is>
      </c>
      <c r="H977" s="5" t="inlineStr">
        <is>
          <t>(none)</t>
        </is>
      </c>
      <c r="I977" s="5" t="inlineStr"/>
      <c r="J977" s="5" t="inlineStr"/>
      <c r="K977" s="5" t="n">
        <v>223</v>
      </c>
      <c r="L977" s="5" t="n">
        <v>31</v>
      </c>
      <c r="M977" s="10">
        <f>IF(AND(ISNUMBER(K977),L977&gt;0),K977/L977,"")</f>
        <v/>
      </c>
      <c r="N977" s="5" t="n">
        <v>0.6919999999999999</v>
      </c>
      <c r="O977" s="5" t="n">
        <v>1.6</v>
      </c>
      <c r="P977" s="5" t="n">
        <v>1</v>
      </c>
      <c r="Q977" s="5" t="n">
        <v>0</v>
      </c>
      <c r="R977" s="5" t="n">
        <v>0</v>
      </c>
      <c r="S977" s="5" t="n">
        <v>0</v>
      </c>
      <c r="T977" s="5" t="n">
        <v>0</v>
      </c>
      <c r="U977" s="5" t="n">
        <v>1</v>
      </c>
      <c r="V977" s="5" t="n">
        <v>4</v>
      </c>
      <c r="W977" s="5" t="n">
        <v>2.06</v>
      </c>
      <c r="X977" s="5" t="inlineStr"/>
      <c r="Y977" s="5" t="n">
        <v>965.7</v>
      </c>
      <c r="Z977" s="5" t="n">
        <v>2500.3</v>
      </c>
      <c r="AA977" s="5" t="n">
        <v>1031.9</v>
      </c>
      <c r="AB977" s="5" t="n">
        <v>2511.4</v>
      </c>
      <c r="AC977" s="5" t="inlineStr"/>
      <c r="AD977" s="5">
        <f>IF(AC977="","",IF(OR(AC977=F977,AND(AC977="crane_footing",F977="isolated_footing")),"yes","no"))</f>
        <v/>
      </c>
    </row>
    <row r="978">
      <c r="A978" s="5" t="n">
        <v>977</v>
      </c>
      <c r="B978" s="5" t="inlineStr">
        <is>
          <t>129</t>
        </is>
      </c>
      <c r="C978" s="5" t="inlineStr">
        <is>
          <t>region between joints</t>
        </is>
      </c>
      <c r="D978" s="5" t="inlineStr">
        <is>
          <t>band</t>
        </is>
      </c>
      <c r="E978" s="5" t="n">
        <v>3</v>
      </c>
      <c r="F978" s="5" t="inlineStr">
        <is>
          <t>unnamed</t>
        </is>
      </c>
      <c r="G978" s="5" t="inlineStr">
        <is>
          <t>no label votes</t>
        </is>
      </c>
      <c r="H978" s="5" t="inlineStr">
        <is>
          <t>(none)</t>
        </is>
      </c>
      <c r="I978" s="5" t="inlineStr"/>
      <c r="J978" s="5" t="inlineStr"/>
      <c r="K978" s="5" t="n">
        <v>223</v>
      </c>
      <c r="L978" s="5" t="n">
        <v>31</v>
      </c>
      <c r="M978" s="10">
        <f>IF(AND(ISNUMBER(K978),L978&gt;0),K978/L978,"")</f>
        <v/>
      </c>
      <c r="N978" s="5" t="n">
        <v>0.6919999999999999</v>
      </c>
      <c r="O978" s="5" t="n">
        <v>1.6</v>
      </c>
      <c r="P978" s="5" t="n">
        <v>1</v>
      </c>
      <c r="Q978" s="5" t="n">
        <v>0</v>
      </c>
      <c r="R978" s="5" t="n">
        <v>0</v>
      </c>
      <c r="S978" s="5" t="n">
        <v>0</v>
      </c>
      <c r="T978" s="5" t="n">
        <v>0</v>
      </c>
      <c r="U978" s="5" t="n">
        <v>1</v>
      </c>
      <c r="V978" s="5" t="n">
        <v>4</v>
      </c>
      <c r="W978" s="5" t="n">
        <v>2.23</v>
      </c>
      <c r="X978" s="5" t="inlineStr"/>
      <c r="Y978" s="5" t="n">
        <v>1021.5</v>
      </c>
      <c r="Z978" s="5" t="n">
        <v>2455</v>
      </c>
      <c r="AA978" s="5" t="n">
        <v>1087.7</v>
      </c>
      <c r="AB978" s="5" t="n">
        <v>2466.1</v>
      </c>
      <c r="AC978" s="5" t="inlineStr"/>
      <c r="AD978" s="5">
        <f>IF(AC978="","",IF(OR(AC978=F978,AND(AC978="crane_footing",F978="isolated_footing")),"yes","no"))</f>
        <v/>
      </c>
    </row>
    <row r="979">
      <c r="A979" s="5" t="n">
        <v>978</v>
      </c>
      <c r="B979" s="5" t="inlineStr">
        <is>
          <t>129</t>
        </is>
      </c>
      <c r="C979" s="5" t="inlineStr">
        <is>
          <t>region between joints</t>
        </is>
      </c>
      <c r="D979" s="5" t="inlineStr">
        <is>
          <t>band</t>
        </is>
      </c>
      <c r="E979" s="5" t="n">
        <v>3</v>
      </c>
      <c r="F979" s="5" t="inlineStr">
        <is>
          <t>unnamed</t>
        </is>
      </c>
      <c r="G979" s="5" t="inlineStr">
        <is>
          <t>no label votes</t>
        </is>
      </c>
      <c r="H979" s="5" t="inlineStr">
        <is>
          <t>(none)</t>
        </is>
      </c>
      <c r="I979" s="5" t="inlineStr"/>
      <c r="J979" s="5" t="inlineStr"/>
      <c r="K979" s="5" t="n">
        <v>223</v>
      </c>
      <c r="L979" s="5" t="n">
        <v>31</v>
      </c>
      <c r="M979" s="10">
        <f>IF(AND(ISNUMBER(K979),L979&gt;0),K979/L979,"")</f>
        <v/>
      </c>
      <c r="N979" s="5" t="n">
        <v>0.6919999999999999</v>
      </c>
      <c r="O979" s="5" t="n">
        <v>101.6</v>
      </c>
      <c r="P979" s="5" t="n">
        <v>0</v>
      </c>
      <c r="Q979" s="5" t="n">
        <v>1</v>
      </c>
      <c r="R979" s="5" t="n">
        <v>0</v>
      </c>
      <c r="S979" s="5" t="n">
        <v>0</v>
      </c>
      <c r="T979" s="5" t="n">
        <v>0</v>
      </c>
      <c r="U979" s="5" t="n">
        <v>1</v>
      </c>
      <c r="V979" s="5" t="n">
        <v>6</v>
      </c>
      <c r="W979" s="5" t="n">
        <v>0</v>
      </c>
      <c r="X979" s="5" t="inlineStr"/>
      <c r="Y979" s="5" t="n">
        <v>985.1</v>
      </c>
      <c r="Z979" s="5" t="n">
        <v>2538.6</v>
      </c>
      <c r="AA979" s="5" t="n">
        <v>1007.3</v>
      </c>
      <c r="AB979" s="5" t="n">
        <v>2605</v>
      </c>
      <c r="AC979" s="5" t="inlineStr"/>
      <c r="AD979" s="5">
        <f>IF(AC979="","",IF(OR(AC979=F979,AND(AC979="crane_footing",F979="isolated_footing")),"yes","no"))</f>
        <v/>
      </c>
    </row>
    <row r="980">
      <c r="A980" s="5" t="n">
        <v>979</v>
      </c>
      <c r="B980" s="5" t="inlineStr">
        <is>
          <t>129</t>
        </is>
      </c>
      <c r="C980" s="5" t="inlineStr">
        <is>
          <t>region between joints</t>
        </is>
      </c>
      <c r="D980" s="5" t="inlineStr">
        <is>
          <t>band</t>
        </is>
      </c>
      <c r="E980" s="5" t="n">
        <v>3</v>
      </c>
      <c r="F980" s="5" t="inlineStr">
        <is>
          <t>unnamed</t>
        </is>
      </c>
      <c r="G980" s="5" t="inlineStr">
        <is>
          <t>no label votes</t>
        </is>
      </c>
      <c r="H980" s="5" t="inlineStr">
        <is>
          <t>(none)</t>
        </is>
      </c>
      <c r="I980" s="5" t="inlineStr"/>
      <c r="J980" s="5" t="inlineStr"/>
      <c r="K980" s="5" t="n">
        <v>223</v>
      </c>
      <c r="L980" s="5" t="n">
        <v>31</v>
      </c>
      <c r="M980" s="10">
        <f>IF(AND(ISNUMBER(K980),L980&gt;0),K980/L980,"")</f>
        <v/>
      </c>
      <c r="N980" s="5" t="n">
        <v>0.6919999999999999</v>
      </c>
      <c r="O980" s="5" t="n">
        <v>1.7</v>
      </c>
      <c r="P980" s="5" t="n">
        <v>1</v>
      </c>
      <c r="Q980" s="5" t="n">
        <v>0</v>
      </c>
      <c r="R980" s="5" t="n">
        <v>0</v>
      </c>
      <c r="S980" s="5" t="n">
        <v>0</v>
      </c>
      <c r="T980" s="5" t="n">
        <v>0</v>
      </c>
      <c r="U980" s="5" t="n">
        <v>2</v>
      </c>
      <c r="V980" s="5" t="n">
        <v>4</v>
      </c>
      <c r="W980" s="5" t="n">
        <v>2.06</v>
      </c>
      <c r="X980" s="5" t="inlineStr"/>
      <c r="Y980" s="5" t="n">
        <v>910</v>
      </c>
      <c r="Z980" s="5" t="n">
        <v>2545.6</v>
      </c>
      <c r="AA980" s="5" t="n">
        <v>976.1</v>
      </c>
      <c r="AB980" s="5" t="n">
        <v>2556.7</v>
      </c>
      <c r="AC980" s="5" t="inlineStr"/>
      <c r="AD980" s="5">
        <f>IF(AC980="","",IF(OR(AC980=F980,AND(AC980="crane_footing",F980="isolated_footing")),"yes","no"))</f>
        <v/>
      </c>
    </row>
    <row r="981">
      <c r="A981" s="5" t="n">
        <v>980</v>
      </c>
      <c r="B981" s="5" t="inlineStr">
        <is>
          <t>129</t>
        </is>
      </c>
      <c r="C981" s="5" t="inlineStr">
        <is>
          <t>region between joints</t>
        </is>
      </c>
      <c r="D981" s="5" t="inlineStr">
        <is>
          <t>band</t>
        </is>
      </c>
      <c r="E981" s="5" t="n">
        <v>3</v>
      </c>
      <c r="F981" s="5" t="inlineStr">
        <is>
          <t>unnamed</t>
        </is>
      </c>
      <c r="G981" s="5" t="inlineStr">
        <is>
          <t>no label votes</t>
        </is>
      </c>
      <c r="H981" s="5" t="inlineStr">
        <is>
          <t>(none)</t>
        </is>
      </c>
      <c r="I981" s="5" t="inlineStr"/>
      <c r="J981" s="5" t="inlineStr"/>
      <c r="K981" s="5" t="n">
        <v>223</v>
      </c>
      <c r="L981" s="5" t="n">
        <v>31</v>
      </c>
      <c r="M981" s="10">
        <f>IF(AND(ISNUMBER(K981),L981&gt;0),K981/L981,"")</f>
        <v/>
      </c>
      <c r="N981" s="5" t="n">
        <v>0.6909999999999999</v>
      </c>
      <c r="O981" s="5" t="n">
        <v>1.6</v>
      </c>
      <c r="P981" s="5" t="n">
        <v>1</v>
      </c>
      <c r="Q981" s="5" t="n">
        <v>0</v>
      </c>
      <c r="R981" s="5" t="n">
        <v>0</v>
      </c>
      <c r="S981" s="5" t="n">
        <v>0</v>
      </c>
      <c r="T981" s="5" t="n">
        <v>0</v>
      </c>
      <c r="U981" s="5" t="n">
        <v>1</v>
      </c>
      <c r="V981" s="5" t="n">
        <v>5</v>
      </c>
      <c r="W981" s="5" t="n">
        <v>2.23</v>
      </c>
      <c r="X981" s="5" t="inlineStr"/>
      <c r="Y981" s="5" t="n">
        <v>865.4</v>
      </c>
      <c r="Z981" s="5" t="n">
        <v>2581.8</v>
      </c>
      <c r="AA981" s="5" t="n">
        <v>931.5</v>
      </c>
      <c r="AB981" s="5" t="n">
        <v>2592.9</v>
      </c>
      <c r="AC981" s="5" t="inlineStr"/>
      <c r="AD981" s="5">
        <f>IF(AC981="","",IF(OR(AC981=F981,AND(AC981="crane_footing",F981="isolated_footing")),"yes","no"))</f>
        <v/>
      </c>
    </row>
    <row r="982">
      <c r="A982" s="5" t="n">
        <v>981</v>
      </c>
      <c r="B982" s="5" t="inlineStr">
        <is>
          <t>129</t>
        </is>
      </c>
      <c r="C982" s="5" t="inlineStr">
        <is>
          <t>region between joints</t>
        </is>
      </c>
      <c r="D982" s="5" t="inlineStr">
        <is>
          <t>band</t>
        </is>
      </c>
      <c r="E982" s="5" t="n">
        <v>3</v>
      </c>
      <c r="F982" s="5" t="inlineStr">
        <is>
          <t>unnamed</t>
        </is>
      </c>
      <c r="G982" s="5" t="inlineStr">
        <is>
          <t>no label votes</t>
        </is>
      </c>
      <c r="H982" s="5" t="inlineStr">
        <is>
          <t>(none)</t>
        </is>
      </c>
      <c r="I982" s="5" t="inlineStr"/>
      <c r="J982" s="5" t="inlineStr"/>
      <c r="K982" s="5" t="n">
        <v>223</v>
      </c>
      <c r="L982" s="5" t="n">
        <v>31</v>
      </c>
      <c r="M982" s="10">
        <f>IF(AND(ISNUMBER(K982),L982&gt;0),K982/L982,"")</f>
        <v/>
      </c>
      <c r="N982" s="5" t="n">
        <v>0.6909999999999999</v>
      </c>
      <c r="O982" s="5" t="n">
        <v>1.6</v>
      </c>
      <c r="P982" s="5" t="n">
        <v>1</v>
      </c>
      <c r="Q982" s="5" t="n">
        <v>0</v>
      </c>
      <c r="R982" s="5" t="n">
        <v>0</v>
      </c>
      <c r="S982" s="5" t="n">
        <v>0</v>
      </c>
      <c r="T982" s="5" t="n">
        <v>0</v>
      </c>
      <c r="U982" s="5" t="n">
        <v>0</v>
      </c>
      <c r="V982" s="5" t="n">
        <v>4</v>
      </c>
      <c r="W982" s="5" t="n">
        <v>2.06</v>
      </c>
      <c r="X982" s="5" t="inlineStr"/>
      <c r="Y982" s="5" t="n">
        <v>921.2</v>
      </c>
      <c r="Z982" s="5" t="n">
        <v>2536.6</v>
      </c>
      <c r="AA982" s="5" t="n">
        <v>987.3</v>
      </c>
      <c r="AB982" s="5" t="n">
        <v>2547.6</v>
      </c>
      <c r="AC982" s="5" t="inlineStr"/>
      <c r="AD982" s="5">
        <f>IF(AC982="","",IF(OR(AC982=F982,AND(AC982="crane_footing",F982="isolated_footing")),"yes","no"))</f>
        <v/>
      </c>
    </row>
    <row r="983">
      <c r="A983" s="5" t="n">
        <v>982</v>
      </c>
      <c r="B983" s="5" t="inlineStr">
        <is>
          <t>129</t>
        </is>
      </c>
      <c r="C983" s="5" t="inlineStr">
        <is>
          <t>region between joints</t>
        </is>
      </c>
      <c r="D983" s="5" t="inlineStr">
        <is>
          <t>band</t>
        </is>
      </c>
      <c r="E983" s="5" t="n">
        <v>3</v>
      </c>
      <c r="F983" s="5" t="inlineStr">
        <is>
          <t>unnamed</t>
        </is>
      </c>
      <c r="G983" s="5" t="inlineStr">
        <is>
          <t>no label votes</t>
        </is>
      </c>
      <c r="H983" s="5" t="inlineStr">
        <is>
          <t>(none)</t>
        </is>
      </c>
      <c r="I983" s="5" t="inlineStr"/>
      <c r="J983" s="5" t="inlineStr"/>
      <c r="K983" s="5" t="n">
        <v>223</v>
      </c>
      <c r="L983" s="5" t="n">
        <v>31</v>
      </c>
      <c r="M983" s="10">
        <f>IF(AND(ISNUMBER(K983),L983&gt;0),K983/L983,"")</f>
        <v/>
      </c>
      <c r="N983" s="5" t="n">
        <v>0.6909999999999999</v>
      </c>
      <c r="O983" s="5" t="n">
        <v>1.6</v>
      </c>
      <c r="P983" s="5" t="n">
        <v>1</v>
      </c>
      <c r="Q983" s="5" t="n">
        <v>0</v>
      </c>
      <c r="R983" s="5" t="n">
        <v>0</v>
      </c>
      <c r="S983" s="5" t="n">
        <v>0</v>
      </c>
      <c r="T983" s="5" t="n">
        <v>0</v>
      </c>
      <c r="U983" s="5" t="n">
        <v>3</v>
      </c>
      <c r="V983" s="5" t="n">
        <v>4</v>
      </c>
      <c r="W983" s="5" t="n">
        <v>2.06</v>
      </c>
      <c r="X983" s="5" t="inlineStr"/>
      <c r="Y983" s="5" t="n">
        <v>887.7</v>
      </c>
      <c r="Z983" s="5" t="n">
        <v>2563.7</v>
      </c>
      <c r="AA983" s="5" t="n">
        <v>953.8</v>
      </c>
      <c r="AB983" s="5" t="n">
        <v>2574.7</v>
      </c>
      <c r="AC983" s="5" t="inlineStr"/>
      <c r="AD983" s="5">
        <f>IF(AC983="","",IF(OR(AC983=F983,AND(AC983="crane_footing",F983="isolated_footing")),"yes","no"))</f>
        <v/>
      </c>
    </row>
    <row r="984">
      <c r="A984" s="5" t="n">
        <v>983</v>
      </c>
      <c r="B984" s="5" t="inlineStr">
        <is>
          <t>129</t>
        </is>
      </c>
      <c r="C984" s="5" t="inlineStr">
        <is>
          <t>region between joints</t>
        </is>
      </c>
      <c r="D984" s="5" t="inlineStr">
        <is>
          <t>band</t>
        </is>
      </c>
      <c r="E984" s="5" t="n">
        <v>3</v>
      </c>
      <c r="F984" s="5" t="inlineStr">
        <is>
          <t>unnamed</t>
        </is>
      </c>
      <c r="G984" s="5" t="inlineStr">
        <is>
          <t>no label votes</t>
        </is>
      </c>
      <c r="H984" s="5" t="inlineStr">
        <is>
          <t>(none)</t>
        </is>
      </c>
      <c r="I984" s="5" t="inlineStr"/>
      <c r="J984" s="5" t="inlineStr"/>
      <c r="K984" s="5" t="n">
        <v>223</v>
      </c>
      <c r="L984" s="5" t="n">
        <v>31</v>
      </c>
      <c r="M984" s="10">
        <f>IF(AND(ISNUMBER(K984),L984&gt;0),K984/L984,"")</f>
        <v/>
      </c>
      <c r="N984" s="5" t="n">
        <v>0.6909999999999999</v>
      </c>
      <c r="O984" s="5" t="n">
        <v>1.6</v>
      </c>
      <c r="P984" s="5" t="n">
        <v>1</v>
      </c>
      <c r="Q984" s="5" t="n">
        <v>0</v>
      </c>
      <c r="R984" s="5" t="n">
        <v>0</v>
      </c>
      <c r="S984" s="5" t="n">
        <v>0</v>
      </c>
      <c r="T984" s="5" t="n">
        <v>0</v>
      </c>
      <c r="U984" s="5" t="n">
        <v>2</v>
      </c>
      <c r="V984" s="5" t="n">
        <v>4</v>
      </c>
      <c r="W984" s="5" t="n">
        <v>2.06</v>
      </c>
      <c r="X984" s="5" t="inlineStr"/>
      <c r="Y984" s="5" t="n">
        <v>954.6</v>
      </c>
      <c r="Z984" s="5" t="n">
        <v>2509.4</v>
      </c>
      <c r="AA984" s="5" t="n">
        <v>1020.7</v>
      </c>
      <c r="AB984" s="5" t="n">
        <v>2520.4</v>
      </c>
      <c r="AC984" s="5" t="inlineStr"/>
      <c r="AD984" s="5">
        <f>IF(AC984="","",IF(OR(AC984=F984,AND(AC984="crane_footing",F984="isolated_footing")),"yes","no"))</f>
        <v/>
      </c>
    </row>
    <row r="985">
      <c r="A985" s="5" t="n">
        <v>984</v>
      </c>
      <c r="B985" s="5" t="inlineStr">
        <is>
          <t>129</t>
        </is>
      </c>
      <c r="C985" s="5" t="inlineStr">
        <is>
          <t>region between joints</t>
        </is>
      </c>
      <c r="D985" s="5" t="inlineStr">
        <is>
          <t>band</t>
        </is>
      </c>
      <c r="E985" s="5" t="n">
        <v>3</v>
      </c>
      <c r="F985" s="5" t="inlineStr">
        <is>
          <t>unnamed</t>
        </is>
      </c>
      <c r="G985" s="5" t="inlineStr">
        <is>
          <t>no label votes</t>
        </is>
      </c>
      <c r="H985" s="5" t="inlineStr">
        <is>
          <t>(none)</t>
        </is>
      </c>
      <c r="I985" s="5" t="inlineStr"/>
      <c r="J985" s="5" t="inlineStr"/>
      <c r="K985" s="5" t="n">
        <v>223</v>
      </c>
      <c r="L985" s="5" t="n">
        <v>31</v>
      </c>
      <c r="M985" s="10">
        <f>IF(AND(ISNUMBER(K985),L985&gt;0),K985/L985,"")</f>
        <v/>
      </c>
      <c r="N985" s="5" t="n">
        <v>0.6909999999999999</v>
      </c>
      <c r="O985" s="5" t="n">
        <v>1.6</v>
      </c>
      <c r="P985" s="5" t="n">
        <v>1</v>
      </c>
      <c r="Q985" s="5" t="n">
        <v>0</v>
      </c>
      <c r="R985" s="5" t="n">
        <v>0</v>
      </c>
      <c r="S985" s="5" t="n">
        <v>0</v>
      </c>
      <c r="T985" s="5" t="n">
        <v>0</v>
      </c>
      <c r="U985" s="5" t="n">
        <v>0</v>
      </c>
      <c r="V985" s="5" t="n">
        <v>4</v>
      </c>
      <c r="W985" s="5" t="n">
        <v>2.06</v>
      </c>
      <c r="X985" s="5" t="inlineStr"/>
      <c r="Y985" s="5" t="n">
        <v>932.3</v>
      </c>
      <c r="Z985" s="5" t="n">
        <v>2527.5</v>
      </c>
      <c r="AA985" s="5" t="n">
        <v>998.4</v>
      </c>
      <c r="AB985" s="5" t="n">
        <v>2538.6</v>
      </c>
      <c r="AC985" s="5" t="inlineStr"/>
      <c r="AD985" s="5">
        <f>IF(AC985="","",IF(OR(AC985=F985,AND(AC985="crane_footing",F985="isolated_footing")),"yes","no"))</f>
        <v/>
      </c>
    </row>
    <row r="986">
      <c r="A986" s="5" t="n">
        <v>985</v>
      </c>
      <c r="B986" s="5" t="inlineStr">
        <is>
          <t>129</t>
        </is>
      </c>
      <c r="C986" s="5" t="inlineStr">
        <is>
          <t>region between joints</t>
        </is>
      </c>
      <c r="D986" s="5" t="inlineStr">
        <is>
          <t>band</t>
        </is>
      </c>
      <c r="E986" s="5" t="n">
        <v>3</v>
      </c>
      <c r="F986" s="5" t="inlineStr">
        <is>
          <t>unnamed</t>
        </is>
      </c>
      <c r="G986" s="5" t="inlineStr">
        <is>
          <t>no label votes</t>
        </is>
      </c>
      <c r="H986" s="5" t="inlineStr">
        <is>
          <t>(none)</t>
        </is>
      </c>
      <c r="I986" s="5" t="inlineStr"/>
      <c r="J986" s="5" t="inlineStr"/>
      <c r="K986" s="5" t="n">
        <v>223</v>
      </c>
      <c r="L986" s="5" t="n">
        <v>31</v>
      </c>
      <c r="M986" s="10">
        <f>IF(AND(ISNUMBER(K986),L986&gt;0),K986/L986,"")</f>
        <v/>
      </c>
      <c r="N986" s="5" t="n">
        <v>0.6909999999999999</v>
      </c>
      <c r="O986" s="5" t="n">
        <v>101.6</v>
      </c>
      <c r="P986" s="5" t="n">
        <v>0</v>
      </c>
      <c r="Q986" s="5" t="n">
        <v>1</v>
      </c>
      <c r="R986" s="5" t="n">
        <v>0</v>
      </c>
      <c r="S986" s="5" t="n">
        <v>0</v>
      </c>
      <c r="T986" s="5" t="n">
        <v>0</v>
      </c>
      <c r="U986" s="5" t="n">
        <v>0</v>
      </c>
      <c r="V986" s="5" t="n">
        <v>6</v>
      </c>
      <c r="W986" s="5" t="n">
        <v>0</v>
      </c>
      <c r="X986" s="5" t="inlineStr"/>
      <c r="Y986" s="5" t="n">
        <v>1008.1</v>
      </c>
      <c r="Z986" s="5" t="n">
        <v>2519.9</v>
      </c>
      <c r="AA986" s="5" t="n">
        <v>1030.3</v>
      </c>
      <c r="AB986" s="5" t="n">
        <v>2586.3</v>
      </c>
      <c r="AC986" s="5" t="inlineStr"/>
      <c r="AD986" s="5">
        <f>IF(AC986="","",IF(OR(AC986=F986,AND(AC986="crane_footing",F986="isolated_footing")),"yes","no"))</f>
        <v/>
      </c>
    </row>
    <row r="987">
      <c r="A987" s="5" t="n">
        <v>986</v>
      </c>
      <c r="B987" s="5" t="inlineStr">
        <is>
          <t>129</t>
        </is>
      </c>
      <c r="C987" s="5" t="inlineStr">
        <is>
          <t>region between joints</t>
        </is>
      </c>
      <c r="D987" s="5" t="inlineStr">
        <is>
          <t>band</t>
        </is>
      </c>
      <c r="E987" s="5" t="n">
        <v>3</v>
      </c>
      <c r="F987" s="5" t="inlineStr">
        <is>
          <t>unnamed</t>
        </is>
      </c>
      <c r="G987" s="5" t="inlineStr">
        <is>
          <t>no label votes</t>
        </is>
      </c>
      <c r="H987" s="5" t="inlineStr">
        <is>
          <t>(none)</t>
        </is>
      </c>
      <c r="I987" s="5" t="inlineStr"/>
      <c r="J987" s="5" t="inlineStr"/>
      <c r="K987" s="5" t="n">
        <v>223</v>
      </c>
      <c r="L987" s="5" t="n">
        <v>31</v>
      </c>
      <c r="M987" s="10">
        <f>IF(AND(ISNUMBER(K987),L987&gt;0),K987/L987,"")</f>
        <v/>
      </c>
      <c r="N987" s="5" t="n">
        <v>0.6909999999999999</v>
      </c>
      <c r="O987" s="5" t="n">
        <v>101.7</v>
      </c>
      <c r="P987" s="5" t="n">
        <v>0</v>
      </c>
      <c r="Q987" s="5" t="n">
        <v>1</v>
      </c>
      <c r="R987" s="5" t="n">
        <v>0</v>
      </c>
      <c r="S987" s="5" t="n">
        <v>0</v>
      </c>
      <c r="T987" s="5" t="n">
        <v>0</v>
      </c>
      <c r="U987" s="5" t="n">
        <v>0</v>
      </c>
      <c r="V987" s="5" t="n">
        <v>6</v>
      </c>
      <c r="W987" s="5" t="n">
        <v>0</v>
      </c>
      <c r="X987" s="5" t="inlineStr"/>
      <c r="Y987" s="5" t="n">
        <v>1019.5</v>
      </c>
      <c r="Z987" s="5" t="n">
        <v>2510.6</v>
      </c>
      <c r="AA987" s="5" t="n">
        <v>1041.8</v>
      </c>
      <c r="AB987" s="5" t="n">
        <v>2577</v>
      </c>
      <c r="AC987" s="5" t="inlineStr"/>
      <c r="AD987" s="5">
        <f>IF(AC987="","",IF(OR(AC987=F987,AND(AC987="crane_footing",F987="isolated_footing")),"yes","no"))</f>
        <v/>
      </c>
    </row>
    <row r="988">
      <c r="A988" s="5" t="n">
        <v>987</v>
      </c>
      <c r="B988" s="5" t="inlineStr">
        <is>
          <t>129</t>
        </is>
      </c>
      <c r="C988" s="5" t="inlineStr">
        <is>
          <t>region between joints</t>
        </is>
      </c>
      <c r="D988" s="5" t="inlineStr">
        <is>
          <t>band</t>
        </is>
      </c>
      <c r="E988" s="5" t="n">
        <v>3</v>
      </c>
      <c r="F988" s="5" t="inlineStr">
        <is>
          <t>unnamed</t>
        </is>
      </c>
      <c r="G988" s="5" t="inlineStr">
        <is>
          <t>no label votes</t>
        </is>
      </c>
      <c r="H988" s="5" t="inlineStr">
        <is>
          <t>(none)</t>
        </is>
      </c>
      <c r="I988" s="5" t="inlineStr"/>
      <c r="J988" s="5" t="inlineStr"/>
      <c r="K988" s="5" t="n">
        <v>223</v>
      </c>
      <c r="L988" s="5" t="n">
        <v>31</v>
      </c>
      <c r="M988" s="10">
        <f>IF(AND(ISNUMBER(K988),L988&gt;0),K988/L988,"")</f>
        <v/>
      </c>
      <c r="N988" s="5" t="n">
        <v>0.6909999999999999</v>
      </c>
      <c r="O988" s="5" t="n">
        <v>101.6</v>
      </c>
      <c r="P988" s="5" t="n">
        <v>0</v>
      </c>
      <c r="Q988" s="5" t="n">
        <v>1</v>
      </c>
      <c r="R988" s="5" t="n">
        <v>0</v>
      </c>
      <c r="S988" s="5" t="n">
        <v>0</v>
      </c>
      <c r="T988" s="5" t="n">
        <v>0</v>
      </c>
      <c r="U988" s="5" t="n">
        <v>5</v>
      </c>
      <c r="V988" s="5" t="n">
        <v>6</v>
      </c>
      <c r="W988" s="5" t="n">
        <v>0</v>
      </c>
      <c r="X988" s="5" t="inlineStr"/>
      <c r="Y988" s="5" t="n">
        <v>996.6</v>
      </c>
      <c r="Z988" s="5" t="n">
        <v>2529.3</v>
      </c>
      <c r="AA988" s="5" t="n">
        <v>1018.8</v>
      </c>
      <c r="AB988" s="5" t="n">
        <v>2595.6</v>
      </c>
      <c r="AC988" s="5" t="inlineStr"/>
      <c r="AD988" s="5">
        <f>IF(AC988="","",IF(OR(AC988=F988,AND(AC988="crane_footing",F988="isolated_footing")),"yes","no"))</f>
        <v/>
      </c>
    </row>
    <row r="989">
      <c r="A989" s="5" t="n">
        <v>988</v>
      </c>
      <c r="B989" s="5" t="inlineStr">
        <is>
          <t>129</t>
        </is>
      </c>
      <c r="C989" s="5" t="inlineStr">
        <is>
          <t>region between joints</t>
        </is>
      </c>
      <c r="D989" s="5" t="inlineStr">
        <is>
          <t>band</t>
        </is>
      </c>
      <c r="E989" s="5" t="n">
        <v>3</v>
      </c>
      <c r="F989" s="5" t="inlineStr">
        <is>
          <t>unnamed</t>
        </is>
      </c>
      <c r="G989" s="5" t="inlineStr">
        <is>
          <t>no label votes</t>
        </is>
      </c>
      <c r="H989" s="5" t="inlineStr">
        <is>
          <t>(none)</t>
        </is>
      </c>
      <c r="I989" s="5" t="inlineStr"/>
      <c r="J989" s="5" t="inlineStr"/>
      <c r="K989" s="5" t="n">
        <v>223</v>
      </c>
      <c r="L989" s="5" t="n">
        <v>31</v>
      </c>
      <c r="M989" s="10">
        <f>IF(AND(ISNUMBER(K989),L989&gt;0),K989/L989,"")</f>
        <v/>
      </c>
      <c r="N989" s="5" t="n">
        <v>0.6909999999999999</v>
      </c>
      <c r="O989" s="5" t="n">
        <v>1.6</v>
      </c>
      <c r="P989" s="5" t="n">
        <v>1</v>
      </c>
      <c r="Q989" s="5" t="n">
        <v>0</v>
      </c>
      <c r="R989" s="5" t="n">
        <v>0</v>
      </c>
      <c r="S989" s="5" t="n">
        <v>0</v>
      </c>
      <c r="T989" s="5" t="n">
        <v>0</v>
      </c>
      <c r="U989" s="5" t="n">
        <v>0</v>
      </c>
      <c r="V989" s="5" t="n">
        <v>5</v>
      </c>
      <c r="W989" s="5" t="n">
        <v>2.23</v>
      </c>
      <c r="X989" s="5" t="inlineStr"/>
      <c r="Y989" s="5" t="n">
        <v>831.9</v>
      </c>
      <c r="Z989" s="5" t="n">
        <v>2609</v>
      </c>
      <c r="AA989" s="5" t="n">
        <v>898</v>
      </c>
      <c r="AB989" s="5" t="n">
        <v>2620.1</v>
      </c>
      <c r="AC989" s="5" t="inlineStr"/>
      <c r="AD989" s="5">
        <f>IF(AC989="","",IF(OR(AC989=F989,AND(AC989="crane_footing",F989="isolated_footing")),"yes","no"))</f>
        <v/>
      </c>
    </row>
    <row r="990">
      <c r="A990" s="5" t="n">
        <v>989</v>
      </c>
      <c r="B990" s="5" t="inlineStr">
        <is>
          <t>129</t>
        </is>
      </c>
      <c r="C990" s="5" t="inlineStr">
        <is>
          <t>region between joints</t>
        </is>
      </c>
      <c r="D990" s="5" t="inlineStr">
        <is>
          <t>band</t>
        </is>
      </c>
      <c r="E990" s="5" t="n">
        <v>3</v>
      </c>
      <c r="F990" s="5" t="inlineStr">
        <is>
          <t>unnamed</t>
        </is>
      </c>
      <c r="G990" s="5" t="inlineStr">
        <is>
          <t>no label votes</t>
        </is>
      </c>
      <c r="H990" s="5" t="inlineStr">
        <is>
          <t>(none)</t>
        </is>
      </c>
      <c r="I990" s="5" t="inlineStr"/>
      <c r="J990" s="5" t="inlineStr"/>
      <c r="K990" s="5" t="n">
        <v>223</v>
      </c>
      <c r="L990" s="5" t="n">
        <v>31</v>
      </c>
      <c r="M990" s="10">
        <f>IF(AND(ISNUMBER(K990),L990&gt;0),K990/L990,"")</f>
        <v/>
      </c>
      <c r="N990" s="5" t="n">
        <v>0.6909999999999999</v>
      </c>
      <c r="O990" s="5" t="n">
        <v>1.6</v>
      </c>
      <c r="P990" s="5" t="n">
        <v>1</v>
      </c>
      <c r="Q990" s="5" t="n">
        <v>0</v>
      </c>
      <c r="R990" s="5" t="n">
        <v>0</v>
      </c>
      <c r="S990" s="5" t="n">
        <v>0</v>
      </c>
      <c r="T990" s="5" t="n">
        <v>0</v>
      </c>
      <c r="U990" s="5" t="n">
        <v>0</v>
      </c>
      <c r="V990" s="5" t="n">
        <v>4</v>
      </c>
      <c r="W990" s="5" t="n">
        <v>2.06</v>
      </c>
      <c r="X990" s="5" t="inlineStr"/>
      <c r="Y990" s="5" t="n">
        <v>898.9</v>
      </c>
      <c r="Z990" s="5" t="n">
        <v>2554.7</v>
      </c>
      <c r="AA990" s="5" t="n">
        <v>964.9</v>
      </c>
      <c r="AB990" s="5" t="n">
        <v>2565.7</v>
      </c>
      <c r="AC990" s="5" t="inlineStr"/>
      <c r="AD990" s="5">
        <f>IF(AC990="","",IF(OR(AC990=F990,AND(AC990="crane_footing",F990="isolated_footing")),"yes","no"))</f>
        <v/>
      </c>
    </row>
    <row r="991">
      <c r="A991" s="5" t="n">
        <v>990</v>
      </c>
      <c r="B991" s="5" t="inlineStr">
        <is>
          <t>129</t>
        </is>
      </c>
      <c r="C991" s="5" t="inlineStr">
        <is>
          <t>region between joints</t>
        </is>
      </c>
      <c r="D991" s="5" t="inlineStr">
        <is>
          <t>band</t>
        </is>
      </c>
      <c r="E991" s="5" t="n">
        <v>3</v>
      </c>
      <c r="F991" s="5" t="inlineStr">
        <is>
          <t>unnamed</t>
        </is>
      </c>
      <c r="G991" s="5" t="inlineStr">
        <is>
          <t>no label votes</t>
        </is>
      </c>
      <c r="H991" s="5" t="inlineStr">
        <is>
          <t>(none)</t>
        </is>
      </c>
      <c r="I991" s="5" t="inlineStr"/>
      <c r="J991" s="5" t="inlineStr"/>
      <c r="K991" s="5" t="n">
        <v>223</v>
      </c>
      <c r="L991" s="5" t="n">
        <v>31</v>
      </c>
      <c r="M991" s="10">
        <f>IF(AND(ISNUMBER(K991),L991&gt;0),K991/L991,"")</f>
        <v/>
      </c>
      <c r="N991" s="5" t="n">
        <v>0.6909999999999999</v>
      </c>
      <c r="O991" s="5" t="n">
        <v>1.6</v>
      </c>
      <c r="P991" s="5" t="n">
        <v>1</v>
      </c>
      <c r="Q991" s="5" t="n">
        <v>0</v>
      </c>
      <c r="R991" s="5" t="n">
        <v>0</v>
      </c>
      <c r="S991" s="5" t="n">
        <v>0</v>
      </c>
      <c r="T991" s="5" t="n">
        <v>0</v>
      </c>
      <c r="U991" s="5" t="n">
        <v>0</v>
      </c>
      <c r="V991" s="5" t="n">
        <v>4</v>
      </c>
      <c r="W991" s="5" t="n">
        <v>2.23</v>
      </c>
      <c r="X991" s="5" t="inlineStr"/>
      <c r="Y991" s="5" t="n">
        <v>843</v>
      </c>
      <c r="Z991" s="5" t="n">
        <v>2600</v>
      </c>
      <c r="AA991" s="5" t="n">
        <v>909.1</v>
      </c>
      <c r="AB991" s="5" t="n">
        <v>2611</v>
      </c>
      <c r="AC991" s="5" t="inlineStr"/>
      <c r="AD991" s="5">
        <f>IF(AC991="","",IF(OR(AC991=F991,AND(AC991="crane_footing",F991="isolated_footing")),"yes","no"))</f>
        <v/>
      </c>
    </row>
    <row r="992">
      <c r="A992" s="5" t="n">
        <v>991</v>
      </c>
      <c r="B992" s="5" t="inlineStr">
        <is>
          <t>129</t>
        </is>
      </c>
      <c r="C992" s="5" t="inlineStr">
        <is>
          <t>region between joints</t>
        </is>
      </c>
      <c r="D992" s="5" t="inlineStr">
        <is>
          <t>band</t>
        </is>
      </c>
      <c r="E992" s="5" t="n">
        <v>3</v>
      </c>
      <c r="F992" s="5" t="inlineStr">
        <is>
          <t>unnamed</t>
        </is>
      </c>
      <c r="G992" s="5" t="inlineStr">
        <is>
          <t>no label votes</t>
        </is>
      </c>
      <c r="H992" s="5" t="inlineStr">
        <is>
          <t>(none)</t>
        </is>
      </c>
      <c r="I992" s="5" t="inlineStr"/>
      <c r="J992" s="5" t="inlineStr"/>
      <c r="K992" s="5" t="n">
        <v>223</v>
      </c>
      <c r="L992" s="5" t="n">
        <v>31</v>
      </c>
      <c r="M992" s="10">
        <f>IF(AND(ISNUMBER(K992),L992&gt;0),K992/L992,"")</f>
        <v/>
      </c>
      <c r="N992" s="5" t="n">
        <v>0.6909999999999999</v>
      </c>
      <c r="O992" s="5" t="n">
        <v>1.6</v>
      </c>
      <c r="P992" s="5" t="n">
        <v>1</v>
      </c>
      <c r="Q992" s="5" t="n">
        <v>0</v>
      </c>
      <c r="R992" s="5" t="n">
        <v>0</v>
      </c>
      <c r="S992" s="5" t="n">
        <v>0</v>
      </c>
      <c r="T992" s="5" t="n">
        <v>0</v>
      </c>
      <c r="U992" s="5" t="n">
        <v>0</v>
      </c>
      <c r="V992" s="5" t="n">
        <v>4</v>
      </c>
      <c r="W992" s="5" t="n">
        <v>2.06</v>
      </c>
      <c r="X992" s="5" t="inlineStr"/>
      <c r="Y992" s="5" t="n">
        <v>876.5</v>
      </c>
      <c r="Z992" s="5" t="n">
        <v>2572.8</v>
      </c>
      <c r="AA992" s="5" t="n">
        <v>942.6</v>
      </c>
      <c r="AB992" s="5" t="n">
        <v>2583.8</v>
      </c>
      <c r="AC992" s="5" t="inlineStr"/>
      <c r="AD992" s="5">
        <f>IF(AC992="","",IF(OR(AC992=F992,AND(AC992="crane_footing",F992="isolated_footing")),"yes","no"))</f>
        <v/>
      </c>
    </row>
    <row r="993">
      <c r="A993" s="5" t="n">
        <v>992</v>
      </c>
      <c r="B993" s="5" t="inlineStr">
        <is>
          <t>129</t>
        </is>
      </c>
      <c r="C993" s="5" t="inlineStr">
        <is>
          <t>region between joints</t>
        </is>
      </c>
      <c r="D993" s="5" t="inlineStr">
        <is>
          <t>band</t>
        </is>
      </c>
      <c r="E993" s="5" t="n">
        <v>3</v>
      </c>
      <c r="F993" s="5" t="inlineStr">
        <is>
          <t>unnamed</t>
        </is>
      </c>
      <c r="G993" s="5" t="inlineStr">
        <is>
          <t>no label votes</t>
        </is>
      </c>
      <c r="H993" s="5" t="inlineStr">
        <is>
          <t>(none)</t>
        </is>
      </c>
      <c r="I993" s="5" t="inlineStr"/>
      <c r="J993" s="5" t="inlineStr"/>
      <c r="K993" s="5" t="n">
        <v>223</v>
      </c>
      <c r="L993" s="5" t="n">
        <v>31</v>
      </c>
      <c r="M993" s="10">
        <f>IF(AND(ISNUMBER(K993),L993&gt;0),K993/L993,"")</f>
        <v/>
      </c>
      <c r="N993" s="5" t="n">
        <v>0.6909999999999999</v>
      </c>
      <c r="O993" s="5" t="n">
        <v>1.6</v>
      </c>
      <c r="P993" s="5" t="n">
        <v>1</v>
      </c>
      <c r="Q993" s="5" t="n">
        <v>0</v>
      </c>
      <c r="R993" s="5" t="n">
        <v>0</v>
      </c>
      <c r="S993" s="5" t="n">
        <v>0</v>
      </c>
      <c r="T993" s="5" t="n">
        <v>0</v>
      </c>
      <c r="U993" s="5" t="n">
        <v>0</v>
      </c>
      <c r="V993" s="5" t="n">
        <v>5</v>
      </c>
      <c r="W993" s="5" t="n">
        <v>1.85</v>
      </c>
      <c r="X993" s="5" t="inlineStr"/>
      <c r="Y993" s="5" t="n">
        <v>820.7</v>
      </c>
      <c r="Z993" s="5" t="n">
        <v>2618.1</v>
      </c>
      <c r="AA993" s="5" t="n">
        <v>886.8</v>
      </c>
      <c r="AB993" s="5" t="n">
        <v>2629.1</v>
      </c>
      <c r="AC993" s="5" t="inlineStr"/>
      <c r="AD993" s="5">
        <f>IF(AC993="","",IF(OR(AC993=F993,AND(AC993="crane_footing",F993="isolated_footing")),"yes","no"))</f>
        <v/>
      </c>
    </row>
    <row r="994">
      <c r="A994" s="5" t="n">
        <v>993</v>
      </c>
      <c r="B994" s="5" t="inlineStr">
        <is>
          <t>129</t>
        </is>
      </c>
      <c r="C994" s="5" t="inlineStr">
        <is>
          <t>region between joints</t>
        </is>
      </c>
      <c r="D994" s="5" t="inlineStr">
        <is>
          <t>band</t>
        </is>
      </c>
      <c r="E994" s="5" t="n">
        <v>3</v>
      </c>
      <c r="F994" s="5" t="inlineStr">
        <is>
          <t>unnamed</t>
        </is>
      </c>
      <c r="G994" s="5" t="inlineStr">
        <is>
          <t>no label votes</t>
        </is>
      </c>
      <c r="H994" s="5" t="inlineStr">
        <is>
          <t>(none)</t>
        </is>
      </c>
      <c r="I994" s="5" t="inlineStr"/>
      <c r="J994" s="5" t="inlineStr"/>
      <c r="K994" s="5" t="n">
        <v>223</v>
      </c>
      <c r="L994" s="5" t="n">
        <v>31</v>
      </c>
      <c r="M994" s="10">
        <f>IF(AND(ISNUMBER(K994),L994&gt;0),K994/L994,"")</f>
        <v/>
      </c>
      <c r="N994" s="5" t="n">
        <v>0.6909999999999999</v>
      </c>
      <c r="O994" s="5" t="n">
        <v>1.6</v>
      </c>
      <c r="P994" s="5" t="n">
        <v>1</v>
      </c>
      <c r="Q994" s="5" t="n">
        <v>0</v>
      </c>
      <c r="R994" s="5" t="n">
        <v>0</v>
      </c>
      <c r="S994" s="5" t="n">
        <v>0</v>
      </c>
      <c r="T994" s="5" t="n">
        <v>0</v>
      </c>
      <c r="U994" s="5" t="n">
        <v>0</v>
      </c>
      <c r="V994" s="5" t="n">
        <v>5</v>
      </c>
      <c r="W994" s="5" t="n">
        <v>2.23</v>
      </c>
      <c r="X994" s="5" t="inlineStr"/>
      <c r="Y994" s="5" t="n">
        <v>854.2</v>
      </c>
      <c r="Z994" s="5" t="n">
        <v>2590.9</v>
      </c>
      <c r="AA994" s="5" t="n">
        <v>920.3</v>
      </c>
      <c r="AB994" s="5" t="n">
        <v>2601.9</v>
      </c>
      <c r="AC994" s="5" t="inlineStr"/>
      <c r="AD994" s="5">
        <f>IF(AC994="","",IF(OR(AC994=F994,AND(AC994="crane_footing",F994="isolated_footing")),"yes","no"))</f>
        <v/>
      </c>
    </row>
    <row r="995">
      <c r="A995" s="5" t="n">
        <v>994</v>
      </c>
      <c r="B995" s="5" t="inlineStr">
        <is>
          <t>129</t>
        </is>
      </c>
      <c r="C995" s="5" t="inlineStr">
        <is>
          <t>region between joints</t>
        </is>
      </c>
      <c r="D995" s="5" t="inlineStr">
        <is>
          <t>band</t>
        </is>
      </c>
      <c r="E995" s="5" t="n">
        <v>3</v>
      </c>
      <c r="F995" s="5" t="inlineStr">
        <is>
          <t>unnamed</t>
        </is>
      </c>
      <c r="G995" s="5" t="inlineStr">
        <is>
          <t>no label votes</t>
        </is>
      </c>
      <c r="H995" s="5" t="inlineStr">
        <is>
          <t>(none)</t>
        </is>
      </c>
      <c r="I995" s="5" t="inlineStr"/>
      <c r="J995" s="5" t="inlineStr"/>
      <c r="K995" s="5" t="n">
        <v>223</v>
      </c>
      <c r="L995" s="5" t="n">
        <v>31</v>
      </c>
      <c r="M995" s="10">
        <f>IF(AND(ISNUMBER(K995),L995&gt;0),K995/L995,"")</f>
        <v/>
      </c>
      <c r="N995" s="5" t="n">
        <v>0.6899999999999999</v>
      </c>
      <c r="O995" s="5" t="n">
        <v>1.6</v>
      </c>
      <c r="P995" s="5" t="n">
        <v>1</v>
      </c>
      <c r="Q995" s="5" t="n">
        <v>0</v>
      </c>
      <c r="R995" s="5" t="n">
        <v>0</v>
      </c>
      <c r="S995" s="5" t="n">
        <v>0</v>
      </c>
      <c r="T995" s="5" t="n">
        <v>0</v>
      </c>
      <c r="U995" s="5" t="n">
        <v>0</v>
      </c>
      <c r="V995" s="5" t="n">
        <v>4</v>
      </c>
      <c r="W995" s="5" t="n">
        <v>1.99</v>
      </c>
      <c r="X995" s="5" t="inlineStr"/>
      <c r="Y995" s="5" t="n">
        <v>798.5</v>
      </c>
      <c r="Z995" s="5" t="n">
        <v>2636.2</v>
      </c>
      <c r="AA995" s="5" t="n">
        <v>864.5</v>
      </c>
      <c r="AB995" s="5" t="n">
        <v>2647.2</v>
      </c>
      <c r="AC995" s="5" t="inlineStr"/>
      <c r="AD995" s="5">
        <f>IF(AC995="","",IF(OR(AC995=F995,AND(AC995="crane_footing",F995="isolated_footing")),"yes","no"))</f>
        <v/>
      </c>
    </row>
    <row r="996">
      <c r="A996" s="5" t="n">
        <v>995</v>
      </c>
      <c r="B996" s="5" t="inlineStr">
        <is>
          <t>129</t>
        </is>
      </c>
      <c r="C996" s="5" t="inlineStr">
        <is>
          <t>region between joints</t>
        </is>
      </c>
      <c r="D996" s="5" t="inlineStr">
        <is>
          <t>band</t>
        </is>
      </c>
      <c r="E996" s="5" t="n">
        <v>3</v>
      </c>
      <c r="F996" s="5" t="inlineStr">
        <is>
          <t>unnamed</t>
        </is>
      </c>
      <c r="G996" s="5" t="inlineStr">
        <is>
          <t>no label votes</t>
        </is>
      </c>
      <c r="H996" s="5" t="inlineStr">
        <is>
          <t>(none)</t>
        </is>
      </c>
      <c r="I996" s="5" t="inlineStr"/>
      <c r="J996" s="5" t="inlineStr"/>
      <c r="K996" s="5" t="n">
        <v>223</v>
      </c>
      <c r="L996" s="5" t="n">
        <v>31</v>
      </c>
      <c r="M996" s="10">
        <f>IF(AND(ISNUMBER(K996),L996&gt;0),K996/L996,"")</f>
        <v/>
      </c>
      <c r="N996" s="5" t="n">
        <v>0.6899999999999999</v>
      </c>
      <c r="O996" s="5" t="n">
        <v>1.6</v>
      </c>
      <c r="P996" s="5" t="n">
        <v>1</v>
      </c>
      <c r="Q996" s="5" t="n">
        <v>0</v>
      </c>
      <c r="R996" s="5" t="n">
        <v>0</v>
      </c>
      <c r="S996" s="5" t="n">
        <v>0</v>
      </c>
      <c r="T996" s="5" t="n">
        <v>0</v>
      </c>
      <c r="U996" s="5" t="n">
        <v>0</v>
      </c>
      <c r="V996" s="5" t="n">
        <v>4</v>
      </c>
      <c r="W996" s="5" t="n">
        <v>2.23</v>
      </c>
      <c r="X996" s="5" t="inlineStr"/>
      <c r="Y996" s="5" t="n">
        <v>787.3</v>
      </c>
      <c r="Z996" s="5" t="n">
        <v>2645.3</v>
      </c>
      <c r="AA996" s="5" t="n">
        <v>853.3</v>
      </c>
      <c r="AB996" s="5" t="n">
        <v>2656.3</v>
      </c>
      <c r="AC996" s="5" t="inlineStr"/>
      <c r="AD996" s="5">
        <f>IF(AC996="","",IF(OR(AC996=F996,AND(AC996="crane_footing",F996="isolated_footing")),"yes","no"))</f>
        <v/>
      </c>
    </row>
    <row r="997">
      <c r="A997" s="5" t="n">
        <v>996</v>
      </c>
      <c r="B997" s="5" t="inlineStr">
        <is>
          <t>129</t>
        </is>
      </c>
      <c r="C997" s="5" t="inlineStr">
        <is>
          <t>region between joints</t>
        </is>
      </c>
      <c r="D997" s="5" t="inlineStr">
        <is>
          <t>band</t>
        </is>
      </c>
      <c r="E997" s="5" t="n">
        <v>3</v>
      </c>
      <c r="F997" s="5" t="inlineStr">
        <is>
          <t>unnamed</t>
        </is>
      </c>
      <c r="G997" s="5" t="inlineStr">
        <is>
          <t>no label votes</t>
        </is>
      </c>
      <c r="H997" s="5" t="inlineStr">
        <is>
          <t>(none)</t>
        </is>
      </c>
      <c r="I997" s="5" t="inlineStr"/>
      <c r="J997" s="5" t="inlineStr"/>
      <c r="K997" s="5" t="n">
        <v>223</v>
      </c>
      <c r="L997" s="5" t="n">
        <v>31</v>
      </c>
      <c r="M997" s="10">
        <f>IF(AND(ISNUMBER(K997),L997&gt;0),K997/L997,"")</f>
        <v/>
      </c>
      <c r="N997" s="5" t="n">
        <v>0.6899999999999999</v>
      </c>
      <c r="O997" s="5" t="n">
        <v>1.6</v>
      </c>
      <c r="P997" s="5" t="n">
        <v>1</v>
      </c>
      <c r="Q997" s="5" t="n">
        <v>0</v>
      </c>
      <c r="R997" s="5" t="n">
        <v>0</v>
      </c>
      <c r="S997" s="5" t="n">
        <v>0</v>
      </c>
      <c r="T997" s="5" t="n">
        <v>0</v>
      </c>
      <c r="U997" s="5" t="n">
        <v>0</v>
      </c>
      <c r="V997" s="5" t="n">
        <v>5</v>
      </c>
      <c r="W997" s="5" t="n">
        <v>1.38</v>
      </c>
      <c r="X997" s="5" t="inlineStr"/>
      <c r="Y997" s="5" t="n">
        <v>809.6</v>
      </c>
      <c r="Z997" s="5" t="n">
        <v>2627.2</v>
      </c>
      <c r="AA997" s="5" t="n">
        <v>875.6</v>
      </c>
      <c r="AB997" s="5" t="n">
        <v>2638.2</v>
      </c>
      <c r="AC997" s="5" t="inlineStr"/>
      <c r="AD997" s="5">
        <f>IF(AC997="","",IF(OR(AC997=F997,AND(AC997="crane_footing",F997="isolated_footing")),"yes","no"))</f>
        <v/>
      </c>
    </row>
    <row r="998">
      <c r="A998" s="5" t="n">
        <v>997</v>
      </c>
      <c r="B998" s="5" t="inlineStr">
        <is>
          <t>129</t>
        </is>
      </c>
      <c r="C998" s="5" t="inlineStr">
        <is>
          <t>region between joints</t>
        </is>
      </c>
      <c r="D998" s="5" t="inlineStr">
        <is>
          <t>band</t>
        </is>
      </c>
      <c r="E998" s="5" t="n">
        <v>3</v>
      </c>
      <c r="F998" s="5" t="inlineStr">
        <is>
          <t>unnamed</t>
        </is>
      </c>
      <c r="G998" s="5" t="inlineStr">
        <is>
          <t>no label votes</t>
        </is>
      </c>
      <c r="H998" s="5" t="inlineStr">
        <is>
          <t>(none)</t>
        </is>
      </c>
      <c r="I998" s="5" t="inlineStr"/>
      <c r="J998" s="5" t="inlineStr"/>
      <c r="K998" s="5" t="n">
        <v>199</v>
      </c>
      <c r="L998" s="5" t="n">
        <v>31</v>
      </c>
      <c r="M998" s="10">
        <f>IF(AND(ISNUMBER(K998),L998&gt;0),K998/L998,"")</f>
        <v/>
      </c>
      <c r="N998" s="5" t="n">
        <v>0.616</v>
      </c>
      <c r="O998" s="5" t="n">
        <v>1.6</v>
      </c>
      <c r="P998" s="5" t="n">
        <v>1</v>
      </c>
      <c r="Q998" s="5" t="n">
        <v>0</v>
      </c>
      <c r="R998" s="5" t="n">
        <v>0</v>
      </c>
      <c r="S998" s="5" t="n">
        <v>0</v>
      </c>
      <c r="T998" s="5" t="n">
        <v>0</v>
      </c>
      <c r="U998" s="5" t="n">
        <v>1</v>
      </c>
      <c r="V998" s="5" t="n">
        <v>3</v>
      </c>
      <c r="W998" s="5" t="n">
        <v>1.99</v>
      </c>
      <c r="X998" s="5" t="inlineStr"/>
      <c r="Y998" s="5" t="n">
        <v>783.2</v>
      </c>
      <c r="Z998" s="5" t="n">
        <v>2654.5</v>
      </c>
      <c r="AA998" s="5" t="n">
        <v>842.1</v>
      </c>
      <c r="AB998" s="5" t="n">
        <v>2665.4</v>
      </c>
      <c r="AC998" s="5" t="inlineStr"/>
      <c r="AD998" s="5">
        <f>IF(AC998="","",IF(OR(AC998=F998,AND(AC998="crane_footing",F998="isolated_footing")),"yes","no"))</f>
        <v/>
      </c>
    </row>
    <row r="999">
      <c r="A999" s="5" t="n">
        <v>998</v>
      </c>
      <c r="B999" s="5" t="inlineStr">
        <is>
          <t>129</t>
        </is>
      </c>
      <c r="C999" s="5" t="inlineStr">
        <is>
          <t>region between joints</t>
        </is>
      </c>
      <c r="D999" s="5" t="inlineStr">
        <is>
          <t>band</t>
        </is>
      </c>
      <c r="E999" s="5" t="n">
        <v>3</v>
      </c>
      <c r="F999" s="5" t="inlineStr">
        <is>
          <t>unnamed</t>
        </is>
      </c>
      <c r="G999" s="5" t="inlineStr">
        <is>
          <t>no label votes</t>
        </is>
      </c>
      <c r="H999" s="5" t="inlineStr">
        <is>
          <t>(none)</t>
        </is>
      </c>
      <c r="I999" s="5" t="inlineStr"/>
      <c r="J999" s="5" t="inlineStr"/>
      <c r="K999" s="5" t="n">
        <v>193</v>
      </c>
      <c r="L999" s="5" t="n">
        <v>31</v>
      </c>
      <c r="M999" s="10">
        <f>IF(AND(ISNUMBER(K999),L999&gt;0),K999/L999,"")</f>
        <v/>
      </c>
      <c r="N999" s="5" t="n">
        <v>0.599</v>
      </c>
      <c r="O999" s="5" t="n">
        <v>1.6</v>
      </c>
      <c r="P999" s="5" t="n">
        <v>1</v>
      </c>
      <c r="Q999" s="5" t="n">
        <v>0</v>
      </c>
      <c r="R999" s="5" t="n">
        <v>0</v>
      </c>
      <c r="S999" s="5" t="n">
        <v>0</v>
      </c>
      <c r="T999" s="5" t="n">
        <v>0</v>
      </c>
      <c r="U999" s="5" t="n">
        <v>0</v>
      </c>
      <c r="V999" s="5" t="n">
        <v>3</v>
      </c>
      <c r="W999" s="5" t="n">
        <v>1.93</v>
      </c>
      <c r="X999" s="5" t="inlineStr"/>
      <c r="Y999" s="5" t="n">
        <v>1133</v>
      </c>
      <c r="Z999" s="5" t="n">
        <v>2364.4</v>
      </c>
      <c r="AA999" s="5" t="n">
        <v>1190.4</v>
      </c>
      <c r="AB999" s="5" t="n">
        <v>2375.2</v>
      </c>
      <c r="AC999" s="5" t="inlineStr"/>
      <c r="AD999" s="5">
        <f>IF(AC999="","",IF(OR(AC999=F999,AND(AC999="crane_footing",F999="isolated_footing")),"yes","no"))</f>
        <v/>
      </c>
    </row>
    <row r="1000">
      <c r="A1000" s="5" t="n">
        <v>999</v>
      </c>
      <c r="B1000" s="5" t="inlineStr">
        <is>
          <t>129</t>
        </is>
      </c>
      <c r="C1000" s="5" t="inlineStr">
        <is>
          <t>region between joints</t>
        </is>
      </c>
      <c r="D1000" s="5" t="inlineStr">
        <is>
          <t>band</t>
        </is>
      </c>
      <c r="E1000" s="5" t="n">
        <v>3</v>
      </c>
      <c r="F1000" s="5" t="inlineStr">
        <is>
          <t>unnamed</t>
        </is>
      </c>
      <c r="G1000" s="5" t="inlineStr">
        <is>
          <t>no label votes</t>
        </is>
      </c>
      <c r="H1000" s="5" t="inlineStr">
        <is>
          <t>(none)</t>
        </is>
      </c>
      <c r="I1000" s="5" t="inlineStr"/>
      <c r="J1000" s="5" t="inlineStr"/>
      <c r="K1000" s="5" t="n">
        <v>171</v>
      </c>
      <c r="L1000" s="5" t="n">
        <v>31</v>
      </c>
      <c r="M1000" s="10">
        <f>IF(AND(ISNUMBER(K1000),L1000&gt;0),K1000/L1000,"")</f>
        <v/>
      </c>
      <c r="N1000" s="5" t="n">
        <v>0.53</v>
      </c>
      <c r="O1000" s="5" t="n">
        <v>101.6</v>
      </c>
      <c r="P1000" s="5" t="n">
        <v>1</v>
      </c>
      <c r="Q1000" s="5" t="n">
        <v>1</v>
      </c>
      <c r="R1000" s="5" t="n">
        <v>0</v>
      </c>
      <c r="S1000" s="5" t="n">
        <v>0</v>
      </c>
      <c r="T1000" s="5" t="n">
        <v>0</v>
      </c>
      <c r="U1000" s="5" t="n">
        <v>0</v>
      </c>
      <c r="V1000" s="5" t="n">
        <v>4</v>
      </c>
      <c r="W1000" s="5" t="n">
        <v>0.19</v>
      </c>
      <c r="X1000" s="5" t="inlineStr"/>
      <c r="Y1000" s="5" t="n">
        <v>827.3</v>
      </c>
      <c r="Z1000" s="5" t="n">
        <v>2669.3</v>
      </c>
      <c r="AA1000" s="5" t="n">
        <v>846.5</v>
      </c>
      <c r="AB1000" s="5" t="n">
        <v>2720.5</v>
      </c>
      <c r="AC1000" s="5" t="inlineStr"/>
      <c r="AD1000" s="5">
        <f>IF(AC1000="","",IF(OR(AC1000=F1000,AND(AC1000="crane_footing",F1000="isolated_footing")),"yes","no"))</f>
        <v/>
      </c>
    </row>
    <row r="1001">
      <c r="A1001" s="5" t="n">
        <v>1000</v>
      </c>
      <c r="B1001" s="5" t="inlineStr">
        <is>
          <t>129</t>
        </is>
      </c>
      <c r="C1001" s="5" t="inlineStr">
        <is>
          <t>region between joints</t>
        </is>
      </c>
      <c r="D1001" s="5" t="inlineStr">
        <is>
          <t>band</t>
        </is>
      </c>
      <c r="E1001" s="5" t="n">
        <v>3</v>
      </c>
      <c r="F1001" s="5" t="inlineStr">
        <is>
          <t>unnamed</t>
        </is>
      </c>
      <c r="G1001" s="5" t="inlineStr">
        <is>
          <t>no label votes</t>
        </is>
      </c>
      <c r="H1001" s="5" t="inlineStr">
        <is>
          <t>(none)</t>
        </is>
      </c>
      <c r="I1001" s="5" t="inlineStr"/>
      <c r="J1001" s="5" t="inlineStr"/>
      <c r="K1001" s="5" t="n">
        <v>167</v>
      </c>
      <c r="L1001" s="5" t="n">
        <v>31</v>
      </c>
      <c r="M1001" s="10">
        <f>IF(AND(ISNUMBER(K1001),L1001&gt;0),K1001/L1001,"")</f>
        <v/>
      </c>
      <c r="N1001" s="5" t="n">
        <v>0.517</v>
      </c>
      <c r="O1001" s="5" t="n">
        <v>101.7</v>
      </c>
      <c r="P1001" s="5" t="n">
        <v>1</v>
      </c>
      <c r="Q1001" s="5" t="n">
        <v>1</v>
      </c>
      <c r="R1001" s="5" t="n">
        <v>0</v>
      </c>
      <c r="S1001" s="5" t="n">
        <v>0</v>
      </c>
      <c r="T1001" s="5" t="n">
        <v>0</v>
      </c>
      <c r="U1001" s="5" t="n">
        <v>7</v>
      </c>
      <c r="V1001" s="5" t="n">
        <v>3</v>
      </c>
      <c r="W1001" s="5" t="n">
        <v>0</v>
      </c>
      <c r="X1001" s="5" t="inlineStr"/>
      <c r="Y1001" s="5" t="n">
        <v>1191.5</v>
      </c>
      <c r="Z1001" s="5" t="n">
        <v>2388.9</v>
      </c>
      <c r="AA1001" s="5" t="n">
        <v>1210.5</v>
      </c>
      <c r="AB1001" s="5" t="n">
        <v>2439</v>
      </c>
      <c r="AC1001" s="5" t="inlineStr"/>
      <c r="AD1001" s="5">
        <f>IF(AC1001="","",IF(OR(AC1001=F1001,AND(AC1001="crane_footing",F1001="isolated_footing")),"yes","no"))</f>
        <v/>
      </c>
    </row>
    <row r="1002">
      <c r="A1002" s="5" t="n">
        <v>1001</v>
      </c>
      <c r="B1002" s="5" t="inlineStr">
        <is>
          <t>129</t>
        </is>
      </c>
      <c r="C1002" s="5" t="inlineStr">
        <is>
          <t>region between joints</t>
        </is>
      </c>
      <c r="D1002" s="5" t="inlineStr">
        <is>
          <t>band</t>
        </is>
      </c>
      <c r="E1002" s="5" t="n">
        <v>3</v>
      </c>
      <c r="F1002" s="5" t="inlineStr">
        <is>
          <t>unnamed</t>
        </is>
      </c>
      <c r="G1002" s="5" t="inlineStr">
        <is>
          <t>no label votes</t>
        </is>
      </c>
      <c r="H1002" s="5" t="inlineStr">
        <is>
          <t>(none)</t>
        </is>
      </c>
      <c r="I1002" s="5" t="inlineStr"/>
      <c r="J1002" s="5" t="inlineStr"/>
      <c r="K1002" s="5" t="n">
        <v>135</v>
      </c>
      <c r="L1002" s="5" t="n">
        <v>31</v>
      </c>
      <c r="M1002" s="10">
        <f>IF(AND(ISNUMBER(K1002),L1002&gt;0),K1002/L1002,"")</f>
        <v/>
      </c>
      <c r="N1002" s="5" t="n">
        <v>0.418</v>
      </c>
      <c r="O1002" s="5" t="n">
        <v>1.6</v>
      </c>
      <c r="P1002" s="5" t="n">
        <v>1</v>
      </c>
      <c r="Q1002" s="5" t="n">
        <v>0</v>
      </c>
      <c r="R1002" s="5" t="n">
        <v>0</v>
      </c>
      <c r="S1002" s="5" t="n">
        <v>0</v>
      </c>
      <c r="T1002" s="5" t="n">
        <v>0</v>
      </c>
      <c r="U1002" s="5" t="n">
        <v>0</v>
      </c>
      <c r="V1002" s="5" t="n">
        <v>3</v>
      </c>
      <c r="W1002" s="5" t="n">
        <v>1.35</v>
      </c>
      <c r="X1002" s="5" t="inlineStr"/>
      <c r="Y1002" s="5" t="n">
        <v>790.9</v>
      </c>
      <c r="Z1002" s="5" t="n">
        <v>2664.1</v>
      </c>
      <c r="AA1002" s="5" t="n">
        <v>831</v>
      </c>
      <c r="AB1002" s="5" t="n">
        <v>2674.4</v>
      </c>
      <c r="AC1002" s="5" t="inlineStr"/>
      <c r="AD1002" s="5">
        <f>IF(AC1002="","",IF(OR(AC1002=F1002,AND(AC1002="crane_footing",F1002="isolated_footing")),"yes","no"))</f>
        <v/>
      </c>
    </row>
    <row r="1003">
      <c r="A1003" s="5" t="n">
        <v>1002</v>
      </c>
      <c r="B1003" s="5" t="inlineStr">
        <is>
          <t>129</t>
        </is>
      </c>
      <c r="C1003" s="5" t="inlineStr">
        <is>
          <t>region between joints</t>
        </is>
      </c>
      <c r="D1003" s="5" t="inlineStr">
        <is>
          <t>band</t>
        </is>
      </c>
      <c r="E1003" s="5" t="n">
        <v>3</v>
      </c>
      <c r="F1003" s="5" t="inlineStr">
        <is>
          <t>unnamed</t>
        </is>
      </c>
      <c r="G1003" s="5" t="inlineStr">
        <is>
          <t>no label votes</t>
        </is>
      </c>
      <c r="H1003" s="5" t="inlineStr">
        <is>
          <t>(none)</t>
        </is>
      </c>
      <c r="I1003" s="5" t="inlineStr"/>
      <c r="J1003" s="5" t="inlineStr"/>
      <c r="K1003" s="5" t="n">
        <v>129</v>
      </c>
      <c r="L1003" s="5" t="n">
        <v>31</v>
      </c>
      <c r="M1003" s="10">
        <f>IF(AND(ISNUMBER(K1003),L1003&gt;0),K1003/L1003,"")</f>
        <v/>
      </c>
      <c r="N1003" s="5" t="n">
        <v>0.4</v>
      </c>
      <c r="O1003" s="5" t="n">
        <v>1.7</v>
      </c>
      <c r="P1003" s="5" t="n">
        <v>1</v>
      </c>
      <c r="Q1003" s="5" t="n">
        <v>0</v>
      </c>
      <c r="R1003" s="5" t="n">
        <v>0</v>
      </c>
      <c r="S1003" s="5" t="n">
        <v>0</v>
      </c>
      <c r="T1003" s="5" t="n">
        <v>0</v>
      </c>
      <c r="U1003" s="5" t="n">
        <v>1</v>
      </c>
      <c r="V1003" s="5" t="n">
        <v>3</v>
      </c>
      <c r="W1003" s="5" t="n">
        <v>1.29</v>
      </c>
      <c r="X1003" s="5" t="inlineStr"/>
      <c r="Y1003" s="5" t="n">
        <v>1144.2</v>
      </c>
      <c r="Z1003" s="5" t="n">
        <v>2355.3</v>
      </c>
      <c r="AA1003" s="5" t="n">
        <v>1182.6</v>
      </c>
      <c r="AB1003" s="5" t="n">
        <v>2365.6</v>
      </c>
      <c r="AC1003" s="5" t="inlineStr"/>
      <c r="AD1003" s="5">
        <f>IF(AC1003="","",IF(OR(AC1003=F1003,AND(AC1003="crane_footing",F1003="isolated_footing")),"yes","no"))</f>
        <v/>
      </c>
    </row>
    <row r="1004">
      <c r="A1004" s="5" t="n">
        <v>1003</v>
      </c>
      <c r="B1004" s="5" t="inlineStr">
        <is>
          <t>129</t>
        </is>
      </c>
      <c r="C1004" s="5" t="inlineStr">
        <is>
          <t>region between joints</t>
        </is>
      </c>
      <c r="D1004" s="5" t="inlineStr">
        <is>
          <t>band</t>
        </is>
      </c>
      <c r="E1004" s="5" t="n">
        <v>3</v>
      </c>
      <c r="F1004" s="5" t="inlineStr">
        <is>
          <t>unnamed</t>
        </is>
      </c>
      <c r="G1004" s="5" t="inlineStr">
        <is>
          <t>no label votes</t>
        </is>
      </c>
      <c r="H1004" s="5" t="inlineStr">
        <is>
          <t>(none)</t>
        </is>
      </c>
      <c r="I1004" s="5" t="inlineStr"/>
      <c r="J1004" s="5" t="inlineStr"/>
      <c r="K1004" s="5" t="n">
        <v>127</v>
      </c>
      <c r="L1004" s="5" t="n">
        <v>31</v>
      </c>
      <c r="M1004" s="10">
        <f>IF(AND(ISNUMBER(K1004),L1004&gt;0),K1004/L1004,"")</f>
        <v/>
      </c>
      <c r="N1004" s="5" t="n">
        <v>0.394</v>
      </c>
      <c r="O1004" s="5" t="n">
        <v>165.2</v>
      </c>
      <c r="P1004" s="5" t="n">
        <v>0</v>
      </c>
      <c r="Q1004" s="5" t="n">
        <v>0</v>
      </c>
      <c r="R1004" s="5" t="n">
        <v>0</v>
      </c>
      <c r="S1004" s="5" t="n">
        <v>1</v>
      </c>
      <c r="T1004" s="5" t="n">
        <v>0</v>
      </c>
      <c r="U1004" s="5" t="n">
        <v>0</v>
      </c>
      <c r="V1004" s="5" t="n">
        <v>0</v>
      </c>
      <c r="W1004" s="5" t="n">
        <v>1.27</v>
      </c>
      <c r="X1004" s="5" t="inlineStr"/>
      <c r="Y1004" s="5" t="n">
        <v>787.6</v>
      </c>
      <c r="Z1004" s="5" t="n">
        <v>2286.1</v>
      </c>
      <c r="AA1004" s="5" t="n">
        <v>826.2</v>
      </c>
      <c r="AB1004" s="5" t="n">
        <v>2304.5</v>
      </c>
      <c r="AC1004" s="5" t="inlineStr"/>
      <c r="AD1004" s="5">
        <f>IF(AC1004="","",IF(OR(AC1004=F1004,AND(AC1004="crane_footing",F1004="isolated_footing")),"yes","no"))</f>
        <v/>
      </c>
    </row>
    <row r="1005">
      <c r="A1005" s="5" t="n">
        <v>1004</v>
      </c>
      <c r="B1005" s="5" t="inlineStr">
        <is>
          <t>129</t>
        </is>
      </c>
      <c r="C1005" s="5" t="inlineStr">
        <is>
          <t>region between joints</t>
        </is>
      </c>
      <c r="D1005" s="5" t="inlineStr">
        <is>
          <t>band</t>
        </is>
      </c>
      <c r="E1005" s="5" t="n">
        <v>3</v>
      </c>
      <c r="F1005" s="5" t="inlineStr">
        <is>
          <t>unnamed</t>
        </is>
      </c>
      <c r="G1005" s="5" t="inlineStr">
        <is>
          <t>no label votes</t>
        </is>
      </c>
      <c r="H1005" s="5" t="inlineStr">
        <is>
          <t>(none)</t>
        </is>
      </c>
      <c r="I1005" s="5" t="inlineStr"/>
      <c r="J1005" s="5" t="inlineStr"/>
      <c r="K1005" s="5" t="n">
        <v>106</v>
      </c>
      <c r="L1005" s="5" t="n">
        <v>31</v>
      </c>
      <c r="M1005" s="10">
        <f>IF(AND(ISNUMBER(K1005),L1005&gt;0),K1005/L1005,"")</f>
        <v/>
      </c>
      <c r="N1005" s="5" t="n">
        <v>0.328</v>
      </c>
      <c r="O1005" s="5" t="n">
        <v>101.6</v>
      </c>
      <c r="P1005" s="5" t="n">
        <v>1</v>
      </c>
      <c r="Q1005" s="5" t="n">
        <v>1</v>
      </c>
      <c r="R1005" s="5" t="n">
        <v>0</v>
      </c>
      <c r="S1005" s="5" t="n">
        <v>0</v>
      </c>
      <c r="T1005" s="5" t="n">
        <v>0</v>
      </c>
      <c r="U1005" s="5" t="n">
        <v>0</v>
      </c>
      <c r="V1005" s="5" t="n">
        <v>3</v>
      </c>
      <c r="W1005" s="5" t="n">
        <v>0.2</v>
      </c>
      <c r="X1005" s="5" t="inlineStr"/>
      <c r="Y1005" s="5" t="n">
        <v>819.7</v>
      </c>
      <c r="Z1005" s="5" t="n">
        <v>2678.6</v>
      </c>
      <c r="AA1005" s="5" t="n">
        <v>835</v>
      </c>
      <c r="AB1005" s="5" t="n">
        <v>2711</v>
      </c>
      <c r="AC1005" s="5" t="inlineStr"/>
      <c r="AD1005" s="5">
        <f>IF(AC1005="","",IF(OR(AC1005=F1005,AND(AC1005="crane_footing",F1005="isolated_footing")),"yes","no"))</f>
        <v/>
      </c>
    </row>
    <row r="1006">
      <c r="A1006" s="5" t="n">
        <v>1005</v>
      </c>
      <c r="B1006" s="5" t="inlineStr">
        <is>
          <t>129</t>
        </is>
      </c>
      <c r="C1006" s="5" t="inlineStr">
        <is>
          <t>region between joints</t>
        </is>
      </c>
      <c r="D1006" s="5" t="inlineStr">
        <is>
          <t>band</t>
        </is>
      </c>
      <c r="E1006" s="5" t="n">
        <v>3</v>
      </c>
      <c r="F1006" s="5" t="inlineStr">
        <is>
          <t>unnamed</t>
        </is>
      </c>
      <c r="G1006" s="5" t="inlineStr">
        <is>
          <t>no label votes</t>
        </is>
      </c>
      <c r="H1006" s="5" t="inlineStr">
        <is>
          <t>(none)</t>
        </is>
      </c>
      <c r="I1006" s="5" t="inlineStr"/>
      <c r="J1006" s="5" t="inlineStr"/>
      <c r="K1006" s="5" t="n">
        <v>71</v>
      </c>
      <c r="L1006" s="5" t="n">
        <v>31</v>
      </c>
      <c r="M1006" s="10">
        <f>IF(AND(ISNUMBER(K1006),L1006&gt;0),K1006/L1006,"")</f>
        <v/>
      </c>
      <c r="N1006" s="5" t="n">
        <v>0.22</v>
      </c>
      <c r="O1006" s="5" t="n">
        <v>1.6</v>
      </c>
      <c r="P1006" s="5" t="n">
        <v>1</v>
      </c>
      <c r="Q1006" s="5" t="n">
        <v>0</v>
      </c>
      <c r="R1006" s="5" t="n">
        <v>0</v>
      </c>
      <c r="S1006" s="5" t="n">
        <v>0</v>
      </c>
      <c r="T1006" s="5" t="n">
        <v>0</v>
      </c>
      <c r="U1006" s="5" t="n">
        <v>0</v>
      </c>
      <c r="V1006" s="5" t="n">
        <v>2</v>
      </c>
      <c r="W1006" s="5" t="n">
        <v>0.71</v>
      </c>
      <c r="X1006" s="5" t="inlineStr"/>
      <c r="Y1006" s="5" t="n">
        <v>798.6</v>
      </c>
      <c r="Z1006" s="5" t="n">
        <v>2673.7</v>
      </c>
      <c r="AA1006" s="5" t="n">
        <v>819.8</v>
      </c>
      <c r="AB1006" s="5" t="n">
        <v>2683.5</v>
      </c>
      <c r="AC1006" s="5" t="inlineStr"/>
      <c r="AD1006" s="5">
        <f>IF(AC1006="","",IF(OR(AC1006=F1006,AND(AC1006="crane_footing",F1006="isolated_footing")),"yes","no"))</f>
        <v/>
      </c>
    </row>
    <row r="1007">
      <c r="A1007" s="5" t="n">
        <v>1006</v>
      </c>
      <c r="B1007" s="5" t="inlineStr">
        <is>
          <t>129</t>
        </is>
      </c>
      <c r="C1007" s="5" t="inlineStr">
        <is>
          <t>region between joints</t>
        </is>
      </c>
      <c r="D1007" s="5" t="inlineStr">
        <is>
          <t>band</t>
        </is>
      </c>
      <c r="E1007" s="5" t="n">
        <v>3</v>
      </c>
      <c r="F1007" s="5" t="inlineStr">
        <is>
          <t>unnamed</t>
        </is>
      </c>
      <c r="G1007" s="5" t="inlineStr">
        <is>
          <t>no label votes</t>
        </is>
      </c>
      <c r="H1007" s="5" t="inlineStr">
        <is>
          <t>(none)</t>
        </is>
      </c>
      <c r="I1007" s="5" t="inlineStr"/>
      <c r="J1007" s="5" t="inlineStr"/>
      <c r="K1007" s="5" t="n">
        <v>65</v>
      </c>
      <c r="L1007" s="5" t="n">
        <v>31</v>
      </c>
      <c r="M1007" s="10">
        <f>IF(AND(ISNUMBER(K1007),L1007&gt;0),K1007/L1007,"")</f>
        <v/>
      </c>
      <c r="N1007" s="5" t="n">
        <v>0.202</v>
      </c>
      <c r="O1007" s="5" t="n">
        <v>1.7</v>
      </c>
      <c r="P1007" s="5" t="n">
        <v>1</v>
      </c>
      <c r="Q1007" s="5" t="n">
        <v>0</v>
      </c>
      <c r="R1007" s="5" t="n">
        <v>0</v>
      </c>
      <c r="S1007" s="5" t="n">
        <v>0</v>
      </c>
      <c r="T1007" s="5" t="n">
        <v>0</v>
      </c>
      <c r="U1007" s="5" t="n">
        <v>0</v>
      </c>
      <c r="V1007" s="5" t="n">
        <v>2</v>
      </c>
      <c r="W1007" s="5" t="n">
        <v>0.65</v>
      </c>
      <c r="X1007" s="5" t="inlineStr"/>
      <c r="Y1007" s="5" t="n">
        <v>1155.4</v>
      </c>
      <c r="Z1007" s="5" t="n">
        <v>2346.3</v>
      </c>
      <c r="AA1007" s="5" t="n">
        <v>1174.8</v>
      </c>
      <c r="AB1007" s="5" t="n">
        <v>2356</v>
      </c>
      <c r="AC1007" s="5" t="inlineStr"/>
      <c r="AD1007" s="5">
        <f>IF(AC1007="","",IF(OR(AC1007=F1007,AND(AC1007="crane_footing",F1007="isolated_footing")),"yes","no"))</f>
        <v/>
      </c>
    </row>
    <row r="1008">
      <c r="A1008" s="5" t="n">
        <v>1007</v>
      </c>
      <c r="B1008" s="5" t="inlineStr">
        <is>
          <t>129</t>
        </is>
      </c>
      <c r="C1008" s="5" t="inlineStr">
        <is>
          <t>region between joints</t>
        </is>
      </c>
      <c r="D1008" s="5" t="inlineStr">
        <is>
          <t>band</t>
        </is>
      </c>
      <c r="E1008" s="5" t="n">
        <v>9</v>
      </c>
      <c r="F1008" s="5" t="inlineStr">
        <is>
          <t>unnamed</t>
        </is>
      </c>
      <c r="G1008" s="5" t="inlineStr">
        <is>
          <t>no label votes</t>
        </is>
      </c>
      <c r="H1008" s="5" t="inlineStr">
        <is>
          <t>(none)</t>
        </is>
      </c>
      <c r="I1008" s="5" t="inlineStr"/>
      <c r="J1008" s="5" t="inlineStr"/>
      <c r="K1008" s="5" t="n">
        <v>250</v>
      </c>
      <c r="L1008" s="5" t="n">
        <v>99</v>
      </c>
      <c r="M1008" s="10">
        <f>IF(AND(ISNUMBER(K1008),L1008&gt;0),K1008/L1008,"")</f>
        <v/>
      </c>
      <c r="N1008" s="5" t="n">
        <v>2.472</v>
      </c>
      <c r="O1008" s="5" t="n">
        <v>165.3</v>
      </c>
      <c r="P1008" s="5" t="n">
        <v>1</v>
      </c>
      <c r="Q1008" s="5" t="n">
        <v>0</v>
      </c>
      <c r="R1008" s="5" t="n">
        <v>0</v>
      </c>
      <c r="S1008" s="5" t="n">
        <v>1</v>
      </c>
      <c r="T1008" s="5" t="n">
        <v>0</v>
      </c>
      <c r="U1008" s="5" t="n">
        <v>11</v>
      </c>
      <c r="V1008" s="5" t="n">
        <v>3</v>
      </c>
      <c r="W1008" s="5" t="n">
        <v>2.5</v>
      </c>
      <c r="X1008" s="5" t="inlineStr"/>
      <c r="Y1008" s="5" t="n">
        <v>989.1</v>
      </c>
      <c r="Z1008" s="5" t="n">
        <v>2149.4</v>
      </c>
      <c r="AA1008" s="5" t="n">
        <v>1067.8</v>
      </c>
      <c r="AB1008" s="5" t="n">
        <v>2196.3</v>
      </c>
      <c r="AC1008" s="5" t="inlineStr"/>
      <c r="AD1008" s="5">
        <f>IF(AC1008="","",IF(OR(AC1008=F1008,AND(AC1008="crane_footing",F1008="isolated_footing")),"yes","no"))</f>
        <v/>
      </c>
    </row>
    <row r="1009">
      <c r="A1009" s="5" t="n">
        <v>1008</v>
      </c>
      <c r="B1009" s="5" t="inlineStr">
        <is>
          <t>129</t>
        </is>
      </c>
      <c r="C1009" s="5" t="inlineStr">
        <is>
          <t>region between joints</t>
        </is>
      </c>
      <c r="D1009" s="5" t="inlineStr">
        <is>
          <t>band</t>
        </is>
      </c>
      <c r="E1009" s="5" t="n">
        <v>9</v>
      </c>
      <c r="F1009" s="5" t="inlineStr">
        <is>
          <t>unnamed</t>
        </is>
      </c>
      <c r="G1009" s="5" t="inlineStr">
        <is>
          <t>no label votes</t>
        </is>
      </c>
      <c r="H1009" s="5" t="inlineStr">
        <is>
          <t>(none)</t>
        </is>
      </c>
      <c r="I1009" s="5" t="inlineStr"/>
      <c r="J1009" s="5" t="inlineStr"/>
      <c r="K1009" s="5" t="n">
        <v>115</v>
      </c>
      <c r="L1009" s="5" t="n">
        <v>99</v>
      </c>
      <c r="M1009" s="10">
        <f>IF(AND(ISNUMBER(K1009),L1009&gt;0),K1009/L1009,"")</f>
        <v/>
      </c>
      <c r="N1009" s="5" t="n">
        <v>1.14</v>
      </c>
      <c r="O1009" s="5" t="n">
        <v>165.3</v>
      </c>
      <c r="P1009" s="5" t="n">
        <v>1</v>
      </c>
      <c r="Q1009" s="5" t="n">
        <v>0</v>
      </c>
      <c r="R1009" s="5" t="n">
        <v>0</v>
      </c>
      <c r="S1009" s="5" t="n">
        <v>1</v>
      </c>
      <c r="T1009" s="5" t="n">
        <v>0</v>
      </c>
      <c r="U1009" s="5" t="n">
        <v>1</v>
      </c>
      <c r="V1009" s="5" t="n">
        <v>1</v>
      </c>
      <c r="W1009" s="5" t="n">
        <v>1.15</v>
      </c>
      <c r="X1009" s="5" t="inlineStr"/>
      <c r="Y1009" s="5" t="n">
        <v>927.7</v>
      </c>
      <c r="Z1009" s="5" t="n">
        <v>2175.5</v>
      </c>
      <c r="AA1009" s="5" t="n">
        <v>968</v>
      </c>
      <c r="AB1009" s="5" t="n">
        <v>2212.4</v>
      </c>
      <c r="AC1009" s="5" t="inlineStr"/>
      <c r="AD1009" s="5">
        <f>IF(AC1009="","",IF(OR(AC1009=F1009,AND(AC1009="crane_footing",F1009="isolated_footing")),"yes","no"))</f>
        <v/>
      </c>
    </row>
    <row r="1010">
      <c r="A1010" s="5" t="n">
        <v>1009</v>
      </c>
      <c r="B1010" s="5" t="inlineStr">
        <is>
          <t>129</t>
        </is>
      </c>
      <c r="C1010" s="5" t="inlineStr">
        <is>
          <t>region between joints</t>
        </is>
      </c>
      <c r="D1010" s="5" t="inlineStr">
        <is>
          <t>band</t>
        </is>
      </c>
      <c r="E1010" s="5" t="n">
        <v>12</v>
      </c>
      <c r="F1010" s="5" t="inlineStr">
        <is>
          <t>unnamed</t>
        </is>
      </c>
      <c r="G1010" s="5" t="inlineStr">
        <is>
          <t>no label votes</t>
        </is>
      </c>
      <c r="H1010" s="5" t="inlineStr">
        <is>
          <t>(none)</t>
        </is>
      </c>
      <c r="I1010" s="5" t="inlineStr"/>
      <c r="J1010" s="5" t="inlineStr"/>
      <c r="K1010" s="5" t="n">
        <v>378</v>
      </c>
      <c r="L1010" s="5" t="n">
        <v>140</v>
      </c>
      <c r="M1010" s="10">
        <f>IF(AND(ISNUMBER(K1010),L1010&gt;0),K1010/L1010,"")</f>
        <v/>
      </c>
      <c r="N1010" s="5" t="n">
        <v>5.29</v>
      </c>
      <c r="O1010" s="5" t="n">
        <v>140.9</v>
      </c>
      <c r="P1010" s="5" t="n">
        <v>0</v>
      </c>
      <c r="Q1010" s="5" t="n">
        <v>0</v>
      </c>
      <c r="R1010" s="5" t="n">
        <v>0</v>
      </c>
      <c r="S1010" s="5" t="n">
        <v>0</v>
      </c>
      <c r="T1010" s="5" t="n">
        <v>0</v>
      </c>
      <c r="U1010" s="5" t="n">
        <v>2</v>
      </c>
      <c r="V1010" s="5" t="n">
        <v>27</v>
      </c>
      <c r="W1010" s="5" t="n">
        <v>3.78</v>
      </c>
      <c r="X1010" s="5" t="inlineStr"/>
      <c r="Y1010" s="5" t="n">
        <v>851</v>
      </c>
      <c r="Z1010" s="5" t="n">
        <v>2588</v>
      </c>
      <c r="AA1010" s="5" t="n">
        <v>963.6</v>
      </c>
      <c r="AB1010" s="5" t="n">
        <v>2690.4</v>
      </c>
      <c r="AC1010" s="5" t="inlineStr"/>
      <c r="AD1010" s="5">
        <f>IF(AC1010="","",IF(OR(AC1010=F1010,AND(AC1010="crane_footing",F1010="isolated_footing")),"yes","no"))</f>
        <v/>
      </c>
    </row>
    <row r="1011">
      <c r="A1011" s="5" t="n">
        <v>1010</v>
      </c>
      <c r="B1011" s="5" t="inlineStr">
        <is>
          <t>129</t>
        </is>
      </c>
      <c r="C1011" s="5" t="inlineStr">
        <is>
          <t>nearest labels</t>
        </is>
      </c>
      <c r="D1011" s="5" t="inlineStr">
        <is>
          <t>band</t>
        </is>
      </c>
      <c r="E1011" s="5" t="n">
        <v>10</v>
      </c>
      <c r="F1011" s="5" t="inlineStr">
        <is>
          <t>unnamed</t>
        </is>
      </c>
      <c r="G1011" s="5" t="inlineStr">
        <is>
          <t>no label votes</t>
        </is>
      </c>
      <c r="H1011" s="5" t="inlineStr">
        <is>
          <t>SF4</t>
        </is>
      </c>
      <c r="I1011" s="5" t="inlineStr">
        <is>
          <t>printed label</t>
        </is>
      </c>
      <c r="J1011" s="5" t="inlineStr">
        <is>
          <t>SF4- 120x25</t>
        </is>
      </c>
      <c r="K1011" s="5" t="n">
        <v>378</v>
      </c>
      <c r="L1011" s="5" t="n">
        <v>121</v>
      </c>
      <c r="M1011" s="10">
        <f>IF(AND(ISNUMBER(K1011),L1011&gt;0),K1011/L1011,"")</f>
        <v/>
      </c>
      <c r="N1011" s="5" t="n">
        <v>4.571</v>
      </c>
      <c r="O1011" s="5" t="n">
        <v>140.9</v>
      </c>
      <c r="P1011" s="5" t="n">
        <v>2</v>
      </c>
      <c r="Q1011" s="5" t="n">
        <v>0</v>
      </c>
      <c r="R1011" s="5" t="n">
        <v>0</v>
      </c>
      <c r="S1011" s="5" t="n">
        <v>0</v>
      </c>
      <c r="T1011" s="5" t="n">
        <v>2</v>
      </c>
      <c r="U1011" s="5" t="n">
        <v>6</v>
      </c>
      <c r="V1011" s="5" t="n">
        <v>28</v>
      </c>
      <c r="W1011" s="5" t="n">
        <v>3.78</v>
      </c>
      <c r="X1011" s="5" t="inlineStr"/>
      <c r="Y1011" s="5" t="n">
        <v>877</v>
      </c>
      <c r="Z1011" s="5" t="n">
        <v>2620</v>
      </c>
      <c r="AA1011" s="5" t="n">
        <v>986.1</v>
      </c>
      <c r="AB1011" s="5" t="n">
        <v>2718.1</v>
      </c>
      <c r="AC1011" s="5" t="inlineStr"/>
      <c r="AD1011" s="5">
        <f>IF(AC1011="","",IF(OR(AC1011=F1011,AND(AC1011="crane_footing",F1011="isolated_footing")),"yes","no"))</f>
        <v/>
      </c>
    </row>
    <row r="1012">
      <c r="A1012" s="5" t="n">
        <v>1011</v>
      </c>
      <c r="B1012" s="5" t="inlineStr">
        <is>
          <t>130</t>
        </is>
      </c>
      <c r="C1012" s="5" t="inlineStr">
        <is>
          <t>own label</t>
        </is>
      </c>
      <c r="D1012" s="5" t="inlineStr">
        <is>
          <t>solid</t>
        </is>
      </c>
      <c r="E1012" s="5" t="n">
        <v>31</v>
      </c>
      <c r="F1012" s="5" t="inlineStr">
        <is>
          <t>column</t>
        </is>
      </c>
      <c r="G1012" s="5" t="inlineStr">
        <is>
          <t>label vote</t>
        </is>
      </c>
      <c r="H1012" s="5" t="inlineStr">
        <is>
          <t>P1/130</t>
        </is>
      </c>
      <c r="I1012" s="5" t="inlineStr">
        <is>
          <t>printed label</t>
        </is>
      </c>
      <c r="J1012" s="5" t="inlineStr">
        <is>
          <t>P1/130/130</t>
        </is>
      </c>
      <c r="K1012" s="5" t="n">
        <v>80</v>
      </c>
      <c r="L1012" s="5" t="n">
        <v>25</v>
      </c>
      <c r="M1012" s="10">
        <f>IF(AND(ISNUMBER(K1012),L1012&gt;0),K1012/L1012,"")</f>
        <v/>
      </c>
      <c r="N1012" s="5" t="n">
        <v>0.2</v>
      </c>
      <c r="O1012" s="5" t="n">
        <v>165.3</v>
      </c>
      <c r="P1012" s="5" t="n">
        <v>0</v>
      </c>
      <c r="Q1012" s="5" t="n">
        <v>0</v>
      </c>
      <c r="R1012" s="5" t="n">
        <v>0</v>
      </c>
      <c r="S1012" s="5" t="n">
        <v>1</v>
      </c>
      <c r="T1012" s="5" t="n">
        <v>0</v>
      </c>
      <c r="U1012" s="5" t="n">
        <v>2</v>
      </c>
      <c r="V1012" s="5" t="n">
        <v>1</v>
      </c>
      <c r="W1012" s="5" t="n"/>
      <c r="X1012" s="5" t="inlineStr"/>
      <c r="Y1012" s="5" t="n">
        <v>762.9</v>
      </c>
      <c r="Z1012" s="5" t="n">
        <v>1459</v>
      </c>
      <c r="AA1012" s="5" t="n">
        <v>787.7</v>
      </c>
      <c r="AB1012" s="5" t="n">
        <v>1472.2</v>
      </c>
      <c r="AC1012" s="5" t="inlineStr">
        <is>
          <t>column</t>
        </is>
      </c>
      <c r="AD1012" s="5">
        <f>IF(AC1012="","",IF(OR(AC1012=F1012,AND(AC1012="crane_footing",F1012="isolated_footing")),"yes","no"))</f>
        <v/>
      </c>
    </row>
    <row r="1013">
      <c r="A1013" s="5" t="n">
        <v>1012</v>
      </c>
      <c r="B1013" s="5" t="inlineStr">
        <is>
          <t>130</t>
        </is>
      </c>
      <c r="C1013" s="5" t="inlineStr">
        <is>
          <t>own label</t>
        </is>
      </c>
      <c r="D1013" s="5" t="inlineStr">
        <is>
          <t>solid</t>
        </is>
      </c>
      <c r="E1013" s="5" t="n">
        <v>31</v>
      </c>
      <c r="F1013" s="5" t="inlineStr">
        <is>
          <t>column</t>
        </is>
      </c>
      <c r="G1013" s="5" t="inlineStr">
        <is>
          <t>label vote</t>
        </is>
      </c>
      <c r="H1013" s="5" t="inlineStr">
        <is>
          <t>P1/130</t>
        </is>
      </c>
      <c r="I1013" s="5" t="inlineStr">
        <is>
          <t>printed label</t>
        </is>
      </c>
      <c r="J1013" s="5" t="inlineStr">
        <is>
          <t>P1/130/130</t>
        </is>
      </c>
      <c r="K1013" s="5" t="n">
        <v>80</v>
      </c>
      <c r="L1013" s="5" t="n">
        <v>25</v>
      </c>
      <c r="M1013" s="10">
        <f>IF(AND(ISNUMBER(K1013),L1013&gt;0),K1013/L1013,"")</f>
        <v/>
      </c>
      <c r="N1013" s="5" t="n">
        <v>0.2</v>
      </c>
      <c r="O1013" s="5" t="n">
        <v>165.3</v>
      </c>
      <c r="P1013" s="5" t="n">
        <v>0</v>
      </c>
      <c r="Q1013" s="5" t="n">
        <v>0</v>
      </c>
      <c r="R1013" s="5" t="n">
        <v>0</v>
      </c>
      <c r="S1013" s="5" t="n">
        <v>1</v>
      </c>
      <c r="T1013" s="5" t="n">
        <v>0</v>
      </c>
      <c r="U1013" s="5" t="n">
        <v>2</v>
      </c>
      <c r="V1013" s="5" t="n">
        <v>1</v>
      </c>
      <c r="W1013" s="5" t="n"/>
      <c r="X1013" s="5" t="inlineStr"/>
      <c r="Y1013" s="5" t="n">
        <v>792.9</v>
      </c>
      <c r="Z1013" s="5" t="n">
        <v>1379.5</v>
      </c>
      <c r="AA1013" s="5" t="n">
        <v>817.6</v>
      </c>
      <c r="AB1013" s="5" t="n">
        <v>1392.6</v>
      </c>
      <c r="AC1013" s="5" t="inlineStr">
        <is>
          <t>column</t>
        </is>
      </c>
      <c r="AD1013" s="5">
        <f>IF(AC1013="","",IF(OR(AC1013=F1013,AND(AC1013="crane_footing",F1013="isolated_footing")),"yes","no"))</f>
        <v/>
      </c>
    </row>
    <row r="1014">
      <c r="A1014" s="5" t="n">
        <v>1013</v>
      </c>
      <c r="B1014" s="5" t="inlineStr">
        <is>
          <t>130</t>
        </is>
      </c>
      <c r="C1014" s="5" t="inlineStr">
        <is>
          <t>own label</t>
        </is>
      </c>
      <c r="D1014" s="5" t="inlineStr">
        <is>
          <t>solid</t>
        </is>
      </c>
      <c r="E1014" s="5" t="n">
        <v>31</v>
      </c>
      <c r="F1014" s="5" t="inlineStr">
        <is>
          <t>column</t>
        </is>
      </c>
      <c r="G1014" s="5" t="inlineStr">
        <is>
          <t>label vote</t>
        </is>
      </c>
      <c r="H1014" s="5" t="inlineStr">
        <is>
          <t>P3/130</t>
        </is>
      </c>
      <c r="I1014" s="5" t="inlineStr">
        <is>
          <t>printed label</t>
        </is>
      </c>
      <c r="J1014" s="5" t="inlineStr">
        <is>
          <t>P3/130/130</t>
        </is>
      </c>
      <c r="K1014" s="5" t="n">
        <v>40</v>
      </c>
      <c r="L1014" s="5" t="n">
        <v>25</v>
      </c>
      <c r="M1014" s="10">
        <f>IF(AND(ISNUMBER(K1014),L1014&gt;0),K1014/L1014,"")</f>
        <v/>
      </c>
      <c r="N1014" s="5" t="n">
        <v>0.101</v>
      </c>
      <c r="O1014" s="5" t="n">
        <v>165.3</v>
      </c>
      <c r="P1014" s="5" t="n">
        <v>0</v>
      </c>
      <c r="Q1014" s="5" t="n">
        <v>1</v>
      </c>
      <c r="R1014" s="5" t="n">
        <v>0</v>
      </c>
      <c r="S1014" s="5" t="n">
        <v>0</v>
      </c>
      <c r="T1014" s="5" t="n">
        <v>0</v>
      </c>
      <c r="U1014" s="5" t="n">
        <v>0</v>
      </c>
      <c r="V1014" s="5" t="n">
        <v>2</v>
      </c>
      <c r="W1014" s="5" t="n"/>
      <c r="X1014" s="5" t="inlineStr"/>
      <c r="Y1014" s="5" t="n">
        <v>709.4</v>
      </c>
      <c r="Z1014" s="5" t="n">
        <v>1278.5</v>
      </c>
      <c r="AA1014" s="5" t="n">
        <v>722.7</v>
      </c>
      <c r="AB1014" s="5" t="n">
        <v>1288.7</v>
      </c>
      <c r="AC1014" s="5" t="inlineStr">
        <is>
          <t>column</t>
        </is>
      </c>
      <c r="AD1014" s="5">
        <f>IF(AC1014="","",IF(OR(AC1014=F1014,AND(AC1014="crane_footing",F1014="isolated_footing")),"yes","no"))</f>
        <v/>
      </c>
    </row>
    <row r="1015">
      <c r="A1015" s="5" t="n">
        <v>1014</v>
      </c>
      <c r="B1015" s="5" t="inlineStr">
        <is>
          <t>130</t>
        </is>
      </c>
      <c r="C1015" s="5" t="inlineStr">
        <is>
          <t>own label</t>
        </is>
      </c>
      <c r="D1015" s="5" t="inlineStr">
        <is>
          <t>solid</t>
        </is>
      </c>
      <c r="E1015" s="5" t="n">
        <v>31</v>
      </c>
      <c r="F1015" s="5" t="inlineStr">
        <is>
          <t>column</t>
        </is>
      </c>
      <c r="G1015" s="5" t="inlineStr">
        <is>
          <t>label vote</t>
        </is>
      </c>
      <c r="H1015" s="5" t="inlineStr">
        <is>
          <t>P3/130</t>
        </is>
      </c>
      <c r="I1015" s="5" t="inlineStr">
        <is>
          <t>printed label</t>
        </is>
      </c>
      <c r="J1015" s="5" t="inlineStr">
        <is>
          <t>P3/130/130</t>
        </is>
      </c>
      <c r="K1015" s="5" t="n">
        <v>40</v>
      </c>
      <c r="L1015" s="5" t="n">
        <v>25</v>
      </c>
      <c r="M1015" s="10">
        <f>IF(AND(ISNUMBER(K1015),L1015&gt;0),K1015/L1015,"")</f>
        <v/>
      </c>
      <c r="N1015" s="5" t="n">
        <v>0.1</v>
      </c>
      <c r="O1015" s="5" t="n">
        <v>165.3</v>
      </c>
      <c r="P1015" s="5" t="n">
        <v>1</v>
      </c>
      <c r="Q1015" s="5" t="n">
        <v>1</v>
      </c>
      <c r="R1015" s="5" t="n">
        <v>0</v>
      </c>
      <c r="S1015" s="5" t="n">
        <v>0</v>
      </c>
      <c r="T1015" s="5" t="n">
        <v>0</v>
      </c>
      <c r="U1015" s="5" t="n">
        <v>0</v>
      </c>
      <c r="V1015" s="5" t="n">
        <v>1</v>
      </c>
      <c r="W1015" s="5" t="n"/>
      <c r="X1015" s="5" t="inlineStr"/>
      <c r="Y1015" s="5" t="n">
        <v>611</v>
      </c>
      <c r="Z1015" s="5" t="n">
        <v>1304.5</v>
      </c>
      <c r="AA1015" s="5" t="n">
        <v>624.3</v>
      </c>
      <c r="AB1015" s="5" t="n">
        <v>1314.6</v>
      </c>
      <c r="AC1015" s="5" t="inlineStr">
        <is>
          <t>column</t>
        </is>
      </c>
      <c r="AD1015" s="5">
        <f>IF(AC1015="","",IF(OR(AC1015=F1015,AND(AC1015="crane_footing",F1015="isolated_footing")),"yes","no"))</f>
        <v/>
      </c>
    </row>
    <row r="1016">
      <c r="A1016" s="5" t="n">
        <v>1015</v>
      </c>
      <c r="B1016" s="5" t="inlineStr">
        <is>
          <t>130</t>
        </is>
      </c>
      <c r="C1016" s="5" t="inlineStr">
        <is>
          <t>region between joints</t>
        </is>
      </c>
      <c r="D1016" s="5" t="inlineStr">
        <is>
          <t>solid</t>
        </is>
      </c>
      <c r="E1016" s="5" t="n">
        <v>30</v>
      </c>
      <c r="F1016" s="5" t="inlineStr">
        <is>
          <t>shear_wall</t>
        </is>
      </c>
      <c r="G1016" s="5" t="inlineStr">
        <is>
          <t>label vote</t>
        </is>
      </c>
      <c r="H1016" s="5" t="inlineStr">
        <is>
          <t>(none)</t>
        </is>
      </c>
      <c r="I1016" s="5" t="inlineStr">
        <is>
          <t>no shear_wall type in its building has this size</t>
        </is>
      </c>
      <c r="J1016" s="5" t="inlineStr"/>
      <c r="K1016" s="5" t="n">
        <v>500</v>
      </c>
      <c r="L1016" s="5" t="n">
        <v>25</v>
      </c>
      <c r="M1016" s="10">
        <f>IF(AND(ISNUMBER(K1016),L1016&gt;0),K1016/L1016,"")</f>
        <v/>
      </c>
      <c r="N1016" s="5" t="n">
        <v>1.249</v>
      </c>
      <c r="O1016" s="5" t="n">
        <v>165.3</v>
      </c>
      <c r="P1016" s="5" t="n">
        <v>2</v>
      </c>
      <c r="Q1016" s="5" t="n">
        <v>0</v>
      </c>
      <c r="R1016" s="5" t="n">
        <v>0</v>
      </c>
      <c r="S1016" s="5" t="n">
        <v>1</v>
      </c>
      <c r="T1016" s="5" t="n">
        <v>0</v>
      </c>
      <c r="U1016" s="5" t="n">
        <v>3</v>
      </c>
      <c r="V1016" s="5" t="n">
        <v>1</v>
      </c>
      <c r="W1016" s="5" t="n"/>
      <c r="X1016" s="5" t="inlineStr"/>
      <c r="Y1016" s="5" t="n">
        <v>482.1</v>
      </c>
      <c r="Z1016" s="5" t="n">
        <v>1501.2</v>
      </c>
      <c r="AA1016" s="5" t="n">
        <v>626.7</v>
      </c>
      <c r="AB1016" s="5" t="n">
        <v>1545.9</v>
      </c>
      <c r="AC1016" s="5" t="inlineStr"/>
      <c r="AD1016" s="5">
        <f>IF(AC1016="","",IF(OR(AC1016=F1016,AND(AC1016="crane_footing",F1016="isolated_footing")),"yes","no"))</f>
        <v/>
      </c>
    </row>
    <row r="1017">
      <c r="A1017" s="5" t="n">
        <v>1016</v>
      </c>
      <c r="B1017" s="5" t="inlineStr">
        <is>
          <t>130</t>
        </is>
      </c>
      <c r="C1017" s="5" t="inlineStr">
        <is>
          <t>region between joints</t>
        </is>
      </c>
      <c r="D1017" s="5" t="inlineStr">
        <is>
          <t>solid</t>
        </is>
      </c>
      <c r="E1017" s="5" t="n">
        <v>30</v>
      </c>
      <c r="F1017" s="5" t="inlineStr">
        <is>
          <t>shear_wall</t>
        </is>
      </c>
      <c r="G1017" s="5" t="inlineStr">
        <is>
          <t>label vote</t>
        </is>
      </c>
      <c r="H1017" s="5" t="inlineStr">
        <is>
          <t>(none)</t>
        </is>
      </c>
      <c r="I1017" s="5" t="inlineStr">
        <is>
          <t>no shear_wall type in its building has this size</t>
        </is>
      </c>
      <c r="J1017" s="5" t="inlineStr"/>
      <c r="K1017" s="5" t="n">
        <v>337</v>
      </c>
      <c r="L1017" s="5" t="n">
        <v>25</v>
      </c>
      <c r="M1017" s="10">
        <f>IF(AND(ISNUMBER(K1017),L1017&gt;0),K1017/L1017,"")</f>
        <v/>
      </c>
      <c r="N1017" s="5" t="n">
        <v>0.842</v>
      </c>
      <c r="O1017" s="5" t="n">
        <v>165.2</v>
      </c>
      <c r="P1017" s="5" t="n">
        <v>2</v>
      </c>
      <c r="Q1017" s="5" t="n">
        <v>0</v>
      </c>
      <c r="R1017" s="5" t="n">
        <v>0</v>
      </c>
      <c r="S1017" s="5" t="n">
        <v>1</v>
      </c>
      <c r="T1017" s="5" t="n">
        <v>0</v>
      </c>
      <c r="U1017" s="5" t="n">
        <v>3</v>
      </c>
      <c r="V1017" s="5" t="n">
        <v>1</v>
      </c>
      <c r="W1017" s="5" t="n"/>
      <c r="X1017" s="5" t="inlineStr"/>
      <c r="Y1017" s="5" t="n">
        <v>635.4</v>
      </c>
      <c r="Z1017" s="5" t="n">
        <v>1347.8</v>
      </c>
      <c r="AA1017" s="5" t="n">
        <v>733.7</v>
      </c>
      <c r="AB1017" s="5" t="n">
        <v>1380.3</v>
      </c>
      <c r="AC1017" s="5" t="inlineStr"/>
      <c r="AD1017" s="5">
        <f>IF(AC1017="","",IF(OR(AC1017=F1017,AND(AC1017="crane_footing",F1017="isolated_footing")),"yes","no"))</f>
        <v/>
      </c>
    </row>
    <row r="1018">
      <c r="A1018" s="5" t="n">
        <v>1017</v>
      </c>
      <c r="B1018" s="5" t="inlineStr">
        <is>
          <t>130</t>
        </is>
      </c>
      <c r="C1018" s="5" t="inlineStr">
        <is>
          <t>region between joints</t>
        </is>
      </c>
      <c r="D1018" s="5" t="inlineStr">
        <is>
          <t>solid</t>
        </is>
      </c>
      <c r="E1018" s="5" t="n">
        <v>32</v>
      </c>
      <c r="F1018" s="5" t="inlineStr">
        <is>
          <t>shear_wall</t>
        </is>
      </c>
      <c r="G1018" s="5" t="inlineStr">
        <is>
          <t>label vote</t>
        </is>
      </c>
      <c r="H1018" s="5" t="inlineStr">
        <is>
          <t>(none)</t>
        </is>
      </c>
      <c r="I1018" s="5" t="inlineStr">
        <is>
          <t>no shear_wall type in its building has this size</t>
        </is>
      </c>
      <c r="J1018" s="5" t="inlineStr"/>
      <c r="K1018" s="5" t="n">
        <v>175</v>
      </c>
      <c r="L1018" s="5" t="n">
        <v>25</v>
      </c>
      <c r="M1018" s="10">
        <f>IF(AND(ISNUMBER(K1018),L1018&gt;0),K1018/L1018,"")</f>
        <v/>
      </c>
      <c r="N1018" s="5" t="n">
        <v>0.438</v>
      </c>
      <c r="O1018" s="5" t="n">
        <v>75.2</v>
      </c>
      <c r="P1018" s="5" t="n">
        <v>1</v>
      </c>
      <c r="Q1018" s="5" t="n">
        <v>0</v>
      </c>
      <c r="R1018" s="5" t="n">
        <v>0</v>
      </c>
      <c r="S1018" s="5" t="n">
        <v>1</v>
      </c>
      <c r="T1018" s="5" t="n">
        <v>0</v>
      </c>
      <c r="U1018" s="5" t="n">
        <v>1</v>
      </c>
      <c r="V1018" s="5" t="n">
        <v>3</v>
      </c>
      <c r="W1018" s="5" t="n"/>
      <c r="X1018" s="5" t="inlineStr"/>
      <c r="Y1018" s="5" t="n">
        <v>733.7</v>
      </c>
      <c r="Z1018" s="5" t="n">
        <v>1353</v>
      </c>
      <c r="AA1018" s="5" t="n">
        <v>754</v>
      </c>
      <c r="AB1018" s="5" t="n">
        <v>1404.9</v>
      </c>
      <c r="AC1018" s="5" t="inlineStr"/>
      <c r="AD1018" s="5">
        <f>IF(AC1018="","",IF(OR(AC1018=F1018,AND(AC1018="crane_footing",F1018="isolated_footing")),"yes","no"))</f>
        <v/>
      </c>
    </row>
    <row r="1019">
      <c r="A1019" s="5" t="n">
        <v>1018</v>
      </c>
      <c r="B1019" s="5" t="inlineStr">
        <is>
          <t>130</t>
        </is>
      </c>
      <c r="C1019" s="5" t="inlineStr">
        <is>
          <t>region between joints</t>
        </is>
      </c>
      <c r="D1019" s="5" t="inlineStr">
        <is>
          <t>solid</t>
        </is>
      </c>
      <c r="E1019" s="5" t="n">
        <v>30</v>
      </c>
      <c r="F1019" s="5" t="inlineStr">
        <is>
          <t>shear_wall</t>
        </is>
      </c>
      <c r="G1019" s="5" t="inlineStr">
        <is>
          <t>label vote</t>
        </is>
      </c>
      <c r="H1019" s="5" t="inlineStr">
        <is>
          <t>(none)</t>
        </is>
      </c>
      <c r="I1019" s="5" t="inlineStr">
        <is>
          <t>no shear_wall type in its building has this size</t>
        </is>
      </c>
      <c r="J1019" s="5" t="inlineStr"/>
      <c r="K1019" s="5" t="n">
        <v>175</v>
      </c>
      <c r="L1019" s="5" t="n">
        <v>25</v>
      </c>
      <c r="M1019" s="10">
        <f>IF(AND(ISNUMBER(K1019),L1019&gt;0),K1019/L1019,"")</f>
        <v/>
      </c>
      <c r="N1019" s="5" t="n">
        <v>0.437</v>
      </c>
      <c r="O1019" s="5" t="n">
        <v>75.2</v>
      </c>
      <c r="P1019" s="5" t="n">
        <v>3</v>
      </c>
      <c r="Q1019" s="5" t="n">
        <v>0</v>
      </c>
      <c r="R1019" s="5" t="n">
        <v>0</v>
      </c>
      <c r="S1019" s="5" t="n">
        <v>1</v>
      </c>
      <c r="T1019" s="5" t="n">
        <v>0</v>
      </c>
      <c r="U1019" s="5" t="n">
        <v>2</v>
      </c>
      <c r="V1019" s="5" t="n">
        <v>1</v>
      </c>
      <c r="W1019" s="5" t="n"/>
      <c r="X1019" s="5" t="inlineStr"/>
      <c r="Y1019" s="5" t="n">
        <v>630.2</v>
      </c>
      <c r="Z1019" s="5" t="n">
        <v>1380.3</v>
      </c>
      <c r="AA1019" s="5" t="n">
        <v>650.5</v>
      </c>
      <c r="AB1019" s="5" t="n">
        <v>1432.2</v>
      </c>
      <c r="AC1019" s="5" t="inlineStr"/>
      <c r="AD1019" s="5">
        <f>IF(AC1019="","",IF(OR(AC1019=F1019,AND(AC1019="crane_footing",F1019="isolated_footing")),"yes","no"))</f>
        <v/>
      </c>
    </row>
    <row r="1020">
      <c r="A1020" s="5" t="n">
        <v>1019</v>
      </c>
      <c r="B1020" s="5" t="inlineStr">
        <is>
          <t>130</t>
        </is>
      </c>
      <c r="C1020" s="5" t="inlineStr">
        <is>
          <t>region between joints</t>
        </is>
      </c>
      <c r="D1020" s="5" t="inlineStr">
        <is>
          <t>solid</t>
        </is>
      </c>
      <c r="E1020" s="5" t="n">
        <v>32</v>
      </c>
      <c r="F1020" s="5" t="inlineStr">
        <is>
          <t>shear_wall</t>
        </is>
      </c>
      <c r="G1020" s="5" t="inlineStr">
        <is>
          <t>label vote</t>
        </is>
      </c>
      <c r="H1020" s="5" t="inlineStr">
        <is>
          <t>(none)</t>
        </is>
      </c>
      <c r="I1020" s="5" t="inlineStr">
        <is>
          <t>no shear_wall type in its building has this size</t>
        </is>
      </c>
      <c r="J1020" s="5" t="inlineStr"/>
      <c r="K1020" s="5" t="n">
        <v>270</v>
      </c>
      <c r="L1020" s="5" t="n">
        <v>25</v>
      </c>
      <c r="M1020" s="10">
        <f>IF(AND(ISNUMBER(K1020),L1020&gt;0),K1020/L1020,"")</f>
        <v/>
      </c>
      <c r="N1020" s="5" t="n">
        <v>0.673</v>
      </c>
      <c r="O1020" s="5" t="n">
        <v>75.2</v>
      </c>
      <c r="P1020" s="5" t="n">
        <v>1</v>
      </c>
      <c r="Q1020" s="5" t="n">
        <v>0</v>
      </c>
      <c r="R1020" s="5" t="n">
        <v>0</v>
      </c>
      <c r="S1020" s="5" t="n">
        <v>1</v>
      </c>
      <c r="T1020" s="5" t="n">
        <v>0</v>
      </c>
      <c r="U1020" s="5" t="n">
        <v>0</v>
      </c>
      <c r="V1020" s="5" t="n">
        <v>0</v>
      </c>
      <c r="W1020" s="5" t="n"/>
      <c r="X1020" s="5" t="inlineStr"/>
      <c r="Y1020" s="5" t="n">
        <v>461.8</v>
      </c>
      <c r="Z1020" s="5" t="n">
        <v>1459.8</v>
      </c>
      <c r="AA1020" s="5" t="n">
        <v>489.2</v>
      </c>
      <c r="AB1020" s="5" t="n">
        <v>1538.7</v>
      </c>
      <c r="AC1020" s="5" t="inlineStr"/>
      <c r="AD1020" s="5">
        <f>IF(AC1020="","",IF(OR(AC1020=F1020,AND(AC1020="crane_footing",F1020="isolated_footing")),"yes","no"))</f>
        <v/>
      </c>
    </row>
    <row r="1021">
      <c r="A1021" s="5" t="n">
        <v>1020</v>
      </c>
      <c r="B1021" s="5" t="inlineStr">
        <is>
          <t>130</t>
        </is>
      </c>
      <c r="C1021" s="5" t="inlineStr">
        <is>
          <t>own label</t>
        </is>
      </c>
      <c r="D1021" s="5" t="inlineStr">
        <is>
          <t>solid</t>
        </is>
      </c>
      <c r="E1021" s="5" t="n">
        <v>32</v>
      </c>
      <c r="F1021" s="5" t="inlineStr">
        <is>
          <t>shear_wall</t>
        </is>
      </c>
      <c r="G1021" s="5" t="inlineStr">
        <is>
          <t>label vote</t>
        </is>
      </c>
      <c r="H1021" s="5" t="inlineStr">
        <is>
          <t>V1/130</t>
        </is>
      </c>
      <c r="I1021" s="5" t="inlineStr">
        <is>
          <t>printed label</t>
        </is>
      </c>
      <c r="J1021" s="5" t="inlineStr">
        <is>
          <t>V1/130/130</t>
        </is>
      </c>
      <c r="K1021" s="5" t="n">
        <v>125</v>
      </c>
      <c r="L1021" s="5" t="n">
        <v>25</v>
      </c>
      <c r="M1021" s="10">
        <f>IF(AND(ISNUMBER(K1021),L1021&gt;0),K1021/L1021,"")</f>
        <v/>
      </c>
      <c r="N1021" s="5" t="n">
        <v>0.313</v>
      </c>
      <c r="O1021" s="5" t="n">
        <v>165.2</v>
      </c>
      <c r="P1021" s="5" t="n">
        <v>1</v>
      </c>
      <c r="Q1021" s="5" t="n">
        <v>1</v>
      </c>
      <c r="R1021" s="5" t="n">
        <v>0</v>
      </c>
      <c r="S1021" s="5" t="n">
        <v>0</v>
      </c>
      <c r="T1021" s="5" t="n">
        <v>0</v>
      </c>
      <c r="U1021" s="5" t="n">
        <v>3</v>
      </c>
      <c r="V1021" s="5" t="n">
        <v>3</v>
      </c>
      <c r="W1021" s="5" t="n"/>
      <c r="X1021" s="5" t="inlineStr"/>
      <c r="Y1021" s="5" t="n">
        <v>797.2</v>
      </c>
      <c r="Z1021" s="5" t="n">
        <v>1841</v>
      </c>
      <c r="AA1021" s="5" t="n">
        <v>834.8</v>
      </c>
      <c r="AB1021" s="5" t="n">
        <v>1857.6</v>
      </c>
      <c r="AC1021" s="5" t="inlineStr"/>
      <c r="AD1021" s="5">
        <f>IF(AC1021="","",IF(OR(AC1021=F1021,AND(AC1021="crane_footing",F1021="isolated_footing")),"yes","no"))</f>
        <v/>
      </c>
    </row>
    <row r="1022">
      <c r="A1022" s="5" t="n">
        <v>1021</v>
      </c>
      <c r="B1022" s="5" t="inlineStr">
        <is>
          <t>130</t>
        </is>
      </c>
      <c r="C1022" s="5" t="inlineStr">
        <is>
          <t>own label</t>
        </is>
      </c>
      <c r="D1022" s="5" t="inlineStr">
        <is>
          <t>solid</t>
        </is>
      </c>
      <c r="E1022" s="5" t="n">
        <v>30</v>
      </c>
      <c r="F1022" s="5" t="inlineStr">
        <is>
          <t>shear_wall</t>
        </is>
      </c>
      <c r="G1022" s="5" t="inlineStr">
        <is>
          <t>label vote</t>
        </is>
      </c>
      <c r="H1022" s="5" t="inlineStr">
        <is>
          <t>V1/130</t>
        </is>
      </c>
      <c r="I1022" s="5" t="inlineStr">
        <is>
          <t>printed label</t>
        </is>
      </c>
      <c r="J1022" s="5" t="inlineStr">
        <is>
          <t>V1/130/130</t>
        </is>
      </c>
      <c r="K1022" s="5" t="n">
        <v>125</v>
      </c>
      <c r="L1022" s="5" t="n">
        <v>25</v>
      </c>
      <c r="M1022" s="10">
        <f>IF(AND(ISNUMBER(K1022),L1022&gt;0),K1022/L1022,"")</f>
        <v/>
      </c>
      <c r="N1022" s="5" t="n">
        <v>0.312</v>
      </c>
      <c r="O1022" s="5" t="n">
        <v>2.8</v>
      </c>
      <c r="P1022" s="5" t="n">
        <v>2</v>
      </c>
      <c r="Q1022" s="5" t="n">
        <v>1</v>
      </c>
      <c r="R1022" s="5" t="n">
        <v>0</v>
      </c>
      <c r="S1022" s="5" t="n">
        <v>0</v>
      </c>
      <c r="T1022" s="5" t="n">
        <v>0</v>
      </c>
      <c r="U1022" s="5" t="n">
        <v>1</v>
      </c>
      <c r="V1022" s="5" t="n">
        <v>1</v>
      </c>
      <c r="W1022" s="5" t="n"/>
      <c r="X1022" s="5" t="inlineStr"/>
      <c r="Y1022" s="5" t="n">
        <v>882.2</v>
      </c>
      <c r="Z1022" s="5" t="n">
        <v>1227.8</v>
      </c>
      <c r="AA1022" s="5" t="n">
        <v>919.5</v>
      </c>
      <c r="AB1022" s="5" t="n">
        <v>1237</v>
      </c>
      <c r="AC1022" s="5" t="inlineStr"/>
      <c r="AD1022" s="5">
        <f>IF(AC1022="","",IF(OR(AC1022=F1022,AND(AC1022="crane_footing",F1022="isolated_footing")),"yes","no"))</f>
        <v/>
      </c>
    </row>
    <row r="1023">
      <c r="A1023" s="5" t="n">
        <v>1022</v>
      </c>
      <c r="B1023" s="5" t="inlineStr">
        <is>
          <t>130</t>
        </is>
      </c>
      <c r="C1023" s="5" t="inlineStr">
        <is>
          <t>own label</t>
        </is>
      </c>
      <c r="D1023" s="5" t="inlineStr">
        <is>
          <t>solid</t>
        </is>
      </c>
      <c r="E1023" s="5" t="n">
        <v>32</v>
      </c>
      <c r="F1023" s="5" t="inlineStr">
        <is>
          <t>shear_wall</t>
        </is>
      </c>
      <c r="G1023" s="5" t="inlineStr">
        <is>
          <t>label vote</t>
        </is>
      </c>
      <c r="H1023" s="5" t="inlineStr">
        <is>
          <t>V1/130</t>
        </is>
      </c>
      <c r="I1023" s="5" t="inlineStr">
        <is>
          <t>printed label</t>
        </is>
      </c>
      <c r="J1023" s="5" t="inlineStr">
        <is>
          <t>V1/130/130</t>
        </is>
      </c>
      <c r="K1023" s="5" t="n">
        <v>125</v>
      </c>
      <c r="L1023" s="5" t="n">
        <v>25</v>
      </c>
      <c r="M1023" s="10">
        <f>IF(AND(ISNUMBER(K1023),L1023&gt;0),K1023/L1023,"")</f>
        <v/>
      </c>
      <c r="N1023" s="5" t="n">
        <v>0.312</v>
      </c>
      <c r="O1023" s="5" t="n">
        <v>2.8</v>
      </c>
      <c r="P1023" s="5" t="n">
        <v>1</v>
      </c>
      <c r="Q1023" s="5" t="n">
        <v>1</v>
      </c>
      <c r="R1023" s="5" t="n">
        <v>0</v>
      </c>
      <c r="S1023" s="5" t="n">
        <v>0</v>
      </c>
      <c r="T1023" s="5" t="n">
        <v>0</v>
      </c>
      <c r="U1023" s="5" t="n">
        <v>0</v>
      </c>
      <c r="V1023" s="5" t="n">
        <v>0</v>
      </c>
      <c r="W1023" s="5" t="n"/>
      <c r="X1023" s="5" t="inlineStr"/>
      <c r="Y1023" s="5" t="n">
        <v>632.9</v>
      </c>
      <c r="Z1023" s="5" t="n">
        <v>1215.3</v>
      </c>
      <c r="AA1023" s="5" t="n">
        <v>670.1</v>
      </c>
      <c r="AB1023" s="5" t="n">
        <v>1224.5</v>
      </c>
      <c r="AC1023" s="5" t="inlineStr"/>
      <c r="AD1023" s="5">
        <f>IF(AC1023="","",IF(OR(AC1023=F1023,AND(AC1023="crane_footing",F1023="isolated_footing")),"yes","no"))</f>
        <v/>
      </c>
    </row>
    <row r="1024">
      <c r="A1024" s="5" t="n">
        <v>1023</v>
      </c>
      <c r="B1024" s="5" t="inlineStr">
        <is>
          <t>130</t>
        </is>
      </c>
      <c r="C1024" s="5" t="inlineStr">
        <is>
          <t>own label</t>
        </is>
      </c>
      <c r="D1024" s="5" t="inlineStr">
        <is>
          <t>solid</t>
        </is>
      </c>
      <c r="E1024" s="5" t="n">
        <v>36</v>
      </c>
      <c r="F1024" s="5" t="inlineStr">
        <is>
          <t>shear_wall</t>
        </is>
      </c>
      <c r="G1024" s="5" t="inlineStr">
        <is>
          <t>label vote</t>
        </is>
      </c>
      <c r="H1024" s="5" t="inlineStr">
        <is>
          <t>V1/130</t>
        </is>
      </c>
      <c r="I1024" s="5" t="inlineStr">
        <is>
          <t>printed label</t>
        </is>
      </c>
      <c r="J1024" s="5" t="inlineStr">
        <is>
          <t>V1/130/130</t>
        </is>
      </c>
      <c r="K1024" s="5" t="n">
        <v>125</v>
      </c>
      <c r="L1024" s="5" t="n">
        <v>25</v>
      </c>
      <c r="M1024" s="10">
        <f>IF(AND(ISNUMBER(K1024),L1024&gt;0),K1024/L1024,"")</f>
        <v/>
      </c>
      <c r="N1024" s="5" t="n">
        <v>0.312</v>
      </c>
      <c r="O1024" s="5" t="n">
        <v>165.3</v>
      </c>
      <c r="P1024" s="5" t="n">
        <v>0</v>
      </c>
      <c r="Q1024" s="5" t="n">
        <v>1</v>
      </c>
      <c r="R1024" s="5" t="n">
        <v>0</v>
      </c>
      <c r="S1024" s="5" t="n">
        <v>0</v>
      </c>
      <c r="T1024" s="5" t="n">
        <v>0</v>
      </c>
      <c r="U1024" s="5" t="n">
        <v>2</v>
      </c>
      <c r="V1024" s="5" t="n">
        <v>4</v>
      </c>
      <c r="W1024" s="5" t="n"/>
      <c r="X1024" s="5" t="inlineStr"/>
      <c r="Y1024" s="5" t="n">
        <v>1029</v>
      </c>
      <c r="Z1024" s="5" t="n">
        <v>1780</v>
      </c>
      <c r="AA1024" s="5" t="n">
        <v>1066.6</v>
      </c>
      <c r="AB1024" s="5" t="n">
        <v>1796.5</v>
      </c>
      <c r="AC1024" s="5" t="inlineStr">
        <is>
          <t>shear_wall</t>
        </is>
      </c>
      <c r="AD1024" s="5">
        <f>IF(AC1024="","",IF(OR(AC1024=F1024,AND(AC1024="crane_footing",F1024="isolated_footing")),"yes","no"))</f>
        <v/>
      </c>
    </row>
    <row r="1025">
      <c r="A1025" s="5" t="n">
        <v>1024</v>
      </c>
      <c r="B1025" s="5" t="inlineStr">
        <is>
          <t>130</t>
        </is>
      </c>
      <c r="C1025" s="5" t="inlineStr">
        <is>
          <t>region between joints</t>
        </is>
      </c>
      <c r="D1025" s="5" t="inlineStr">
        <is>
          <t>solid</t>
        </is>
      </c>
      <c r="E1025" s="5" t="n">
        <v>36</v>
      </c>
      <c r="F1025" s="5" t="inlineStr">
        <is>
          <t>shear_wall</t>
        </is>
      </c>
      <c r="G1025" s="5" t="inlineStr">
        <is>
          <t>label vote</t>
        </is>
      </c>
      <c r="H1025" s="5" t="inlineStr">
        <is>
          <t>V1/130|V6/130</t>
        </is>
      </c>
      <c r="I1025" s="5" t="inlineStr">
        <is>
          <t>inferred, ambiguous: 2 shear_wall types in its building have this size (nearest first)</t>
        </is>
      </c>
      <c r="J1025" s="5" t="inlineStr"/>
      <c r="K1025" s="5" t="n">
        <v>123</v>
      </c>
      <c r="L1025" s="5" t="n">
        <v>25</v>
      </c>
      <c r="M1025" s="10">
        <f>IF(AND(ISNUMBER(K1025),L1025&gt;0),K1025/L1025,"")</f>
        <v/>
      </c>
      <c r="N1025" s="5" t="n">
        <v>0.307</v>
      </c>
      <c r="O1025" s="5" t="n">
        <v>75.2</v>
      </c>
      <c r="P1025" s="5" t="n">
        <v>0</v>
      </c>
      <c r="Q1025" s="5" t="n">
        <v>0</v>
      </c>
      <c r="R1025" s="5" t="n">
        <v>0</v>
      </c>
      <c r="S1025" s="5" t="n">
        <v>1</v>
      </c>
      <c r="T1025" s="5" t="n">
        <v>0</v>
      </c>
      <c r="U1025" s="5" t="n">
        <v>2</v>
      </c>
      <c r="V1025" s="5" t="n">
        <v>2</v>
      </c>
      <c r="W1025" s="5" t="n"/>
      <c r="X1025" s="5" t="inlineStr"/>
      <c r="Y1025" s="5" t="n">
        <v>597.4</v>
      </c>
      <c r="Z1025" s="5" t="n">
        <v>1424</v>
      </c>
      <c r="AA1025" s="5" t="n">
        <v>613.8</v>
      </c>
      <c r="AB1025" s="5" t="n">
        <v>1461</v>
      </c>
      <c r="AC1025" s="5" t="inlineStr"/>
      <c r="AD1025" s="5">
        <f>IF(AC1025="","",IF(OR(AC1025=F1025,AND(AC1025="crane_footing",F1025="isolated_footing")),"yes","no"))</f>
        <v/>
      </c>
    </row>
    <row r="1026">
      <c r="A1026" s="5" t="n">
        <v>1025</v>
      </c>
      <c r="B1026" s="5" t="inlineStr">
        <is>
          <t>130</t>
        </is>
      </c>
      <c r="C1026" s="5" t="inlineStr">
        <is>
          <t>own label</t>
        </is>
      </c>
      <c r="D1026" s="5" t="inlineStr">
        <is>
          <t>solid</t>
        </is>
      </c>
      <c r="E1026" s="5" t="n">
        <v>35</v>
      </c>
      <c r="F1026" s="5" t="inlineStr">
        <is>
          <t>shear_wall</t>
        </is>
      </c>
      <c r="G1026" s="5" t="inlineStr">
        <is>
          <t>label vote</t>
        </is>
      </c>
      <c r="H1026" s="5" t="inlineStr">
        <is>
          <t>V3/130</t>
        </is>
      </c>
      <c r="I1026" s="5" t="inlineStr">
        <is>
          <t>printed label</t>
        </is>
      </c>
      <c r="J1026" s="5" t="inlineStr">
        <is>
          <t>V3/130/130</t>
        </is>
      </c>
      <c r="K1026" s="5" t="n">
        <v>200</v>
      </c>
      <c r="L1026" s="5" t="n">
        <v>30</v>
      </c>
      <c r="M1026" s="10">
        <f>IF(AND(ISNUMBER(K1026),L1026&gt;0),K1026/L1026,"")</f>
        <v/>
      </c>
      <c r="N1026" s="5" t="n">
        <v>0.603</v>
      </c>
      <c r="O1026" s="5" t="n">
        <v>165.3</v>
      </c>
      <c r="P1026" s="5" t="n">
        <v>0</v>
      </c>
      <c r="Q1026" s="5" t="n">
        <v>1</v>
      </c>
      <c r="R1026" s="5" t="n">
        <v>0</v>
      </c>
      <c r="S1026" s="5" t="n">
        <v>1</v>
      </c>
      <c r="T1026" s="5" t="n">
        <v>0</v>
      </c>
      <c r="U1026" s="5" t="n">
        <v>1</v>
      </c>
      <c r="V1026" s="5" t="n">
        <v>1</v>
      </c>
      <c r="W1026" s="5" t="n"/>
      <c r="X1026" s="5" t="inlineStr"/>
      <c r="Y1026" s="5" t="n">
        <v>910.4</v>
      </c>
      <c r="Z1026" s="5" t="n">
        <v>1411</v>
      </c>
      <c r="AA1026" s="5" t="n">
        <v>969.8</v>
      </c>
      <c r="AB1026" s="5" t="n">
        <v>1434.6</v>
      </c>
      <c r="AC1026" s="5" t="inlineStr">
        <is>
          <t>shear_wall</t>
        </is>
      </c>
      <c r="AD1026" s="5">
        <f>IF(AC1026="","",IF(OR(AC1026=F1026,AND(AC1026="crane_footing",F1026="isolated_footing")),"yes","no"))</f>
        <v/>
      </c>
    </row>
    <row r="1027">
      <c r="A1027" s="5" t="n">
        <v>1026</v>
      </c>
      <c r="B1027" s="5" t="inlineStr">
        <is>
          <t>130</t>
        </is>
      </c>
      <c r="C1027" s="5" t="inlineStr">
        <is>
          <t>own label</t>
        </is>
      </c>
      <c r="D1027" s="5" t="inlineStr">
        <is>
          <t>solid</t>
        </is>
      </c>
      <c r="E1027" s="5" t="n">
        <v>35</v>
      </c>
      <c r="F1027" s="5" t="inlineStr">
        <is>
          <t>shear_wall</t>
        </is>
      </c>
      <c r="G1027" s="5" t="inlineStr">
        <is>
          <t>label vote</t>
        </is>
      </c>
      <c r="H1027" s="5" t="inlineStr">
        <is>
          <t>V3/130</t>
        </is>
      </c>
      <c r="I1027" s="5" t="inlineStr">
        <is>
          <t>printed label</t>
        </is>
      </c>
      <c r="J1027" s="5" t="inlineStr">
        <is>
          <t>V3/130/130</t>
        </is>
      </c>
      <c r="K1027" s="5" t="n">
        <v>200</v>
      </c>
      <c r="L1027" s="5" t="n">
        <v>30</v>
      </c>
      <c r="M1027" s="10">
        <f>IF(AND(ISNUMBER(K1027),L1027&gt;0),K1027/L1027,"")</f>
        <v/>
      </c>
      <c r="N1027" s="5" t="n">
        <v>0.601</v>
      </c>
      <c r="O1027" s="5" t="n">
        <v>165.3</v>
      </c>
      <c r="P1027" s="5" t="n">
        <v>0</v>
      </c>
      <c r="Q1027" s="5" t="n">
        <v>1</v>
      </c>
      <c r="R1027" s="5" t="n">
        <v>0</v>
      </c>
      <c r="S1027" s="5" t="n">
        <v>0</v>
      </c>
      <c r="T1027" s="5" t="n">
        <v>0</v>
      </c>
      <c r="U1027" s="5" t="n">
        <v>1</v>
      </c>
      <c r="V1027" s="5" t="n">
        <v>2</v>
      </c>
      <c r="W1027" s="5" t="n"/>
      <c r="X1027" s="5" t="inlineStr"/>
      <c r="Y1027" s="5" t="n">
        <v>951.4</v>
      </c>
      <c r="Z1027" s="5" t="n">
        <v>1594.1</v>
      </c>
      <c r="AA1027" s="5" t="n">
        <v>1010.8</v>
      </c>
      <c r="AB1027" s="5" t="n">
        <v>1617.7</v>
      </c>
      <c r="AC1027" s="5" t="inlineStr">
        <is>
          <t>shear_wall</t>
        </is>
      </c>
      <c r="AD1027" s="5">
        <f>IF(AC1027="","",IF(OR(AC1027=F1027,AND(AC1027="crane_footing",F1027="isolated_footing")),"yes","no"))</f>
        <v/>
      </c>
    </row>
    <row r="1028">
      <c r="A1028" s="5" t="n">
        <v>1027</v>
      </c>
      <c r="B1028" s="5" t="inlineStr">
        <is>
          <t>130</t>
        </is>
      </c>
      <c r="C1028" s="5" t="inlineStr">
        <is>
          <t>own label</t>
        </is>
      </c>
      <c r="D1028" s="5" t="inlineStr">
        <is>
          <t>solid</t>
        </is>
      </c>
      <c r="E1028" s="5" t="n">
        <v>32</v>
      </c>
      <c r="F1028" s="5" t="inlineStr">
        <is>
          <t>shear_wall</t>
        </is>
      </c>
      <c r="G1028" s="5" t="inlineStr">
        <is>
          <t>label vote</t>
        </is>
      </c>
      <c r="H1028" s="5" t="inlineStr">
        <is>
          <t>V4/130</t>
        </is>
      </c>
      <c r="I1028" s="5" t="inlineStr">
        <is>
          <t>printed label</t>
        </is>
      </c>
      <c r="J1028" s="5" t="inlineStr">
        <is>
          <t>V4/130/130</t>
        </is>
      </c>
      <c r="K1028" s="5" t="n">
        <v>250</v>
      </c>
      <c r="L1028" s="5" t="n">
        <v>25</v>
      </c>
      <c r="M1028" s="10">
        <f>IF(AND(ISNUMBER(K1028),L1028&gt;0),K1028/L1028,"")</f>
        <v/>
      </c>
      <c r="N1028" s="5" t="n">
        <v>0.628</v>
      </c>
      <c r="O1028" s="5" t="n">
        <v>75.3</v>
      </c>
      <c r="P1028" s="5" t="n">
        <v>1</v>
      </c>
      <c r="Q1028" s="5" t="n">
        <v>1</v>
      </c>
      <c r="R1028" s="5" t="n">
        <v>0</v>
      </c>
      <c r="S1028" s="5" t="n">
        <v>0</v>
      </c>
      <c r="T1028" s="5" t="n">
        <v>0</v>
      </c>
      <c r="U1028" s="5" t="n">
        <v>1</v>
      </c>
      <c r="V1028" s="5" t="n">
        <v>0</v>
      </c>
      <c r="W1028" s="5" t="n"/>
      <c r="X1028" s="5" t="inlineStr"/>
      <c r="Y1028" s="5" t="n">
        <v>772.7</v>
      </c>
      <c r="Z1028" s="5" t="n">
        <v>1669.5</v>
      </c>
      <c r="AA1028" s="5" t="n">
        <v>798.6</v>
      </c>
      <c r="AB1028" s="5" t="n">
        <v>1742.7</v>
      </c>
      <c r="AC1028" s="5" t="inlineStr"/>
      <c r="AD1028" s="5">
        <f>IF(AC1028="","",IF(OR(AC1028=F1028,AND(AC1028="crane_footing",F1028="isolated_footing")),"yes","no"))</f>
        <v/>
      </c>
    </row>
    <row r="1029">
      <c r="A1029" s="5" t="n">
        <v>1028</v>
      </c>
      <c r="B1029" s="5" t="inlineStr">
        <is>
          <t>130</t>
        </is>
      </c>
      <c r="C1029" s="5" t="inlineStr">
        <is>
          <t>own label</t>
        </is>
      </c>
      <c r="D1029" s="5" t="inlineStr">
        <is>
          <t>solid</t>
        </is>
      </c>
      <c r="E1029" s="5" t="n">
        <v>36</v>
      </c>
      <c r="F1029" s="5" t="inlineStr">
        <is>
          <t>shear_wall</t>
        </is>
      </c>
      <c r="G1029" s="5" t="inlineStr">
        <is>
          <t>label vote</t>
        </is>
      </c>
      <c r="H1029" s="5" t="inlineStr">
        <is>
          <t>V6/130</t>
        </is>
      </c>
      <c r="I1029" s="5" t="inlineStr">
        <is>
          <t>printed label</t>
        </is>
      </c>
      <c r="J1029" s="5" t="inlineStr">
        <is>
          <t>V6/130/130</t>
        </is>
      </c>
      <c r="K1029" s="5" t="n">
        <v>125</v>
      </c>
      <c r="L1029" s="5" t="n">
        <v>25</v>
      </c>
      <c r="M1029" s="10">
        <f>IF(AND(ISNUMBER(K1029),L1029&gt;0),K1029/L1029,"")</f>
        <v/>
      </c>
      <c r="N1029" s="5" t="n">
        <v>0.315</v>
      </c>
      <c r="O1029" s="5" t="n">
        <v>165.3</v>
      </c>
      <c r="P1029" s="5" t="n">
        <v>0</v>
      </c>
      <c r="Q1029" s="5" t="n">
        <v>1</v>
      </c>
      <c r="R1029" s="5" t="n">
        <v>0</v>
      </c>
      <c r="S1029" s="5" t="n">
        <v>0</v>
      </c>
      <c r="T1029" s="5" t="n">
        <v>0</v>
      </c>
      <c r="U1029" s="5" t="n">
        <v>0</v>
      </c>
      <c r="V1029" s="5" t="n">
        <v>2</v>
      </c>
      <c r="W1029" s="5" t="n"/>
      <c r="X1029" s="5" t="inlineStr"/>
      <c r="Y1029" s="5" t="n">
        <v>1199.6</v>
      </c>
      <c r="Z1029" s="5" t="n">
        <v>1508.5</v>
      </c>
      <c r="AA1029" s="5" t="n">
        <v>1237.2</v>
      </c>
      <c r="AB1029" s="5" t="n">
        <v>1525.1</v>
      </c>
      <c r="AC1029" s="5" t="inlineStr">
        <is>
          <t>shear_wall</t>
        </is>
      </c>
      <c r="AD1029" s="5">
        <f>IF(AC1029="","",IF(OR(AC1029=F1029,AND(AC1029="crane_footing",F1029="isolated_footing")),"yes","no"))</f>
        <v/>
      </c>
    </row>
    <row r="1030">
      <c r="A1030" s="5" t="n">
        <v>1029</v>
      </c>
      <c r="B1030" s="5" t="inlineStr">
        <is>
          <t>130</t>
        </is>
      </c>
      <c r="C1030" s="5" t="inlineStr">
        <is>
          <t>own label</t>
        </is>
      </c>
      <c r="D1030" s="5" t="inlineStr">
        <is>
          <t>solid</t>
        </is>
      </c>
      <c r="E1030" s="5" t="n">
        <v>36</v>
      </c>
      <c r="F1030" s="5" t="inlineStr">
        <is>
          <t>shear_wall</t>
        </is>
      </c>
      <c r="G1030" s="5" t="inlineStr">
        <is>
          <t>label vote</t>
        </is>
      </c>
      <c r="H1030" s="5" t="inlineStr">
        <is>
          <t>V6/130</t>
        </is>
      </c>
      <c r="I1030" s="5" t="inlineStr">
        <is>
          <t>printed label</t>
        </is>
      </c>
      <c r="J1030" s="5" t="inlineStr">
        <is>
          <t>V6/130/130</t>
        </is>
      </c>
      <c r="K1030" s="5" t="n">
        <v>125</v>
      </c>
      <c r="L1030" s="5" t="n">
        <v>25</v>
      </c>
      <c r="M1030" s="10">
        <f>IF(AND(ISNUMBER(K1030),L1030&gt;0),K1030/L1030,"")</f>
        <v/>
      </c>
      <c r="N1030" s="5" t="n">
        <v>0.312</v>
      </c>
      <c r="O1030" s="5" t="n">
        <v>165.3</v>
      </c>
      <c r="P1030" s="5" t="n">
        <v>0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2</v>
      </c>
      <c r="V1030" s="5" t="n">
        <v>2</v>
      </c>
      <c r="W1030" s="5" t="n"/>
      <c r="X1030" s="5" t="inlineStr"/>
      <c r="Y1030" s="5" t="n">
        <v>1142.2</v>
      </c>
      <c r="Z1030" s="5" t="n">
        <v>1286.9</v>
      </c>
      <c r="AA1030" s="5" t="n">
        <v>1179.7</v>
      </c>
      <c r="AB1030" s="5" t="n">
        <v>1303.4</v>
      </c>
      <c r="AC1030" s="5" t="inlineStr"/>
      <c r="AD1030" s="5">
        <f>IF(AC1030="","",IF(OR(AC1030=F1030,AND(AC1030="crane_footing",F1030="isolated_footing")),"yes","no"))</f>
        <v/>
      </c>
    </row>
    <row r="1031">
      <c r="A1031" s="5" t="n">
        <v>1030</v>
      </c>
      <c r="B1031" s="5" t="inlineStr">
        <is>
          <t>130</t>
        </is>
      </c>
      <c r="C1031" s="5" t="inlineStr">
        <is>
          <t>own label</t>
        </is>
      </c>
      <c r="D1031" s="5" t="inlineStr">
        <is>
          <t>solid</t>
        </is>
      </c>
      <c r="E1031" s="5" t="n">
        <v>36</v>
      </c>
      <c r="F1031" s="5" t="inlineStr">
        <is>
          <t>shear_wall</t>
        </is>
      </c>
      <c r="G1031" s="5" t="inlineStr">
        <is>
          <t>label vote</t>
        </is>
      </c>
      <c r="H1031" s="5" t="inlineStr">
        <is>
          <t>V6/130</t>
        </is>
      </c>
      <c r="I1031" s="5" t="inlineStr">
        <is>
          <t>printed label</t>
        </is>
      </c>
      <c r="J1031" s="5" t="inlineStr">
        <is>
          <t>V6/130/130</t>
        </is>
      </c>
      <c r="K1031" s="5" t="n">
        <v>125</v>
      </c>
      <c r="L1031" s="5" t="n">
        <v>25</v>
      </c>
      <c r="M1031" s="10">
        <f>IF(AND(ISNUMBER(K1031),L1031&gt;0),K1031/L1031,"")</f>
        <v/>
      </c>
      <c r="N1031" s="5" t="n">
        <v>0.312</v>
      </c>
      <c r="O1031" s="5" t="n">
        <v>165.3</v>
      </c>
      <c r="P1031" s="5" t="n">
        <v>0</v>
      </c>
      <c r="Q1031" s="5" t="n">
        <v>1</v>
      </c>
      <c r="R1031" s="5" t="n">
        <v>0</v>
      </c>
      <c r="S1031" s="5" t="n">
        <v>0</v>
      </c>
      <c r="T1031" s="5" t="n">
        <v>0</v>
      </c>
      <c r="U1031" s="5" t="n">
        <v>1</v>
      </c>
      <c r="V1031" s="5" t="n">
        <v>4</v>
      </c>
      <c r="W1031" s="5" t="n"/>
      <c r="X1031" s="5" t="inlineStr"/>
      <c r="Y1031" s="5" t="n">
        <v>1255.7</v>
      </c>
      <c r="Z1031" s="5" t="n">
        <v>1720.4</v>
      </c>
      <c r="AA1031" s="5" t="n">
        <v>1293.3</v>
      </c>
      <c r="AB1031" s="5" t="n">
        <v>1736.9</v>
      </c>
      <c r="AC1031" s="5" t="inlineStr">
        <is>
          <t>shear_wall</t>
        </is>
      </c>
      <c r="AD1031" s="5">
        <f>IF(AC1031="","",IF(OR(AC1031=F1031,AND(AC1031="crane_footing",F1031="isolated_footing")),"yes","no"))</f>
        <v/>
      </c>
    </row>
    <row r="1032">
      <c r="A1032" s="5" t="n">
        <v>1031</v>
      </c>
      <c r="B1032" s="5" t="inlineStr">
        <is>
          <t>130</t>
        </is>
      </c>
      <c r="C1032" s="5" t="inlineStr">
        <is>
          <t>region between joints</t>
        </is>
      </c>
      <c r="D1032" s="5" t="inlineStr">
        <is>
          <t>solid</t>
        </is>
      </c>
      <c r="E1032" s="5" t="n">
        <v>28</v>
      </c>
      <c r="F1032" s="5" t="inlineStr">
        <is>
          <t>retaining_wall</t>
        </is>
      </c>
      <c r="G1032" s="5" t="inlineStr">
        <is>
          <t>label vote</t>
        </is>
      </c>
      <c r="H1032" s="5" t="inlineStr">
        <is>
          <t>VP20</t>
        </is>
      </c>
      <c r="I1032" s="5" t="inlineStr">
        <is>
          <t>printed label</t>
        </is>
      </c>
      <c r="J1032" s="5" t="inlineStr">
        <is>
          <t>VP20-SF1 80x25</t>
        </is>
      </c>
      <c r="K1032" s="5" t="n">
        <v>875</v>
      </c>
      <c r="L1032" s="5" t="n">
        <v>20</v>
      </c>
      <c r="M1032" s="10">
        <f>IF(AND(ISNUMBER(K1032),L1032&gt;0),K1032/L1032,"")</f>
        <v/>
      </c>
      <c r="N1032" s="5" t="n">
        <v>1.723</v>
      </c>
      <c r="O1032" s="5" t="n">
        <v>75.3</v>
      </c>
      <c r="P1032" s="5" t="n">
        <v>3</v>
      </c>
      <c r="Q1032" s="5" t="n">
        <v>1</v>
      </c>
      <c r="R1032" s="5" t="n">
        <v>0</v>
      </c>
      <c r="S1032" s="5" t="n">
        <v>0</v>
      </c>
      <c r="T1032" s="5" t="n">
        <v>1</v>
      </c>
      <c r="U1032" s="5" t="n">
        <v>19</v>
      </c>
      <c r="V1032" s="5" t="n">
        <v>4</v>
      </c>
      <c r="W1032" s="5" t="n"/>
      <c r="X1032" s="5" t="inlineStr"/>
      <c r="Y1032" s="5" t="n">
        <v>754.6</v>
      </c>
      <c r="Z1032" s="5" t="n">
        <v>1602.2</v>
      </c>
      <c r="AA1032" s="5" t="n">
        <v>825.8</v>
      </c>
      <c r="AB1032" s="5" t="n">
        <v>1852</v>
      </c>
      <c r="AC1032" s="5" t="inlineStr"/>
      <c r="AD1032" s="5">
        <f>IF(AC1032="","",IF(OR(AC1032=F1032,AND(AC1032="crane_footing",F1032="isolated_footing")),"yes","no"))</f>
        <v/>
      </c>
    </row>
    <row r="1033">
      <c r="A1033" s="5" t="n">
        <v>1032</v>
      </c>
      <c r="B1033" s="5" t="inlineStr">
        <is>
          <t>130</t>
        </is>
      </c>
      <c r="C1033" s="5" t="inlineStr">
        <is>
          <t>region between joints</t>
        </is>
      </c>
      <c r="D1033" s="5" t="inlineStr">
        <is>
          <t>solid</t>
        </is>
      </c>
      <c r="E1033" s="5" t="n">
        <v>33</v>
      </c>
      <c r="F1033" s="5" t="inlineStr">
        <is>
          <t>retaining_wall</t>
        </is>
      </c>
      <c r="G1033" s="5" t="inlineStr">
        <is>
          <t>label vote</t>
        </is>
      </c>
      <c r="H1033" s="5" t="inlineStr">
        <is>
          <t>VP20</t>
        </is>
      </c>
      <c r="I1033" s="5" t="inlineStr">
        <is>
          <t>printed label</t>
        </is>
      </c>
      <c r="J1033" s="5" t="inlineStr">
        <is>
          <t>VP20-SF1 80x25</t>
        </is>
      </c>
      <c r="K1033" s="5" t="n">
        <v>2085</v>
      </c>
      <c r="L1033" s="5" t="n">
        <v>20</v>
      </c>
      <c r="M1033" s="10">
        <f>IF(AND(ISNUMBER(K1033),L1033&gt;0),K1033/L1033,"")</f>
        <v/>
      </c>
      <c r="N1033" s="5" t="n">
        <v>4.204</v>
      </c>
      <c r="O1033" s="5" t="n">
        <v>75.2</v>
      </c>
      <c r="P1033" s="5" t="n">
        <v>1</v>
      </c>
      <c r="Q1033" s="5" t="n">
        <v>0</v>
      </c>
      <c r="R1033" s="5" t="n">
        <v>1</v>
      </c>
      <c r="S1033" s="5" t="n">
        <v>0</v>
      </c>
      <c r="T1033" s="5" t="n">
        <v>0</v>
      </c>
      <c r="U1033" s="5" t="n">
        <v>12</v>
      </c>
      <c r="V1033" s="5" t="n">
        <v>5</v>
      </c>
      <c r="W1033" s="5" t="n"/>
      <c r="X1033" s="5" t="inlineStr"/>
      <c r="Y1033" s="5" t="n">
        <v>1248.1</v>
      </c>
      <c r="Z1033" s="5" t="n">
        <v>1101.4</v>
      </c>
      <c r="AA1033" s="5" t="n">
        <v>1410.8</v>
      </c>
      <c r="AB1033" s="5" t="n">
        <v>1698</v>
      </c>
      <c r="AC1033" s="5" t="inlineStr"/>
      <c r="AD1033" s="5">
        <f>IF(AC1033="","",IF(OR(AC1033=F1033,AND(AC1033="crane_footing",F1033="isolated_footing")),"yes","no"))</f>
        <v/>
      </c>
    </row>
    <row r="1034">
      <c r="A1034" s="5" t="n">
        <v>1033</v>
      </c>
      <c r="B1034" s="5" t="inlineStr">
        <is>
          <t>130</t>
        </is>
      </c>
      <c r="C1034" s="5" t="inlineStr">
        <is>
          <t>region between joints</t>
        </is>
      </c>
      <c r="D1034" s="5" t="inlineStr">
        <is>
          <t>solid</t>
        </is>
      </c>
      <c r="E1034" s="5" t="n">
        <v>28</v>
      </c>
      <c r="F1034" s="5" t="inlineStr">
        <is>
          <t>retaining_wall</t>
        </is>
      </c>
      <c r="G1034" s="5" t="inlineStr">
        <is>
          <t>label vote</t>
        </is>
      </c>
      <c r="H1034" s="5" t="inlineStr">
        <is>
          <t>VP20</t>
        </is>
      </c>
      <c r="I1034" s="5" t="inlineStr">
        <is>
          <t>printed label</t>
        </is>
      </c>
      <c r="J1034" s="5" t="inlineStr">
        <is>
          <t>VP20-SF1 80x25</t>
        </is>
      </c>
      <c r="K1034" s="5" t="n">
        <v>1268</v>
      </c>
      <c r="L1034" s="5" t="n">
        <v>20</v>
      </c>
      <c r="M1034" s="10">
        <f>IF(AND(ISNUMBER(K1034),L1034&gt;0),K1034/L1034,"")</f>
        <v/>
      </c>
      <c r="N1034" s="5" t="n">
        <v>2.552</v>
      </c>
      <c r="O1034" s="5" t="n">
        <v>5.7</v>
      </c>
      <c r="P1034" s="5" t="n">
        <v>5</v>
      </c>
      <c r="Q1034" s="5" t="n">
        <v>0</v>
      </c>
      <c r="R1034" s="5" t="n">
        <v>1</v>
      </c>
      <c r="S1034" s="5" t="n">
        <v>0</v>
      </c>
      <c r="T1034" s="5" t="n">
        <v>1</v>
      </c>
      <c r="U1034" s="5" t="n">
        <v>0</v>
      </c>
      <c r="V1034" s="5" t="n">
        <v>2</v>
      </c>
      <c r="W1034" s="5" t="n"/>
      <c r="X1034" s="5" t="inlineStr"/>
      <c r="Y1034" s="5" t="n">
        <v>875.5</v>
      </c>
      <c r="Z1034" s="5" t="n">
        <v>1059.9</v>
      </c>
      <c r="AA1034" s="5" t="n">
        <v>1248.7</v>
      </c>
      <c r="AB1034" s="5" t="n">
        <v>1102.9</v>
      </c>
      <c r="AC1034" s="5" t="inlineStr"/>
      <c r="AD1034" s="5">
        <f>IF(AC1034="","",IF(OR(AC1034=F1034,AND(AC1034="crane_footing",F1034="isolated_footing")),"yes","no"))</f>
        <v/>
      </c>
    </row>
    <row r="1035">
      <c r="A1035" s="5" t="n">
        <v>1034</v>
      </c>
      <c r="B1035" s="5" t="inlineStr">
        <is>
          <t>130</t>
        </is>
      </c>
      <c r="C1035" s="5" t="inlineStr">
        <is>
          <t>region between joints</t>
        </is>
      </c>
      <c r="D1035" s="5" t="inlineStr">
        <is>
          <t>solid</t>
        </is>
      </c>
      <c r="E1035" s="5" t="n">
        <v>28</v>
      </c>
      <c r="F1035" s="5" t="inlineStr">
        <is>
          <t>retaining_wall</t>
        </is>
      </c>
      <c r="G1035" s="5" t="inlineStr">
        <is>
          <t>label vote</t>
        </is>
      </c>
      <c r="H1035" s="5" t="inlineStr">
        <is>
          <t>VP20</t>
        </is>
      </c>
      <c r="I1035" s="5" t="inlineStr">
        <is>
          <t>inferred: the only retaining_wall type with this size</t>
        </is>
      </c>
      <c r="J1035" s="5" t="inlineStr"/>
      <c r="K1035" s="5" t="n">
        <v>1095</v>
      </c>
      <c r="L1035" s="5" t="n">
        <v>20</v>
      </c>
      <c r="M1035" s="10">
        <f>IF(AND(ISNUMBER(K1035),L1035&gt;0),K1035/L1035,"")</f>
        <v/>
      </c>
      <c r="N1035" s="5" t="n">
        <v>2.228</v>
      </c>
      <c r="O1035" s="5" t="n">
        <v>2.8</v>
      </c>
      <c r="P1035" s="5" t="n">
        <v>4</v>
      </c>
      <c r="Q1035" s="5" t="n">
        <v>0</v>
      </c>
      <c r="R1035" s="5" t="n">
        <v>0</v>
      </c>
      <c r="S1035" s="5" t="n">
        <v>0</v>
      </c>
      <c r="T1035" s="5" t="n">
        <v>2</v>
      </c>
      <c r="U1035" s="5" t="n">
        <v>6</v>
      </c>
      <c r="V1035" s="5" t="n">
        <v>2</v>
      </c>
      <c r="W1035" s="5" t="n"/>
      <c r="X1035" s="5" t="inlineStr"/>
      <c r="Y1035" s="5" t="n">
        <v>588.2</v>
      </c>
      <c r="Z1035" s="5" t="n">
        <v>1213.2</v>
      </c>
      <c r="AA1035" s="5" t="n">
        <v>911.4</v>
      </c>
      <c r="AB1035" s="5" t="n">
        <v>1235</v>
      </c>
      <c r="AC1035" s="5" t="inlineStr"/>
      <c r="AD1035" s="5">
        <f>IF(AC1035="","",IF(OR(AC1035=F1035,AND(AC1035="crane_footing",F1035="isolated_footing")),"yes","no"))</f>
        <v/>
      </c>
    </row>
    <row r="1036">
      <c r="A1036" s="5" t="n">
        <v>1035</v>
      </c>
      <c r="B1036" s="5" t="inlineStr">
        <is>
          <t>130</t>
        </is>
      </c>
      <c r="C1036" s="5" t="inlineStr">
        <is>
          <t>region between joints</t>
        </is>
      </c>
      <c r="D1036" s="5" t="inlineStr">
        <is>
          <t>solid</t>
        </is>
      </c>
      <c r="E1036" s="5" t="n">
        <v>28</v>
      </c>
      <c r="F1036" s="5" t="inlineStr">
        <is>
          <t>retaining_wall</t>
        </is>
      </c>
      <c r="G1036" s="5" t="inlineStr">
        <is>
          <t>label vote</t>
        </is>
      </c>
      <c r="H1036" s="5" t="inlineStr">
        <is>
          <t>VP20</t>
        </is>
      </c>
      <c r="I1036" s="5" t="inlineStr">
        <is>
          <t>inferred: the only retaining_wall type with this size</t>
        </is>
      </c>
      <c r="J1036" s="5" t="inlineStr"/>
      <c r="K1036" s="5" t="n">
        <v>659</v>
      </c>
      <c r="L1036" s="5" t="n">
        <v>20</v>
      </c>
      <c r="M1036" s="10">
        <f>IF(AND(ISNUMBER(K1036),L1036&gt;0),K1036/L1036,"")</f>
        <v/>
      </c>
      <c r="N1036" s="5" t="n">
        <v>1.332</v>
      </c>
      <c r="O1036" s="5" t="n">
        <v>73.7</v>
      </c>
      <c r="P1036" s="5" t="n">
        <v>3</v>
      </c>
      <c r="Q1036" s="5" t="n">
        <v>0</v>
      </c>
      <c r="R1036" s="5" t="n">
        <v>0</v>
      </c>
      <c r="S1036" s="5" t="n">
        <v>0</v>
      </c>
      <c r="T1036" s="5" t="n">
        <v>0</v>
      </c>
      <c r="U1036" s="5" t="n">
        <v>2</v>
      </c>
      <c r="V1036" s="5" t="n">
        <v>1</v>
      </c>
      <c r="W1036" s="5" t="n"/>
      <c r="X1036" s="5" t="inlineStr"/>
      <c r="Y1036" s="5" t="n">
        <v>582.4</v>
      </c>
      <c r="Z1036" s="5" t="n">
        <v>1219.3</v>
      </c>
      <c r="AA1036" s="5" t="n">
        <v>642.6</v>
      </c>
      <c r="AB1036" s="5" t="n">
        <v>1407.6</v>
      </c>
      <c r="AC1036" s="5" t="inlineStr"/>
      <c r="AD1036" s="5">
        <f>IF(AC1036="","",IF(OR(AC1036=F1036,AND(AC1036="crane_footing",F1036="isolated_footing")),"yes","no"))</f>
        <v/>
      </c>
    </row>
    <row r="1037">
      <c r="A1037" s="5" t="n">
        <v>1036</v>
      </c>
      <c r="B1037" s="5" t="inlineStr">
        <is>
          <t>130</t>
        </is>
      </c>
      <c r="C1037" s="5" t="inlineStr">
        <is>
          <t>region between joints</t>
        </is>
      </c>
      <c r="D1037" s="5" t="inlineStr">
        <is>
          <t>solid</t>
        </is>
      </c>
      <c r="E1037" s="5" t="n">
        <v>28</v>
      </c>
      <c r="F1037" s="5" t="inlineStr">
        <is>
          <t>retaining_wall</t>
        </is>
      </c>
      <c r="G1037" s="5" t="inlineStr">
        <is>
          <t>label vote</t>
        </is>
      </c>
      <c r="H1037" s="5" t="inlineStr">
        <is>
          <t>VP20</t>
        </is>
      </c>
      <c r="I1037" s="5" t="inlineStr">
        <is>
          <t>inferred: the only retaining_wall type with this size</t>
        </is>
      </c>
      <c r="J1037" s="5" t="inlineStr"/>
      <c r="K1037" s="5" t="n">
        <v>566</v>
      </c>
      <c r="L1037" s="5" t="n">
        <v>21</v>
      </c>
      <c r="M1037" s="10">
        <f>IF(AND(ISNUMBER(K1037),L1037&gt;0),K1037/L1037,"")</f>
        <v/>
      </c>
      <c r="N1037" s="5" t="n">
        <v>1.181</v>
      </c>
      <c r="O1037" s="5" t="n">
        <v>75.5</v>
      </c>
      <c r="P1037" s="5" t="n">
        <v>3</v>
      </c>
      <c r="Q1037" s="5" t="n">
        <v>0</v>
      </c>
      <c r="R1037" s="5" t="n">
        <v>1</v>
      </c>
      <c r="S1037" s="5" t="n">
        <v>0</v>
      </c>
      <c r="T1037" s="5" t="n">
        <v>0</v>
      </c>
      <c r="U1037" s="5" t="n">
        <v>0</v>
      </c>
      <c r="V1037" s="5" t="n">
        <v>0</v>
      </c>
      <c r="W1037" s="5" t="n"/>
      <c r="X1037" s="5" t="inlineStr"/>
      <c r="Y1037" s="5" t="n">
        <v>869.5</v>
      </c>
      <c r="Z1037" s="5" t="n">
        <v>1065.8</v>
      </c>
      <c r="AA1037" s="5" t="n">
        <v>917.4</v>
      </c>
      <c r="AB1037" s="5" t="n">
        <v>1229</v>
      </c>
      <c r="AC1037" s="5" t="inlineStr"/>
      <c r="AD1037" s="5">
        <f>IF(AC1037="","",IF(OR(AC1037=F1037,AND(AC1037="crane_footing",F1037="isolated_footing")),"yes","no"))</f>
        <v/>
      </c>
    </row>
    <row r="1038">
      <c r="A1038" s="5" t="n">
        <v>1037</v>
      </c>
      <c r="B1038" s="5" t="inlineStr">
        <is>
          <t>130</t>
        </is>
      </c>
      <c r="C1038" s="5" t="inlineStr">
        <is>
          <t>region between joints</t>
        </is>
      </c>
      <c r="D1038" s="5" t="inlineStr">
        <is>
          <t>solid</t>
        </is>
      </c>
      <c r="E1038" s="5" t="n">
        <v>28</v>
      </c>
      <c r="F1038" s="5" t="inlineStr">
        <is>
          <t>retaining_wall</t>
        </is>
      </c>
      <c r="G1038" s="5" t="inlineStr">
        <is>
          <t>label vote</t>
        </is>
      </c>
      <c r="H1038" s="5" t="inlineStr">
        <is>
          <t>VP20</t>
        </is>
      </c>
      <c r="I1038" s="5" t="inlineStr">
        <is>
          <t>inferred: the only retaining_wall type with this size</t>
        </is>
      </c>
      <c r="J1038" s="5" t="inlineStr"/>
      <c r="K1038" s="5" t="n">
        <v>474</v>
      </c>
      <c r="L1038" s="5" t="n">
        <v>20</v>
      </c>
      <c r="M1038" s="10">
        <f>IF(AND(ISNUMBER(K1038),L1038&gt;0),K1038/L1038,"")</f>
        <v/>
      </c>
      <c r="N1038" s="5" t="n">
        <v>0.951</v>
      </c>
      <c r="O1038" s="5" t="n">
        <v>165.3</v>
      </c>
      <c r="P1038" s="5" t="n">
        <v>2</v>
      </c>
      <c r="Q1038" s="5" t="n">
        <v>0</v>
      </c>
      <c r="R1038" s="5" t="n">
        <v>0</v>
      </c>
      <c r="S1038" s="5" t="n">
        <v>1</v>
      </c>
      <c r="T1038" s="5" t="n">
        <v>0</v>
      </c>
      <c r="U1038" s="5" t="n">
        <v>4</v>
      </c>
      <c r="V1038" s="5" t="n">
        <v>2</v>
      </c>
      <c r="W1038" s="5" t="n"/>
      <c r="X1038" s="5" t="inlineStr"/>
      <c r="Y1038" s="5" t="n">
        <v>586.3</v>
      </c>
      <c r="Z1038" s="5" t="n">
        <v>1477.2</v>
      </c>
      <c r="AA1038" s="5" t="n">
        <v>723.2</v>
      </c>
      <c r="AB1038" s="5" t="n">
        <v>1518.5</v>
      </c>
      <c r="AC1038" s="5" t="inlineStr"/>
      <c r="AD1038" s="5">
        <f>IF(AC1038="","",IF(OR(AC1038=F1038,AND(AC1038="crane_footing",F1038="isolated_footing")),"yes","no"))</f>
        <v/>
      </c>
    </row>
    <row r="1039">
      <c r="A1039" s="5" t="n">
        <v>1038</v>
      </c>
      <c r="B1039" s="5" t="inlineStr">
        <is>
          <t>130</t>
        </is>
      </c>
      <c r="C1039" s="5" t="inlineStr">
        <is>
          <t>region between joints</t>
        </is>
      </c>
      <c r="D1039" s="5" t="inlineStr">
        <is>
          <t>solid</t>
        </is>
      </c>
      <c r="E1039" s="5" t="n">
        <v>28</v>
      </c>
      <c r="F1039" s="5" t="inlineStr">
        <is>
          <t>retaining_wall</t>
        </is>
      </c>
      <c r="G1039" s="5" t="inlineStr">
        <is>
          <t>label vote</t>
        </is>
      </c>
      <c r="H1039" s="5" t="inlineStr">
        <is>
          <t>VP20</t>
        </is>
      </c>
      <c r="I1039" s="5" t="inlineStr">
        <is>
          <t>printed label</t>
        </is>
      </c>
      <c r="J1039" s="5" t="inlineStr">
        <is>
          <t>VP20-SF1 80x25</t>
        </is>
      </c>
      <c r="K1039" s="5" t="n">
        <v>418</v>
      </c>
      <c r="L1039" s="5" t="n">
        <v>20</v>
      </c>
      <c r="M1039" s="10">
        <f>IF(AND(ISNUMBER(K1039),L1039&gt;0),K1039/L1039,"")</f>
        <v/>
      </c>
      <c r="N1039" s="5" t="n">
        <v>0.842</v>
      </c>
      <c r="O1039" s="5" t="n">
        <v>75.3</v>
      </c>
      <c r="P1039" s="5" t="n">
        <v>2</v>
      </c>
      <c r="Q1039" s="5" t="n">
        <v>0</v>
      </c>
      <c r="R1039" s="5" t="n">
        <v>1</v>
      </c>
      <c r="S1039" s="5" t="n">
        <v>0</v>
      </c>
      <c r="T1039" s="5" t="n">
        <v>0</v>
      </c>
      <c r="U1039" s="5" t="n">
        <v>3</v>
      </c>
      <c r="V1039" s="5" t="n">
        <v>0</v>
      </c>
      <c r="W1039" s="5" t="n"/>
      <c r="X1039" s="5" t="inlineStr"/>
      <c r="Y1039" s="5" t="n">
        <v>723.2</v>
      </c>
      <c r="Z1039" s="5" t="n">
        <v>1481.4</v>
      </c>
      <c r="AA1039" s="5" t="n">
        <v>760.4</v>
      </c>
      <c r="AB1039" s="5" t="n">
        <v>1602.2</v>
      </c>
      <c r="AC1039" s="5" t="inlineStr"/>
      <c r="AD1039" s="5">
        <f>IF(AC1039="","",IF(OR(AC1039=F1039,AND(AC1039="crane_footing",F1039="isolated_footing")),"yes","no"))</f>
        <v/>
      </c>
    </row>
    <row r="1040">
      <c r="A1040" s="5" t="n">
        <v>1039</v>
      </c>
      <c r="B1040" s="5" t="inlineStr">
        <is>
          <t>130</t>
        </is>
      </c>
      <c r="C1040" s="5" t="inlineStr">
        <is>
          <t>region between joints</t>
        </is>
      </c>
      <c r="D1040" s="5" t="inlineStr">
        <is>
          <t>outline</t>
        </is>
      </c>
      <c r="E1040" s="5" t="n">
        <v>16</v>
      </c>
      <c r="F1040" s="5" t="inlineStr">
        <is>
          <t>isolated_footing</t>
        </is>
      </c>
      <c r="G1040" s="5" t="inlineStr">
        <is>
          <t>label vote</t>
        </is>
      </c>
      <c r="H1040" s="5" t="inlineStr">
        <is>
          <t>(none)</t>
        </is>
      </c>
      <c r="I1040" s="5" t="inlineStr">
        <is>
          <t>no isolated_footing type has this size</t>
        </is>
      </c>
      <c r="J1040" s="5" t="inlineStr"/>
      <c r="K1040" s="5" t="n">
        <v>520</v>
      </c>
      <c r="L1040" s="5" t="n">
        <v>364</v>
      </c>
      <c r="M1040" s="10">
        <f>IF(AND(ISNUMBER(K1040),L1040&gt;0),K1040/L1040,"")</f>
        <v/>
      </c>
      <c r="N1040" s="5" t="n">
        <v>18.934</v>
      </c>
      <c r="O1040" s="5" t="n">
        <v>165.2</v>
      </c>
      <c r="P1040" s="5" t="n">
        <v>1</v>
      </c>
      <c r="Q1040" s="5" t="n">
        <v>0</v>
      </c>
      <c r="R1040" s="5" t="n">
        <v>0</v>
      </c>
      <c r="S1040" s="5" t="n">
        <v>1</v>
      </c>
      <c r="T1040" s="5" t="n">
        <v>1</v>
      </c>
      <c r="U1040" s="5" t="n">
        <v>36</v>
      </c>
      <c r="V1040" s="5" t="n">
        <v>4</v>
      </c>
      <c r="W1040" s="5" t="n"/>
      <c r="X1040" s="5" t="inlineStr"/>
      <c r="Y1040" s="5" t="n">
        <v>849.8</v>
      </c>
      <c r="Z1040" s="5" t="n">
        <v>1354</v>
      </c>
      <c r="AA1040" s="5" t="n">
        <v>1025.7</v>
      </c>
      <c r="AB1040" s="5" t="n">
        <v>1497</v>
      </c>
      <c r="AC1040" s="5" t="inlineStr"/>
      <c r="AD1040" s="5">
        <f>IF(AC1040="","",IF(OR(AC1040=F1040,AND(AC1040="crane_footing",F1040="isolated_footing")),"yes","no"))</f>
        <v/>
      </c>
    </row>
    <row r="1041">
      <c r="A1041" s="5" t="n">
        <v>1040</v>
      </c>
      <c r="B1041" s="5" t="inlineStr">
        <is>
          <t>130</t>
        </is>
      </c>
      <c r="C1041" s="5" t="inlineStr">
        <is>
          <t>own label</t>
        </is>
      </c>
      <c r="D1041" s="5" t="inlineStr">
        <is>
          <t>outline</t>
        </is>
      </c>
      <c r="E1041" s="5" t="n">
        <v>16</v>
      </c>
      <c r="F1041" s="5" t="inlineStr">
        <is>
          <t>isolated_footing</t>
        </is>
      </c>
      <c r="G1041" s="5" t="inlineStr">
        <is>
          <t>label vote</t>
        </is>
      </c>
      <c r="H1041" s="5" t="inlineStr">
        <is>
          <t>S18</t>
        </is>
      </c>
      <c r="I1041" s="5" t="inlineStr">
        <is>
          <t>printed label</t>
        </is>
      </c>
      <c r="J1041" s="5" t="inlineStr">
        <is>
          <t>S18-130130</t>
        </is>
      </c>
      <c r="K1041" s="5" t="n">
        <v>500</v>
      </c>
      <c r="L1041" s="5" t="n">
        <v>350</v>
      </c>
      <c r="M1041" s="10">
        <f>IF(AND(ISNUMBER(K1041),L1041&gt;0),K1041/L1041,"")</f>
        <v/>
      </c>
      <c r="N1041" s="5" t="n">
        <v>17.505</v>
      </c>
      <c r="O1041" s="5" t="n">
        <v>165.3</v>
      </c>
      <c r="P1041" s="5" t="n">
        <v>1</v>
      </c>
      <c r="Q1041" s="5" t="n">
        <v>0</v>
      </c>
      <c r="R1041" s="5" t="n">
        <v>0</v>
      </c>
      <c r="S1041" s="5" t="n">
        <v>0</v>
      </c>
      <c r="T1041" s="5" t="n">
        <v>1</v>
      </c>
      <c r="U1041" s="5" t="n">
        <v>42</v>
      </c>
      <c r="V1041" s="5" t="n">
        <v>3</v>
      </c>
      <c r="W1041" s="5" t="n"/>
      <c r="X1041" s="5" t="inlineStr"/>
      <c r="Y1041" s="5" t="n">
        <v>896.5</v>
      </c>
      <c r="Z1041" s="5" t="n">
        <v>1537.1</v>
      </c>
      <c r="AA1041" s="5" t="n">
        <v>1065.6</v>
      </c>
      <c r="AB1041" s="5" t="n">
        <v>1674.6</v>
      </c>
      <c r="AC1041" s="5" t="inlineStr">
        <is>
          <t>isolated_footing</t>
        </is>
      </c>
      <c r="AD1041" s="5">
        <f>IF(AC1041="","",IF(OR(AC1041=F1041,AND(AC1041="crane_footing",F1041="isolated_footing")),"yes","no"))</f>
        <v/>
      </c>
    </row>
    <row r="1042">
      <c r="A1042" s="5" t="n">
        <v>1041</v>
      </c>
      <c r="B1042" s="5" t="inlineStr">
        <is>
          <t>130</t>
        </is>
      </c>
      <c r="C1042" s="5" t="inlineStr">
        <is>
          <t>own label</t>
        </is>
      </c>
      <c r="D1042" s="5" t="inlineStr">
        <is>
          <t>outline</t>
        </is>
      </c>
      <c r="E1042" s="5" t="n">
        <v>17</v>
      </c>
      <c r="F1042" s="5" t="inlineStr">
        <is>
          <t>isolated_footing</t>
        </is>
      </c>
      <c r="G1042" s="5" t="inlineStr">
        <is>
          <t>label vote</t>
        </is>
      </c>
      <c r="H1042" s="5" t="inlineStr">
        <is>
          <t>S2</t>
        </is>
      </c>
      <c r="I1042" s="5" t="inlineStr">
        <is>
          <t>printed label</t>
        </is>
      </c>
      <c r="J1042" s="5" t="inlineStr">
        <is>
          <t>S2-130130</t>
        </is>
      </c>
      <c r="K1042" s="5" t="n">
        <v>350</v>
      </c>
      <c r="L1042" s="5" t="n">
        <v>200</v>
      </c>
      <c r="M1042" s="10">
        <f>IF(AND(ISNUMBER(K1042),L1042&gt;0),K1042/L1042,"")</f>
        <v/>
      </c>
      <c r="N1042" s="5" t="n">
        <v>7.004</v>
      </c>
      <c r="O1042" s="5" t="n">
        <v>2.8</v>
      </c>
      <c r="P1042" s="5" t="n">
        <v>2</v>
      </c>
      <c r="Q1042" s="5" t="n">
        <v>0</v>
      </c>
      <c r="R1042" s="5" t="n">
        <v>0</v>
      </c>
      <c r="S1042" s="5" t="n">
        <v>0</v>
      </c>
      <c r="T1042" s="5" t="n">
        <v>1</v>
      </c>
      <c r="U1042" s="5" t="n">
        <v>5</v>
      </c>
      <c r="V1042" s="5" t="n">
        <v>1</v>
      </c>
      <c r="W1042" s="5" t="n"/>
      <c r="X1042" s="5" t="inlineStr"/>
      <c r="Y1042" s="5" t="n">
        <v>598.4</v>
      </c>
      <c r="Z1042" s="5" t="n">
        <v>1187.9</v>
      </c>
      <c r="AA1042" s="5" t="n">
        <v>704.6</v>
      </c>
      <c r="AB1042" s="5" t="n">
        <v>1251.9</v>
      </c>
      <c r="AC1042" s="5" t="inlineStr">
        <is>
          <t>isolated_footing</t>
        </is>
      </c>
      <c r="AD1042" s="5">
        <f>IF(AC1042="","",IF(OR(AC1042=F1042,AND(AC1042="crane_footing",F1042="isolated_footing")),"yes","no"))</f>
        <v/>
      </c>
    </row>
    <row r="1043">
      <c r="A1043" s="5" t="n">
        <v>1042</v>
      </c>
      <c r="B1043" s="5" t="inlineStr">
        <is>
          <t>130</t>
        </is>
      </c>
      <c r="C1043" s="5" t="inlineStr">
        <is>
          <t>own label</t>
        </is>
      </c>
      <c r="D1043" s="5" t="inlineStr">
        <is>
          <t>outline</t>
        </is>
      </c>
      <c r="E1043" s="5" t="n">
        <v>17</v>
      </c>
      <c r="F1043" s="5" t="inlineStr">
        <is>
          <t>isolated_footing</t>
        </is>
      </c>
      <c r="G1043" s="5" t="inlineStr">
        <is>
          <t>label vote</t>
        </is>
      </c>
      <c r="H1043" s="5" t="inlineStr">
        <is>
          <t>S2</t>
        </is>
      </c>
      <c r="I1043" s="5" t="inlineStr">
        <is>
          <t>printed label</t>
        </is>
      </c>
      <c r="J1043" s="5" t="inlineStr">
        <is>
          <t>S2-130130</t>
        </is>
      </c>
      <c r="K1043" s="5" t="n">
        <v>350</v>
      </c>
      <c r="L1043" s="5" t="n">
        <v>200</v>
      </c>
      <c r="M1043" s="10">
        <f>IF(AND(ISNUMBER(K1043),L1043&gt;0),K1043/L1043,"")</f>
        <v/>
      </c>
      <c r="N1043" s="5" t="n">
        <v>6.997</v>
      </c>
      <c r="O1043" s="5" t="n">
        <v>165.3</v>
      </c>
      <c r="P1043" s="5" t="n">
        <v>1</v>
      </c>
      <c r="Q1043" s="5" t="n">
        <v>0</v>
      </c>
      <c r="R1043" s="5" t="n">
        <v>0</v>
      </c>
      <c r="S1043" s="5" t="n">
        <v>0</v>
      </c>
      <c r="T1043" s="5" t="n">
        <v>1</v>
      </c>
      <c r="U1043" s="5" t="n">
        <v>37</v>
      </c>
      <c r="V1043" s="5" t="n">
        <v>2</v>
      </c>
      <c r="W1043" s="5" t="n"/>
      <c r="X1043" s="5" t="inlineStr"/>
      <c r="Y1043" s="5" t="n">
        <v>1160.9</v>
      </c>
      <c r="Z1043" s="5" t="n">
        <v>1475.1</v>
      </c>
      <c r="AA1043" s="5" t="n">
        <v>1275.9</v>
      </c>
      <c r="AB1043" s="5" t="n">
        <v>1558.5</v>
      </c>
      <c r="AC1043" s="5" t="inlineStr">
        <is>
          <t>isolated_footing</t>
        </is>
      </c>
      <c r="AD1043" s="5">
        <f>IF(AC1043="","",IF(OR(AC1043=F1043,AND(AC1043="crane_footing",F1043="isolated_footing")),"yes","no"))</f>
        <v/>
      </c>
    </row>
    <row r="1044">
      <c r="A1044" s="5" t="n">
        <v>1043</v>
      </c>
      <c r="B1044" s="5" t="inlineStr">
        <is>
          <t>130</t>
        </is>
      </c>
      <c r="C1044" s="5" t="inlineStr">
        <is>
          <t>own label</t>
        </is>
      </c>
      <c r="D1044" s="5" t="inlineStr">
        <is>
          <t>outline</t>
        </is>
      </c>
      <c r="E1044" s="5" t="n">
        <v>26</v>
      </c>
      <c r="F1044" s="5" t="inlineStr">
        <is>
          <t>isolated_footing</t>
        </is>
      </c>
      <c r="G1044" s="5" t="inlineStr">
        <is>
          <t>similar to cluster 18 (distance 1.25)</t>
        </is>
      </c>
      <c r="H1044" s="5" t="inlineStr">
        <is>
          <t>S20</t>
        </is>
      </c>
      <c r="I1044" s="5" t="inlineStr">
        <is>
          <t>printed label</t>
        </is>
      </c>
      <c r="J1044" s="5" t="inlineStr">
        <is>
          <t>S20-130</t>
        </is>
      </c>
      <c r="K1044" s="5" t="n">
        <v>150</v>
      </c>
      <c r="L1044" s="5" t="n">
        <v>150</v>
      </c>
      <c r="M1044" s="10">
        <f>IF(AND(ISNUMBER(K1044),L1044&gt;0),K1044/L1044,"")</f>
        <v/>
      </c>
      <c r="N1044" s="5" t="n">
        <v>2.252</v>
      </c>
      <c r="O1044" s="5" t="n">
        <v>75.2</v>
      </c>
      <c r="P1044" s="5" t="n">
        <v>2</v>
      </c>
      <c r="Q1044" s="5" t="n">
        <v>0</v>
      </c>
      <c r="R1044" s="5" t="n">
        <v>0</v>
      </c>
      <c r="S1044" s="5" t="n">
        <v>0</v>
      </c>
      <c r="T1044" s="5" t="n">
        <v>1</v>
      </c>
      <c r="U1044" s="5" t="n">
        <v>16</v>
      </c>
      <c r="V1044" s="5" t="n">
        <v>1</v>
      </c>
      <c r="W1044" s="5" t="n"/>
      <c r="X1044" s="5" t="inlineStr"/>
      <c r="Y1044" s="5" t="n">
        <v>590.6</v>
      </c>
      <c r="Z1044" s="5" t="n">
        <v>1282.5</v>
      </c>
      <c r="AA1044" s="5" t="n">
        <v>644.7</v>
      </c>
      <c r="AB1044" s="5" t="n">
        <v>1336.6</v>
      </c>
      <c r="AC1044" s="5" t="inlineStr">
        <is>
          <t>isolated_footing</t>
        </is>
      </c>
      <c r="AD1044" s="5">
        <f>IF(AC1044="","",IF(OR(AC1044=F1044,AND(AC1044="crane_footing",F1044="isolated_footing")),"yes","no"))</f>
        <v/>
      </c>
    </row>
    <row r="1045">
      <c r="A1045" s="5" t="n">
        <v>1044</v>
      </c>
      <c r="B1045" s="5" t="inlineStr">
        <is>
          <t>130</t>
        </is>
      </c>
      <c r="C1045" s="5" t="inlineStr">
        <is>
          <t>own label</t>
        </is>
      </c>
      <c r="D1045" s="5" t="inlineStr">
        <is>
          <t>outline</t>
        </is>
      </c>
      <c r="E1045" s="5" t="n">
        <v>26</v>
      </c>
      <c r="F1045" s="5" t="inlineStr">
        <is>
          <t>isolated_footing</t>
        </is>
      </c>
      <c r="G1045" s="5" t="inlineStr">
        <is>
          <t>similar to cluster 18 (distance 1.25)</t>
        </is>
      </c>
      <c r="H1045" s="5" t="inlineStr">
        <is>
          <t>S20</t>
        </is>
      </c>
      <c r="I1045" s="5" t="inlineStr">
        <is>
          <t>printed label</t>
        </is>
      </c>
      <c r="J1045" s="5" t="inlineStr">
        <is>
          <t>S20-130</t>
        </is>
      </c>
      <c r="K1045" s="5" t="n">
        <v>150</v>
      </c>
      <c r="L1045" s="5" t="n">
        <v>150</v>
      </c>
      <c r="M1045" s="10">
        <f>IF(AND(ISNUMBER(K1045),L1045&gt;0),K1045/L1045,"")</f>
        <v/>
      </c>
      <c r="N1045" s="5" t="n">
        <v>2.25</v>
      </c>
      <c r="O1045" s="5" t="n">
        <v>165.3</v>
      </c>
      <c r="P1045" s="5" t="n">
        <v>1</v>
      </c>
      <c r="Q1045" s="5" t="n">
        <v>0</v>
      </c>
      <c r="R1045" s="5" t="n">
        <v>0</v>
      </c>
      <c r="S1045" s="5" t="n">
        <v>0</v>
      </c>
      <c r="T1045" s="5" t="n">
        <v>1</v>
      </c>
      <c r="U1045" s="5" t="n">
        <v>16</v>
      </c>
      <c r="V1045" s="5" t="n">
        <v>2</v>
      </c>
      <c r="W1045" s="5" t="n"/>
      <c r="X1045" s="5" t="inlineStr"/>
      <c r="Y1045" s="5" t="n">
        <v>688.9</v>
      </c>
      <c r="Z1045" s="5" t="n">
        <v>1256.6</v>
      </c>
      <c r="AA1045" s="5" t="n">
        <v>743.1</v>
      </c>
      <c r="AB1045" s="5" t="n">
        <v>1310.7</v>
      </c>
      <c r="AC1045" s="5" t="inlineStr">
        <is>
          <t>isolated_footing</t>
        </is>
      </c>
      <c r="AD1045" s="5">
        <f>IF(AC1045="","",IF(OR(AC1045=F1045,AND(AC1045="crane_footing",F1045="isolated_footing")),"yes","no"))</f>
        <v/>
      </c>
    </row>
    <row r="1046">
      <c r="A1046" s="5" t="n">
        <v>1045</v>
      </c>
      <c r="B1046" s="5" t="inlineStr">
        <is>
          <t>130</t>
        </is>
      </c>
      <c r="C1046" s="5" t="inlineStr">
        <is>
          <t>own label</t>
        </is>
      </c>
      <c r="D1046" s="5" t="inlineStr">
        <is>
          <t>outline</t>
        </is>
      </c>
      <c r="E1046" s="5" t="n">
        <v>16</v>
      </c>
      <c r="F1046" s="5" t="inlineStr">
        <is>
          <t>isolated_footing</t>
        </is>
      </c>
      <c r="G1046" s="5" t="inlineStr">
        <is>
          <t>label vote</t>
        </is>
      </c>
      <c r="H1046" s="5" t="inlineStr">
        <is>
          <t>S4</t>
        </is>
      </c>
      <c r="I1046" s="5" t="inlineStr">
        <is>
          <t>printed label</t>
        </is>
      </c>
      <c r="J1046" s="5" t="inlineStr">
        <is>
          <t>S4-130130</t>
        </is>
      </c>
      <c r="K1046" s="5" t="n">
        <v>400</v>
      </c>
      <c r="L1046" s="5" t="n">
        <v>300</v>
      </c>
      <c r="M1046" s="10">
        <f>IF(AND(ISNUMBER(K1046),L1046&gt;0),K1046/L1046,"")</f>
        <v/>
      </c>
      <c r="N1046" s="5" t="n">
        <v>11.998</v>
      </c>
      <c r="O1046" s="5" t="n">
        <v>3</v>
      </c>
      <c r="P1046" s="5" t="n">
        <v>3</v>
      </c>
      <c r="Q1046" s="5" t="n">
        <v>0</v>
      </c>
      <c r="R1046" s="5" t="n">
        <v>0</v>
      </c>
      <c r="S1046" s="5" t="n">
        <v>0</v>
      </c>
      <c r="T1046" s="5" t="n">
        <v>1</v>
      </c>
      <c r="U1046" s="5" t="n">
        <v>8</v>
      </c>
      <c r="V1046" s="5" t="n">
        <v>2</v>
      </c>
      <c r="W1046" s="5" t="n"/>
      <c r="X1046" s="5" t="inlineStr"/>
      <c r="Y1046" s="5" t="n">
        <v>839.6</v>
      </c>
      <c r="Z1046" s="5" t="n">
        <v>1185</v>
      </c>
      <c r="AA1046" s="5" t="n">
        <v>962.2</v>
      </c>
      <c r="AB1046" s="5" t="n">
        <v>1279.7</v>
      </c>
      <c r="AC1046" s="5" t="inlineStr">
        <is>
          <t>isolated_footing</t>
        </is>
      </c>
      <c r="AD1046" s="5">
        <f>IF(AC1046="","",IF(OR(AC1046=F1046,AND(AC1046="crane_footing",F1046="isolated_footing")),"yes","no"))</f>
        <v/>
      </c>
    </row>
    <row r="1047">
      <c r="A1047" s="5" t="n">
        <v>1046</v>
      </c>
      <c r="B1047" s="5" t="inlineStr">
        <is>
          <t>130</t>
        </is>
      </c>
      <c r="C1047" s="5" t="inlineStr">
        <is>
          <t>region between joints</t>
        </is>
      </c>
      <c r="D1047" s="5" t="inlineStr">
        <is>
          <t>outline</t>
        </is>
      </c>
      <c r="E1047" s="5" t="n">
        <v>15</v>
      </c>
      <c r="F1047" s="5" t="inlineStr">
        <is>
          <t>combined_footing</t>
        </is>
      </c>
      <c r="G1047" s="5" t="inlineStr">
        <is>
          <t>label vote</t>
        </is>
      </c>
      <c r="H1047" s="5" t="inlineStr">
        <is>
          <t>SC1</t>
        </is>
      </c>
      <c r="I1047" s="5" t="inlineStr">
        <is>
          <t>inferred: the only combined_footing type with this size</t>
        </is>
      </c>
      <c r="J1047" s="5" t="inlineStr"/>
      <c r="K1047" s="5" t="n">
        <v>500</v>
      </c>
      <c r="L1047" s="5" t="n">
        <v>350</v>
      </c>
      <c r="M1047" s="10">
        <f>IF(AND(ISNUMBER(K1047),L1047&gt;0),K1047/L1047,"")</f>
        <v/>
      </c>
      <c r="N1047" s="5" t="n">
        <v>17.505</v>
      </c>
      <c r="O1047" s="5" t="n">
        <v>75.3</v>
      </c>
      <c r="P1047" s="5" t="n">
        <v>2</v>
      </c>
      <c r="Q1047" s="5" t="n">
        <v>0</v>
      </c>
      <c r="R1047" s="5" t="n">
        <v>0</v>
      </c>
      <c r="S1047" s="5" t="n">
        <v>0</v>
      </c>
      <c r="T1047" s="5" t="n">
        <v>2</v>
      </c>
      <c r="U1047" s="5" t="n">
        <v>45</v>
      </c>
      <c r="V1047" s="5" t="n">
        <v>4</v>
      </c>
      <c r="W1047" s="5" t="n"/>
      <c r="X1047" s="5" t="inlineStr"/>
      <c r="Y1047" s="5" t="n">
        <v>716.9</v>
      </c>
      <c r="Z1047" s="5" t="n">
        <v>1621.5</v>
      </c>
      <c r="AA1047" s="5" t="n">
        <v>854.4</v>
      </c>
      <c r="AB1047" s="5" t="n">
        <v>1790.7</v>
      </c>
      <c r="AC1047" s="5" t="inlineStr">
        <is>
          <t>isolated_footing</t>
        </is>
      </c>
      <c r="AD1047" s="5">
        <f>IF(AC1047="","",IF(OR(AC1047=F1047,AND(AC1047="crane_footing",F1047="isolated_footing")),"yes","no"))</f>
        <v/>
      </c>
    </row>
    <row r="1048">
      <c r="A1048" s="5" t="n">
        <v>1047</v>
      </c>
      <c r="B1048" s="5" t="inlineStr">
        <is>
          <t>130</t>
        </is>
      </c>
      <c r="C1048" s="5" t="inlineStr">
        <is>
          <t>nearest labels</t>
        </is>
      </c>
      <c r="D1048" s="5" t="inlineStr">
        <is>
          <t>outline</t>
        </is>
      </c>
      <c r="E1048" s="5" t="n">
        <v>15</v>
      </c>
      <c r="F1048" s="5" t="inlineStr">
        <is>
          <t>combined_footing</t>
        </is>
      </c>
      <c r="G1048" s="5" t="inlineStr">
        <is>
          <t>label vote</t>
        </is>
      </c>
      <c r="H1048" s="5" t="inlineStr">
        <is>
          <t>SC1</t>
        </is>
      </c>
      <c r="I1048" s="5" t="inlineStr">
        <is>
          <t>printed label</t>
        </is>
      </c>
      <c r="J1048" s="5" t="inlineStr">
        <is>
          <t>SC1-</t>
        </is>
      </c>
      <c r="K1048" s="5" t="n">
        <v>500</v>
      </c>
      <c r="L1048" s="5" t="n">
        <v>350</v>
      </c>
      <c r="M1048" s="10">
        <f>IF(AND(ISNUMBER(K1048),L1048&gt;0),K1048/L1048,"")</f>
        <v/>
      </c>
      <c r="N1048" s="5" t="n">
        <v>17.498</v>
      </c>
      <c r="O1048" s="5" t="n">
        <v>165.3</v>
      </c>
      <c r="P1048" s="5" t="n">
        <v>2</v>
      </c>
      <c r="Q1048" s="5" t="n">
        <v>0</v>
      </c>
      <c r="R1048" s="5" t="n">
        <v>0</v>
      </c>
      <c r="S1048" s="5" t="n">
        <v>0</v>
      </c>
      <c r="T1048" s="5" t="n">
        <v>2</v>
      </c>
      <c r="U1048" s="5" t="n">
        <v>70</v>
      </c>
      <c r="V1048" s="5" t="n">
        <v>6</v>
      </c>
      <c r="W1048" s="5" t="n"/>
      <c r="X1048" s="5" t="inlineStr"/>
      <c r="Y1048" s="5" t="n">
        <v>964.2</v>
      </c>
      <c r="Z1048" s="5" t="n">
        <v>1723.1</v>
      </c>
      <c r="AA1048" s="5" t="n">
        <v>1133.2</v>
      </c>
      <c r="AB1048" s="5" t="n">
        <v>1860.6</v>
      </c>
      <c r="AC1048" s="5" t="inlineStr">
        <is>
          <t>combined_footing</t>
        </is>
      </c>
      <c r="AD1048" s="5">
        <f>IF(AC1048="","",IF(OR(AC1048=F1048,AND(AC1048="crane_footing",F1048="isolated_footing")),"yes","no"))</f>
        <v/>
      </c>
    </row>
    <row r="1049">
      <c r="A1049" s="5" t="n">
        <v>1048</v>
      </c>
      <c r="B1049" s="5" t="inlineStr">
        <is>
          <t>130</t>
        </is>
      </c>
      <c r="C1049" s="5" t="inlineStr">
        <is>
          <t>nearest labels</t>
        </is>
      </c>
      <c r="D1049" s="5" t="inlineStr">
        <is>
          <t>outline</t>
        </is>
      </c>
      <c r="E1049" s="5" t="n">
        <v>23</v>
      </c>
      <c r="F1049" s="5" t="inlineStr">
        <is>
          <t>combined_footing</t>
        </is>
      </c>
      <c r="G1049" s="5" t="inlineStr">
        <is>
          <t>similar to cluster 15 (distance 0.87)</t>
        </is>
      </c>
      <c r="H1049" s="5" t="inlineStr">
        <is>
          <t>SC2</t>
        </is>
      </c>
      <c r="I1049" s="5" t="inlineStr">
        <is>
          <t>printed label</t>
        </is>
      </c>
      <c r="J1049" s="5" t="inlineStr">
        <is>
          <t>SC2-</t>
        </is>
      </c>
      <c r="K1049" s="5" t="n">
        <v>350</v>
      </c>
      <c r="L1049" s="5" t="n">
        <v>200</v>
      </c>
      <c r="M1049" s="10">
        <f>IF(AND(ISNUMBER(K1049),L1049&gt;0),K1049/L1049,"")</f>
        <v/>
      </c>
      <c r="N1049" s="5" t="n">
        <v>6.997</v>
      </c>
      <c r="O1049" s="5" t="n">
        <v>165.3</v>
      </c>
      <c r="P1049" s="5" t="n">
        <v>2</v>
      </c>
      <c r="Q1049" s="5" t="n">
        <v>0</v>
      </c>
      <c r="R1049" s="5" t="n">
        <v>0</v>
      </c>
      <c r="S1049" s="5" t="n">
        <v>0</v>
      </c>
      <c r="T1049" s="5" t="n">
        <v>2</v>
      </c>
      <c r="U1049" s="5" t="n">
        <v>70</v>
      </c>
      <c r="V1049" s="5" t="n">
        <v>5</v>
      </c>
      <c r="W1049" s="5" t="n"/>
      <c r="X1049" s="5" t="inlineStr"/>
      <c r="Y1049" s="5" t="n">
        <v>1217.9</v>
      </c>
      <c r="Z1049" s="5" t="n">
        <v>1690.5</v>
      </c>
      <c r="AA1049" s="5" t="n">
        <v>1332.9</v>
      </c>
      <c r="AB1049" s="5" t="n">
        <v>1773.9</v>
      </c>
      <c r="AC1049" s="5" t="inlineStr">
        <is>
          <t>combined_footing</t>
        </is>
      </c>
      <c r="AD1049" s="5">
        <f>IF(AC1049="","",IF(OR(AC1049=F1049,AND(AC1049="crane_footing",F1049="isolated_footing")),"yes","no"))</f>
        <v/>
      </c>
    </row>
    <row r="1050">
      <c r="A1050" s="5" t="n">
        <v>1049</v>
      </c>
      <c r="B1050" s="5" t="inlineStr">
        <is>
          <t>130</t>
        </is>
      </c>
      <c r="C1050" s="5" t="inlineStr">
        <is>
          <t>own label</t>
        </is>
      </c>
      <c r="D1050" s="5" t="inlineStr">
        <is>
          <t>outline</t>
        </is>
      </c>
      <c r="E1050" s="5" t="n">
        <v>15</v>
      </c>
      <c r="F1050" s="5" t="inlineStr">
        <is>
          <t>combined_footing</t>
        </is>
      </c>
      <c r="G1050" s="5" t="inlineStr">
        <is>
          <t>label vote</t>
        </is>
      </c>
      <c r="H1050" s="5" t="inlineStr">
        <is>
          <t>SC9</t>
        </is>
      </c>
      <c r="I1050" s="5" t="inlineStr">
        <is>
          <t>printed label</t>
        </is>
      </c>
      <c r="J1050" s="5" t="inlineStr">
        <is>
          <t>SC9-130130</t>
        </is>
      </c>
      <c r="K1050" s="5" t="n">
        <v>450</v>
      </c>
      <c r="L1050" s="5" t="n">
        <v>300</v>
      </c>
      <c r="M1050" s="10">
        <f>IF(AND(ISNUMBER(K1050),L1050&gt;0),K1050/L1050,"")</f>
        <v/>
      </c>
      <c r="N1050" s="5" t="n">
        <v>13.503</v>
      </c>
      <c r="O1050" s="5" t="n">
        <v>165.3</v>
      </c>
      <c r="P1050" s="5" t="n">
        <v>4</v>
      </c>
      <c r="Q1050" s="5" t="n">
        <v>0</v>
      </c>
      <c r="R1050" s="5" t="n">
        <v>0</v>
      </c>
      <c r="S1050" s="5" t="n">
        <v>0</v>
      </c>
      <c r="T1050" s="5" t="n">
        <v>2</v>
      </c>
      <c r="U1050" s="5" t="n">
        <v>72</v>
      </c>
      <c r="V1050" s="5" t="n">
        <v>3</v>
      </c>
      <c r="W1050" s="5" t="n"/>
      <c r="X1050" s="5" t="inlineStr"/>
      <c r="Y1050" s="5" t="n">
        <v>741.4</v>
      </c>
      <c r="Z1050" s="5" t="n">
        <v>1793.2</v>
      </c>
      <c r="AA1050" s="5" t="n">
        <v>892.4</v>
      </c>
      <c r="AB1050" s="5" t="n">
        <v>1912.6</v>
      </c>
      <c r="AC1050" s="5" t="inlineStr">
        <is>
          <t>combined_footing</t>
        </is>
      </c>
      <c r="AD1050" s="5">
        <f>IF(AC1050="","",IF(OR(AC1050=F1050,AND(AC1050="crane_footing",F1050="isolated_footing")),"yes","no"))</f>
        <v/>
      </c>
    </row>
    <row r="1051">
      <c r="A1051" s="5" t="n">
        <v>1050</v>
      </c>
      <c r="B1051" s="5" t="inlineStr">
        <is>
          <t>130</t>
        </is>
      </c>
      <c r="C1051" s="5" t="inlineStr">
        <is>
          <t>region between joints</t>
        </is>
      </c>
      <c r="D1051" s="5" t="inlineStr">
        <is>
          <t>band</t>
        </is>
      </c>
      <c r="E1051" s="5" t="n">
        <v>6</v>
      </c>
      <c r="F1051" s="5" t="inlineStr">
        <is>
          <t>strip_footing</t>
        </is>
      </c>
      <c r="G1051" s="5" t="inlineStr">
        <is>
          <t>label vote</t>
        </is>
      </c>
      <c r="H1051" s="5" t="inlineStr">
        <is>
          <t>(none)</t>
        </is>
      </c>
      <c r="I1051" s="5" t="inlineStr"/>
      <c r="J1051" s="5" t="inlineStr"/>
      <c r="K1051" s="5" t="n">
        <v>139</v>
      </c>
      <c r="L1051" s="5" t="n">
        <v>80</v>
      </c>
      <c r="M1051" s="10">
        <f>IF(AND(ISNUMBER(K1051),L1051&gt;0),K1051/L1051,"")</f>
        <v/>
      </c>
      <c r="N1051" s="5" t="n">
        <v>1.109</v>
      </c>
      <c r="O1051" s="5" t="n">
        <v>73.3</v>
      </c>
      <c r="P1051" s="5" t="n">
        <v>1</v>
      </c>
      <c r="Q1051" s="5" t="n">
        <v>0</v>
      </c>
      <c r="R1051" s="5" t="n">
        <v>0</v>
      </c>
      <c r="S1051" s="5" t="n">
        <v>0</v>
      </c>
      <c r="T1051" s="5" t="n">
        <v>0</v>
      </c>
      <c r="U1051" s="5" t="n">
        <v>1</v>
      </c>
      <c r="V1051" s="5" t="n">
        <v>1</v>
      </c>
      <c r="W1051" s="5" t="n">
        <v>1.39</v>
      </c>
      <c r="X1051" s="5" t="inlineStr"/>
      <c r="Y1051" s="5" t="n">
        <v>583.4</v>
      </c>
      <c r="Z1051" s="5" t="n">
        <v>1246.5</v>
      </c>
      <c r="AA1051" s="5" t="n">
        <v>617.8</v>
      </c>
      <c r="AB1051" s="5" t="n">
        <v>1292.5</v>
      </c>
      <c r="AC1051" s="5" t="inlineStr"/>
      <c r="AD1051" s="5">
        <f>IF(AC1051="","",IF(OR(AC1051=F1051,AND(AC1051="crane_footing",F1051="isolated_footing")),"yes","no"))</f>
        <v/>
      </c>
    </row>
    <row r="1052">
      <c r="A1052" s="5" t="n">
        <v>1051</v>
      </c>
      <c r="B1052" s="5" t="inlineStr">
        <is>
          <t>130</t>
        </is>
      </c>
      <c r="C1052" s="5" t="inlineStr">
        <is>
          <t>region between joints</t>
        </is>
      </c>
      <c r="D1052" s="5" t="inlineStr">
        <is>
          <t>band</t>
        </is>
      </c>
      <c r="E1052" s="5" t="n">
        <v>6</v>
      </c>
      <c r="F1052" s="5" t="inlineStr">
        <is>
          <t>strip_footing</t>
        </is>
      </c>
      <c r="G1052" s="5" t="inlineStr">
        <is>
          <t>label vote</t>
        </is>
      </c>
      <c r="H1052" s="5" t="inlineStr">
        <is>
          <t>(none)</t>
        </is>
      </c>
      <c r="I1052" s="5" t="inlineStr"/>
      <c r="J1052" s="5" t="inlineStr"/>
      <c r="K1052" s="5" t="n">
        <v>117</v>
      </c>
      <c r="L1052" s="5" t="n">
        <v>80</v>
      </c>
      <c r="M1052" s="10">
        <f>IF(AND(ISNUMBER(K1052),L1052&gt;0),K1052/L1052,"")</f>
        <v/>
      </c>
      <c r="N1052" s="5" t="n">
        <v>0.9379999999999999</v>
      </c>
      <c r="O1052" s="5" t="n">
        <v>5.6</v>
      </c>
      <c r="P1052" s="5" t="n">
        <v>1</v>
      </c>
      <c r="Q1052" s="5" t="n">
        <v>0</v>
      </c>
      <c r="R1052" s="5" t="n">
        <v>0</v>
      </c>
      <c r="S1052" s="5" t="n">
        <v>0</v>
      </c>
      <c r="T1052" s="5" t="n">
        <v>0</v>
      </c>
      <c r="U1052" s="5" t="n">
        <v>0</v>
      </c>
      <c r="V1052" s="5" t="n">
        <v>0</v>
      </c>
      <c r="W1052" s="5" t="n">
        <v>1.17</v>
      </c>
      <c r="X1052" s="5" t="inlineStr"/>
      <c r="Y1052" s="5" t="n">
        <v>887</v>
      </c>
      <c r="Z1052" s="5" t="n">
        <v>1052.5</v>
      </c>
      <c r="AA1052" s="5" t="n">
        <v>923.7</v>
      </c>
      <c r="AB1052" s="5" t="n">
        <v>1079.3</v>
      </c>
      <c r="AC1052" s="5" t="inlineStr"/>
      <c r="AD1052" s="5">
        <f>IF(AC1052="","",IF(OR(AC1052=F1052,AND(AC1052="crane_footing",F1052="isolated_footing")),"yes","no"))</f>
        <v/>
      </c>
    </row>
    <row r="1053">
      <c r="A1053" s="5" t="n">
        <v>1052</v>
      </c>
      <c r="B1053" s="5" t="inlineStr">
        <is>
          <t>130</t>
        </is>
      </c>
      <c r="C1053" s="5" t="inlineStr">
        <is>
          <t>region between joints</t>
        </is>
      </c>
      <c r="D1053" s="5" t="inlineStr">
        <is>
          <t>band</t>
        </is>
      </c>
      <c r="E1053" s="5" t="n">
        <v>6</v>
      </c>
      <c r="F1053" s="5" t="inlineStr">
        <is>
          <t>strip_footing</t>
        </is>
      </c>
      <c r="G1053" s="5" t="inlineStr">
        <is>
          <t>label vote</t>
        </is>
      </c>
      <c r="H1053" s="5" t="inlineStr">
        <is>
          <t>SF1</t>
        </is>
      </c>
      <c r="I1053" s="5" t="inlineStr">
        <is>
          <t>printed label</t>
        </is>
      </c>
      <c r="J1053" s="5" t="inlineStr">
        <is>
          <t>VP20-SF1 80x25</t>
        </is>
      </c>
      <c r="K1053" s="5" t="n">
        <v>3708</v>
      </c>
      <c r="L1053" s="5" t="n">
        <v>80</v>
      </c>
      <c r="M1053" s="10">
        <f>IF(AND(ISNUMBER(K1053),L1053&gt;0),K1053/L1053,"")</f>
        <v/>
      </c>
      <c r="N1053" s="5" t="n">
        <v>29.667</v>
      </c>
      <c r="O1053" s="5" t="n">
        <v>75.2</v>
      </c>
      <c r="P1053" s="5" t="n">
        <v>2</v>
      </c>
      <c r="Q1053" s="5" t="n">
        <v>0</v>
      </c>
      <c r="R1053" s="5" t="n">
        <v>0</v>
      </c>
      <c r="S1053" s="5" t="n">
        <v>0</v>
      </c>
      <c r="T1053" s="5" t="n">
        <v>2</v>
      </c>
      <c r="U1053" s="5" t="n">
        <v>21</v>
      </c>
      <c r="V1053" s="5" t="n">
        <v>11</v>
      </c>
      <c r="W1053" s="5" t="n">
        <v>37.08</v>
      </c>
      <c r="X1053" s="5" t="inlineStr"/>
      <c r="Y1053" s="5" t="n">
        <v>1241.2</v>
      </c>
      <c r="Z1053" s="5" t="n">
        <v>1105</v>
      </c>
      <c r="AA1053" s="5" t="n">
        <v>1543.1</v>
      </c>
      <c r="AB1053" s="5" t="n">
        <v>2169.8</v>
      </c>
      <c r="AC1053" s="5" t="inlineStr"/>
      <c r="AD1053" s="5">
        <f>IF(AC1053="","",IF(OR(AC1053=F1053,AND(AC1053="crane_footing",F1053="isolated_footing")),"yes","no"))</f>
        <v/>
      </c>
    </row>
    <row r="1054">
      <c r="A1054" s="5" t="n">
        <v>1053</v>
      </c>
      <c r="B1054" s="5" t="inlineStr">
        <is>
          <t>130</t>
        </is>
      </c>
      <c r="C1054" s="5" t="inlineStr">
        <is>
          <t>region between joints</t>
        </is>
      </c>
      <c r="D1054" s="5" t="inlineStr">
        <is>
          <t>band</t>
        </is>
      </c>
      <c r="E1054" s="5" t="n">
        <v>6</v>
      </c>
      <c r="F1054" s="5" t="inlineStr">
        <is>
          <t>strip_footing</t>
        </is>
      </c>
      <c r="G1054" s="5" t="inlineStr">
        <is>
          <t>label vote</t>
        </is>
      </c>
      <c r="H1054" s="5" t="inlineStr">
        <is>
          <t>SF1</t>
        </is>
      </c>
      <c r="I1054" s="5" t="inlineStr">
        <is>
          <t>printed label</t>
        </is>
      </c>
      <c r="J1054" s="5" t="inlineStr">
        <is>
          <t>VP20-SF1 80x25</t>
        </is>
      </c>
      <c r="K1054" s="5" t="n">
        <v>798</v>
      </c>
      <c r="L1054" s="5" t="n">
        <v>80</v>
      </c>
      <c r="M1054" s="10">
        <f>IF(AND(ISNUMBER(K1054),L1054&gt;0),K1054/L1054,"")</f>
        <v/>
      </c>
      <c r="N1054" s="5" t="n">
        <v>6.387</v>
      </c>
      <c r="O1054" s="5" t="n">
        <v>5.7</v>
      </c>
      <c r="P1054" s="5" t="n">
        <v>1</v>
      </c>
      <c r="Q1054" s="5" t="n">
        <v>0</v>
      </c>
      <c r="R1054" s="5" t="n">
        <v>0</v>
      </c>
      <c r="S1054" s="5" t="n">
        <v>0</v>
      </c>
      <c r="T1054" s="5" t="n">
        <v>1</v>
      </c>
      <c r="U1054" s="5" t="n">
        <v>1</v>
      </c>
      <c r="V1054" s="5" t="n">
        <v>2</v>
      </c>
      <c r="W1054" s="5" t="n">
        <v>7.98</v>
      </c>
      <c r="X1054" s="5" t="inlineStr"/>
      <c r="Y1054" s="5" t="n">
        <v>1006.6</v>
      </c>
      <c r="Z1054" s="5" t="n">
        <v>1064.2</v>
      </c>
      <c r="AA1054" s="5" t="n">
        <v>1243.5</v>
      </c>
      <c r="AB1054" s="5" t="n">
        <v>1111</v>
      </c>
      <c r="AC1054" s="5" t="inlineStr"/>
      <c r="AD1054" s="5">
        <f>IF(AC1054="","",IF(OR(AC1054=F1054,AND(AC1054="crane_footing",F1054="isolated_footing")),"yes","no"))</f>
        <v/>
      </c>
    </row>
    <row r="1055">
      <c r="A1055" s="5" t="n">
        <v>1054</v>
      </c>
      <c r="B1055" s="5" t="inlineStr">
        <is>
          <t>130</t>
        </is>
      </c>
      <c r="C1055" s="5" t="inlineStr">
        <is>
          <t>region between joints</t>
        </is>
      </c>
      <c r="D1055" s="5" t="inlineStr">
        <is>
          <t>band</t>
        </is>
      </c>
      <c r="E1055" s="5" t="n">
        <v>6</v>
      </c>
      <c r="F1055" s="5" t="inlineStr">
        <is>
          <t>strip_footing</t>
        </is>
      </c>
      <c r="G1055" s="5" t="inlineStr">
        <is>
          <t>label vote</t>
        </is>
      </c>
      <c r="H1055" s="5" t="inlineStr">
        <is>
          <t>SF1</t>
        </is>
      </c>
      <c r="I1055" s="5" t="inlineStr">
        <is>
          <t>printed label</t>
        </is>
      </c>
      <c r="J1055" s="5" t="inlineStr">
        <is>
          <t>VP20-SF1 80x25</t>
        </is>
      </c>
      <c r="K1055" s="5" t="n">
        <v>471</v>
      </c>
      <c r="L1055" s="5" t="n">
        <v>80</v>
      </c>
      <c r="M1055" s="10">
        <f>IF(AND(ISNUMBER(K1055),L1055&gt;0),K1055/L1055,"")</f>
        <v/>
      </c>
      <c r="N1055" s="5" t="n">
        <v>3.765</v>
      </c>
      <c r="O1055" s="5" t="n">
        <v>2.8</v>
      </c>
      <c r="P1055" s="5" t="n">
        <v>1</v>
      </c>
      <c r="Q1055" s="5" t="n">
        <v>0</v>
      </c>
      <c r="R1055" s="5" t="n">
        <v>0</v>
      </c>
      <c r="S1055" s="5" t="n">
        <v>0</v>
      </c>
      <c r="T1055" s="5" t="n">
        <v>0</v>
      </c>
      <c r="U1055" s="5" t="n">
        <v>3</v>
      </c>
      <c r="V1055" s="5" t="n">
        <v>1</v>
      </c>
      <c r="W1055" s="5" t="n">
        <v>4.71</v>
      </c>
      <c r="X1055" s="5" t="inlineStr"/>
      <c r="Y1055" s="5" t="n">
        <v>702.6</v>
      </c>
      <c r="Z1055" s="5" t="n">
        <v>1209.2</v>
      </c>
      <c r="AA1055" s="5" t="n">
        <v>842.5</v>
      </c>
      <c r="AB1055" s="5" t="n">
        <v>1239.6</v>
      </c>
      <c r="AC1055" s="5" t="inlineStr"/>
      <c r="AD1055" s="5">
        <f>IF(AC1055="","",IF(OR(AC1055=F1055,AND(AC1055="crane_footing",F1055="isolated_footing")),"yes","no"))</f>
        <v/>
      </c>
    </row>
    <row r="1056">
      <c r="A1056" s="5" t="n">
        <v>1055</v>
      </c>
      <c r="B1056" s="5" t="inlineStr">
        <is>
          <t>130</t>
        </is>
      </c>
      <c r="C1056" s="5" t="inlineStr">
        <is>
          <t>region between joints</t>
        </is>
      </c>
      <c r="D1056" s="5" t="inlineStr">
        <is>
          <t>band</t>
        </is>
      </c>
      <c r="E1056" s="5" t="n">
        <v>6</v>
      </c>
      <c r="F1056" s="5" t="inlineStr">
        <is>
          <t>strip_footing</t>
        </is>
      </c>
      <c r="G1056" s="5" t="inlineStr">
        <is>
          <t>label vote</t>
        </is>
      </c>
      <c r="H1056" s="5" t="inlineStr">
        <is>
          <t>SF1</t>
        </is>
      </c>
      <c r="I1056" s="5" t="inlineStr">
        <is>
          <t>printed label</t>
        </is>
      </c>
      <c r="J1056" s="5" t="inlineStr">
        <is>
          <t>SF1-80x25</t>
        </is>
      </c>
      <c r="K1056" s="5" t="n">
        <v>370</v>
      </c>
      <c r="L1056" s="5" t="n">
        <v>80</v>
      </c>
      <c r="M1056" s="10">
        <f>IF(AND(ISNUMBER(K1056),L1056&gt;0),K1056/L1056,"")</f>
        <v/>
      </c>
      <c r="N1056" s="5" t="n">
        <v>2.961</v>
      </c>
      <c r="O1056" s="5" t="n">
        <v>75.3</v>
      </c>
      <c r="P1056" s="5" t="n">
        <v>1</v>
      </c>
      <c r="Q1056" s="5" t="n">
        <v>0</v>
      </c>
      <c r="R1056" s="5" t="n">
        <v>0</v>
      </c>
      <c r="S1056" s="5" t="n">
        <v>0</v>
      </c>
      <c r="T1056" s="5" t="n">
        <v>1</v>
      </c>
      <c r="U1056" s="5" t="n">
        <v>0</v>
      </c>
      <c r="V1056" s="5" t="n">
        <v>0</v>
      </c>
      <c r="W1056" s="5" t="n">
        <v>3.7</v>
      </c>
      <c r="X1056" s="5" t="inlineStr"/>
      <c r="Y1056" s="5" t="n">
        <v>864.2</v>
      </c>
      <c r="Z1056" s="5" t="n">
        <v>1075.9</v>
      </c>
      <c r="AA1056" s="5" t="n">
        <v>914.7</v>
      </c>
      <c r="AB1056" s="5" t="n">
        <v>1187.5</v>
      </c>
      <c r="AC1056" s="5" t="inlineStr"/>
      <c r="AD1056" s="5">
        <f>IF(AC1056="","",IF(OR(AC1056=F1056,AND(AC1056="crane_footing",F1056="isolated_footing")),"yes","no"))</f>
        <v/>
      </c>
    </row>
    <row r="1057">
      <c r="A1057" s="5" t="n">
        <v>1056</v>
      </c>
      <c r="B1057" s="5" t="inlineStr">
        <is>
          <t>130</t>
        </is>
      </c>
      <c r="C1057" s="5" t="inlineStr">
        <is>
          <t>region between joints</t>
        </is>
      </c>
      <c r="D1057" s="5" t="inlineStr">
        <is>
          <t>band</t>
        </is>
      </c>
      <c r="E1057" s="5" t="n">
        <v>6</v>
      </c>
      <c r="F1057" s="5" t="inlineStr">
        <is>
          <t>strip_footing</t>
        </is>
      </c>
      <c r="G1057" s="5" t="inlineStr">
        <is>
          <t>label vote</t>
        </is>
      </c>
      <c r="H1057" s="5" t="inlineStr">
        <is>
          <t>SF1</t>
        </is>
      </c>
      <c r="I1057" s="5" t="inlineStr">
        <is>
          <t>printed label</t>
        </is>
      </c>
      <c r="J1057" s="5" t="inlineStr">
        <is>
          <t>VP20-SF1 80x25</t>
        </is>
      </c>
      <c r="K1057" s="5" t="n">
        <v>356</v>
      </c>
      <c r="L1057" s="5" t="n">
        <v>80</v>
      </c>
      <c r="M1057" s="10">
        <f>IF(AND(ISNUMBER(K1057),L1057&gt;0),K1057/L1057,"")</f>
        <v/>
      </c>
      <c r="N1057" s="5" t="n">
        <v>2.845</v>
      </c>
      <c r="O1057" s="5" t="n">
        <v>75.2</v>
      </c>
      <c r="P1057" s="5" t="n">
        <v>2</v>
      </c>
      <c r="Q1057" s="5" t="n">
        <v>0</v>
      </c>
      <c r="R1057" s="5" t="n">
        <v>0</v>
      </c>
      <c r="S1057" s="5" t="n">
        <v>0</v>
      </c>
      <c r="T1057" s="5" t="n">
        <v>1</v>
      </c>
      <c r="U1057" s="5" t="n">
        <v>5</v>
      </c>
      <c r="V1057" s="5" t="n">
        <v>1</v>
      </c>
      <c r="W1057" s="5" t="n">
        <v>3.56</v>
      </c>
      <c r="X1057" s="5" t="inlineStr"/>
      <c r="Y1057" s="5" t="n">
        <v>728.6</v>
      </c>
      <c r="Z1057" s="5" t="n">
        <v>1530.2</v>
      </c>
      <c r="AA1057" s="5" t="n">
        <v>778.2</v>
      </c>
      <c r="AB1057" s="5" t="n">
        <v>1637.7</v>
      </c>
      <c r="AC1057" s="5" t="inlineStr"/>
      <c r="AD1057" s="5">
        <f>IF(AC1057="","",IF(OR(AC1057=F1057,AND(AC1057="crane_footing",F1057="isolated_footing")),"yes","no"))</f>
        <v/>
      </c>
    </row>
    <row r="1058">
      <c r="A1058" s="5" t="n">
        <v>1057</v>
      </c>
      <c r="B1058" s="5" t="inlineStr">
        <is>
          <t>130</t>
        </is>
      </c>
      <c r="C1058" s="5" t="inlineStr">
        <is>
          <t>region between joints</t>
        </is>
      </c>
      <c r="D1058" s="5" t="inlineStr">
        <is>
          <t>band</t>
        </is>
      </c>
      <c r="E1058" s="5" t="n">
        <v>4</v>
      </c>
      <c r="F1058" s="5" t="inlineStr">
        <is>
          <t>grade_beam</t>
        </is>
      </c>
      <c r="G1058" s="5" t="inlineStr">
        <is>
          <t>label vote</t>
        </is>
      </c>
      <c r="H1058" s="5" t="inlineStr">
        <is>
          <t>LG40x15</t>
        </is>
      </c>
      <c r="I1058" s="5" t="inlineStr">
        <is>
          <t>printed label</t>
        </is>
      </c>
      <c r="J1058" s="5" t="inlineStr">
        <is>
          <t>LG-40x15</t>
        </is>
      </c>
      <c r="K1058" s="5" t="n">
        <v>2224</v>
      </c>
      <c r="L1058" s="5" t="n">
        <v>41</v>
      </c>
      <c r="M1058" s="10">
        <f>IF(AND(ISNUMBER(K1058),L1058&gt;0),K1058/L1058,"")</f>
        <v/>
      </c>
      <c r="N1058" s="5" t="n">
        <v>9.117000000000001</v>
      </c>
      <c r="O1058" s="5" t="n">
        <v>75.59999999999999</v>
      </c>
      <c r="P1058" s="5" t="n">
        <v>4</v>
      </c>
      <c r="Q1058" s="5" t="n">
        <v>0</v>
      </c>
      <c r="R1058" s="5" t="n">
        <v>0</v>
      </c>
      <c r="S1058" s="5" t="n">
        <v>0</v>
      </c>
      <c r="T1058" s="5" t="n">
        <v>0</v>
      </c>
      <c r="U1058" s="5" t="n">
        <v>101</v>
      </c>
      <c r="V1058" s="5" t="n">
        <v>5</v>
      </c>
      <c r="W1058" s="5" t="n">
        <v>19.44</v>
      </c>
      <c r="X1058" s="5" t="inlineStr"/>
      <c r="Y1058" s="5" t="n">
        <v>1102.8</v>
      </c>
      <c r="Z1058" s="5" t="n">
        <v>1089.5</v>
      </c>
      <c r="AA1058" s="5" t="n">
        <v>1277.7</v>
      </c>
      <c r="AB1058" s="5" t="n">
        <v>1728.5</v>
      </c>
      <c r="AC1058" s="5" t="inlineStr"/>
      <c r="AD1058" s="5">
        <f>IF(AC1058="","",IF(OR(AC1058=F1058,AND(AC1058="crane_footing",F1058="isolated_footing")),"yes","no"))</f>
        <v/>
      </c>
    </row>
    <row r="1059">
      <c r="A1059" s="5" t="n">
        <v>1058</v>
      </c>
      <c r="B1059" s="5" t="inlineStr">
        <is>
          <t>130</t>
        </is>
      </c>
      <c r="C1059" s="5" t="inlineStr">
        <is>
          <t>region between joints</t>
        </is>
      </c>
      <c r="D1059" s="5" t="inlineStr">
        <is>
          <t>band</t>
        </is>
      </c>
      <c r="E1059" s="5" t="n">
        <v>4</v>
      </c>
      <c r="F1059" s="5" t="inlineStr">
        <is>
          <t>grade_beam</t>
        </is>
      </c>
      <c r="G1059" s="5" t="inlineStr">
        <is>
          <t>label vote</t>
        </is>
      </c>
      <c r="H1059" s="5" t="inlineStr">
        <is>
          <t>LG40x15</t>
        </is>
      </c>
      <c r="I1059" s="5" t="inlineStr">
        <is>
          <t>printed label</t>
        </is>
      </c>
      <c r="J1059" s="5" t="inlineStr">
        <is>
          <t>LG-40x15</t>
        </is>
      </c>
      <c r="K1059" s="5" t="n">
        <v>2027</v>
      </c>
      <c r="L1059" s="5" t="n">
        <v>41</v>
      </c>
      <c r="M1059" s="10">
        <f>IF(AND(ISNUMBER(K1059),L1059&gt;0),K1059/L1059,"")</f>
        <v/>
      </c>
      <c r="N1059" s="5" t="n">
        <v>8.311999999999999</v>
      </c>
      <c r="O1059" s="5" t="n">
        <v>165.3</v>
      </c>
      <c r="P1059" s="5" t="n">
        <v>5</v>
      </c>
      <c r="Q1059" s="5" t="n">
        <v>0</v>
      </c>
      <c r="R1059" s="5" t="n">
        <v>0</v>
      </c>
      <c r="S1059" s="5" t="n">
        <v>0</v>
      </c>
      <c r="T1059" s="5" t="n">
        <v>2</v>
      </c>
      <c r="U1059" s="5" t="n">
        <v>59</v>
      </c>
      <c r="V1059" s="5" t="n">
        <v>7</v>
      </c>
      <c r="W1059" s="5" t="n">
        <v>9.85</v>
      </c>
      <c r="X1059" s="5" t="inlineStr"/>
      <c r="Y1059" s="5" t="n">
        <v>823.2</v>
      </c>
      <c r="Z1059" s="5" t="n">
        <v>1686.5</v>
      </c>
      <c r="AA1059" s="5" t="n">
        <v>1405.1</v>
      </c>
      <c r="AB1059" s="5" t="n">
        <v>1850.6</v>
      </c>
      <c r="AC1059" s="5" t="inlineStr"/>
      <c r="AD1059" s="5">
        <f>IF(AC1059="","",IF(OR(AC1059=F1059,AND(AC1059="crane_footing",F1059="isolated_footing")),"yes","no"))</f>
        <v/>
      </c>
    </row>
    <row r="1060">
      <c r="A1060" s="5" t="n">
        <v>1059</v>
      </c>
      <c r="B1060" s="5" t="inlineStr">
        <is>
          <t>130</t>
        </is>
      </c>
      <c r="C1060" s="5" t="inlineStr">
        <is>
          <t>region between joints</t>
        </is>
      </c>
      <c r="D1060" s="5" t="inlineStr">
        <is>
          <t>band</t>
        </is>
      </c>
      <c r="E1060" s="5" t="n">
        <v>4</v>
      </c>
      <c r="F1060" s="5" t="inlineStr">
        <is>
          <t>grade_beam</t>
        </is>
      </c>
      <c r="G1060" s="5" t="inlineStr">
        <is>
          <t>label vote</t>
        </is>
      </c>
      <c r="H1060" s="5" t="inlineStr">
        <is>
          <t>LG40x15</t>
        </is>
      </c>
      <c r="I1060" s="5" t="inlineStr">
        <is>
          <t>printed label</t>
        </is>
      </c>
      <c r="J1060" s="5" t="inlineStr">
        <is>
          <t>LG-40x15</t>
        </is>
      </c>
      <c r="K1060" s="5" t="n">
        <v>1923</v>
      </c>
      <c r="L1060" s="5" t="n">
        <v>41</v>
      </c>
      <c r="M1060" s="10">
        <f>IF(AND(ISNUMBER(K1060),L1060&gt;0),K1060/L1060,"")</f>
        <v/>
      </c>
      <c r="N1060" s="5" t="n">
        <v>7.884</v>
      </c>
      <c r="O1060" s="5" t="n">
        <v>75.09999999999999</v>
      </c>
      <c r="P1060" s="5" t="n">
        <v>5</v>
      </c>
      <c r="Q1060" s="5" t="n">
        <v>0</v>
      </c>
      <c r="R1060" s="5" t="n">
        <v>0</v>
      </c>
      <c r="S1060" s="5" t="n">
        <v>0</v>
      </c>
      <c r="T1060" s="5" t="n">
        <v>0</v>
      </c>
      <c r="U1060" s="5" t="n">
        <v>33</v>
      </c>
      <c r="V1060" s="5" t="n">
        <v>7</v>
      </c>
      <c r="W1060" s="5" t="n">
        <v>9.140000000000001</v>
      </c>
      <c r="X1060" s="5" t="inlineStr"/>
      <c r="Y1060" s="5" t="n">
        <v>895.3</v>
      </c>
      <c r="Z1060" s="5" t="n">
        <v>1234.4</v>
      </c>
      <c r="AA1060" s="5" t="n">
        <v>1052.7</v>
      </c>
      <c r="AB1060" s="5" t="n">
        <v>1786.2</v>
      </c>
      <c r="AC1060" s="5" t="inlineStr"/>
      <c r="AD1060" s="5">
        <f>IF(AC1060="","",IF(OR(AC1060=F1060,AND(AC1060="crane_footing",F1060="isolated_footing")),"yes","no"))</f>
        <v/>
      </c>
    </row>
    <row r="1061">
      <c r="A1061" s="5" t="n">
        <v>1060</v>
      </c>
      <c r="B1061" s="5" t="inlineStr">
        <is>
          <t>130</t>
        </is>
      </c>
      <c r="C1061" s="5" t="inlineStr">
        <is>
          <t>region between joints</t>
        </is>
      </c>
      <c r="D1061" s="5" t="inlineStr">
        <is>
          <t>band</t>
        </is>
      </c>
      <c r="E1061" s="5" t="n">
        <v>4</v>
      </c>
      <c r="F1061" s="5" t="inlineStr">
        <is>
          <t>grade_beam</t>
        </is>
      </c>
      <c r="G1061" s="5" t="inlineStr">
        <is>
          <t>label vote</t>
        </is>
      </c>
      <c r="H1061" s="5" t="inlineStr">
        <is>
          <t>LG40x15</t>
        </is>
      </c>
      <c r="I1061" s="5" t="inlineStr">
        <is>
          <t>printed label</t>
        </is>
      </c>
      <c r="J1061" s="5" t="inlineStr">
        <is>
          <t>LG-40x15</t>
        </is>
      </c>
      <c r="K1061" s="5" t="n">
        <v>1231</v>
      </c>
      <c r="L1061" s="5" t="n">
        <v>41</v>
      </c>
      <c r="M1061" s="10">
        <f>IF(AND(ISNUMBER(K1061),L1061&gt;0),K1061/L1061,"")</f>
        <v/>
      </c>
      <c r="N1061" s="5" t="n">
        <v>5.046</v>
      </c>
      <c r="O1061" s="5" t="n">
        <v>165.2</v>
      </c>
      <c r="P1061" s="5" t="n">
        <v>2</v>
      </c>
      <c r="Q1061" s="5" t="n">
        <v>0</v>
      </c>
      <c r="R1061" s="5" t="n">
        <v>0</v>
      </c>
      <c r="S1061" s="5" t="n">
        <v>0</v>
      </c>
      <c r="T1061" s="5" t="n">
        <v>1</v>
      </c>
      <c r="U1061" s="5" t="n">
        <v>24</v>
      </c>
      <c r="V1061" s="5" t="n">
        <v>3</v>
      </c>
      <c r="W1061" s="5" t="n">
        <v>12.31</v>
      </c>
      <c r="X1061" s="5" t="inlineStr"/>
      <c r="Y1061" s="5" t="n">
        <v>937</v>
      </c>
      <c r="Z1061" s="5" t="n">
        <v>1255.3</v>
      </c>
      <c r="AA1061" s="5" t="n">
        <v>1291.5</v>
      </c>
      <c r="AB1061" s="5" t="n">
        <v>1359.6</v>
      </c>
      <c r="AC1061" s="5" t="inlineStr"/>
      <c r="AD1061" s="5">
        <f>IF(AC1061="","",IF(OR(AC1061=F1061,AND(AC1061="crane_footing",F1061="isolated_footing")),"yes","no"))</f>
        <v/>
      </c>
    </row>
    <row r="1062">
      <c r="A1062" s="5" t="n">
        <v>1061</v>
      </c>
      <c r="B1062" s="5" t="inlineStr">
        <is>
          <t>130</t>
        </is>
      </c>
      <c r="C1062" s="5" t="inlineStr">
        <is>
          <t>region between joints</t>
        </is>
      </c>
      <c r="D1062" s="5" t="inlineStr">
        <is>
          <t>band</t>
        </is>
      </c>
      <c r="E1062" s="5" t="n">
        <v>4</v>
      </c>
      <c r="F1062" s="5" t="inlineStr">
        <is>
          <t>grade_beam</t>
        </is>
      </c>
      <c r="G1062" s="5" t="inlineStr">
        <is>
          <t>label vote</t>
        </is>
      </c>
      <c r="H1062" s="5" t="inlineStr">
        <is>
          <t>LG40x15</t>
        </is>
      </c>
      <c r="I1062" s="5" t="inlineStr">
        <is>
          <t>printed label</t>
        </is>
      </c>
      <c r="J1062" s="5" t="inlineStr">
        <is>
          <t>LG-40x15</t>
        </is>
      </c>
      <c r="K1062" s="5" t="n">
        <v>1229</v>
      </c>
      <c r="L1062" s="5" t="n">
        <v>41</v>
      </c>
      <c r="M1062" s="10">
        <f>IF(AND(ISNUMBER(K1062),L1062&gt;0),K1062/L1062,"")</f>
        <v/>
      </c>
      <c r="N1062" s="5" t="n">
        <v>5.04</v>
      </c>
      <c r="O1062" s="5" t="n">
        <v>165.2</v>
      </c>
      <c r="P1062" s="5" t="n">
        <v>2</v>
      </c>
      <c r="Q1062" s="5" t="n">
        <v>0</v>
      </c>
      <c r="R1062" s="5" t="n">
        <v>0</v>
      </c>
      <c r="S1062" s="5" t="n">
        <v>0</v>
      </c>
      <c r="T1062" s="5" t="n">
        <v>1</v>
      </c>
      <c r="U1062" s="5" t="n">
        <v>22</v>
      </c>
      <c r="V1062" s="5" t="n">
        <v>2</v>
      </c>
      <c r="W1062" s="5" t="n">
        <v>7.09</v>
      </c>
      <c r="X1062" s="5" t="inlineStr"/>
      <c r="Y1062" s="5" t="n">
        <v>995.8</v>
      </c>
      <c r="Z1062" s="5" t="n">
        <v>1476.8</v>
      </c>
      <c r="AA1062" s="5" t="n">
        <v>1349.9</v>
      </c>
      <c r="AB1062" s="5" t="n">
        <v>1580.9</v>
      </c>
      <c r="AC1062" s="5" t="inlineStr"/>
      <c r="AD1062" s="5">
        <f>IF(AC1062="","",IF(OR(AC1062=F1062,AND(AC1062="crane_footing",F1062="isolated_footing")),"yes","no"))</f>
        <v/>
      </c>
    </row>
    <row r="1063">
      <c r="A1063" s="5" t="n">
        <v>1062</v>
      </c>
      <c r="B1063" s="5" t="inlineStr">
        <is>
          <t>130</t>
        </is>
      </c>
      <c r="C1063" s="5" t="inlineStr">
        <is>
          <t>region between joints</t>
        </is>
      </c>
      <c r="D1063" s="5" t="inlineStr">
        <is>
          <t>band</t>
        </is>
      </c>
      <c r="E1063" s="5" t="n">
        <v>4</v>
      </c>
      <c r="F1063" s="5" t="inlineStr">
        <is>
          <t>grade_beam</t>
        </is>
      </c>
      <c r="G1063" s="5" t="inlineStr">
        <is>
          <t>label vote</t>
        </is>
      </c>
      <c r="H1063" s="5" t="inlineStr">
        <is>
          <t>LG40x15</t>
        </is>
      </c>
      <c r="I1063" s="5" t="inlineStr">
        <is>
          <t>printed label</t>
        </is>
      </c>
      <c r="J1063" s="5" t="inlineStr">
        <is>
          <t>LG-40x15</t>
        </is>
      </c>
      <c r="K1063" s="5" t="n">
        <v>758</v>
      </c>
      <c r="L1063" s="5" t="n">
        <v>41</v>
      </c>
      <c r="M1063" s="10">
        <f>IF(AND(ISNUMBER(K1063),L1063&gt;0),K1063/L1063,"")</f>
        <v/>
      </c>
      <c r="N1063" s="5" t="n">
        <v>3.107</v>
      </c>
      <c r="O1063" s="5" t="n">
        <v>165.3</v>
      </c>
      <c r="P1063" s="5" t="n">
        <v>2</v>
      </c>
      <c r="Q1063" s="5" t="n">
        <v>0</v>
      </c>
      <c r="R1063" s="5" t="n">
        <v>0</v>
      </c>
      <c r="S1063" s="5" t="n">
        <v>0</v>
      </c>
      <c r="T1063" s="5" t="n">
        <v>1</v>
      </c>
      <c r="U1063" s="5" t="n">
        <v>5</v>
      </c>
      <c r="V1063" s="5" t="n">
        <v>1</v>
      </c>
      <c r="W1063" s="5" t="n">
        <v>3.01</v>
      </c>
      <c r="X1063" s="5" t="inlineStr"/>
      <c r="Y1063" s="5" t="n">
        <v>774.3</v>
      </c>
      <c r="Z1063" s="5" t="n">
        <v>1596.3</v>
      </c>
      <c r="AA1063" s="5" t="n">
        <v>993.8</v>
      </c>
      <c r="AB1063" s="5" t="n">
        <v>1664.7</v>
      </c>
      <c r="AC1063" s="5" t="inlineStr"/>
      <c r="AD1063" s="5">
        <f>IF(AC1063="","",IF(OR(AC1063=F1063,AND(AC1063="crane_footing",F1063="isolated_footing")),"yes","no"))</f>
        <v/>
      </c>
    </row>
    <row r="1064">
      <c r="A1064" s="5" t="n">
        <v>1063</v>
      </c>
      <c r="B1064" s="5" t="inlineStr">
        <is>
          <t>130</t>
        </is>
      </c>
      <c r="C1064" s="5" t="inlineStr">
        <is>
          <t>region between joints</t>
        </is>
      </c>
      <c r="D1064" s="5" t="inlineStr">
        <is>
          <t>band</t>
        </is>
      </c>
      <c r="E1064" s="5" t="n">
        <v>4</v>
      </c>
      <c r="F1064" s="5" t="inlineStr">
        <is>
          <t>grade_beam</t>
        </is>
      </c>
      <c r="G1064" s="5" t="inlineStr">
        <is>
          <t>label vote</t>
        </is>
      </c>
      <c r="H1064" s="5" t="inlineStr">
        <is>
          <t>LG40x15</t>
        </is>
      </c>
      <c r="I1064" s="5" t="inlineStr">
        <is>
          <t>printed label</t>
        </is>
      </c>
      <c r="J1064" s="5" t="inlineStr">
        <is>
          <t>LG-40x15</t>
        </is>
      </c>
      <c r="K1064" s="5" t="n">
        <v>424</v>
      </c>
      <c r="L1064" s="5" t="n">
        <v>41</v>
      </c>
      <c r="M1064" s="10">
        <f>IF(AND(ISNUMBER(K1064),L1064&gt;0),K1064/L1064,"")</f>
        <v/>
      </c>
      <c r="N1064" s="5" t="n">
        <v>1.739</v>
      </c>
      <c r="O1064" s="5" t="n">
        <v>75.3</v>
      </c>
      <c r="P1064" s="5" t="n">
        <v>3</v>
      </c>
      <c r="Q1064" s="5" t="n">
        <v>0</v>
      </c>
      <c r="R1064" s="5" t="n">
        <v>0</v>
      </c>
      <c r="S1064" s="5" t="n">
        <v>0</v>
      </c>
      <c r="T1064" s="5" t="n">
        <v>1</v>
      </c>
      <c r="U1064" s="5" t="n">
        <v>13</v>
      </c>
      <c r="V1064" s="5" t="n">
        <v>1</v>
      </c>
      <c r="W1064" s="5" t="n">
        <v>2.52</v>
      </c>
      <c r="X1064" s="5" t="inlineStr"/>
      <c r="Y1064" s="5" t="n">
        <v>695.1</v>
      </c>
      <c r="Z1064" s="5" t="n">
        <v>1224.9</v>
      </c>
      <c r="AA1064" s="5" t="n">
        <v>738.7</v>
      </c>
      <c r="AB1064" s="5" t="n">
        <v>1349.1</v>
      </c>
      <c r="AC1064" s="5" t="inlineStr"/>
      <c r="AD1064" s="5">
        <f>IF(AC1064="","",IF(OR(AC1064=F1064,AND(AC1064="crane_footing",F1064="isolated_footing")),"yes","no"))</f>
        <v/>
      </c>
    </row>
    <row r="1065">
      <c r="A1065" s="5" t="n">
        <v>1064</v>
      </c>
      <c r="B1065" s="5" t="inlineStr">
        <is>
          <t>130</t>
        </is>
      </c>
      <c r="C1065" s="5" t="inlineStr">
        <is>
          <t>region between joints</t>
        </is>
      </c>
      <c r="D1065" s="5" t="inlineStr">
        <is>
          <t>band</t>
        </is>
      </c>
      <c r="E1065" s="5" t="n">
        <v>4</v>
      </c>
      <c r="F1065" s="5" t="inlineStr">
        <is>
          <t>grade_beam</t>
        </is>
      </c>
      <c r="G1065" s="5" t="inlineStr">
        <is>
          <t>label vote</t>
        </is>
      </c>
      <c r="H1065" s="5" t="inlineStr">
        <is>
          <t>LG40x15</t>
        </is>
      </c>
      <c r="I1065" s="5" t="inlineStr">
        <is>
          <t>printed label</t>
        </is>
      </c>
      <c r="J1065" s="5" t="inlineStr">
        <is>
          <t>LG-40x15</t>
        </is>
      </c>
      <c r="K1065" s="5" t="n">
        <v>334</v>
      </c>
      <c r="L1065" s="5" t="n">
        <v>41</v>
      </c>
      <c r="M1065" s="10">
        <f>IF(AND(ISNUMBER(K1065),L1065&gt;0),K1065/L1065,"")</f>
        <v/>
      </c>
      <c r="N1065" s="5" t="n">
        <v>1.371</v>
      </c>
      <c r="O1065" s="5" t="n">
        <v>165.2</v>
      </c>
      <c r="P1065" s="5" t="n">
        <v>3</v>
      </c>
      <c r="Q1065" s="5" t="n">
        <v>0</v>
      </c>
      <c r="R1065" s="5" t="n">
        <v>0</v>
      </c>
      <c r="S1065" s="5" t="n">
        <v>0</v>
      </c>
      <c r="T1065" s="5" t="n">
        <v>1</v>
      </c>
      <c r="U1065" s="5" t="n">
        <v>4</v>
      </c>
      <c r="V1065" s="5" t="n">
        <v>1</v>
      </c>
      <c r="W1065" s="5" t="n">
        <v>1.94</v>
      </c>
      <c r="X1065" s="5" t="inlineStr"/>
      <c r="Y1065" s="5" t="n">
        <v>613.3</v>
      </c>
      <c r="Z1065" s="5" t="n">
        <v>1279.3</v>
      </c>
      <c r="AA1065" s="5" t="n">
        <v>711.8</v>
      </c>
      <c r="AB1065" s="5" t="n">
        <v>1316.1</v>
      </c>
      <c r="AC1065" s="5" t="inlineStr"/>
      <c r="AD1065" s="5">
        <f>IF(AC1065="","",IF(OR(AC1065=F1065,AND(AC1065="crane_footing",F1065="isolated_footing")),"yes","no"))</f>
        <v/>
      </c>
    </row>
    <row r="1066">
      <c r="A1066" s="5" t="n">
        <v>1065</v>
      </c>
      <c r="B1066" s="5" t="inlineStr">
        <is>
          <t>130</t>
        </is>
      </c>
      <c r="C1066" s="5" t="inlineStr">
        <is>
          <t>region between joints</t>
        </is>
      </c>
      <c r="D1066" s="5" t="inlineStr">
        <is>
          <t>stamped_region</t>
        </is>
      </c>
      <c r="E1066" s="5" t="n">
        <v>39</v>
      </c>
      <c r="F1066" s="5" t="inlineStr">
        <is>
          <t>raft</t>
        </is>
      </c>
      <c r="G1066" s="5" t="inlineStr">
        <is>
          <t>label vote</t>
        </is>
      </c>
      <c r="H1066" s="5" t="inlineStr">
        <is>
          <t>Radier 100</t>
        </is>
      </c>
      <c r="I1066" s="5" t="inlineStr">
        <is>
          <t>printed label</t>
        </is>
      </c>
      <c r="J1066" s="5" t="inlineStr">
        <is>
          <t>Radier</t>
        </is>
      </c>
      <c r="K1066" s="5" t="n">
        <v>1952</v>
      </c>
      <c r="L1066" s="5" t="n">
        <v>708</v>
      </c>
      <c r="M1066" s="10">
        <f>IF(AND(ISNUMBER(K1066),L1066&gt;0),K1066/L1066,"")</f>
        <v/>
      </c>
      <c r="N1066" s="5" t="n">
        <v>118.04</v>
      </c>
      <c r="O1066" s="5" t="n">
        <v>165.3</v>
      </c>
      <c r="P1066" s="5" t="n">
        <v>13</v>
      </c>
      <c r="Q1066" s="5" t="n">
        <v>0</v>
      </c>
      <c r="R1066" s="5" t="n">
        <v>0</v>
      </c>
      <c r="S1066" s="5" t="n">
        <v>0</v>
      </c>
      <c r="T1066" s="5" t="n">
        <v>11</v>
      </c>
      <c r="U1066" s="5" t="n">
        <v>188</v>
      </c>
      <c r="V1066" s="5" t="n">
        <v>11</v>
      </c>
      <c r="W1066" s="5" t="n"/>
      <c r="X1066" s="5" t="inlineStr">
        <is>
          <t>traced outline</t>
        </is>
      </c>
      <c r="Y1066" s="5" t="n">
        <v>415.6</v>
      </c>
      <c r="Z1066" s="5" t="n">
        <v>1294.7</v>
      </c>
      <c r="AA1066" s="5" t="n">
        <v>1026</v>
      </c>
      <c r="AB1066" s="5" t="n">
        <v>1587</v>
      </c>
      <c r="AC1066" s="5" t="inlineStr"/>
      <c r="AD1066" s="5">
        <f>IF(AC1066="","",IF(OR(AC1066=F1066,AND(AC1066="crane_footing",F1066="isolated_footing")),"yes","no"))</f>
        <v/>
      </c>
    </row>
    <row r="1067">
      <c r="A1067" s="5" t="n">
        <v>1066</v>
      </c>
      <c r="B1067" s="5" t="inlineStr">
        <is>
          <t>130</t>
        </is>
      </c>
      <c r="C1067" s="5" t="inlineStr">
        <is>
          <t>region between joints</t>
        </is>
      </c>
      <c r="D1067" s="5" t="inlineStr">
        <is>
          <t>outline</t>
        </is>
      </c>
      <c r="E1067" s="5" t="n">
        <v>20</v>
      </c>
      <c r="F1067" s="5" t="inlineStr">
        <is>
          <t>sump_pit</t>
        </is>
      </c>
      <c r="G1067" s="5" t="inlineStr">
        <is>
          <t>label vote</t>
        </is>
      </c>
      <c r="H1067" s="5" t="inlineStr">
        <is>
          <t>Fosse</t>
        </is>
      </c>
      <c r="I1067" s="5" t="inlineStr">
        <is>
          <t>printed label</t>
        </is>
      </c>
      <c r="J1067" s="5" t="inlineStr">
        <is>
          <t>FOSSE DE RELEVAGE2.00x1.50x1.50</t>
        </is>
      </c>
      <c r="K1067" s="5" t="n">
        <v>290</v>
      </c>
      <c r="L1067" s="5" t="n">
        <v>240</v>
      </c>
      <c r="M1067" s="10">
        <f>IF(AND(ISNUMBER(K1067),L1067&gt;0),K1067/L1067,"")</f>
        <v/>
      </c>
      <c r="N1067" s="5" t="n">
        <v>6.96</v>
      </c>
      <c r="O1067" s="5" t="n">
        <v>5.7</v>
      </c>
      <c r="P1067" s="5" t="n">
        <v>5</v>
      </c>
      <c r="Q1067" s="5" t="n">
        <v>1</v>
      </c>
      <c r="R1067" s="5" t="n">
        <v>0</v>
      </c>
      <c r="S1067" s="5" t="n">
        <v>0</v>
      </c>
      <c r="T1067" s="5" t="n">
        <v>4</v>
      </c>
      <c r="U1067" s="5" t="n">
        <v>5</v>
      </c>
      <c r="V1067" s="5" t="n">
        <v>1</v>
      </c>
      <c r="W1067" s="5" t="n"/>
      <c r="X1067" s="5" t="inlineStr"/>
      <c r="Y1067" s="5" t="n">
        <v>916.6</v>
      </c>
      <c r="Z1067" s="5" t="n">
        <v>1057.2</v>
      </c>
      <c r="AA1067" s="5" t="n">
        <v>1008.8</v>
      </c>
      <c r="AB1067" s="5" t="n">
        <v>1136.2</v>
      </c>
      <c r="AC1067" s="5" t="inlineStr"/>
      <c r="AD1067" s="5">
        <f>IF(AC1067="","",IF(OR(AC1067=F1067,AND(AC1067="crane_footing",F1067="isolated_footing")),"yes","no"))</f>
        <v/>
      </c>
    </row>
    <row r="1068">
      <c r="A1068" s="5" t="n">
        <v>1067</v>
      </c>
      <c r="B1068" s="5" t="inlineStr">
        <is>
          <t>130</t>
        </is>
      </c>
      <c r="C1068" s="5" t="inlineStr">
        <is>
          <t>region between joints</t>
        </is>
      </c>
      <c r="D1068" s="5" t="inlineStr">
        <is>
          <t>outline</t>
        </is>
      </c>
      <c r="E1068" s="5" t="n">
        <v>20</v>
      </c>
      <c r="F1068" s="5" t="inlineStr">
        <is>
          <t>sump_pit</t>
        </is>
      </c>
      <c r="G1068" s="5" t="inlineStr">
        <is>
          <t>label vote</t>
        </is>
      </c>
      <c r="H1068" s="5" t="inlineStr">
        <is>
          <t>(none)</t>
        </is>
      </c>
      <c r="I1068" s="5" t="inlineStr"/>
      <c r="J1068" s="5" t="inlineStr"/>
      <c r="K1068" s="5" t="n">
        <v>240</v>
      </c>
      <c r="L1068" s="5" t="n">
        <v>190</v>
      </c>
      <c r="M1068" s="10">
        <f>IF(AND(ISNUMBER(K1068),L1068&gt;0),K1068/L1068,"")</f>
        <v/>
      </c>
      <c r="N1068" s="5" t="n">
        <v>4.558</v>
      </c>
      <c r="O1068" s="5" t="n">
        <v>5.7</v>
      </c>
      <c r="P1068" s="5" t="n">
        <v>5</v>
      </c>
      <c r="Q1068" s="5" t="n">
        <v>1</v>
      </c>
      <c r="R1068" s="5" t="n">
        <v>0</v>
      </c>
      <c r="S1068" s="5" t="n">
        <v>0</v>
      </c>
      <c r="T1068" s="5" t="n">
        <v>4</v>
      </c>
      <c r="U1068" s="5" t="n">
        <v>5</v>
      </c>
      <c r="V1068" s="5" t="n">
        <v>1</v>
      </c>
      <c r="W1068" s="5" t="n"/>
      <c r="X1068" s="5" t="inlineStr"/>
      <c r="Y1068" s="5" t="n">
        <v>924.7</v>
      </c>
      <c r="Z1068" s="5" t="n">
        <v>1065.3</v>
      </c>
      <c r="AA1068" s="5" t="n">
        <v>1000.7</v>
      </c>
      <c r="AB1068" s="5" t="n">
        <v>1128.1</v>
      </c>
      <c r="AC1068" s="5" t="inlineStr"/>
      <c r="AD1068" s="5">
        <f>IF(AC1068="","",IF(OR(AC1068=F1068,AND(AC1068="crane_footing",F1068="isolated_footing")),"yes","no"))</f>
        <v/>
      </c>
    </row>
    <row r="1069">
      <c r="A1069" s="5" t="n">
        <v>1068</v>
      </c>
      <c r="B1069" s="5" t="inlineStr">
        <is>
          <t>130</t>
        </is>
      </c>
      <c r="C1069" s="5" t="inlineStr">
        <is>
          <t>region between joints</t>
        </is>
      </c>
      <c r="D1069" s="5" t="inlineStr">
        <is>
          <t>solid</t>
        </is>
      </c>
      <c r="E1069" s="5" t="n">
        <v>34</v>
      </c>
      <c r="F1069" s="5" t="inlineStr">
        <is>
          <t>unnamed</t>
        </is>
      </c>
      <c r="G1069" s="5" t="inlineStr">
        <is>
          <t>no label votes</t>
        </is>
      </c>
      <c r="H1069" s="5" t="inlineStr">
        <is>
          <t>(none)</t>
        </is>
      </c>
      <c r="I1069" s="5" t="inlineStr"/>
      <c r="J1069" s="5" t="inlineStr"/>
      <c r="K1069" s="5" t="n">
        <v>640</v>
      </c>
      <c r="L1069" s="5" t="n">
        <v>20</v>
      </c>
      <c r="M1069" s="10">
        <f>IF(AND(ISNUMBER(K1069),L1069&gt;0),K1069/L1069,"")</f>
        <v/>
      </c>
      <c r="N1069" s="5" t="n">
        <v>1.239</v>
      </c>
      <c r="O1069" s="5" t="n">
        <v>165.2</v>
      </c>
      <c r="P1069" s="5" t="n">
        <v>1</v>
      </c>
      <c r="Q1069" s="5" t="n">
        <v>0</v>
      </c>
      <c r="R1069" s="5" t="n">
        <v>0</v>
      </c>
      <c r="S1069" s="5" t="n">
        <v>1</v>
      </c>
      <c r="T1069" s="5" t="n">
        <v>0</v>
      </c>
      <c r="U1069" s="5" t="n">
        <v>3</v>
      </c>
      <c r="V1069" s="5" t="n">
        <v>2</v>
      </c>
      <c r="W1069" s="5" t="n"/>
      <c r="X1069" s="5" t="inlineStr"/>
      <c r="Y1069" s="5" t="n">
        <v>460</v>
      </c>
      <c r="Z1069" s="5" t="n">
        <v>1408</v>
      </c>
      <c r="AA1069" s="5" t="n">
        <v>644.3</v>
      </c>
      <c r="AB1069" s="5" t="n">
        <v>1458.7</v>
      </c>
      <c r="AC1069" s="5" t="inlineStr"/>
      <c r="AD1069" s="5">
        <f>IF(AC1069="","",IF(OR(AC1069=F1069,AND(AC1069="crane_footing",F1069="isolated_footing")),"yes","no"))</f>
        <v/>
      </c>
    </row>
    <row r="1070">
      <c r="A1070" s="5" t="n">
        <v>1069</v>
      </c>
      <c r="B1070" s="5" t="inlineStr">
        <is>
          <t>130</t>
        </is>
      </c>
      <c r="C1070" s="5" t="inlineStr">
        <is>
          <t>region between joints</t>
        </is>
      </c>
      <c r="D1070" s="5" t="inlineStr">
        <is>
          <t>solid</t>
        </is>
      </c>
      <c r="E1070" s="5" t="n">
        <v>38</v>
      </c>
      <c r="F1070" s="5" t="inlineStr">
        <is>
          <t>unnamed</t>
        </is>
      </c>
      <c r="G1070" s="5" t="inlineStr">
        <is>
          <t>no label votes</t>
        </is>
      </c>
      <c r="H1070" s="5" t="inlineStr">
        <is>
          <t>(none)</t>
        </is>
      </c>
      <c r="I1070" s="5" t="inlineStr"/>
      <c r="J1070" s="5" t="inlineStr"/>
      <c r="K1070" s="5" t="n">
        <v>200</v>
      </c>
      <c r="L1070" s="5" t="n">
        <v>20</v>
      </c>
      <c r="M1070" s="10">
        <f>IF(AND(ISNUMBER(K1070),L1070&gt;0),K1070/L1070,"")</f>
        <v/>
      </c>
      <c r="N1070" s="5" t="n">
        <v>0.4</v>
      </c>
      <c r="O1070" s="5" t="n">
        <v>5.8</v>
      </c>
      <c r="P1070" s="5" t="n">
        <v>3</v>
      </c>
      <c r="Q1070" s="5" t="n">
        <v>1</v>
      </c>
      <c r="R1070" s="5" t="n">
        <v>0</v>
      </c>
      <c r="S1070" s="5" t="n">
        <v>0</v>
      </c>
      <c r="T1070" s="5" t="n">
        <v>0</v>
      </c>
      <c r="U1070" s="5" t="n">
        <v>0</v>
      </c>
      <c r="V1070" s="5" t="n">
        <v>1</v>
      </c>
      <c r="W1070" s="5" t="n"/>
      <c r="X1070" s="5" t="inlineStr"/>
      <c r="Y1070" s="5" t="n">
        <v>935.6</v>
      </c>
      <c r="Z1070" s="5" t="n">
        <v>1065.8</v>
      </c>
      <c r="AA1070" s="5" t="n">
        <v>994.8</v>
      </c>
      <c r="AB1070" s="5" t="n">
        <v>1077.6</v>
      </c>
      <c r="AC1070" s="5" t="inlineStr"/>
      <c r="AD1070" s="5">
        <f>IF(AC1070="","",IF(OR(AC1070=F1070,AND(AC1070="crane_footing",F1070="isolated_footing")),"yes","no"))</f>
        <v/>
      </c>
    </row>
    <row r="1071">
      <c r="A1071" s="5" t="n">
        <v>1070</v>
      </c>
      <c r="B1071" s="5" t="inlineStr">
        <is>
          <t>130</t>
        </is>
      </c>
      <c r="C1071" s="5" t="inlineStr">
        <is>
          <t>region between joints</t>
        </is>
      </c>
      <c r="D1071" s="5" t="inlineStr">
        <is>
          <t>solid</t>
        </is>
      </c>
      <c r="E1071" s="5" t="n">
        <v>38</v>
      </c>
      <c r="F1071" s="5" t="inlineStr">
        <is>
          <t>unnamed</t>
        </is>
      </c>
      <c r="G1071" s="5" t="inlineStr">
        <is>
          <t>no label votes</t>
        </is>
      </c>
      <c r="H1071" s="5" t="inlineStr">
        <is>
          <t>(none)</t>
        </is>
      </c>
      <c r="I1071" s="5" t="inlineStr"/>
      <c r="J1071" s="5" t="inlineStr"/>
      <c r="K1071" s="5" t="n">
        <v>149</v>
      </c>
      <c r="L1071" s="5" t="n">
        <v>20</v>
      </c>
      <c r="M1071" s="10">
        <f>IF(AND(ISNUMBER(K1071),L1071&gt;0),K1071/L1071,"")</f>
        <v/>
      </c>
      <c r="N1071" s="5" t="n">
        <v>0.3</v>
      </c>
      <c r="O1071" s="5" t="n">
        <v>95.5</v>
      </c>
      <c r="P1071" s="5" t="n">
        <v>2</v>
      </c>
      <c r="Q1071" s="5" t="n">
        <v>1</v>
      </c>
      <c r="R1071" s="5" t="n">
        <v>0</v>
      </c>
      <c r="S1071" s="5" t="n">
        <v>0</v>
      </c>
      <c r="T1071" s="5" t="n">
        <v>0</v>
      </c>
      <c r="U1071" s="5" t="n">
        <v>0</v>
      </c>
      <c r="V1071" s="5" t="n">
        <v>1</v>
      </c>
      <c r="W1071" s="5" t="n"/>
      <c r="X1071" s="5" t="inlineStr"/>
      <c r="Y1071" s="5" t="n">
        <v>990</v>
      </c>
      <c r="Z1071" s="5" t="n">
        <v>1077.6</v>
      </c>
      <c r="AA1071" s="5" t="n">
        <v>1000.1</v>
      </c>
      <c r="AB1071" s="5" t="n">
        <v>1122</v>
      </c>
      <c r="AC1071" s="5" t="inlineStr"/>
      <c r="AD1071" s="5">
        <f>IF(AC1071="","",IF(OR(AC1071=F1071,AND(AC1071="crane_footing",F1071="isolated_footing")),"yes","no"))</f>
        <v/>
      </c>
    </row>
    <row r="1072">
      <c r="A1072" s="5" t="n">
        <v>1071</v>
      </c>
      <c r="B1072" s="5" t="inlineStr">
        <is>
          <t>130</t>
        </is>
      </c>
      <c r="C1072" s="5" t="inlineStr">
        <is>
          <t>region between joints</t>
        </is>
      </c>
      <c r="D1072" s="5" t="inlineStr">
        <is>
          <t>solid</t>
        </is>
      </c>
      <c r="E1072" s="5" t="n">
        <v>34</v>
      </c>
      <c r="F1072" s="5" t="inlineStr">
        <is>
          <t>unnamed</t>
        </is>
      </c>
      <c r="G1072" s="5" t="inlineStr">
        <is>
          <t>no label votes</t>
        </is>
      </c>
      <c r="H1072" s="5" t="inlineStr">
        <is>
          <t>(none)</t>
        </is>
      </c>
      <c r="I1072" s="5" t="inlineStr"/>
      <c r="J1072" s="5" t="inlineStr"/>
      <c r="K1072" s="5" t="n">
        <v>168</v>
      </c>
      <c r="L1072" s="5" t="n">
        <v>20</v>
      </c>
      <c r="M1072" s="10">
        <f>IF(AND(ISNUMBER(K1072),L1072&gt;0),K1072/L1072,"")</f>
        <v/>
      </c>
      <c r="N1072" s="5" t="n">
        <v>0.335</v>
      </c>
      <c r="O1072" s="5" t="n">
        <v>5.7</v>
      </c>
      <c r="P1072" s="5" t="n">
        <v>1</v>
      </c>
      <c r="Q1072" s="5" t="n">
        <v>1</v>
      </c>
      <c r="R1072" s="5" t="n">
        <v>0</v>
      </c>
      <c r="S1072" s="5" t="n">
        <v>0</v>
      </c>
      <c r="T1072" s="5" t="n">
        <v>0</v>
      </c>
      <c r="U1072" s="5" t="n">
        <v>0</v>
      </c>
      <c r="V1072" s="5" t="n">
        <v>1</v>
      </c>
      <c r="W1072" s="5" t="n"/>
      <c r="X1072" s="5" t="inlineStr"/>
      <c r="Y1072" s="5" t="n">
        <v>930.5</v>
      </c>
      <c r="Z1072" s="5" t="n">
        <v>1115.8</v>
      </c>
      <c r="AA1072" s="5" t="n">
        <v>980.4</v>
      </c>
      <c r="AB1072" s="5" t="n">
        <v>1126.6</v>
      </c>
      <c r="AC1072" s="5" t="inlineStr"/>
      <c r="AD1072" s="5">
        <f>IF(AC1072="","",IF(OR(AC1072=F1072,AND(AC1072="crane_footing",F1072="isolated_footing")),"yes","no"))</f>
        <v/>
      </c>
    </row>
    <row r="1073">
      <c r="A1073" s="5" t="n">
        <v>1072</v>
      </c>
      <c r="B1073" s="5" t="inlineStr">
        <is>
          <t>130</t>
        </is>
      </c>
      <c r="C1073" s="5" t="inlineStr">
        <is>
          <t>region between joints</t>
        </is>
      </c>
      <c r="D1073" s="5" t="inlineStr">
        <is>
          <t>solid</t>
        </is>
      </c>
      <c r="E1073" s="5" t="n">
        <v>38</v>
      </c>
      <c r="F1073" s="5" t="inlineStr">
        <is>
          <t>unnamed</t>
        </is>
      </c>
      <c r="G1073" s="5" t="inlineStr">
        <is>
          <t>no label votes</t>
        </is>
      </c>
      <c r="H1073" s="5" t="inlineStr">
        <is>
          <t>(none)</t>
        </is>
      </c>
      <c r="I1073" s="5" t="inlineStr"/>
      <c r="J1073" s="5" t="inlineStr"/>
      <c r="K1073" s="5" t="n">
        <v>150</v>
      </c>
      <c r="L1073" s="5" t="n">
        <v>20</v>
      </c>
      <c r="M1073" s="10">
        <f>IF(AND(ISNUMBER(K1073),L1073&gt;0),K1073/L1073,"")</f>
        <v/>
      </c>
      <c r="N1073" s="5" t="n">
        <v>0.3</v>
      </c>
      <c r="O1073" s="5" t="n">
        <v>95.7</v>
      </c>
      <c r="P1073" s="5" t="n">
        <v>3</v>
      </c>
      <c r="Q1073" s="5" t="n">
        <v>1</v>
      </c>
      <c r="R1073" s="5" t="n">
        <v>0</v>
      </c>
      <c r="S1073" s="5" t="n">
        <v>0</v>
      </c>
      <c r="T1073" s="5" t="n">
        <v>0</v>
      </c>
      <c r="U1073" s="5" t="n">
        <v>0</v>
      </c>
      <c r="V1073" s="5" t="n">
        <v>0</v>
      </c>
      <c r="W1073" s="5" t="n"/>
      <c r="X1073" s="5" t="inlineStr"/>
      <c r="Y1073" s="5" t="n">
        <v>925.2</v>
      </c>
      <c r="Z1073" s="5" t="n">
        <v>1071.1</v>
      </c>
      <c r="AA1073" s="5" t="n">
        <v>935.6</v>
      </c>
      <c r="AB1073" s="5" t="n">
        <v>1115.8</v>
      </c>
      <c r="AC1073" s="5" t="inlineStr"/>
      <c r="AD1073" s="5">
        <f>IF(AC1073="","",IF(OR(AC1073=F1073,AND(AC1073="crane_footing",F1073="isolated_footing")),"yes","no"))</f>
        <v/>
      </c>
    </row>
    <row r="1074">
      <c r="A1074" s="5" t="n">
        <v>1073</v>
      </c>
      <c r="B1074" s="5" t="inlineStr">
        <is>
          <t>130</t>
        </is>
      </c>
      <c r="C1074" s="5" t="inlineStr">
        <is>
          <t>region between joints</t>
        </is>
      </c>
      <c r="D1074" s="5" t="inlineStr">
        <is>
          <t>single_hatch</t>
        </is>
      </c>
      <c r="E1074" s="5" t="n">
        <v>27</v>
      </c>
      <c r="F1074" s="5" t="inlineStr">
        <is>
          <t>unnamed</t>
        </is>
      </c>
      <c r="G1074" s="5" t="inlineStr">
        <is>
          <t>no label votes</t>
        </is>
      </c>
      <c r="H1074" s="5" t="inlineStr">
        <is>
          <t>(none)</t>
        </is>
      </c>
      <c r="I1074" s="5" t="inlineStr"/>
      <c r="J1074" s="5" t="inlineStr"/>
      <c r="K1074" s="5" t="n">
        <v>53</v>
      </c>
      <c r="L1074" s="5" t="n">
        <v>14</v>
      </c>
      <c r="M1074" s="10">
        <f>IF(AND(ISNUMBER(K1074),L1074&gt;0),K1074/L1074,"")</f>
        <v/>
      </c>
      <c r="N1074" s="5" t="n">
        <v>0.051</v>
      </c>
      <c r="O1074" s="5" t="n">
        <v>26.6</v>
      </c>
      <c r="P1074" s="5" t="n">
        <v>1</v>
      </c>
      <c r="Q1074" s="5" t="n">
        <v>0</v>
      </c>
      <c r="R1074" s="5" t="n">
        <v>0</v>
      </c>
      <c r="S1074" s="5" t="n">
        <v>1</v>
      </c>
      <c r="T1074" s="5" t="n">
        <v>0</v>
      </c>
      <c r="U1074" s="5" t="n">
        <v>0</v>
      </c>
      <c r="V1074" s="5" t="n">
        <v>0</v>
      </c>
      <c r="W1074" s="5" t="n"/>
      <c r="X1074" s="5" t="inlineStr"/>
      <c r="Y1074" s="5" t="n">
        <v>672.4</v>
      </c>
      <c r="Z1074" s="5" t="n">
        <v>1361.9</v>
      </c>
      <c r="AA1074" s="5" t="n">
        <v>688.3</v>
      </c>
      <c r="AB1074" s="5" t="n">
        <v>1368.4</v>
      </c>
      <c r="AC1074" s="5" t="inlineStr"/>
      <c r="AD1074" s="5">
        <f>IF(AC1074="","",IF(OR(AC1074=F1074,AND(AC1074="crane_footing",F1074="isolated_footing")),"yes","no"))</f>
        <v/>
      </c>
    </row>
    <row r="1075">
      <c r="A1075" s="5" t="n">
        <v>1074</v>
      </c>
      <c r="B1075" s="5" t="inlineStr">
        <is>
          <t>130</t>
        </is>
      </c>
      <c r="C1075" s="5" t="inlineStr">
        <is>
          <t>region between joints</t>
        </is>
      </c>
      <c r="D1075" s="5" t="inlineStr">
        <is>
          <t>cross_hatch</t>
        </is>
      </c>
      <c r="E1075" s="5" t="n">
        <v>14</v>
      </c>
      <c r="F1075" s="5" t="inlineStr">
        <is>
          <t>unnamed</t>
        </is>
      </c>
      <c r="G1075" s="5" t="inlineStr">
        <is>
          <t>no label votes</t>
        </is>
      </c>
      <c r="H1075" s="5" t="inlineStr">
        <is>
          <t>(none)</t>
        </is>
      </c>
      <c r="I1075" s="5" t="inlineStr"/>
      <c r="J1075" s="5" t="inlineStr"/>
      <c r="K1075" s="5" t="n">
        <v>1044</v>
      </c>
      <c r="L1075" s="5" t="n">
        <v>20</v>
      </c>
      <c r="M1075" s="10">
        <f>IF(AND(ISNUMBER(K1075),L1075&gt;0),K1075/L1075,"")</f>
        <v/>
      </c>
      <c r="N1075" s="5" t="n">
        <v>2.112</v>
      </c>
      <c r="O1075" s="5" t="n">
        <v>16</v>
      </c>
      <c r="P1075" s="5" t="n">
        <v>3</v>
      </c>
      <c r="Q1075" s="5" t="n">
        <v>0</v>
      </c>
      <c r="R1075" s="5" t="n">
        <v>0</v>
      </c>
      <c r="S1075" s="5" t="n">
        <v>1</v>
      </c>
      <c r="T1075" s="5" t="n">
        <v>0</v>
      </c>
      <c r="U1075" s="5" t="n">
        <v>10</v>
      </c>
      <c r="V1075" s="5" t="n">
        <v>3</v>
      </c>
      <c r="W1075" s="5" t="n"/>
      <c r="X1075" s="5" t="inlineStr"/>
      <c r="Y1075" s="5" t="n">
        <v>639.9</v>
      </c>
      <c r="Z1075" s="5" t="n">
        <v>1388.5</v>
      </c>
      <c r="AA1075" s="5" t="n">
        <v>786.4</v>
      </c>
      <c r="AB1075" s="5" t="n">
        <v>1464.5</v>
      </c>
      <c r="AC1075" s="5" t="inlineStr"/>
      <c r="AD1075" s="5">
        <f>IF(AC1075="","",IF(OR(AC1075=F1075,AND(AC1075="crane_footing",F1075="isolated_footing")),"yes","no"))</f>
        <v/>
      </c>
    </row>
    <row r="1076">
      <c r="A1076" s="5" t="n">
        <v>1075</v>
      </c>
      <c r="B1076" s="5" t="inlineStr">
        <is>
          <t>130</t>
        </is>
      </c>
      <c r="C1076" s="5" t="inlineStr">
        <is>
          <t>region between joints</t>
        </is>
      </c>
      <c r="D1076" s="5" t="inlineStr">
        <is>
          <t>cross_hatch</t>
        </is>
      </c>
      <c r="E1076" s="5" t="n">
        <v>14</v>
      </c>
      <c r="F1076" s="5" t="inlineStr">
        <is>
          <t>unnamed</t>
        </is>
      </c>
      <c r="G1076" s="5" t="inlineStr">
        <is>
          <t>no label votes</t>
        </is>
      </c>
      <c r="H1076" s="5" t="inlineStr">
        <is>
          <t>(none)</t>
        </is>
      </c>
      <c r="I1076" s="5" t="inlineStr"/>
      <c r="J1076" s="5" t="inlineStr"/>
      <c r="K1076" s="5" t="n">
        <v>419</v>
      </c>
      <c r="L1076" s="5" t="n">
        <v>20</v>
      </c>
      <c r="M1076" s="10">
        <f>IF(AND(ISNUMBER(K1076),L1076&gt;0),K1076/L1076,"")</f>
        <v/>
      </c>
      <c r="N1076" s="5" t="n">
        <v>0.844</v>
      </c>
      <c r="O1076" s="5" t="n">
        <v>165.3</v>
      </c>
      <c r="P1076" s="5" t="n">
        <v>3</v>
      </c>
      <c r="Q1076" s="5" t="n">
        <v>0</v>
      </c>
      <c r="R1076" s="5" t="n">
        <v>0</v>
      </c>
      <c r="S1076" s="5" t="n">
        <v>1</v>
      </c>
      <c r="T1076" s="5" t="n">
        <v>1</v>
      </c>
      <c r="U1076" s="5" t="n">
        <v>3</v>
      </c>
      <c r="V1076" s="5" t="n">
        <v>1</v>
      </c>
      <c r="W1076" s="5" t="n"/>
      <c r="X1076" s="5" t="inlineStr"/>
      <c r="Y1076" s="5" t="n">
        <v>625.3</v>
      </c>
      <c r="Z1076" s="5" t="n">
        <v>1467.7</v>
      </c>
      <c r="AA1076" s="5" t="n">
        <v>761.5</v>
      </c>
      <c r="AB1076" s="5" t="n">
        <v>1507.2</v>
      </c>
      <c r="AC1076" s="5" t="inlineStr"/>
      <c r="AD1076" s="5">
        <f>IF(AC1076="","",IF(OR(AC1076=F1076,AND(AC1076="crane_footing",F1076="isolated_footing")),"yes","no"))</f>
        <v/>
      </c>
    </row>
    <row r="1077">
      <c r="A1077" s="5" t="n">
        <v>1076</v>
      </c>
      <c r="B1077" s="5" t="inlineStr">
        <is>
          <t>130</t>
        </is>
      </c>
      <c r="C1077" s="5" t="inlineStr">
        <is>
          <t>region between joints</t>
        </is>
      </c>
      <c r="D1077" s="5" t="inlineStr">
        <is>
          <t>outline</t>
        </is>
      </c>
      <c r="E1077" s="5" t="n">
        <v>19</v>
      </c>
      <c r="F1077" s="5" t="inlineStr">
        <is>
          <t>unnamed</t>
        </is>
      </c>
      <c r="G1077" s="5" t="inlineStr">
        <is>
          <t>no label votes</t>
        </is>
      </c>
      <c r="H1077" s="5" t="inlineStr">
        <is>
          <t>(none)</t>
        </is>
      </c>
      <c r="I1077" s="5" t="inlineStr"/>
      <c r="J1077" s="5" t="inlineStr"/>
      <c r="K1077" s="5" t="n">
        <v>75</v>
      </c>
      <c r="L1077" s="5" t="n">
        <v>75</v>
      </c>
      <c r="M1077" s="10">
        <f>IF(AND(ISNUMBER(K1077),L1077&gt;0),K1077/L1077,"")</f>
        <v/>
      </c>
      <c r="N1077" s="5" t="n">
        <v>0.5639999999999999</v>
      </c>
      <c r="O1077" s="5" t="n">
        <v>95.7</v>
      </c>
      <c r="P1077" s="5" t="n">
        <v>0</v>
      </c>
      <c r="Q1077" s="5" t="n">
        <v>0</v>
      </c>
      <c r="R1077" s="5" t="n">
        <v>0</v>
      </c>
      <c r="S1077" s="5" t="n">
        <v>0</v>
      </c>
      <c r="T1077" s="5" t="n">
        <v>0</v>
      </c>
      <c r="U1077" s="5" t="n">
        <v>0</v>
      </c>
      <c r="V1077" s="5" t="n">
        <v>1</v>
      </c>
      <c r="W1077" s="5" t="n"/>
      <c r="X1077" s="5" t="inlineStr"/>
      <c r="Y1077" s="5" t="n">
        <v>1081.2</v>
      </c>
      <c r="Z1077" s="5" t="n">
        <v>1211.4</v>
      </c>
      <c r="AA1077" s="5" t="n">
        <v>1105.5</v>
      </c>
      <c r="AB1077" s="5" t="n">
        <v>1235.7</v>
      </c>
      <c r="AC1077" s="5" t="inlineStr"/>
      <c r="AD1077" s="5">
        <f>IF(AC1077="","",IF(OR(AC1077=F1077,AND(AC1077="crane_footing",F1077="isolated_footing")),"yes","no"))</f>
        <v/>
      </c>
    </row>
    <row r="1078">
      <c r="A1078" s="5" t="n">
        <v>1077</v>
      </c>
      <c r="B1078" s="5" t="inlineStr">
        <is>
          <t>130</t>
        </is>
      </c>
      <c r="C1078" s="5" t="inlineStr">
        <is>
          <t>region between joints</t>
        </is>
      </c>
      <c r="D1078" s="5" t="inlineStr">
        <is>
          <t>outline</t>
        </is>
      </c>
      <c r="E1078" s="5" t="n">
        <v>19</v>
      </c>
      <c r="F1078" s="5" t="inlineStr">
        <is>
          <t>unnamed</t>
        </is>
      </c>
      <c r="G1078" s="5" t="inlineStr">
        <is>
          <t>no label votes</t>
        </is>
      </c>
      <c r="H1078" s="5" t="inlineStr">
        <is>
          <t>(none)</t>
        </is>
      </c>
      <c r="I1078" s="5" t="inlineStr"/>
      <c r="J1078" s="5" t="inlineStr"/>
      <c r="K1078" s="5" t="n">
        <v>75</v>
      </c>
      <c r="L1078" s="5" t="n">
        <v>75</v>
      </c>
      <c r="M1078" s="10">
        <f>IF(AND(ISNUMBER(K1078),L1078&gt;0),K1078/L1078,"")</f>
        <v/>
      </c>
      <c r="N1078" s="5" t="n">
        <v>0.5620000000000001</v>
      </c>
      <c r="O1078" s="5" t="n">
        <v>95.7</v>
      </c>
      <c r="P1078" s="5" t="n">
        <v>0</v>
      </c>
      <c r="Q1078" s="5" t="n">
        <v>0</v>
      </c>
      <c r="R1078" s="5" t="n">
        <v>0</v>
      </c>
      <c r="S1078" s="5" t="n">
        <v>0</v>
      </c>
      <c r="T1078" s="5" t="n">
        <v>0</v>
      </c>
      <c r="U1078" s="5" t="n">
        <v>1</v>
      </c>
      <c r="V1078" s="5" t="n">
        <v>1</v>
      </c>
      <c r="W1078" s="5" t="n"/>
      <c r="X1078" s="5" t="inlineStr"/>
      <c r="Y1078" s="5" t="n">
        <v>1148.6</v>
      </c>
      <c r="Z1078" s="5" t="n">
        <v>1218.1</v>
      </c>
      <c r="AA1078" s="5" t="n">
        <v>1172.7</v>
      </c>
      <c r="AB1078" s="5" t="n">
        <v>1242.4</v>
      </c>
      <c r="AC1078" s="5" t="inlineStr"/>
      <c r="AD1078" s="5">
        <f>IF(AC1078="","",IF(OR(AC1078=F1078,AND(AC1078="crane_footing",F1078="isolated_footing")),"yes","no"))</f>
        <v/>
      </c>
    </row>
    <row r="1079">
      <c r="A1079" s="5" t="n">
        <v>1078</v>
      </c>
      <c r="B1079" s="5" t="inlineStr">
        <is>
          <t>130</t>
        </is>
      </c>
      <c r="C1079" s="5" t="inlineStr">
        <is>
          <t>region between joints</t>
        </is>
      </c>
      <c r="D1079" s="5" t="inlineStr">
        <is>
          <t>outline</t>
        </is>
      </c>
      <c r="E1079" s="5" t="n">
        <v>19</v>
      </c>
      <c r="F1079" s="5" t="inlineStr">
        <is>
          <t>unnamed</t>
        </is>
      </c>
      <c r="G1079" s="5" t="inlineStr">
        <is>
          <t>no label votes</t>
        </is>
      </c>
      <c r="H1079" s="5" t="inlineStr">
        <is>
          <t>(none)</t>
        </is>
      </c>
      <c r="I1079" s="5" t="inlineStr"/>
      <c r="J1079" s="5" t="inlineStr"/>
      <c r="K1079" s="5" t="n">
        <v>75</v>
      </c>
      <c r="L1079" s="5" t="n">
        <v>75</v>
      </c>
      <c r="M1079" s="10">
        <f>IF(AND(ISNUMBER(K1079),L1079&gt;0),K1079/L1079,"")</f>
        <v/>
      </c>
      <c r="N1079" s="5" t="n">
        <v>0.5620000000000001</v>
      </c>
      <c r="O1079" s="5" t="n">
        <v>5.7</v>
      </c>
      <c r="P1079" s="5" t="n">
        <v>0</v>
      </c>
      <c r="Q1079" s="5" t="n">
        <v>0</v>
      </c>
      <c r="R1079" s="5" t="n">
        <v>0</v>
      </c>
      <c r="S1079" s="5" t="n">
        <v>0</v>
      </c>
      <c r="T1079" s="5" t="n">
        <v>0</v>
      </c>
      <c r="U1079" s="5" t="n">
        <v>0</v>
      </c>
      <c r="V1079" s="5" t="n">
        <v>1</v>
      </c>
      <c r="W1079" s="5" t="n"/>
      <c r="X1079" s="5" t="inlineStr"/>
      <c r="Y1079" s="5" t="n">
        <v>1087.9</v>
      </c>
      <c r="Z1079" s="5" t="n">
        <v>1144.2</v>
      </c>
      <c r="AA1079" s="5" t="n">
        <v>1112.2</v>
      </c>
      <c r="AB1079" s="5" t="n">
        <v>1168.4</v>
      </c>
      <c r="AC1079" s="5" t="inlineStr"/>
      <c r="AD1079" s="5">
        <f>IF(AC1079="","",IF(OR(AC1079=F1079,AND(AC1079="crane_footing",F1079="isolated_footing")),"yes","no"))</f>
        <v/>
      </c>
    </row>
    <row r="1080">
      <c r="A1080" s="5" t="n">
        <v>1079</v>
      </c>
      <c r="B1080" s="5" t="inlineStr">
        <is>
          <t>130</t>
        </is>
      </c>
      <c r="C1080" s="5" t="inlineStr">
        <is>
          <t>region between joints</t>
        </is>
      </c>
      <c r="D1080" s="5" t="inlineStr">
        <is>
          <t>outline</t>
        </is>
      </c>
      <c r="E1080" s="5" t="n">
        <v>19</v>
      </c>
      <c r="F1080" s="5" t="inlineStr">
        <is>
          <t>unnamed</t>
        </is>
      </c>
      <c r="G1080" s="5" t="inlineStr">
        <is>
          <t>no label votes</t>
        </is>
      </c>
      <c r="H1080" s="5" t="inlineStr">
        <is>
          <t>(none)</t>
        </is>
      </c>
      <c r="I1080" s="5" t="inlineStr"/>
      <c r="J1080" s="5" t="inlineStr"/>
      <c r="K1080" s="5" t="n">
        <v>75</v>
      </c>
      <c r="L1080" s="5" t="n">
        <v>75</v>
      </c>
      <c r="M1080" s="10">
        <f>IF(AND(ISNUMBER(K1080),L1080&gt;0),K1080/L1080,"")</f>
        <v/>
      </c>
      <c r="N1080" s="5" t="n">
        <v>0.5610000000000001</v>
      </c>
      <c r="O1080" s="5" t="n">
        <v>95.7</v>
      </c>
      <c r="P1080" s="5" t="n">
        <v>0</v>
      </c>
      <c r="Q1080" s="5" t="n">
        <v>0</v>
      </c>
      <c r="R1080" s="5" t="n">
        <v>0</v>
      </c>
      <c r="S1080" s="5" t="n">
        <v>0</v>
      </c>
      <c r="T1080" s="5" t="n">
        <v>0</v>
      </c>
      <c r="U1080" s="5" t="n">
        <v>2</v>
      </c>
      <c r="V1080" s="5" t="n">
        <v>1</v>
      </c>
      <c r="W1080" s="5" t="n"/>
      <c r="X1080" s="5" t="inlineStr"/>
      <c r="Y1080" s="5" t="n">
        <v>1155.2</v>
      </c>
      <c r="Z1080" s="5" t="n">
        <v>1150.9</v>
      </c>
      <c r="AA1080" s="5" t="n">
        <v>1179.4</v>
      </c>
      <c r="AB1080" s="5" t="n">
        <v>1175</v>
      </c>
      <c r="AC1080" s="5" t="inlineStr"/>
      <c r="AD1080" s="5">
        <f>IF(AC1080="","",IF(OR(AC1080=F1080,AND(AC1080="crane_footing",F1080="isolated_footing")),"yes","no"))</f>
        <v/>
      </c>
    </row>
    <row r="1081">
      <c r="A1081" s="5" t="n">
        <v>1080</v>
      </c>
      <c r="B1081" s="5" t="inlineStr">
        <is>
          <t>130</t>
        </is>
      </c>
      <c r="C1081" s="5" t="inlineStr">
        <is>
          <t>region between joints</t>
        </is>
      </c>
      <c r="D1081" s="5" t="inlineStr">
        <is>
          <t>outline</t>
        </is>
      </c>
      <c r="E1081" s="5" t="n">
        <v>22</v>
      </c>
      <c r="F1081" s="5" t="inlineStr">
        <is>
          <t>unnamed</t>
        </is>
      </c>
      <c r="G1081" s="5" t="inlineStr">
        <is>
          <t>no label votes</t>
        </is>
      </c>
      <c r="H1081" s="5" t="inlineStr">
        <is>
          <t>(none)</t>
        </is>
      </c>
      <c r="I1081" s="5" t="inlineStr"/>
      <c r="J1081" s="5" t="inlineStr"/>
      <c r="K1081" s="5" t="n">
        <v>147</v>
      </c>
      <c r="L1081" s="5" t="n">
        <v>20</v>
      </c>
      <c r="M1081" s="10">
        <f>IF(AND(ISNUMBER(K1081),L1081&gt;0),K1081/L1081,"")</f>
        <v/>
      </c>
      <c r="N1081" s="5" t="n">
        <v>0.295</v>
      </c>
      <c r="O1081" s="5" t="n">
        <v>75.3</v>
      </c>
      <c r="P1081" s="5" t="n">
        <v>2</v>
      </c>
      <c r="Q1081" s="5" t="n">
        <v>0</v>
      </c>
      <c r="R1081" s="5" t="n">
        <v>0</v>
      </c>
      <c r="S1081" s="5" t="n">
        <v>1</v>
      </c>
      <c r="T1081" s="5" t="n">
        <v>0</v>
      </c>
      <c r="U1081" s="5" t="n">
        <v>4</v>
      </c>
      <c r="V1081" s="5" t="n">
        <v>2</v>
      </c>
      <c r="W1081" s="5" t="n"/>
      <c r="X1081" s="5" t="inlineStr"/>
      <c r="Y1081" s="5" t="n">
        <v>608</v>
      </c>
      <c r="Z1081" s="5" t="n">
        <v>1459</v>
      </c>
      <c r="AA1081" s="5" t="n">
        <v>624.8</v>
      </c>
      <c r="AB1081" s="5" t="n">
        <v>1502.6</v>
      </c>
      <c r="AC1081" s="5" t="inlineStr"/>
      <c r="AD1081" s="5">
        <f>IF(AC1081="","",IF(OR(AC1081=F1081,AND(AC1081="crane_footing",F1081="isolated_footing")),"yes","no"))</f>
        <v/>
      </c>
    </row>
    <row r="1082">
      <c r="A1082" s="5" t="n">
        <v>1081</v>
      </c>
      <c r="B1082" s="5" t="inlineStr">
        <is>
          <t>130</t>
        </is>
      </c>
      <c r="C1082" s="5" t="inlineStr">
        <is>
          <t>nearest labels</t>
        </is>
      </c>
      <c r="D1082" s="5" t="inlineStr">
        <is>
          <t>band</t>
        </is>
      </c>
      <c r="E1082" s="5" t="n">
        <v>0</v>
      </c>
      <c r="F1082" s="5" t="inlineStr">
        <is>
          <t>unnamed</t>
        </is>
      </c>
      <c r="G1082" s="5" t="inlineStr">
        <is>
          <t>no label votes</t>
        </is>
      </c>
      <c r="H1082" s="5" t="inlineStr">
        <is>
          <t>(none)</t>
        </is>
      </c>
      <c r="I1082" s="5" t="inlineStr"/>
      <c r="J1082" s="5" t="inlineStr"/>
      <c r="K1082" s="5" t="n">
        <v>2047</v>
      </c>
      <c r="L1082" s="5" t="n">
        <v>11</v>
      </c>
      <c r="M1082" s="10">
        <f>IF(AND(ISNUMBER(K1082),L1082&gt;0),K1082/L1082,"")</f>
        <v/>
      </c>
      <c r="N1082" s="5" t="n">
        <v>2.252</v>
      </c>
      <c r="O1082" s="5" t="n">
        <v>165.2</v>
      </c>
      <c r="P1082" s="5" t="n">
        <v>9</v>
      </c>
      <c r="Q1082" s="5" t="n">
        <v>0</v>
      </c>
      <c r="R1082" s="5" t="n">
        <v>0</v>
      </c>
      <c r="S1082" s="5" t="n">
        <v>0</v>
      </c>
      <c r="T1082" s="5" t="n">
        <v>0</v>
      </c>
      <c r="U1082" s="5" t="n">
        <v>2</v>
      </c>
      <c r="V1082" s="5" t="n">
        <v>7</v>
      </c>
      <c r="W1082" s="5" t="n">
        <v>10.05</v>
      </c>
      <c r="X1082" s="5" t="inlineStr"/>
      <c r="Y1082" s="5" t="n">
        <v>826.2</v>
      </c>
      <c r="Z1082" s="5" t="n">
        <v>1696.4</v>
      </c>
      <c r="AA1082" s="5" t="n">
        <v>1411.6</v>
      </c>
      <c r="AB1082" s="5" t="n">
        <v>1853.5</v>
      </c>
      <c r="AC1082" s="5" t="inlineStr"/>
      <c r="AD1082" s="5">
        <f>IF(AC1082="","",IF(OR(AC1082=F1082,AND(AC1082="crane_footing",F1082="isolated_footing")),"yes","no"))</f>
        <v/>
      </c>
    </row>
    <row r="1083">
      <c r="A1083" s="5" t="n">
        <v>1082</v>
      </c>
      <c r="B1083" s="5" t="inlineStr">
        <is>
          <t>130</t>
        </is>
      </c>
      <c r="C1083" s="5" t="inlineStr">
        <is>
          <t>region between joints</t>
        </is>
      </c>
      <c r="D1083" s="5" t="inlineStr">
        <is>
          <t>band</t>
        </is>
      </c>
      <c r="E1083" s="5" t="n">
        <v>1</v>
      </c>
      <c r="F1083" s="5" t="inlineStr">
        <is>
          <t>unnamed</t>
        </is>
      </c>
      <c r="G1083" s="5" t="inlineStr">
        <is>
          <t>no label votes</t>
        </is>
      </c>
      <c r="H1083" s="5" t="inlineStr">
        <is>
          <t>(none)</t>
        </is>
      </c>
      <c r="I1083" s="5" t="inlineStr"/>
      <c r="J1083" s="5" t="inlineStr"/>
      <c r="K1083" s="5" t="n">
        <v>337</v>
      </c>
      <c r="L1083" s="5" t="n">
        <v>20</v>
      </c>
      <c r="M1083" s="10">
        <f>IF(AND(ISNUMBER(K1083),L1083&gt;0),K1083/L1083,"")</f>
        <v/>
      </c>
      <c r="N1083" s="5" t="n">
        <v>0.675</v>
      </c>
      <c r="O1083" s="5" t="n">
        <v>165</v>
      </c>
      <c r="P1083" s="5" t="n">
        <v>2</v>
      </c>
      <c r="Q1083" s="5" t="n">
        <v>0</v>
      </c>
      <c r="R1083" s="5" t="n">
        <v>0</v>
      </c>
      <c r="S1083" s="5" t="n">
        <v>1</v>
      </c>
      <c r="T1083" s="5" t="n">
        <v>0</v>
      </c>
      <c r="U1083" s="5" t="n">
        <v>4</v>
      </c>
      <c r="V1083" s="5" t="n">
        <v>0</v>
      </c>
      <c r="W1083" s="5" t="n">
        <v>3.37</v>
      </c>
      <c r="X1083" s="5" t="inlineStr"/>
      <c r="Y1083" s="5" t="n">
        <v>648.9</v>
      </c>
      <c r="Z1083" s="5" t="n">
        <v>1398.7</v>
      </c>
      <c r="AA1083" s="5" t="n">
        <v>746.7</v>
      </c>
      <c r="AB1083" s="5" t="n">
        <v>1430.2</v>
      </c>
      <c r="AC1083" s="5" t="inlineStr"/>
      <c r="AD1083" s="5">
        <f>IF(AC1083="","",IF(OR(AC1083=F1083,AND(AC1083="crane_footing",F1083="isolated_footing")),"yes","no"))</f>
        <v/>
      </c>
    </row>
    <row r="1084">
      <c r="A1084" s="5" t="n">
        <v>1083</v>
      </c>
      <c r="B1084" s="5" t="inlineStr">
        <is>
          <t>130</t>
        </is>
      </c>
      <c r="C1084" s="5" t="inlineStr">
        <is>
          <t>region between joints</t>
        </is>
      </c>
      <c r="D1084" s="5" t="inlineStr">
        <is>
          <t>band</t>
        </is>
      </c>
      <c r="E1084" s="5" t="n">
        <v>1</v>
      </c>
      <c r="F1084" s="5" t="inlineStr">
        <is>
          <t>unnamed</t>
        </is>
      </c>
      <c r="G1084" s="5" t="inlineStr">
        <is>
          <t>no label votes</t>
        </is>
      </c>
      <c r="H1084" s="5" t="inlineStr">
        <is>
          <t>(none)</t>
        </is>
      </c>
      <c r="I1084" s="5" t="inlineStr"/>
      <c r="J1084" s="5" t="inlineStr"/>
      <c r="K1084" s="5" t="n">
        <v>210</v>
      </c>
      <c r="L1084" s="5" t="n">
        <v>20</v>
      </c>
      <c r="M1084" s="10">
        <f>IF(AND(ISNUMBER(K1084),L1084&gt;0),K1084/L1084,"")</f>
        <v/>
      </c>
      <c r="N1084" s="5" t="n">
        <v>0.42</v>
      </c>
      <c r="O1084" s="5" t="n">
        <v>75.3</v>
      </c>
      <c r="P1084" s="5" t="n">
        <v>2</v>
      </c>
      <c r="Q1084" s="5" t="n">
        <v>0</v>
      </c>
      <c r="R1084" s="5" t="n">
        <v>0</v>
      </c>
      <c r="S1084" s="5" t="n">
        <v>1</v>
      </c>
      <c r="T1084" s="5" t="n">
        <v>0</v>
      </c>
      <c r="U1084" s="5" t="n">
        <v>3</v>
      </c>
      <c r="V1084" s="5" t="n">
        <v>1</v>
      </c>
      <c r="W1084" s="5" t="n">
        <v>2.1</v>
      </c>
      <c r="X1084" s="5" t="inlineStr"/>
      <c r="Y1084" s="5" t="n">
        <v>748.2</v>
      </c>
      <c r="Z1084" s="5" t="n">
        <v>1403.1</v>
      </c>
      <c r="AA1084" s="5" t="n">
        <v>769.7</v>
      </c>
      <c r="AB1084" s="5" t="n">
        <v>1464.5</v>
      </c>
      <c r="AC1084" s="5" t="inlineStr"/>
      <c r="AD1084" s="5">
        <f>IF(AC1084="","",IF(OR(AC1084=F1084,AND(AC1084="crane_footing",F1084="isolated_footing")),"yes","no"))</f>
        <v/>
      </c>
    </row>
    <row r="1085">
      <c r="A1085" s="5" t="n">
        <v>1084</v>
      </c>
      <c r="B1085" s="5" t="inlineStr">
        <is>
          <t>130</t>
        </is>
      </c>
      <c r="C1085" s="5" t="inlineStr">
        <is>
          <t>region between joints</t>
        </is>
      </c>
      <c r="D1085" s="5" t="inlineStr">
        <is>
          <t>band</t>
        </is>
      </c>
      <c r="E1085" s="5" t="n">
        <v>1</v>
      </c>
      <c r="F1085" s="5" t="inlineStr">
        <is>
          <t>unnamed</t>
        </is>
      </c>
      <c r="G1085" s="5" t="inlineStr">
        <is>
          <t>no label votes</t>
        </is>
      </c>
      <c r="H1085" s="5" t="inlineStr">
        <is>
          <t>(none)</t>
        </is>
      </c>
      <c r="I1085" s="5" t="inlineStr"/>
      <c r="J1085" s="5" t="inlineStr"/>
      <c r="K1085" s="5" t="n">
        <v>147</v>
      </c>
      <c r="L1085" s="5" t="n">
        <v>20</v>
      </c>
      <c r="M1085" s="10">
        <f>IF(AND(ISNUMBER(K1085),L1085&gt;0),K1085/L1085,"")</f>
        <v/>
      </c>
      <c r="N1085" s="5" t="n">
        <v>0.294</v>
      </c>
      <c r="O1085" s="5" t="n">
        <v>75.3</v>
      </c>
      <c r="P1085" s="5" t="n">
        <v>2</v>
      </c>
      <c r="Q1085" s="5" t="n">
        <v>1</v>
      </c>
      <c r="R1085" s="5" t="n">
        <v>0</v>
      </c>
      <c r="S1085" s="5" t="n">
        <v>1</v>
      </c>
      <c r="T1085" s="5" t="n">
        <v>0</v>
      </c>
      <c r="U1085" s="5" t="n">
        <v>4</v>
      </c>
      <c r="V1085" s="5" t="n">
        <v>1</v>
      </c>
      <c r="W1085" s="5" t="n">
        <v>0</v>
      </c>
      <c r="X1085" s="5" t="inlineStr"/>
      <c r="Y1085" s="5" t="n">
        <v>608</v>
      </c>
      <c r="Z1085" s="5" t="n">
        <v>1459.1</v>
      </c>
      <c r="AA1085" s="5" t="n">
        <v>624.7</v>
      </c>
      <c r="AB1085" s="5" t="n">
        <v>1502.6</v>
      </c>
      <c r="AC1085" s="5" t="inlineStr"/>
      <c r="AD1085" s="5">
        <f>IF(AC1085="","",IF(OR(AC1085=F1085,AND(AC1085="crane_footing",F1085="isolated_footing")),"yes","no"))</f>
        <v/>
      </c>
    </row>
    <row r="1086">
      <c r="A1086" s="5" t="n">
        <v>1085</v>
      </c>
      <c r="B1086" s="5" t="inlineStr">
        <is>
          <t>130</t>
        </is>
      </c>
      <c r="C1086" s="5" t="inlineStr">
        <is>
          <t>region between joints</t>
        </is>
      </c>
      <c r="D1086" s="5" t="inlineStr">
        <is>
          <t>band</t>
        </is>
      </c>
      <c r="E1086" s="5" t="n">
        <v>1</v>
      </c>
      <c r="F1086" s="5" t="inlineStr">
        <is>
          <t>unnamed</t>
        </is>
      </c>
      <c r="G1086" s="5" t="inlineStr">
        <is>
          <t>no label votes</t>
        </is>
      </c>
      <c r="H1086" s="5" t="inlineStr">
        <is>
          <t>(none)</t>
        </is>
      </c>
      <c r="I1086" s="5" t="inlineStr"/>
      <c r="J1086" s="5" t="inlineStr"/>
      <c r="K1086" s="5" t="n">
        <v>142</v>
      </c>
      <c r="L1086" s="5" t="n">
        <v>20</v>
      </c>
      <c r="M1086" s="10">
        <f>IF(AND(ISNUMBER(K1086),L1086&gt;0),K1086/L1086,"")</f>
        <v/>
      </c>
      <c r="N1086" s="5" t="n">
        <v>0.285</v>
      </c>
      <c r="O1086" s="5" t="n">
        <v>165.3</v>
      </c>
      <c r="P1086" s="5" t="n">
        <v>2</v>
      </c>
      <c r="Q1086" s="5" t="n">
        <v>0</v>
      </c>
      <c r="R1086" s="5" t="n">
        <v>0</v>
      </c>
      <c r="S1086" s="5" t="n">
        <v>1</v>
      </c>
      <c r="T1086" s="5" t="n">
        <v>0</v>
      </c>
      <c r="U1086" s="5" t="n">
        <v>3</v>
      </c>
      <c r="V1086" s="5" t="n">
        <v>1</v>
      </c>
      <c r="W1086" s="5" t="n">
        <v>1.42</v>
      </c>
      <c r="X1086" s="5" t="inlineStr"/>
      <c r="Y1086" s="5" t="n">
        <v>752.4</v>
      </c>
      <c r="Z1086" s="5" t="n">
        <v>1386.7</v>
      </c>
      <c r="AA1086" s="5" t="n">
        <v>794.6</v>
      </c>
      <c r="AB1086" s="5" t="n">
        <v>1403.1</v>
      </c>
      <c r="AC1086" s="5" t="inlineStr"/>
      <c r="AD1086" s="5">
        <f>IF(AC1086="","",IF(OR(AC1086=F1086,AND(AC1086="crane_footing",F1086="isolated_footing")),"yes","no"))</f>
        <v/>
      </c>
    </row>
    <row r="1087">
      <c r="A1087" s="5" t="n">
        <v>1086</v>
      </c>
      <c r="B1087" s="5" t="inlineStr">
        <is>
          <t>130</t>
        </is>
      </c>
      <c r="C1087" s="5" t="inlineStr">
        <is>
          <t>region between joints</t>
        </is>
      </c>
      <c r="D1087" s="5" t="inlineStr">
        <is>
          <t>band</t>
        </is>
      </c>
      <c r="E1087" s="5" t="n">
        <v>3</v>
      </c>
      <c r="F1087" s="5" t="inlineStr">
        <is>
          <t>unnamed</t>
        </is>
      </c>
      <c r="G1087" s="5" t="inlineStr">
        <is>
          <t>no label votes</t>
        </is>
      </c>
      <c r="H1087" s="5" t="inlineStr">
        <is>
          <t>(none)</t>
        </is>
      </c>
      <c r="I1087" s="5" t="inlineStr"/>
      <c r="J1087" s="5" t="inlineStr"/>
      <c r="K1087" s="5" t="n">
        <v>195</v>
      </c>
      <c r="L1087" s="5" t="n">
        <v>31</v>
      </c>
      <c r="M1087" s="10">
        <f>IF(AND(ISNUMBER(K1087),L1087&gt;0),K1087/L1087,"")</f>
        <v/>
      </c>
      <c r="N1087" s="5" t="n">
        <v>0.606</v>
      </c>
      <c r="O1087" s="5" t="n">
        <v>165.2</v>
      </c>
      <c r="P1087" s="5" t="n">
        <v>0</v>
      </c>
      <c r="Q1087" s="5" t="n">
        <v>0</v>
      </c>
      <c r="R1087" s="5" t="n">
        <v>0</v>
      </c>
      <c r="S1087" s="5" t="n">
        <v>0</v>
      </c>
      <c r="T1087" s="5" t="n">
        <v>0</v>
      </c>
      <c r="U1087" s="5" t="n">
        <v>0</v>
      </c>
      <c r="V1087" s="5" t="n">
        <v>2</v>
      </c>
      <c r="W1087" s="5" t="n">
        <v>1.95</v>
      </c>
      <c r="X1087" s="5" t="inlineStr"/>
      <c r="Y1087" s="5" t="n">
        <v>940.1</v>
      </c>
      <c r="Z1087" s="5" t="n">
        <v>1345</v>
      </c>
      <c r="AA1087" s="5" t="n">
        <v>998.3</v>
      </c>
      <c r="AB1087" s="5" t="n">
        <v>1368.5</v>
      </c>
      <c r="AC1087" s="5" t="inlineStr"/>
      <c r="AD1087" s="5">
        <f>IF(AC1087="","",IF(OR(AC1087=F1087,AND(AC1087="crane_footing",F1087="isolated_footing")),"yes","no"))</f>
        <v/>
      </c>
    </row>
    <row r="1088">
      <c r="A1088" s="5" t="n">
        <v>1087</v>
      </c>
      <c r="B1088" s="5" t="inlineStr">
        <is>
          <t>130</t>
        </is>
      </c>
      <c r="C1088" s="5" t="inlineStr">
        <is>
          <t>region between joints</t>
        </is>
      </c>
      <c r="D1088" s="5" t="inlineStr">
        <is>
          <t>band</t>
        </is>
      </c>
      <c r="E1088" s="5" t="n">
        <v>3</v>
      </c>
      <c r="F1088" s="5" t="inlineStr">
        <is>
          <t>unnamed</t>
        </is>
      </c>
      <c r="G1088" s="5" t="inlineStr">
        <is>
          <t>no label votes</t>
        </is>
      </c>
      <c r="H1088" s="5" t="inlineStr">
        <is>
          <t>(none)</t>
        </is>
      </c>
      <c r="I1088" s="5" t="inlineStr"/>
      <c r="J1088" s="5" t="inlineStr"/>
      <c r="K1088" s="5" t="n">
        <v>120</v>
      </c>
      <c r="L1088" s="5" t="n">
        <v>31</v>
      </c>
      <c r="M1088" s="10">
        <f>IF(AND(ISNUMBER(K1088),L1088&gt;0),K1088/L1088,"")</f>
        <v/>
      </c>
      <c r="N1088" s="5" t="n">
        <v>0.372</v>
      </c>
      <c r="O1088" s="5" t="n">
        <v>165.3</v>
      </c>
      <c r="P1088" s="5" t="n">
        <v>1</v>
      </c>
      <c r="Q1088" s="5" t="n">
        <v>0</v>
      </c>
      <c r="R1088" s="5" t="n">
        <v>0</v>
      </c>
      <c r="S1088" s="5" t="n">
        <v>1</v>
      </c>
      <c r="T1088" s="5" t="n">
        <v>0</v>
      </c>
      <c r="U1088" s="5" t="n">
        <v>0</v>
      </c>
      <c r="V1088" s="5" t="n">
        <v>1</v>
      </c>
      <c r="W1088" s="5" t="n">
        <v>1.2</v>
      </c>
      <c r="X1088" s="5" t="inlineStr"/>
      <c r="Y1088" s="5" t="n">
        <v>572.1</v>
      </c>
      <c r="Z1088" s="5" t="n">
        <v>1460.1</v>
      </c>
      <c r="AA1088" s="5" t="n">
        <v>608.7</v>
      </c>
      <c r="AB1088" s="5" t="n">
        <v>1477.9</v>
      </c>
      <c r="AC1088" s="5" t="inlineStr"/>
      <c r="AD1088" s="5">
        <f>IF(AC1088="","",IF(OR(AC1088=F1088,AND(AC1088="crane_footing",F1088="isolated_footing")),"yes","no"))</f>
        <v/>
      </c>
    </row>
    <row r="1089">
      <c r="A1089" s="5" t="n">
        <v>1088</v>
      </c>
      <c r="B1089" s="5" t="inlineStr">
        <is>
          <t>130</t>
        </is>
      </c>
      <c r="C1089" s="5" t="inlineStr">
        <is>
          <t>region between joints</t>
        </is>
      </c>
      <c r="D1089" s="5" t="inlineStr">
        <is>
          <t>band</t>
        </is>
      </c>
      <c r="E1089" s="5" t="n">
        <v>8</v>
      </c>
      <c r="F1089" s="5" t="inlineStr">
        <is>
          <t>unnamed</t>
        </is>
      </c>
      <c r="G1089" s="5" t="inlineStr">
        <is>
          <t>no label votes</t>
        </is>
      </c>
      <c r="H1089" s="5" t="inlineStr">
        <is>
          <t>Radier 25</t>
        </is>
      </c>
      <c r="I1089" s="5" t="inlineStr">
        <is>
          <t>printed label</t>
        </is>
      </c>
      <c r="J1089" s="5" t="inlineStr">
        <is>
          <t>RADIER</t>
        </is>
      </c>
      <c r="K1089" s="5" t="n">
        <v>223</v>
      </c>
      <c r="L1089" s="5" t="n">
        <v>94</v>
      </c>
      <c r="M1089" s="10">
        <f>IF(AND(ISNUMBER(K1089),L1089&gt;0),K1089/L1089,"")</f>
        <v/>
      </c>
      <c r="N1089" s="5" t="n">
        <v>2.097</v>
      </c>
      <c r="O1089" s="5" t="n">
        <v>95.7</v>
      </c>
      <c r="P1089" s="5" t="n">
        <v>4</v>
      </c>
      <c r="Q1089" s="5" t="n">
        <v>1</v>
      </c>
      <c r="R1089" s="5" t="n">
        <v>0</v>
      </c>
      <c r="S1089" s="5" t="n">
        <v>0</v>
      </c>
      <c r="T1089" s="5" t="n">
        <v>1</v>
      </c>
      <c r="U1089" s="5" t="n">
        <v>0</v>
      </c>
      <c r="V1089" s="5" t="n">
        <v>0</v>
      </c>
      <c r="W1089" s="5" t="n">
        <v>0</v>
      </c>
      <c r="X1089" s="5" t="inlineStr"/>
      <c r="Y1089" s="5" t="n">
        <v>974.3</v>
      </c>
      <c r="Z1089" s="5" t="n">
        <v>1068</v>
      </c>
      <c r="AA1089" s="5" t="n">
        <v>1008.4</v>
      </c>
      <c r="AB1089" s="5" t="n">
        <v>1136.2</v>
      </c>
      <c r="AC1089" s="5" t="inlineStr"/>
      <c r="AD1089" s="5">
        <f>IF(AC1089="","",IF(OR(AC1089=F1089,AND(AC1089="crane_footing",F1089="isolated_footing")),"yes","no"))</f>
        <v/>
      </c>
    </row>
  </sheetData>
  <autoFilter ref="A1:AD10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6" customWidth="1" min="4" max="4"/>
    <col width="8" customWidth="1" min="5" max="5"/>
    <col width="8" customWidth="1" min="6" max="6"/>
    <col width="8" customWidth="1" min="7" max="7"/>
    <col width="8" customWidth="1" min="8" max="8"/>
    <col width="17" customWidth="1" min="9" max="9"/>
    <col width="9" customWidth="1" min="10" max="10"/>
    <col width="8" customWidth="1" min="11" max="11"/>
    <col width="9" customWidth="1" min="12" max="12"/>
    <col width="9" customWidth="1" min="13" max="13"/>
    <col width="9" customWidth="1" min="14" max="14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Kind</t>
        </is>
      </c>
      <c r="D1" s="4" t="inlineStr">
        <is>
          <t>Names class</t>
        </is>
      </c>
      <c r="E1" s="4" t="inlineStr">
        <is>
          <t>x (px)</t>
        </is>
      </c>
      <c r="F1" s="4" t="inlineStr">
        <is>
          <t>y (px)</t>
        </is>
      </c>
      <c r="G1" s="4" t="inlineStr">
        <is>
          <t>Pass 1 object</t>
        </is>
      </c>
      <c r="H1" s="4" t="inlineStr">
        <is>
          <t>Pass 1 cluster</t>
        </is>
      </c>
      <c r="I1" s="4" t="inlineStr">
        <is>
          <t>Pass 1 cluster class</t>
        </is>
      </c>
      <c r="J1" s="4" t="inlineStr">
        <is>
          <t>Pass 1 agrees</t>
        </is>
      </c>
      <c r="K1" s="4" t="inlineStr">
        <is>
          <t>Pass 2 object</t>
        </is>
      </c>
      <c r="L1" s="4" t="inlineStr">
        <is>
          <t>Pass 2 distance (m)</t>
        </is>
      </c>
      <c r="M1" s="4" t="inlineStr">
        <is>
          <t>Pass 2 misalignment</t>
        </is>
      </c>
      <c r="N1" s="4" t="inlineStr">
        <is>
          <t>Text direction found</t>
        </is>
      </c>
    </row>
    <row r="2">
      <c r="A2" s="5" t="n">
        <v>1</v>
      </c>
      <c r="B2" s="5" t="inlineStr">
        <is>
          <t>S1-120120</t>
        </is>
      </c>
      <c r="C2" s="5" t="inlineStr">
        <is>
          <t>footing:S</t>
        </is>
      </c>
      <c r="D2" s="5" t="inlineStr">
        <is>
          <t>isolated_footing</t>
        </is>
      </c>
      <c r="E2" s="5" t="n">
        <v>4752.1</v>
      </c>
      <c r="F2" s="5" t="n">
        <v>493.8</v>
      </c>
      <c r="G2" s="5" t="n">
        <v>42</v>
      </c>
      <c r="H2" s="5" t="n">
        <v>6</v>
      </c>
      <c r="I2" s="5" t="inlineStr">
        <is>
          <t>strip_footing</t>
        </is>
      </c>
      <c r="J2" s="5" t="inlineStr">
        <is>
          <t>no</t>
        </is>
      </c>
      <c r="K2" s="5" t="n">
        <v>31</v>
      </c>
      <c r="L2" s="5" t="n">
        <v>0.21</v>
      </c>
      <c r="M2" s="5" t="n">
        <v>0</v>
      </c>
      <c r="N2" s="5" t="inlineStr">
        <is>
          <t>yes</t>
        </is>
      </c>
    </row>
    <row r="3">
      <c r="A3" s="5" t="n">
        <v>2</v>
      </c>
      <c r="B3" s="5" t="inlineStr">
        <is>
          <t>S5-120120</t>
        </is>
      </c>
      <c r="C3" s="5" t="inlineStr">
        <is>
          <t>footing:S</t>
        </is>
      </c>
      <c r="D3" s="5" t="inlineStr">
        <is>
          <t>isolated_footing</t>
        </is>
      </c>
      <c r="E3" s="5" t="n">
        <v>4505.2</v>
      </c>
      <c r="F3" s="5" t="n">
        <v>1208.3</v>
      </c>
      <c r="G3" s="5" t="n">
        <v>36</v>
      </c>
      <c r="H3" s="5" t="n">
        <v>16</v>
      </c>
      <c r="I3" s="5" t="inlineStr">
        <is>
          <t>isolated_footing</t>
        </is>
      </c>
      <c r="J3" s="5" t="inlineStr">
        <is>
          <t>yes</t>
        </is>
      </c>
      <c r="K3" s="5" t="n">
        <v>36</v>
      </c>
      <c r="L3" s="5" t="n">
        <v>0.18</v>
      </c>
      <c r="M3" s="5" t="n">
        <v>0</v>
      </c>
      <c r="N3" s="5" t="inlineStr">
        <is>
          <t>yes</t>
        </is>
      </c>
    </row>
    <row r="4">
      <c r="A4" s="5" t="n">
        <v>3</v>
      </c>
      <c r="B4" s="5" t="inlineStr">
        <is>
          <t>S6-120120</t>
        </is>
      </c>
      <c r="C4" s="5" t="inlineStr">
        <is>
          <t>footing:S</t>
        </is>
      </c>
      <c r="D4" s="5" t="inlineStr">
        <is>
          <t>isolated_footing</t>
        </is>
      </c>
      <c r="E4" s="5" t="n">
        <v>4728.1</v>
      </c>
      <c r="F4" s="5" t="n">
        <v>1157.3</v>
      </c>
      <c r="G4" s="5" t="n">
        <v>38</v>
      </c>
      <c r="H4" s="5" t="n">
        <v>16</v>
      </c>
      <c r="I4" s="5" t="inlineStr">
        <is>
          <t>isolated_footing</t>
        </is>
      </c>
      <c r="J4" s="5" t="inlineStr">
        <is>
          <t>yes</t>
        </is>
      </c>
      <c r="K4" s="5" t="n">
        <v>38</v>
      </c>
      <c r="L4" s="5" t="n">
        <v>0.23</v>
      </c>
      <c r="M4" s="5" t="n">
        <v>0</v>
      </c>
      <c r="N4" s="5" t="inlineStr">
        <is>
          <t>yes</t>
        </is>
      </c>
    </row>
    <row r="5">
      <c r="A5" s="5" t="n">
        <v>4</v>
      </c>
      <c r="B5" s="5" t="inlineStr">
        <is>
          <t>S2-120120</t>
        </is>
      </c>
      <c r="C5" s="5" t="inlineStr">
        <is>
          <t>footing:S</t>
        </is>
      </c>
      <c r="D5" s="5" t="inlineStr">
        <is>
          <t>isolated_footing</t>
        </is>
      </c>
      <c r="E5" s="5" t="n">
        <v>4274</v>
      </c>
      <c r="F5" s="5" t="n">
        <v>1133.3</v>
      </c>
      <c r="G5" s="5" t="n">
        <v>34</v>
      </c>
      <c r="H5" s="5" t="n">
        <v>17</v>
      </c>
      <c r="I5" s="5" t="inlineStr">
        <is>
          <t>isolated_footing</t>
        </is>
      </c>
      <c r="J5" s="5" t="inlineStr">
        <is>
          <t>yes</t>
        </is>
      </c>
      <c r="K5" s="5" t="n">
        <v>34</v>
      </c>
      <c r="L5" s="5" t="n">
        <v>0.22</v>
      </c>
      <c r="M5" s="5" t="n">
        <v>0</v>
      </c>
      <c r="N5" s="5" t="inlineStr">
        <is>
          <t>yes</t>
        </is>
      </c>
    </row>
    <row r="6">
      <c r="A6" s="5" t="n">
        <v>5</v>
      </c>
      <c r="B6" s="5" t="inlineStr">
        <is>
          <t>S2-120120</t>
        </is>
      </c>
      <c r="C6" s="5" t="inlineStr">
        <is>
          <t>footing:S</t>
        </is>
      </c>
      <c r="D6" s="5" t="inlineStr">
        <is>
          <t>isolated_footing</t>
        </is>
      </c>
      <c r="E6" s="5" t="n">
        <v>4274</v>
      </c>
      <c r="F6" s="5" t="n">
        <v>900</v>
      </c>
      <c r="G6" s="5" t="n">
        <v>33</v>
      </c>
      <c r="H6" s="5" t="n">
        <v>17</v>
      </c>
      <c r="I6" s="5" t="inlineStr">
        <is>
          <t>isolated_footing</t>
        </is>
      </c>
      <c r="J6" s="5" t="inlineStr">
        <is>
          <t>yes</t>
        </is>
      </c>
      <c r="K6" s="5" t="n">
        <v>33</v>
      </c>
      <c r="L6" s="5" t="n">
        <v>0.19</v>
      </c>
      <c r="M6" s="5" t="n">
        <v>0</v>
      </c>
      <c r="N6" s="5" t="inlineStr">
        <is>
          <t>yes</t>
        </is>
      </c>
    </row>
    <row r="7">
      <c r="A7" s="5" t="n">
        <v>6</v>
      </c>
      <c r="B7" s="5" t="inlineStr">
        <is>
          <t>S2-120120</t>
        </is>
      </c>
      <c r="C7" s="5" t="inlineStr">
        <is>
          <t>footing:S</t>
        </is>
      </c>
      <c r="D7" s="5" t="inlineStr">
        <is>
          <t>isolated_footing</t>
        </is>
      </c>
      <c r="E7" s="5" t="n">
        <v>4272.9</v>
      </c>
      <c r="F7" s="5" t="n">
        <v>676</v>
      </c>
      <c r="G7" s="5" t="n">
        <v>32</v>
      </c>
      <c r="H7" s="5" t="n">
        <v>17</v>
      </c>
      <c r="I7" s="5" t="inlineStr">
        <is>
          <t>isolated_footing</t>
        </is>
      </c>
      <c r="J7" s="5" t="inlineStr">
        <is>
          <t>yes</t>
        </is>
      </c>
      <c r="K7" s="5" t="n">
        <v>32</v>
      </c>
      <c r="L7" s="5" t="n">
        <v>0.22</v>
      </c>
      <c r="M7" s="5" t="n">
        <v>0</v>
      </c>
      <c r="N7" s="5" t="inlineStr">
        <is>
          <t>yes</t>
        </is>
      </c>
    </row>
    <row r="8">
      <c r="A8" s="5" t="n">
        <v>7</v>
      </c>
      <c r="B8" s="5" t="inlineStr">
        <is>
          <t>S2-121121</t>
        </is>
      </c>
      <c r="C8" s="5" t="inlineStr">
        <is>
          <t>footing:S</t>
        </is>
      </c>
      <c r="D8" s="5" t="inlineStr">
        <is>
          <t>isolated_footing</t>
        </is>
      </c>
      <c r="E8" s="5" t="n">
        <v>4267.7</v>
      </c>
      <c r="F8" s="5" t="n">
        <v>1831.3</v>
      </c>
      <c r="G8" s="5" t="n">
        <v>132</v>
      </c>
      <c r="H8" s="5" t="n">
        <v>17</v>
      </c>
      <c r="I8" s="5" t="inlineStr">
        <is>
          <t>isolated_footing</t>
        </is>
      </c>
      <c r="J8" s="5" t="inlineStr">
        <is>
          <t>yes</t>
        </is>
      </c>
      <c r="K8" s="5" t="n">
        <v>132</v>
      </c>
      <c r="L8" s="5" t="n">
        <v>0.24</v>
      </c>
      <c r="M8" s="5" t="n">
        <v>0</v>
      </c>
      <c r="N8" s="5" t="inlineStr">
        <is>
          <t>yes</t>
        </is>
      </c>
    </row>
    <row r="9">
      <c r="A9" s="5" t="n">
        <v>8</v>
      </c>
      <c r="B9" s="5" t="inlineStr">
        <is>
          <t>S2-121121</t>
        </is>
      </c>
      <c r="C9" s="5" t="inlineStr">
        <is>
          <t>footing:S</t>
        </is>
      </c>
      <c r="D9" s="5" t="inlineStr">
        <is>
          <t>isolated_footing</t>
        </is>
      </c>
      <c r="E9" s="5" t="n">
        <v>4268.8</v>
      </c>
      <c r="F9" s="5" t="n">
        <v>2058.3</v>
      </c>
      <c r="G9" s="5" t="n">
        <v>131</v>
      </c>
      <c r="H9" s="5" t="n">
        <v>17</v>
      </c>
      <c r="I9" s="5" t="inlineStr">
        <is>
          <t>isolated_footing</t>
        </is>
      </c>
      <c r="J9" s="5" t="inlineStr">
        <is>
          <t>yes</t>
        </is>
      </c>
      <c r="K9" s="5" t="n">
        <v>131</v>
      </c>
      <c r="L9" s="5" t="n">
        <v>0.2</v>
      </c>
      <c r="M9" s="5" t="n">
        <v>0</v>
      </c>
      <c r="N9" s="5" t="inlineStr">
        <is>
          <t>yes</t>
        </is>
      </c>
    </row>
    <row r="10">
      <c r="A10" s="5" t="n">
        <v>9</v>
      </c>
      <c r="B10" s="5" t="inlineStr">
        <is>
          <t>SC3-</t>
        </is>
      </c>
      <c r="C10" s="5" t="inlineStr">
        <is>
          <t>footing:SC</t>
        </is>
      </c>
      <c r="D10" s="5" t="inlineStr">
        <is>
          <t>combined_footing</t>
        </is>
      </c>
      <c r="E10" s="5" t="n">
        <v>4482.3</v>
      </c>
      <c r="F10" s="5" t="n">
        <v>1404.2</v>
      </c>
      <c r="G10" s="5" t="n">
        <v>41</v>
      </c>
      <c r="H10" s="5" t="n">
        <v>15</v>
      </c>
      <c r="I10" s="5" t="inlineStr">
        <is>
          <t>combined_footing</t>
        </is>
      </c>
      <c r="J10" s="5" t="inlineStr">
        <is>
          <t>yes</t>
        </is>
      </c>
      <c r="K10" s="5" t="n">
        <v>41</v>
      </c>
      <c r="L10" s="5" t="n">
        <v>0.24</v>
      </c>
      <c r="M10" s="5" t="n">
        <v>0</v>
      </c>
      <c r="N10" s="5" t="inlineStr">
        <is>
          <t>yes</t>
        </is>
      </c>
    </row>
    <row r="11">
      <c r="A11" s="5" t="n">
        <v>10</v>
      </c>
      <c r="B11" s="5" t="inlineStr">
        <is>
          <t>SC1-</t>
        </is>
      </c>
      <c r="C11" s="5" t="inlineStr">
        <is>
          <t>footing:SC</t>
        </is>
      </c>
      <c r="D11" s="5" t="inlineStr">
        <is>
          <t>combined_footing</t>
        </is>
      </c>
      <c r="E11" s="5" t="n">
        <v>4713.5</v>
      </c>
      <c r="F11" s="5" t="n">
        <v>1389.6</v>
      </c>
      <c r="G11" s="5" t="n">
        <v>137</v>
      </c>
      <c r="H11" s="5" t="n">
        <v>15</v>
      </c>
      <c r="I11" s="5" t="inlineStr">
        <is>
          <t>combined_footing</t>
        </is>
      </c>
      <c r="J11" s="5" t="inlineStr">
        <is>
          <t>yes</t>
        </is>
      </c>
      <c r="K11" s="5" t="n">
        <v>137</v>
      </c>
      <c r="L11" s="5" t="n">
        <v>0.25</v>
      </c>
      <c r="M11" s="5" t="n">
        <v>0</v>
      </c>
      <c r="N11" s="5" t="inlineStr">
        <is>
          <t>yes</t>
        </is>
      </c>
    </row>
    <row r="12">
      <c r="A12" s="5" t="n">
        <v>11</v>
      </c>
      <c r="B12" s="5" t="inlineStr">
        <is>
          <t>SC4-121</t>
        </is>
      </c>
      <c r="C12" s="5" t="inlineStr">
        <is>
          <t>footing:SC</t>
        </is>
      </c>
      <c r="D12" s="5" t="inlineStr">
        <is>
          <t>combined_footing</t>
        </is>
      </c>
      <c r="E12" s="5" t="n">
        <v>4532.3</v>
      </c>
      <c r="F12" s="5" t="n">
        <v>1711.5</v>
      </c>
      <c r="G12" s="5" t="n">
        <v>139</v>
      </c>
      <c r="H12" s="5" t="n">
        <v>15</v>
      </c>
      <c r="I12" s="5" t="inlineStr">
        <is>
          <t>combined_footing</t>
        </is>
      </c>
      <c r="J12" s="5" t="inlineStr">
        <is>
          <t>yes</t>
        </is>
      </c>
      <c r="K12" s="5" t="n">
        <v>139</v>
      </c>
      <c r="L12" s="5" t="n">
        <v>0.18</v>
      </c>
      <c r="M12" s="5" t="n">
        <v>0</v>
      </c>
      <c r="N12" s="5" t="inlineStr">
        <is>
          <t>yes</t>
        </is>
      </c>
    </row>
    <row r="13">
      <c r="A13" s="5" t="n">
        <v>12</v>
      </c>
      <c r="B13" s="5" t="inlineStr">
        <is>
          <t>S7-121</t>
        </is>
      </c>
      <c r="C13" s="5" t="inlineStr">
        <is>
          <t>footing:S</t>
        </is>
      </c>
      <c r="D13" s="5" t="inlineStr">
        <is>
          <t>isolated_footing</t>
        </is>
      </c>
      <c r="E13" s="5" t="n">
        <v>4508.3</v>
      </c>
      <c r="F13" s="5" t="n">
        <v>1834.4</v>
      </c>
      <c r="G13" s="5" t="n">
        <v>136</v>
      </c>
      <c r="H13" s="5" t="n">
        <v>16</v>
      </c>
      <c r="I13" s="5" t="inlineStr">
        <is>
          <t>isolated_footing</t>
        </is>
      </c>
      <c r="J13" s="5" t="inlineStr">
        <is>
          <t>yes</t>
        </is>
      </c>
      <c r="K13" s="5" t="n">
        <v>136</v>
      </c>
      <c r="L13" s="5" t="n">
        <v>0.22</v>
      </c>
      <c r="M13" s="5" t="n">
        <v>0</v>
      </c>
      <c r="N13" s="5" t="inlineStr">
        <is>
          <t>yes</t>
        </is>
      </c>
    </row>
    <row r="14">
      <c r="A14" s="5" t="n">
        <v>13</v>
      </c>
      <c r="B14" s="5" t="inlineStr">
        <is>
          <t>S7-121</t>
        </is>
      </c>
      <c r="C14" s="5" t="inlineStr">
        <is>
          <t>footing:S</t>
        </is>
      </c>
      <c r="D14" s="5" t="inlineStr">
        <is>
          <t>isolated_footing</t>
        </is>
      </c>
      <c r="E14" s="5" t="n">
        <v>4743.8</v>
      </c>
      <c r="F14" s="5" t="n">
        <v>1804.2</v>
      </c>
      <c r="G14" s="5" t="n">
        <v>135</v>
      </c>
      <c r="H14" s="5" t="n">
        <v>16</v>
      </c>
      <c r="I14" s="5" t="inlineStr">
        <is>
          <t>isolated_footing</t>
        </is>
      </c>
      <c r="J14" s="5" t="inlineStr">
        <is>
          <t>yes</t>
        </is>
      </c>
      <c r="K14" s="5" t="n">
        <v>135</v>
      </c>
      <c r="L14" s="5" t="n">
        <v>0.22</v>
      </c>
      <c r="M14" s="5" t="n">
        <v>0</v>
      </c>
      <c r="N14" s="5" t="inlineStr">
        <is>
          <t>yes</t>
        </is>
      </c>
    </row>
    <row r="15">
      <c r="A15" s="5" t="n">
        <v>14</v>
      </c>
      <c r="B15" s="5" t="inlineStr">
        <is>
          <t>S5-121121</t>
        </is>
      </c>
      <c r="C15" s="5" t="inlineStr">
        <is>
          <t>footing:S</t>
        </is>
      </c>
      <c r="D15" s="5" t="inlineStr">
        <is>
          <t>isolated_footing</t>
        </is>
      </c>
      <c r="E15" s="5" t="n">
        <v>4734.4</v>
      </c>
      <c r="F15" s="5" t="n">
        <v>1909.4</v>
      </c>
      <c r="G15" s="5" t="n">
        <v>133</v>
      </c>
      <c r="H15" s="5" t="n">
        <v>16</v>
      </c>
      <c r="I15" s="5" t="inlineStr">
        <is>
          <t>isolated_footing</t>
        </is>
      </c>
      <c r="J15" s="5" t="inlineStr">
        <is>
          <t>yes</t>
        </is>
      </c>
      <c r="K15" s="5" t="n">
        <v>133</v>
      </c>
      <c r="L15" s="5" t="n">
        <v>0.2</v>
      </c>
      <c r="M15" s="5" t="n">
        <v>0</v>
      </c>
      <c r="N15" s="5" t="inlineStr">
        <is>
          <t>yes</t>
        </is>
      </c>
    </row>
    <row r="16">
      <c r="A16" s="5" t="n">
        <v>15</v>
      </c>
      <c r="B16" s="5" t="inlineStr">
        <is>
          <t>S6-120120</t>
        </is>
      </c>
      <c r="C16" s="5" t="inlineStr">
        <is>
          <t>footing:S</t>
        </is>
      </c>
      <c r="D16" s="5" t="inlineStr">
        <is>
          <t>isolated_footing</t>
        </is>
      </c>
      <c r="E16" s="5" t="n">
        <v>4507.3</v>
      </c>
      <c r="F16" s="5" t="n">
        <v>2005.2</v>
      </c>
      <c r="G16" s="5" t="n">
        <v>152</v>
      </c>
      <c r="H16" s="5" t="n">
        <v>4</v>
      </c>
      <c r="I16" s="5" t="inlineStr">
        <is>
          <t>grade_beam</t>
        </is>
      </c>
      <c r="J16" s="5" t="inlineStr">
        <is>
          <t>no</t>
        </is>
      </c>
      <c r="K16" s="5" t="n">
        <v>37</v>
      </c>
      <c r="L16" s="5" t="n">
        <v>0.19</v>
      </c>
      <c r="M16" s="5" t="n">
        <v>0</v>
      </c>
      <c r="N16" s="5" t="inlineStr">
        <is>
          <t>yes</t>
        </is>
      </c>
    </row>
    <row r="17">
      <c r="A17" s="5" t="n">
        <v>16</v>
      </c>
      <c r="B17" s="5" t="inlineStr">
        <is>
          <t>S7-121</t>
        </is>
      </c>
      <c r="C17" s="5" t="inlineStr">
        <is>
          <t>footing:S</t>
        </is>
      </c>
      <c r="D17" s="5" t="inlineStr">
        <is>
          <t>isolated_footing</t>
        </is>
      </c>
      <c r="E17" s="5" t="n">
        <v>4952.1</v>
      </c>
      <c r="F17" s="5" t="n">
        <v>1832.3</v>
      </c>
      <c r="G17" s="5" t="n">
        <v>134</v>
      </c>
      <c r="H17" s="5" t="n">
        <v>16</v>
      </c>
      <c r="I17" s="5" t="inlineStr">
        <is>
          <t>isolated_footing</t>
        </is>
      </c>
      <c r="J17" s="5" t="inlineStr">
        <is>
          <t>yes</t>
        </is>
      </c>
      <c r="K17" s="5" t="n">
        <v>134</v>
      </c>
      <c r="L17" s="5" t="n">
        <v>0.23</v>
      </c>
      <c r="M17" s="5" t="n">
        <v>0</v>
      </c>
      <c r="N17" s="5" t="inlineStr">
        <is>
          <t>yes</t>
        </is>
      </c>
    </row>
    <row r="18">
      <c r="A18" s="5" t="n">
        <v>17</v>
      </c>
      <c r="B18" s="5" t="inlineStr">
        <is>
          <t>S3-120120</t>
        </is>
      </c>
      <c r="C18" s="5" t="inlineStr">
        <is>
          <t>footing:S</t>
        </is>
      </c>
      <c r="D18" s="5" t="inlineStr">
        <is>
          <t>isolated_footing</t>
        </is>
      </c>
      <c r="E18" s="5" t="n">
        <v>4746.9</v>
      </c>
      <c r="F18" s="5" t="n">
        <v>557.3</v>
      </c>
      <c r="G18" s="5" t="n">
        <v>90</v>
      </c>
      <c r="H18" s="5" t="n">
        <v>7</v>
      </c>
      <c r="I18" s="5" t="inlineStr">
        <is>
          <t>unnamed</t>
        </is>
      </c>
      <c r="J18" s="5" t="inlineStr">
        <is>
          <t>unnamed</t>
        </is>
      </c>
      <c r="K18" s="5" t="n">
        <v>35</v>
      </c>
      <c r="L18" s="5" t="n">
        <v>0.21</v>
      </c>
      <c r="M18" s="5" t="n">
        <v>0</v>
      </c>
      <c r="N18" s="5" t="inlineStr">
        <is>
          <t>yes</t>
        </is>
      </c>
    </row>
    <row r="19">
      <c r="A19" s="5" t="n">
        <v>18</v>
      </c>
      <c r="B19" s="5" t="inlineStr">
        <is>
          <t>S7-120120</t>
        </is>
      </c>
      <c r="C19" s="5" t="inlineStr">
        <is>
          <t>footing:S</t>
        </is>
      </c>
      <c r="D19" s="5" t="inlineStr">
        <is>
          <t>isolated_footing</t>
        </is>
      </c>
      <c r="E19" s="5" t="n">
        <v>4511.5</v>
      </c>
      <c r="F19" s="5" t="n">
        <v>731.2</v>
      </c>
      <c r="G19" s="5" t="n">
        <v>39</v>
      </c>
      <c r="H19" s="5" t="n">
        <v>16</v>
      </c>
      <c r="I19" s="5" t="inlineStr">
        <is>
          <t>isolated_footing</t>
        </is>
      </c>
      <c r="J19" s="5" t="inlineStr">
        <is>
          <t>yes</t>
        </is>
      </c>
      <c r="K19" s="5" t="n">
        <v>39</v>
      </c>
      <c r="L19" s="5" t="n">
        <v>0.18</v>
      </c>
      <c r="M19" s="5" t="n">
        <v>0</v>
      </c>
      <c r="N19" s="5" t="inlineStr">
        <is>
          <t>yes</t>
        </is>
      </c>
    </row>
    <row r="20">
      <c r="A20" s="5" t="n">
        <v>19</v>
      </c>
      <c r="B20" s="5" t="inlineStr">
        <is>
          <t>S0-121</t>
        </is>
      </c>
      <c r="C20" s="5" t="inlineStr">
        <is>
          <t>footing:S</t>
        </is>
      </c>
      <c r="D20" s="5" t="inlineStr">
        <is>
          <t>isolated_footing</t>
        </is>
      </c>
      <c r="E20" s="5" t="n">
        <v>4581.2</v>
      </c>
      <c r="F20" s="5" t="n">
        <v>1482.3</v>
      </c>
      <c r="G20" s="5" t="n">
        <v>130</v>
      </c>
      <c r="H20" s="5" t="n">
        <v>17</v>
      </c>
      <c r="I20" s="5" t="inlineStr">
        <is>
          <t>isolated_footing</t>
        </is>
      </c>
      <c r="J20" s="5" t="inlineStr">
        <is>
          <t>yes</t>
        </is>
      </c>
      <c r="K20" s="5" t="n">
        <v>130</v>
      </c>
      <c r="L20" s="5" t="n">
        <v>0.2</v>
      </c>
      <c r="M20" s="5" t="n">
        <v>0</v>
      </c>
      <c r="N20" s="5" t="inlineStr">
        <is>
          <t>yes</t>
        </is>
      </c>
    </row>
    <row r="21">
      <c r="A21" s="5" t="n">
        <v>20</v>
      </c>
      <c r="B21" s="5" t="inlineStr">
        <is>
          <t>S7-120120</t>
        </is>
      </c>
      <c r="C21" s="5" t="inlineStr">
        <is>
          <t>footing:S</t>
        </is>
      </c>
      <c r="D21" s="5" t="inlineStr">
        <is>
          <t>isolated_footing</t>
        </is>
      </c>
      <c r="E21" s="5" t="n">
        <v>4509.4</v>
      </c>
      <c r="F21" s="5" t="n">
        <v>1022.9</v>
      </c>
      <c r="G21" s="5" t="n">
        <v>40</v>
      </c>
      <c r="H21" s="5" t="n">
        <v>16</v>
      </c>
      <c r="I21" s="5" t="inlineStr">
        <is>
          <t>isolated_footing</t>
        </is>
      </c>
      <c r="J21" s="5" t="inlineStr">
        <is>
          <t>yes</t>
        </is>
      </c>
      <c r="K21" s="5" t="n">
        <v>40</v>
      </c>
      <c r="L21" s="5" t="n">
        <v>0.15</v>
      </c>
      <c r="M21" s="5" t="n">
        <v>0</v>
      </c>
      <c r="N21" s="5" t="inlineStr">
        <is>
          <t>yes</t>
        </is>
      </c>
    </row>
    <row r="22">
      <c r="A22" s="5" t="n">
        <v>21</v>
      </c>
      <c r="B22" s="5" t="inlineStr">
        <is>
          <t>S2-122122</t>
        </is>
      </c>
      <c r="C22" s="5" t="inlineStr">
        <is>
          <t>footing:S</t>
        </is>
      </c>
      <c r="D22" s="5" t="inlineStr">
        <is>
          <t>isolated_footing</t>
        </is>
      </c>
      <c r="E22" s="5" t="n">
        <v>4294.8</v>
      </c>
      <c r="F22" s="5" t="n">
        <v>2295.8</v>
      </c>
      <c r="G22" s="5" t="n">
        <v>273</v>
      </c>
      <c r="H22" s="5" t="n">
        <v>17</v>
      </c>
      <c r="I22" s="5" t="inlineStr">
        <is>
          <t>isolated_footing</t>
        </is>
      </c>
      <c r="J22" s="5" t="inlineStr">
        <is>
          <t>yes</t>
        </is>
      </c>
      <c r="K22" s="5" t="n">
        <v>273</v>
      </c>
      <c r="L22" s="5" t="n">
        <v>0.22</v>
      </c>
      <c r="M22" s="5" t="n">
        <v>0</v>
      </c>
      <c r="N22" s="5" t="inlineStr">
        <is>
          <t>yes</t>
        </is>
      </c>
    </row>
    <row r="23">
      <c r="A23" s="5" t="n">
        <v>22</v>
      </c>
      <c r="B23" s="5" t="inlineStr">
        <is>
          <t>S2-122122</t>
        </is>
      </c>
      <c r="C23" s="5" t="inlineStr">
        <is>
          <t>footing:S</t>
        </is>
      </c>
      <c r="D23" s="5" t="inlineStr">
        <is>
          <t>isolated_footing</t>
        </is>
      </c>
      <c r="E23" s="5" t="n">
        <v>4294.8</v>
      </c>
      <c r="F23" s="5" t="n">
        <v>2526</v>
      </c>
      <c r="G23" s="5" t="n">
        <v>271</v>
      </c>
      <c r="H23" s="5" t="n">
        <v>17</v>
      </c>
      <c r="I23" s="5" t="inlineStr">
        <is>
          <t>isolated_footing</t>
        </is>
      </c>
      <c r="J23" s="5" t="inlineStr">
        <is>
          <t>yes</t>
        </is>
      </c>
      <c r="K23" s="5" t="n">
        <v>271</v>
      </c>
      <c r="L23" s="5" t="n">
        <v>0.22</v>
      </c>
      <c r="M23" s="5" t="n">
        <v>0</v>
      </c>
      <c r="N23" s="5" t="inlineStr">
        <is>
          <t>yes</t>
        </is>
      </c>
    </row>
    <row r="24">
      <c r="A24" s="5" t="n">
        <v>23</v>
      </c>
      <c r="B24" s="5" t="inlineStr">
        <is>
          <t>S2-122122</t>
        </is>
      </c>
      <c r="C24" s="5" t="inlineStr">
        <is>
          <t>footing:S</t>
        </is>
      </c>
      <c r="D24" s="5" t="inlineStr">
        <is>
          <t>isolated_footing</t>
        </is>
      </c>
      <c r="E24" s="5" t="n">
        <v>4294.8</v>
      </c>
      <c r="F24" s="5" t="n">
        <v>2756.2</v>
      </c>
      <c r="G24" s="5" t="n">
        <v>272</v>
      </c>
      <c r="H24" s="5" t="n">
        <v>17</v>
      </c>
      <c r="I24" s="5" t="inlineStr">
        <is>
          <t>isolated_footing</t>
        </is>
      </c>
      <c r="J24" s="5" t="inlineStr">
        <is>
          <t>yes</t>
        </is>
      </c>
      <c r="K24" s="5" t="n">
        <v>272</v>
      </c>
      <c r="L24" s="5" t="n">
        <v>0.23</v>
      </c>
      <c r="M24" s="5" t="n">
        <v>0</v>
      </c>
      <c r="N24" s="5" t="inlineStr">
        <is>
          <t>yes</t>
        </is>
      </c>
    </row>
    <row r="25">
      <c r="A25" s="5" t="n">
        <v>24</v>
      </c>
      <c r="B25" s="5" t="inlineStr">
        <is>
          <t>SC1-</t>
        </is>
      </c>
      <c r="C25" s="5" t="inlineStr">
        <is>
          <t>footing:SC</t>
        </is>
      </c>
      <c r="D25" s="5" t="inlineStr">
        <is>
          <t>combined_footing</t>
        </is>
      </c>
      <c r="E25" s="5" t="n">
        <v>4714.6</v>
      </c>
      <c r="F25" s="5" t="n">
        <v>2193.8</v>
      </c>
      <c r="G25" s="5" t="n">
        <v>274</v>
      </c>
      <c r="H25" s="5" t="n">
        <v>15</v>
      </c>
      <c r="I25" s="5" t="inlineStr">
        <is>
          <t>combined_footing</t>
        </is>
      </c>
      <c r="J25" s="5" t="inlineStr">
        <is>
          <t>yes</t>
        </is>
      </c>
      <c r="K25" s="5" t="n">
        <v>274</v>
      </c>
      <c r="L25" s="5" t="n">
        <v>0.23</v>
      </c>
      <c r="M25" s="5" t="n">
        <v>0</v>
      </c>
      <c r="N25" s="5" t="inlineStr">
        <is>
          <t>yes</t>
        </is>
      </c>
    </row>
    <row r="26">
      <c r="A26" s="5" t="n">
        <v>25</v>
      </c>
      <c r="B26" s="5" t="inlineStr">
        <is>
          <t>SC3-</t>
        </is>
      </c>
      <c r="C26" s="5" t="inlineStr">
        <is>
          <t>footing:SC</t>
        </is>
      </c>
      <c r="D26" s="5" t="inlineStr">
        <is>
          <t>combined_footing</t>
        </is>
      </c>
      <c r="E26" s="5" t="n">
        <v>4482.3</v>
      </c>
      <c r="F26" s="5" t="n">
        <v>2210.4</v>
      </c>
      <c r="G26" s="5" t="n">
        <v>276</v>
      </c>
      <c r="H26" s="5" t="n">
        <v>15</v>
      </c>
      <c r="I26" s="5" t="inlineStr">
        <is>
          <t>combined_footing</t>
        </is>
      </c>
      <c r="J26" s="5" t="inlineStr">
        <is>
          <t>yes</t>
        </is>
      </c>
      <c r="K26" s="5" t="n">
        <v>276</v>
      </c>
      <c r="L26" s="5" t="n">
        <v>0.25</v>
      </c>
      <c r="M26" s="5" t="n">
        <v>0</v>
      </c>
      <c r="N26" s="5" t="inlineStr">
        <is>
          <t>yes</t>
        </is>
      </c>
    </row>
    <row r="27">
      <c r="A27" s="5" t="n">
        <v>26</v>
      </c>
      <c r="B27" s="5" t="inlineStr">
        <is>
          <t>SC1-</t>
        </is>
      </c>
      <c r="C27" s="5" t="inlineStr">
        <is>
          <t>footing:SC</t>
        </is>
      </c>
      <c r="D27" s="5" t="inlineStr">
        <is>
          <t>combined_footing</t>
        </is>
      </c>
      <c r="E27" s="5" t="n">
        <v>4267.7</v>
      </c>
      <c r="F27" s="5" t="n">
        <v>2194.8</v>
      </c>
      <c r="G27" s="5" t="n">
        <v>365</v>
      </c>
      <c r="H27" s="5" t="n">
        <v>13</v>
      </c>
      <c r="I27" s="5" t="inlineStr">
        <is>
          <t>unnamed</t>
        </is>
      </c>
      <c r="J27" s="5" t="inlineStr">
        <is>
          <t>unnamed</t>
        </is>
      </c>
      <c r="K27" s="5" t="n">
        <v>138</v>
      </c>
      <c r="L27" s="5" t="n">
        <v>0.24</v>
      </c>
      <c r="M27" s="5" t="n">
        <v>0</v>
      </c>
      <c r="N27" s="5" t="inlineStr">
        <is>
          <t>yes</t>
        </is>
      </c>
    </row>
    <row r="28">
      <c r="A28" s="5" t="n">
        <v>27</v>
      </c>
      <c r="B28" s="5" t="inlineStr">
        <is>
          <t>S11-122122</t>
        </is>
      </c>
      <c r="C28" s="5" t="inlineStr">
        <is>
          <t>footing:S</t>
        </is>
      </c>
      <c r="D28" s="5" t="inlineStr">
        <is>
          <t>isolated_footing</t>
        </is>
      </c>
      <c r="E28" s="5" t="n">
        <v>4510.4</v>
      </c>
      <c r="F28" s="5" t="n">
        <v>2393.8</v>
      </c>
      <c r="G28" s="5" t="n">
        <v>266</v>
      </c>
      <c r="H28" s="5" t="n">
        <v>16</v>
      </c>
      <c r="I28" s="5" t="inlineStr">
        <is>
          <t>isolated_footing</t>
        </is>
      </c>
      <c r="J28" s="5" t="inlineStr">
        <is>
          <t>yes</t>
        </is>
      </c>
      <c r="K28" s="5" t="n">
        <v>266</v>
      </c>
      <c r="L28" s="5" t="n">
        <v>0.19</v>
      </c>
      <c r="M28" s="5" t="n">
        <v>0</v>
      </c>
      <c r="N28" s="5" t="inlineStr">
        <is>
          <t>yes</t>
        </is>
      </c>
    </row>
    <row r="29">
      <c r="A29" s="5" t="n">
        <v>28</v>
      </c>
      <c r="B29" s="5" t="inlineStr">
        <is>
          <t>S10-122122</t>
        </is>
      </c>
      <c r="C29" s="5" t="inlineStr">
        <is>
          <t>footing:S</t>
        </is>
      </c>
      <c r="D29" s="5" t="inlineStr">
        <is>
          <t>isolated_footing</t>
        </is>
      </c>
      <c r="E29" s="5" t="n">
        <v>4511.5</v>
      </c>
      <c r="F29" s="5" t="n">
        <v>2550</v>
      </c>
      <c r="G29" s="5" t="n">
        <v>359</v>
      </c>
      <c r="H29" s="5" t="n">
        <v>8</v>
      </c>
      <c r="I29" s="5" t="inlineStr">
        <is>
          <t>unnamed</t>
        </is>
      </c>
      <c r="J29" s="5" t="inlineStr">
        <is>
          <t>unnamed</t>
        </is>
      </c>
      <c r="K29" s="5" t="n">
        <v>264</v>
      </c>
      <c r="L29" s="5" t="n">
        <v>0.23</v>
      </c>
      <c r="M29" s="5" t="n">
        <v>0</v>
      </c>
      <c r="N29" s="5" t="inlineStr">
        <is>
          <t>yes</t>
        </is>
      </c>
    </row>
    <row r="30">
      <c r="A30" s="5" t="n">
        <v>29</v>
      </c>
      <c r="B30" s="5" t="inlineStr">
        <is>
          <t>S10-122122</t>
        </is>
      </c>
      <c r="C30" s="5" t="inlineStr">
        <is>
          <t>footing:S</t>
        </is>
      </c>
      <c r="D30" s="5" t="inlineStr">
        <is>
          <t>isolated_footing</t>
        </is>
      </c>
      <c r="E30" s="5" t="n">
        <v>4510.4</v>
      </c>
      <c r="F30" s="5" t="n">
        <v>2666.7</v>
      </c>
      <c r="G30" s="5" t="n">
        <v>263</v>
      </c>
      <c r="H30" s="5" t="n">
        <v>16</v>
      </c>
      <c r="I30" s="5" t="inlineStr">
        <is>
          <t>isolated_footing</t>
        </is>
      </c>
      <c r="J30" s="5" t="inlineStr">
        <is>
          <t>yes</t>
        </is>
      </c>
      <c r="K30" s="5" t="n">
        <v>263</v>
      </c>
      <c r="L30" s="5" t="n">
        <v>0.23</v>
      </c>
      <c r="M30" s="5" t="n">
        <v>0</v>
      </c>
      <c r="N30" s="5" t="inlineStr">
        <is>
          <t>yes</t>
        </is>
      </c>
    </row>
    <row r="31">
      <c r="A31" s="5" t="n">
        <v>30</v>
      </c>
      <c r="B31" s="5" t="inlineStr">
        <is>
          <t>S11-122122</t>
        </is>
      </c>
      <c r="C31" s="5" t="inlineStr">
        <is>
          <t>footing:S</t>
        </is>
      </c>
      <c r="D31" s="5" t="inlineStr">
        <is>
          <t>isolated_footing</t>
        </is>
      </c>
      <c r="E31" s="5" t="n">
        <v>4510.4</v>
      </c>
      <c r="F31" s="5" t="n">
        <v>2881.2</v>
      </c>
      <c r="G31" s="5" t="n">
        <v>267</v>
      </c>
      <c r="H31" s="5" t="n">
        <v>16</v>
      </c>
      <c r="I31" s="5" t="inlineStr">
        <is>
          <t>isolated_footing</t>
        </is>
      </c>
      <c r="J31" s="5" t="inlineStr">
        <is>
          <t>yes</t>
        </is>
      </c>
      <c r="K31" s="5" t="n">
        <v>267</v>
      </c>
      <c r="L31" s="5" t="n">
        <v>0.2</v>
      </c>
      <c r="M31" s="5" t="n">
        <v>0</v>
      </c>
      <c r="N31" s="5" t="inlineStr">
        <is>
          <t>yes</t>
        </is>
      </c>
    </row>
    <row r="32">
      <c r="A32" s="5" t="n">
        <v>31</v>
      </c>
      <c r="B32" s="5" t="inlineStr">
        <is>
          <t>S10-122122</t>
        </is>
      </c>
      <c r="C32" s="5" t="inlineStr">
        <is>
          <t>footing:S</t>
        </is>
      </c>
      <c r="D32" s="5" t="inlineStr">
        <is>
          <t>isolated_footing</t>
        </is>
      </c>
      <c r="E32" s="5" t="n">
        <v>4753.1</v>
      </c>
      <c r="F32" s="5" t="n">
        <v>2370.8</v>
      </c>
      <c r="G32" s="5" t="n">
        <v>262</v>
      </c>
      <c r="H32" s="5" t="n">
        <v>16</v>
      </c>
      <c r="I32" s="5" t="inlineStr">
        <is>
          <t>isolated_footing</t>
        </is>
      </c>
      <c r="J32" s="5" t="inlineStr">
        <is>
          <t>yes</t>
        </is>
      </c>
      <c r="K32" s="5" t="n">
        <v>262</v>
      </c>
      <c r="L32" s="5" t="n">
        <v>0.23</v>
      </c>
      <c r="M32" s="5" t="n">
        <v>0</v>
      </c>
      <c r="N32" s="5" t="inlineStr">
        <is>
          <t>yes</t>
        </is>
      </c>
    </row>
    <row r="33">
      <c r="A33" s="5" t="n">
        <v>32</v>
      </c>
      <c r="B33" s="5" t="inlineStr">
        <is>
          <t>S10-122122</t>
        </is>
      </c>
      <c r="C33" s="5" t="inlineStr">
        <is>
          <t>footing:S</t>
        </is>
      </c>
      <c r="D33" s="5" t="inlineStr">
        <is>
          <t>isolated_footing</t>
        </is>
      </c>
      <c r="E33" s="5" t="n">
        <v>4932.3</v>
      </c>
      <c r="F33" s="5" t="n">
        <v>2549</v>
      </c>
      <c r="G33" s="5" t="n">
        <v>265</v>
      </c>
      <c r="H33" s="5" t="n">
        <v>16</v>
      </c>
      <c r="I33" s="5" t="inlineStr">
        <is>
          <t>isolated_footing</t>
        </is>
      </c>
      <c r="J33" s="5" t="inlineStr">
        <is>
          <t>yes</t>
        </is>
      </c>
      <c r="K33" s="5" t="n">
        <v>265</v>
      </c>
      <c r="L33" s="5" t="n">
        <v>0.23</v>
      </c>
      <c r="M33" s="5" t="n">
        <v>0</v>
      </c>
      <c r="N33" s="5" t="inlineStr">
        <is>
          <t>yes</t>
        </is>
      </c>
    </row>
    <row r="34">
      <c r="A34" s="5" t="n">
        <v>33</v>
      </c>
      <c r="B34" s="5" t="inlineStr">
        <is>
          <t>S5-123123</t>
        </is>
      </c>
      <c r="C34" s="5" t="inlineStr">
        <is>
          <t>footing:S</t>
        </is>
      </c>
      <c r="D34" s="5" t="inlineStr">
        <is>
          <t>isolated_footing</t>
        </is>
      </c>
      <c r="E34" s="5" t="n">
        <v>4474</v>
      </c>
      <c r="F34" s="5" t="n">
        <v>3404.2</v>
      </c>
      <c r="G34" s="5" t="n">
        <v>393</v>
      </c>
      <c r="H34" s="5" t="n">
        <v>16</v>
      </c>
      <c r="I34" s="5" t="inlineStr">
        <is>
          <t>isolated_footing</t>
        </is>
      </c>
      <c r="J34" s="5" t="inlineStr">
        <is>
          <t>yes</t>
        </is>
      </c>
      <c r="K34" s="5" t="n">
        <v>393</v>
      </c>
      <c r="L34" s="5" t="n">
        <v>0.25</v>
      </c>
      <c r="M34" s="5" t="n">
        <v>0</v>
      </c>
      <c r="N34" s="5" t="inlineStr">
        <is>
          <t>yes</t>
        </is>
      </c>
    </row>
    <row r="35">
      <c r="A35" s="5" t="n">
        <v>34</v>
      </c>
      <c r="B35" s="5" t="inlineStr">
        <is>
          <t>SC4-</t>
        </is>
      </c>
      <c r="C35" s="5" t="inlineStr">
        <is>
          <t>footing:SC</t>
        </is>
      </c>
      <c r="D35" s="5" t="inlineStr">
        <is>
          <t>combined_footing</t>
        </is>
      </c>
      <c r="E35" s="5" t="n">
        <v>4388.5</v>
      </c>
      <c r="F35" s="5" t="n">
        <v>3164.6</v>
      </c>
      <c r="G35" s="5" t="n">
        <v>401</v>
      </c>
      <c r="H35" s="5" t="n">
        <v>15</v>
      </c>
      <c r="I35" s="5" t="inlineStr">
        <is>
          <t>combined_footing</t>
        </is>
      </c>
      <c r="J35" s="5" t="inlineStr">
        <is>
          <t>yes</t>
        </is>
      </c>
      <c r="K35" s="5" t="n">
        <v>401</v>
      </c>
      <c r="L35" s="5" t="n">
        <v>0.23</v>
      </c>
      <c r="M35" s="5" t="n">
        <v>0</v>
      </c>
      <c r="N35" s="5" t="inlineStr">
        <is>
          <t>yes</t>
        </is>
      </c>
    </row>
    <row r="36">
      <c r="A36" s="5" t="n">
        <v>35</v>
      </c>
      <c r="B36" s="5" t="inlineStr">
        <is>
          <t>S7-123123</t>
        </is>
      </c>
      <c r="C36" s="5" t="inlineStr">
        <is>
          <t>footing:S</t>
        </is>
      </c>
      <c r="D36" s="5" t="inlineStr">
        <is>
          <t>isolated_footing</t>
        </is>
      </c>
      <c r="E36" s="5" t="n">
        <v>4861.5</v>
      </c>
      <c r="F36" s="5" t="n">
        <v>3382.3</v>
      </c>
      <c r="G36" s="5" t="n">
        <v>395</v>
      </c>
      <c r="H36" s="5" t="n">
        <v>16</v>
      </c>
      <c r="I36" s="5" t="inlineStr">
        <is>
          <t>isolated_footing</t>
        </is>
      </c>
      <c r="J36" s="5" t="inlineStr">
        <is>
          <t>yes</t>
        </is>
      </c>
      <c r="K36" s="5" t="n">
        <v>395</v>
      </c>
      <c r="L36" s="5" t="n">
        <v>0.18</v>
      </c>
      <c r="M36" s="5" t="n">
        <v>0</v>
      </c>
      <c r="N36" s="5" t="inlineStr">
        <is>
          <t>yes</t>
        </is>
      </c>
    </row>
    <row r="37">
      <c r="A37" s="5" t="n">
        <v>36</v>
      </c>
      <c r="B37" s="5" t="inlineStr">
        <is>
          <t>S7-123123</t>
        </is>
      </c>
      <c r="C37" s="5" t="inlineStr">
        <is>
          <t>footing:S</t>
        </is>
      </c>
      <c r="D37" s="5" t="inlineStr">
        <is>
          <t>isolated_footing</t>
        </is>
      </c>
      <c r="E37" s="5" t="n">
        <v>4671.9</v>
      </c>
      <c r="F37" s="5" t="n">
        <v>3395.8</v>
      </c>
      <c r="G37" s="5" t="n">
        <v>396</v>
      </c>
      <c r="H37" s="5" t="n">
        <v>16</v>
      </c>
      <c r="I37" s="5" t="inlineStr">
        <is>
          <t>isolated_footing</t>
        </is>
      </c>
      <c r="J37" s="5" t="inlineStr">
        <is>
          <t>yes</t>
        </is>
      </c>
      <c r="K37" s="5" t="n">
        <v>396</v>
      </c>
      <c r="L37" s="5" t="n">
        <v>0.17</v>
      </c>
      <c r="M37" s="5" t="n">
        <v>0</v>
      </c>
      <c r="N37" s="5" t="inlineStr">
        <is>
          <t>yes</t>
        </is>
      </c>
    </row>
    <row r="38">
      <c r="A38" s="5" t="n">
        <v>37</v>
      </c>
      <c r="B38" s="5" t="inlineStr">
        <is>
          <t>S12-122122</t>
        </is>
      </c>
      <c r="C38" s="5" t="inlineStr">
        <is>
          <t>footing:S</t>
        </is>
      </c>
      <c r="D38" s="5" t="inlineStr">
        <is>
          <t>isolated_footing</t>
        </is>
      </c>
      <c r="E38" s="5" t="n">
        <v>4588.5</v>
      </c>
      <c r="F38" s="5" t="n">
        <v>2744.8</v>
      </c>
      <c r="G38" s="5" t="n">
        <v>268</v>
      </c>
      <c r="H38" s="5" t="n">
        <v>17</v>
      </c>
      <c r="I38" s="5" t="inlineStr">
        <is>
          <t>isolated_footing</t>
        </is>
      </c>
      <c r="J38" s="5" t="inlineStr">
        <is>
          <t>yes</t>
        </is>
      </c>
      <c r="K38" s="5" t="n">
        <v>268</v>
      </c>
      <c r="L38" s="5" t="n">
        <v>0.21</v>
      </c>
      <c r="M38" s="5" t="n">
        <v>0</v>
      </c>
      <c r="N38" s="5" t="inlineStr">
        <is>
          <t>yes</t>
        </is>
      </c>
    </row>
    <row r="39">
      <c r="A39" s="5" t="n">
        <v>38</v>
      </c>
      <c r="B39" s="5" t="inlineStr">
        <is>
          <t>S12-122122</t>
        </is>
      </c>
      <c r="C39" s="5" t="inlineStr">
        <is>
          <t>footing:S</t>
        </is>
      </c>
      <c r="D39" s="5" t="inlineStr">
        <is>
          <t>isolated_footing</t>
        </is>
      </c>
      <c r="E39" s="5" t="n">
        <v>4296.9</v>
      </c>
      <c r="F39" s="5" t="n">
        <v>2931.2</v>
      </c>
      <c r="G39" s="5" t="n">
        <v>269</v>
      </c>
      <c r="H39" s="5" t="n">
        <v>17</v>
      </c>
      <c r="I39" s="5" t="inlineStr">
        <is>
          <t>isolated_footing</t>
        </is>
      </c>
      <c r="J39" s="5" t="inlineStr">
        <is>
          <t>yes</t>
        </is>
      </c>
      <c r="K39" s="5" t="n">
        <v>269</v>
      </c>
      <c r="L39" s="5" t="n">
        <v>0.23</v>
      </c>
      <c r="M39" s="5" t="n">
        <v>0</v>
      </c>
      <c r="N39" s="5" t="inlineStr">
        <is>
          <t>yes</t>
        </is>
      </c>
    </row>
    <row r="40">
      <c r="A40" s="5" t="n">
        <v>39</v>
      </c>
      <c r="B40" s="5" t="inlineStr">
        <is>
          <t>SC3-</t>
        </is>
      </c>
      <c r="C40" s="5" t="inlineStr">
        <is>
          <t>footing:SC</t>
        </is>
      </c>
      <c r="D40" s="5" t="inlineStr">
        <is>
          <t>combined_footing</t>
        </is>
      </c>
      <c r="E40" s="5" t="n">
        <v>4190.6</v>
      </c>
      <c r="F40" s="5" t="n">
        <v>3043.8</v>
      </c>
      <c r="G40" s="5" t="n">
        <v>477</v>
      </c>
      <c r="H40" s="5" t="n">
        <v>15</v>
      </c>
      <c r="I40" s="5" t="inlineStr">
        <is>
          <t>combined_footing</t>
        </is>
      </c>
      <c r="J40" s="5" t="inlineStr">
        <is>
          <t>yes</t>
        </is>
      </c>
      <c r="K40" s="5" t="n">
        <v>477</v>
      </c>
      <c r="L40" s="5" t="n">
        <v>0.18</v>
      </c>
      <c r="M40" s="5" t="n">
        <v>0</v>
      </c>
      <c r="N40" s="5" t="inlineStr">
        <is>
          <t>yes</t>
        </is>
      </c>
    </row>
    <row r="41">
      <c r="A41" s="5" t="n">
        <v>40</v>
      </c>
      <c r="B41" s="5" t="inlineStr">
        <is>
          <t>SC2-</t>
        </is>
      </c>
      <c r="C41" s="5" t="inlineStr">
        <is>
          <t>footing:SC</t>
        </is>
      </c>
      <c r="D41" s="5" t="inlineStr">
        <is>
          <t>combined_footing</t>
        </is>
      </c>
      <c r="E41" s="5" t="n">
        <v>4205.2</v>
      </c>
      <c r="F41" s="5" t="n">
        <v>2952.1</v>
      </c>
      <c r="G41" s="5" t="n">
        <v>357</v>
      </c>
      <c r="H41" s="5" t="n">
        <v>5</v>
      </c>
      <c r="I41" s="5" t="inlineStr">
        <is>
          <t>unnamed</t>
        </is>
      </c>
      <c r="J41" s="5" t="inlineStr">
        <is>
          <t>unnamed</t>
        </is>
      </c>
      <c r="K41" s="5" t="n">
        <v>275</v>
      </c>
      <c r="L41" s="5" t="n">
        <v>0.25</v>
      </c>
      <c r="M41" s="5" t="n">
        <v>0</v>
      </c>
      <c r="N41" s="5" t="inlineStr">
        <is>
          <t>yes</t>
        </is>
      </c>
    </row>
    <row r="42">
      <c r="A42" s="5" t="n">
        <v>41</v>
      </c>
      <c r="B42" s="5" t="inlineStr">
        <is>
          <t>S2-122122</t>
        </is>
      </c>
      <c r="C42" s="5" t="inlineStr">
        <is>
          <t>footing:S</t>
        </is>
      </c>
      <c r="D42" s="5" t="inlineStr">
        <is>
          <t>isolated_footing</t>
        </is>
      </c>
      <c r="E42" s="5" t="n">
        <v>4239.6</v>
      </c>
      <c r="F42" s="5" t="n">
        <v>2794.8</v>
      </c>
      <c r="G42" s="5" t="n">
        <v>270</v>
      </c>
      <c r="H42" s="5" t="n">
        <v>17</v>
      </c>
      <c r="I42" s="5" t="inlineStr">
        <is>
          <t>isolated_footing</t>
        </is>
      </c>
      <c r="J42" s="5" t="inlineStr">
        <is>
          <t>yes</t>
        </is>
      </c>
      <c r="K42" s="5" t="n">
        <v>270</v>
      </c>
      <c r="L42" s="5" t="n">
        <v>0.43</v>
      </c>
      <c r="M42" s="5" t="n">
        <v>0</v>
      </c>
      <c r="N42" s="5" t="inlineStr">
        <is>
          <t>yes</t>
        </is>
      </c>
    </row>
    <row r="43">
      <c r="A43" s="5" t="n">
        <v>42</v>
      </c>
      <c r="B43" s="5" t="inlineStr">
        <is>
          <t>SC1-</t>
        </is>
      </c>
      <c r="C43" s="5" t="inlineStr">
        <is>
          <t>footing:SC</t>
        </is>
      </c>
      <c r="D43" s="5" t="inlineStr">
        <is>
          <t>combined_footing</t>
        </is>
      </c>
      <c r="E43" s="5" t="n">
        <v>4289.6</v>
      </c>
      <c r="F43" s="5" t="n">
        <v>3508.3</v>
      </c>
      <c r="G43" s="5" t="n">
        <v>399</v>
      </c>
      <c r="H43" s="5" t="n">
        <v>15</v>
      </c>
      <c r="I43" s="5" t="inlineStr">
        <is>
          <t>combined_footing</t>
        </is>
      </c>
      <c r="J43" s="5" t="inlineStr">
        <is>
          <t>yes</t>
        </is>
      </c>
      <c r="K43" s="5" t="n">
        <v>399</v>
      </c>
      <c r="L43" s="5" t="n">
        <v>0.32</v>
      </c>
      <c r="M43" s="5" t="n">
        <v>0</v>
      </c>
      <c r="N43" s="5" t="inlineStr">
        <is>
          <t>yes</t>
        </is>
      </c>
    </row>
    <row r="44">
      <c r="A44" s="5" t="n">
        <v>43</v>
      </c>
      <c r="B44" s="5" t="inlineStr">
        <is>
          <t>S7-123123</t>
        </is>
      </c>
      <c r="C44" s="5" t="inlineStr">
        <is>
          <t>footing:S</t>
        </is>
      </c>
      <c r="D44" s="5" t="inlineStr">
        <is>
          <t>isolated_footing</t>
        </is>
      </c>
      <c r="E44" s="5" t="n">
        <v>4488.5</v>
      </c>
      <c r="F44" s="5" t="n">
        <v>3454.2</v>
      </c>
      <c r="G44" s="5" t="n">
        <v>398</v>
      </c>
      <c r="H44" s="5" t="n">
        <v>16</v>
      </c>
      <c r="I44" s="5" t="inlineStr">
        <is>
          <t>isolated_footing</t>
        </is>
      </c>
      <c r="J44" s="5" t="inlineStr">
        <is>
          <t>yes</t>
        </is>
      </c>
      <c r="K44" s="5" t="n">
        <v>398</v>
      </c>
      <c r="L44" s="5" t="n">
        <v>0.18</v>
      </c>
      <c r="M44" s="5" t="n">
        <v>0</v>
      </c>
      <c r="N44" s="5" t="inlineStr">
        <is>
          <t>yes</t>
        </is>
      </c>
    </row>
    <row r="45">
      <c r="A45" s="5" t="n">
        <v>44</v>
      </c>
      <c r="B45" s="5" t="inlineStr">
        <is>
          <t>S7-123123</t>
        </is>
      </c>
      <c r="C45" s="5" t="inlineStr">
        <is>
          <t>footing:S</t>
        </is>
      </c>
      <c r="D45" s="5" t="inlineStr">
        <is>
          <t>isolated_footing</t>
        </is>
      </c>
      <c r="E45" s="5" t="n">
        <v>4949</v>
      </c>
      <c r="F45" s="5" t="n">
        <v>3280.2</v>
      </c>
      <c r="G45" s="5" t="n">
        <v>397</v>
      </c>
      <c r="H45" s="5" t="n">
        <v>16</v>
      </c>
      <c r="I45" s="5" t="inlineStr">
        <is>
          <t>isolated_footing</t>
        </is>
      </c>
      <c r="J45" s="5" t="inlineStr">
        <is>
          <t>yes</t>
        </is>
      </c>
      <c r="K45" s="5" t="n">
        <v>397</v>
      </c>
      <c r="L45" s="5" t="n">
        <v>0.08</v>
      </c>
      <c r="M45" s="5" t="n">
        <v>0</v>
      </c>
      <c r="N45" s="5" t="inlineStr">
        <is>
          <t>yes</t>
        </is>
      </c>
    </row>
    <row r="46">
      <c r="A46" s="5" t="n">
        <v>45</v>
      </c>
      <c r="B46" s="5" t="inlineStr">
        <is>
          <t>S7-123123</t>
        </is>
      </c>
      <c r="C46" s="5" t="inlineStr">
        <is>
          <t>footing:S</t>
        </is>
      </c>
      <c r="D46" s="5" t="inlineStr">
        <is>
          <t>isolated_footing</t>
        </is>
      </c>
      <c r="E46" s="5" t="n">
        <v>4942.7</v>
      </c>
      <c r="F46" s="5" t="n">
        <v>3104.2</v>
      </c>
      <c r="G46" s="5" t="n">
        <v>394</v>
      </c>
      <c r="H46" s="5" t="n">
        <v>16</v>
      </c>
      <c r="I46" s="5" t="inlineStr">
        <is>
          <t>isolated_footing</t>
        </is>
      </c>
      <c r="J46" s="5" t="inlineStr">
        <is>
          <t>yes</t>
        </is>
      </c>
      <c r="K46" s="5" t="n">
        <v>394</v>
      </c>
      <c r="L46" s="5" t="n">
        <v>0.1</v>
      </c>
      <c r="M46" s="5" t="n">
        <v>0</v>
      </c>
      <c r="N46" s="5" t="inlineStr">
        <is>
          <t>yes</t>
        </is>
      </c>
    </row>
    <row r="47">
      <c r="A47" s="5" t="n">
        <v>46</v>
      </c>
      <c r="B47" s="5" t="inlineStr">
        <is>
          <t>S2-124124</t>
        </is>
      </c>
      <c r="C47" s="5" t="inlineStr">
        <is>
          <t>footing:S</t>
        </is>
      </c>
      <c r="D47" s="5" t="inlineStr">
        <is>
          <t>isolated_footing</t>
        </is>
      </c>
      <c r="E47" s="5" t="n">
        <v>3969.8</v>
      </c>
      <c r="F47" s="5" t="n">
        <v>2878.1</v>
      </c>
      <c r="G47" s="5" t="n">
        <v>471</v>
      </c>
      <c r="H47" s="5" t="n">
        <v>17</v>
      </c>
      <c r="I47" s="5" t="inlineStr">
        <is>
          <t>isolated_footing</t>
        </is>
      </c>
      <c r="J47" s="5" t="inlineStr">
        <is>
          <t>yes</t>
        </is>
      </c>
      <c r="K47" s="5" t="n">
        <v>471</v>
      </c>
      <c r="L47" s="5" t="n">
        <v>0.18</v>
      </c>
      <c r="M47" s="5" t="n">
        <v>0</v>
      </c>
      <c r="N47" s="5" t="inlineStr">
        <is>
          <t>yes</t>
        </is>
      </c>
    </row>
    <row r="48">
      <c r="A48" s="5" t="n">
        <v>47</v>
      </c>
      <c r="B48" s="5" t="inlineStr">
        <is>
          <t>S2-124124</t>
        </is>
      </c>
      <c r="C48" s="5" t="inlineStr">
        <is>
          <t>footing:S</t>
        </is>
      </c>
      <c r="D48" s="5" t="inlineStr">
        <is>
          <t>isolated_footing</t>
        </is>
      </c>
      <c r="E48" s="5" t="n">
        <v>3742.7</v>
      </c>
      <c r="F48" s="5" t="n">
        <v>2908.3</v>
      </c>
      <c r="G48" s="5" t="n">
        <v>472</v>
      </c>
      <c r="H48" s="5" t="n">
        <v>17</v>
      </c>
      <c r="I48" s="5" t="inlineStr">
        <is>
          <t>isolated_footing</t>
        </is>
      </c>
      <c r="J48" s="5" t="inlineStr">
        <is>
          <t>yes</t>
        </is>
      </c>
      <c r="K48" s="5" t="n">
        <v>472</v>
      </c>
      <c r="L48" s="5" t="n">
        <v>0.19</v>
      </c>
      <c r="M48" s="5" t="n">
        <v>0</v>
      </c>
      <c r="N48" s="5" t="inlineStr">
        <is>
          <t>yes</t>
        </is>
      </c>
    </row>
    <row r="49">
      <c r="A49" s="5" t="n">
        <v>48</v>
      </c>
      <c r="B49" s="5" t="inlineStr">
        <is>
          <t>S11-124124</t>
        </is>
      </c>
      <c r="C49" s="5" t="inlineStr">
        <is>
          <t>footing:S</t>
        </is>
      </c>
      <c r="D49" s="5" t="inlineStr">
        <is>
          <t>isolated_footing</t>
        </is>
      </c>
      <c r="E49" s="5" t="n">
        <v>3785.4</v>
      </c>
      <c r="F49" s="5" t="n">
        <v>3550</v>
      </c>
      <c r="G49" s="5" t="n">
        <v>470</v>
      </c>
      <c r="H49" s="5" t="n">
        <v>16</v>
      </c>
      <c r="I49" s="5" t="inlineStr">
        <is>
          <t>isolated_footing</t>
        </is>
      </c>
      <c r="J49" s="5" t="inlineStr">
        <is>
          <t>yes</t>
        </is>
      </c>
      <c r="K49" s="5" t="n">
        <v>470</v>
      </c>
      <c r="L49" s="5" t="n">
        <v>0.27</v>
      </c>
      <c r="M49" s="5" t="n">
        <v>0</v>
      </c>
      <c r="N49" s="5" t="inlineStr">
        <is>
          <t>yes</t>
        </is>
      </c>
    </row>
    <row r="50">
      <c r="A50" s="5" t="n">
        <v>49</v>
      </c>
      <c r="B50" s="5" t="inlineStr">
        <is>
          <t>SC2-</t>
        </is>
      </c>
      <c r="C50" s="5" t="inlineStr">
        <is>
          <t>footing:SC</t>
        </is>
      </c>
      <c r="D50" s="5" t="inlineStr">
        <is>
          <t>combined_footing</t>
        </is>
      </c>
      <c r="E50" s="5" t="n">
        <v>3524</v>
      </c>
      <c r="F50" s="5" t="n">
        <v>3053.1</v>
      </c>
      <c r="G50" s="5" t="n">
        <v>475</v>
      </c>
      <c r="H50" s="5" t="n">
        <v>23</v>
      </c>
      <c r="I50" s="5" t="inlineStr">
        <is>
          <t>combined_footing</t>
        </is>
      </c>
      <c r="J50" s="5" t="inlineStr">
        <is>
          <t>yes</t>
        </is>
      </c>
      <c r="K50" s="5" t="n">
        <v>475</v>
      </c>
      <c r="L50" s="5" t="n">
        <v>0.24</v>
      </c>
      <c r="M50" s="5" t="n">
        <v>0</v>
      </c>
      <c r="N50" s="5" t="inlineStr">
        <is>
          <t>yes</t>
        </is>
      </c>
    </row>
    <row r="51">
      <c r="A51" s="5" t="n">
        <v>50</v>
      </c>
      <c r="B51" s="5" t="inlineStr">
        <is>
          <t>S10-</t>
        </is>
      </c>
      <c r="C51" s="5" t="inlineStr">
        <is>
          <t>footing:S</t>
        </is>
      </c>
      <c r="D51" s="5" t="inlineStr">
        <is>
          <t>isolated_footing</t>
        </is>
      </c>
      <c r="E51" s="5" t="n">
        <v>3072.9</v>
      </c>
      <c r="F51" s="5" t="n">
        <v>3284.4</v>
      </c>
      <c r="G51" s="5" t="n">
        <v>549</v>
      </c>
      <c r="H51" s="5" t="n">
        <v>16</v>
      </c>
      <c r="I51" s="5" t="inlineStr">
        <is>
          <t>isolated_footing</t>
        </is>
      </c>
      <c r="J51" s="5" t="inlineStr">
        <is>
          <t>yes</t>
        </is>
      </c>
      <c r="K51" s="5" t="n">
        <v>549</v>
      </c>
      <c r="L51" s="5" t="n">
        <v>0.21</v>
      </c>
      <c r="M51" s="5" t="n">
        <v>0</v>
      </c>
      <c r="N51" s="5" t="inlineStr">
        <is>
          <t>yes</t>
        </is>
      </c>
    </row>
    <row r="52">
      <c r="A52" s="5" t="n">
        <v>51</v>
      </c>
      <c r="B52" s="5" t="inlineStr">
        <is>
          <t>S10-125125</t>
        </is>
      </c>
      <c r="C52" s="5" t="inlineStr">
        <is>
          <t>footing:S</t>
        </is>
      </c>
      <c r="D52" s="5" t="inlineStr">
        <is>
          <t>isolated_footing</t>
        </is>
      </c>
      <c r="E52" s="5" t="n">
        <v>3236.5</v>
      </c>
      <c r="F52" s="5" t="n">
        <v>3237.5</v>
      </c>
      <c r="G52" s="5" t="n">
        <v>550</v>
      </c>
      <c r="H52" s="5" t="n">
        <v>16</v>
      </c>
      <c r="I52" s="5" t="inlineStr">
        <is>
          <t>isolated_footing</t>
        </is>
      </c>
      <c r="J52" s="5" t="inlineStr">
        <is>
          <t>yes</t>
        </is>
      </c>
      <c r="K52" s="5" t="n">
        <v>550</v>
      </c>
      <c r="L52" s="5" t="n">
        <v>0.19</v>
      </c>
      <c r="M52" s="5" t="n">
        <v>0</v>
      </c>
      <c r="N52" s="5" t="inlineStr">
        <is>
          <t>yes</t>
        </is>
      </c>
    </row>
    <row r="53">
      <c r="A53" s="5" t="n">
        <v>52</v>
      </c>
      <c r="B53" s="5" t="inlineStr">
        <is>
          <t>S10-126126</t>
        </is>
      </c>
      <c r="C53" s="5" t="inlineStr">
        <is>
          <t>footing:S</t>
        </is>
      </c>
      <c r="D53" s="5" t="inlineStr">
        <is>
          <t>isolated_footing</t>
        </is>
      </c>
      <c r="E53" s="5" t="n">
        <v>2915.6</v>
      </c>
      <c r="F53" s="5" t="n">
        <v>3218.8</v>
      </c>
      <c r="G53" s="5" t="n">
        <v>620</v>
      </c>
      <c r="H53" s="5" t="n">
        <v>16</v>
      </c>
      <c r="I53" s="5" t="inlineStr">
        <is>
          <t>isolated_footing</t>
        </is>
      </c>
      <c r="J53" s="5" t="inlineStr">
        <is>
          <t>yes</t>
        </is>
      </c>
      <c r="K53" s="5" t="n">
        <v>620</v>
      </c>
      <c r="L53" s="5" t="n">
        <v>0.22</v>
      </c>
      <c r="M53" s="5" t="n">
        <v>0</v>
      </c>
      <c r="N53" s="5" t="inlineStr">
        <is>
          <t>yes</t>
        </is>
      </c>
    </row>
    <row r="54">
      <c r="A54" s="5" t="n">
        <v>53</v>
      </c>
      <c r="B54" s="5" t="inlineStr">
        <is>
          <t>S7-125125</t>
        </is>
      </c>
      <c r="C54" s="5" t="inlineStr">
        <is>
          <t>footing:S</t>
        </is>
      </c>
      <c r="D54" s="5" t="inlineStr">
        <is>
          <t>isolated_footing</t>
        </is>
      </c>
      <c r="E54" s="5" t="n">
        <v>3521.9</v>
      </c>
      <c r="F54" s="5" t="n">
        <v>3422.9</v>
      </c>
      <c r="G54" s="5" t="n">
        <v>554</v>
      </c>
      <c r="H54" s="5" t="n">
        <v>16</v>
      </c>
      <c r="I54" s="5" t="inlineStr">
        <is>
          <t>isolated_footing</t>
        </is>
      </c>
      <c r="J54" s="5" t="inlineStr">
        <is>
          <t>yes</t>
        </is>
      </c>
      <c r="K54" s="5" t="n">
        <v>554</v>
      </c>
      <c r="L54" s="5" t="n">
        <v>0.23</v>
      </c>
      <c r="M54" s="5" t="n">
        <v>0</v>
      </c>
      <c r="N54" s="5" t="inlineStr">
        <is>
          <t>yes</t>
        </is>
      </c>
    </row>
    <row r="55">
      <c r="A55" s="5" t="n">
        <v>54</v>
      </c>
      <c r="B55" s="5" t="inlineStr">
        <is>
          <t>S7-126126</t>
        </is>
      </c>
      <c r="C55" s="5" t="inlineStr">
        <is>
          <t>footing:S</t>
        </is>
      </c>
      <c r="D55" s="5" t="inlineStr">
        <is>
          <t>isolated_footing</t>
        </is>
      </c>
      <c r="E55" s="5" t="n">
        <v>2528.1</v>
      </c>
      <c r="F55" s="5" t="n">
        <v>3289.6</v>
      </c>
      <c r="G55" s="5" t="n">
        <v>623</v>
      </c>
      <c r="H55" s="5" t="n">
        <v>16</v>
      </c>
      <c r="I55" s="5" t="inlineStr">
        <is>
          <t>isolated_footing</t>
        </is>
      </c>
      <c r="J55" s="5" t="inlineStr">
        <is>
          <t>yes</t>
        </is>
      </c>
      <c r="K55" s="5" t="n">
        <v>623</v>
      </c>
      <c r="L55" s="5" t="n">
        <v>0.18</v>
      </c>
      <c r="M55" s="5" t="n">
        <v>0</v>
      </c>
      <c r="N55" s="5" t="inlineStr">
        <is>
          <t>yes</t>
        </is>
      </c>
    </row>
    <row r="56">
      <c r="A56" s="5" t="n">
        <v>55</v>
      </c>
      <c r="B56" s="5" t="inlineStr">
        <is>
          <t>S2-125125</t>
        </is>
      </c>
      <c r="C56" s="5" t="inlineStr">
        <is>
          <t>footing:S</t>
        </is>
      </c>
      <c r="D56" s="5" t="inlineStr">
        <is>
          <t>isolated_footing</t>
        </is>
      </c>
      <c r="E56" s="5" t="n">
        <v>3280.2</v>
      </c>
      <c r="F56" s="5" t="n">
        <v>2991.7</v>
      </c>
      <c r="G56" s="5" t="n">
        <v>553</v>
      </c>
      <c r="H56" s="5" t="n">
        <v>17</v>
      </c>
      <c r="I56" s="5" t="inlineStr">
        <is>
          <t>isolated_footing</t>
        </is>
      </c>
      <c r="J56" s="5" t="inlineStr">
        <is>
          <t>yes</t>
        </is>
      </c>
      <c r="K56" s="5" t="n">
        <v>553</v>
      </c>
      <c r="L56" s="5" t="n">
        <v>0.19</v>
      </c>
      <c r="M56" s="5" t="n">
        <v>0</v>
      </c>
      <c r="N56" s="5" t="inlineStr">
        <is>
          <t>yes</t>
        </is>
      </c>
    </row>
    <row r="57">
      <c r="A57" s="5" t="n">
        <v>56</v>
      </c>
      <c r="B57" s="5" t="inlineStr">
        <is>
          <t>S2-126126</t>
        </is>
      </c>
      <c r="C57" s="5" t="inlineStr">
        <is>
          <t>footing:S</t>
        </is>
      </c>
      <c r="D57" s="5" t="inlineStr">
        <is>
          <t>isolated_footing</t>
        </is>
      </c>
      <c r="E57" s="5" t="n">
        <v>2851</v>
      </c>
      <c r="F57" s="5" t="n">
        <v>2935.4</v>
      </c>
      <c r="G57" s="5" t="n">
        <v>622</v>
      </c>
      <c r="H57" s="5" t="n">
        <v>17</v>
      </c>
      <c r="I57" s="5" t="inlineStr">
        <is>
          <t>isolated_footing</t>
        </is>
      </c>
      <c r="J57" s="5" t="inlineStr">
        <is>
          <t>yes</t>
        </is>
      </c>
      <c r="K57" s="5" t="n">
        <v>622</v>
      </c>
      <c r="L57" s="5" t="n">
        <v>0.2</v>
      </c>
      <c r="M57" s="5" t="n">
        <v>0</v>
      </c>
      <c r="N57" s="5" t="inlineStr">
        <is>
          <t>yes</t>
        </is>
      </c>
    </row>
    <row r="58">
      <c r="A58" s="5" t="n">
        <v>57</v>
      </c>
      <c r="B58" s="5" t="inlineStr">
        <is>
          <t>S2-</t>
        </is>
      </c>
      <c r="C58" s="5" t="inlineStr">
        <is>
          <t>footing:S</t>
        </is>
      </c>
      <c r="D58" s="5" t="inlineStr">
        <is>
          <t>isolated_footing</t>
        </is>
      </c>
      <c r="E58" s="5" t="n">
        <v>3045.8</v>
      </c>
      <c r="F58" s="5" t="n">
        <v>3016.7</v>
      </c>
      <c r="G58" s="5" t="n">
        <v>552</v>
      </c>
      <c r="H58" s="5" t="n">
        <v>17</v>
      </c>
      <c r="I58" s="5" t="inlineStr">
        <is>
          <t>isolated_footing</t>
        </is>
      </c>
      <c r="J58" s="5" t="inlineStr">
        <is>
          <t>yes</t>
        </is>
      </c>
      <c r="K58" s="5" t="n">
        <v>552</v>
      </c>
      <c r="L58" s="5" t="n">
        <v>0.21</v>
      </c>
      <c r="M58" s="5" t="n">
        <v>0</v>
      </c>
      <c r="N58" s="5" t="inlineStr">
        <is>
          <t>yes</t>
        </is>
      </c>
    </row>
    <row r="59">
      <c r="A59" s="5" t="n">
        <v>58</v>
      </c>
      <c r="B59" s="5" t="inlineStr">
        <is>
          <t>SC3-</t>
        </is>
      </c>
      <c r="C59" s="5" t="inlineStr">
        <is>
          <t>footing:SC</t>
        </is>
      </c>
      <c r="D59" s="5" t="inlineStr">
        <is>
          <t>combined_footing</t>
        </is>
      </c>
      <c r="E59" s="5" t="n">
        <v>3515.6</v>
      </c>
      <c r="F59" s="5" t="n">
        <v>3170.8</v>
      </c>
      <c r="G59" s="5" t="n">
        <v>478</v>
      </c>
      <c r="H59" s="5" t="n">
        <v>15</v>
      </c>
      <c r="I59" s="5" t="inlineStr">
        <is>
          <t>combined_footing</t>
        </is>
      </c>
      <c r="J59" s="5" t="inlineStr">
        <is>
          <t>yes</t>
        </is>
      </c>
      <c r="K59" s="5" t="n">
        <v>478</v>
      </c>
      <c r="L59" s="5" t="n">
        <v>0.19</v>
      </c>
      <c r="M59" s="5" t="n">
        <v>0</v>
      </c>
      <c r="N59" s="5" t="inlineStr">
        <is>
          <t>yes</t>
        </is>
      </c>
    </row>
    <row r="60">
      <c r="A60" s="5" t="n">
        <v>59</v>
      </c>
      <c r="B60" s="5" t="inlineStr">
        <is>
          <t>S6-124124</t>
        </is>
      </c>
      <c r="C60" s="5" t="inlineStr">
        <is>
          <t>footing:S</t>
        </is>
      </c>
      <c r="D60" s="5" t="inlineStr">
        <is>
          <t>isolated_footing</t>
        </is>
      </c>
      <c r="E60" s="5" t="n">
        <v>3694.8</v>
      </c>
      <c r="F60" s="5" t="n">
        <v>3154.2</v>
      </c>
      <c r="G60" s="5" t="n">
        <v>474</v>
      </c>
      <c r="H60" s="5" t="n">
        <v>16</v>
      </c>
      <c r="I60" s="5" t="inlineStr">
        <is>
          <t>isolated_footing</t>
        </is>
      </c>
      <c r="J60" s="5" t="inlineStr">
        <is>
          <t>yes</t>
        </is>
      </c>
      <c r="K60" s="5" t="n">
        <v>474</v>
      </c>
      <c r="L60" s="5" t="n">
        <v>0.19</v>
      </c>
      <c r="M60" s="5" t="n">
        <v>0</v>
      </c>
      <c r="N60" s="5" t="inlineStr">
        <is>
          <t>yes</t>
        </is>
      </c>
    </row>
    <row r="61">
      <c r="A61" s="5" t="n">
        <v>60</v>
      </c>
      <c r="B61" s="5" t="inlineStr">
        <is>
          <t>SC5-</t>
        </is>
      </c>
      <c r="C61" s="5" t="inlineStr">
        <is>
          <t>footing:SC</t>
        </is>
      </c>
      <c r="D61" s="5" t="inlineStr">
        <is>
          <t>combined_footing</t>
        </is>
      </c>
      <c r="E61" s="5" t="n">
        <v>3597.9</v>
      </c>
      <c r="F61" s="5" t="n">
        <v>3618.8</v>
      </c>
      <c r="G61" s="5" t="n">
        <v>557</v>
      </c>
      <c r="H61" s="5" t="n">
        <v>15</v>
      </c>
      <c r="I61" s="5" t="inlineStr">
        <is>
          <t>combined_footing</t>
        </is>
      </c>
      <c r="J61" s="5" t="inlineStr">
        <is>
          <t>yes</t>
        </is>
      </c>
      <c r="K61" s="5" t="n">
        <v>557</v>
      </c>
      <c r="L61" s="5" t="n">
        <v>0.13</v>
      </c>
      <c r="M61" s="5" t="n">
        <v>0</v>
      </c>
      <c r="N61" s="5" t="inlineStr">
        <is>
          <t>yes</t>
        </is>
      </c>
    </row>
    <row r="62">
      <c r="A62" s="5" t="n">
        <v>61</v>
      </c>
      <c r="B62" s="5" t="inlineStr">
        <is>
          <t>S11-124124</t>
        </is>
      </c>
      <c r="C62" s="5" t="inlineStr">
        <is>
          <t>footing:S</t>
        </is>
      </c>
      <c r="D62" s="5" t="inlineStr">
        <is>
          <t>isolated_footing</t>
        </is>
      </c>
      <c r="E62" s="5" t="n">
        <v>3725</v>
      </c>
      <c r="F62" s="5" t="n">
        <v>3381.3</v>
      </c>
      <c r="G62" s="5" t="n">
        <v>469</v>
      </c>
      <c r="H62" s="5" t="n">
        <v>16</v>
      </c>
      <c r="I62" s="5" t="inlineStr">
        <is>
          <t>isolated_footing</t>
        </is>
      </c>
      <c r="J62" s="5" t="inlineStr">
        <is>
          <t>yes</t>
        </is>
      </c>
      <c r="K62" s="5" t="n">
        <v>469</v>
      </c>
      <c r="L62" s="5" t="n">
        <v>0.23</v>
      </c>
      <c r="M62" s="5" t="n">
        <v>0</v>
      </c>
      <c r="N62" s="5" t="inlineStr">
        <is>
          <t>yes</t>
        </is>
      </c>
    </row>
    <row r="63">
      <c r="A63" s="5" t="n">
        <v>62</v>
      </c>
      <c r="B63" s="5" t="inlineStr">
        <is>
          <t>SC3-</t>
        </is>
      </c>
      <c r="C63" s="5" t="inlineStr">
        <is>
          <t>footing:SC</t>
        </is>
      </c>
      <c r="D63" s="5" t="inlineStr">
        <is>
          <t>combined_footing</t>
        </is>
      </c>
      <c r="E63" s="5" t="n">
        <v>4183.3</v>
      </c>
      <c r="F63" s="5" t="n">
        <v>3281.3</v>
      </c>
      <c r="G63" s="5" t="n">
        <v>476</v>
      </c>
      <c r="H63" s="5" t="n">
        <v>15</v>
      </c>
      <c r="I63" s="5" t="inlineStr">
        <is>
          <t>combined_footing</t>
        </is>
      </c>
      <c r="J63" s="5" t="inlineStr">
        <is>
          <t>yes</t>
        </is>
      </c>
      <c r="K63" s="5" t="n">
        <v>476</v>
      </c>
      <c r="L63" s="5" t="n">
        <v>0.21</v>
      </c>
      <c r="M63" s="5" t="n">
        <v>0</v>
      </c>
      <c r="N63" s="5" t="inlineStr">
        <is>
          <t>yes</t>
        </is>
      </c>
    </row>
    <row r="64">
      <c r="A64" s="5" t="n">
        <v>63</v>
      </c>
      <c r="B64" s="5" t="inlineStr">
        <is>
          <t>SC1-</t>
        </is>
      </c>
      <c r="C64" s="5" t="inlineStr">
        <is>
          <t>footing:SC</t>
        </is>
      </c>
      <c r="D64" s="5" t="inlineStr">
        <is>
          <t>combined_footing</t>
        </is>
      </c>
      <c r="E64" s="5" t="n">
        <v>3569.8</v>
      </c>
      <c r="F64" s="5" t="n">
        <v>3410.4</v>
      </c>
      <c r="G64" s="5" t="n">
        <v>556</v>
      </c>
      <c r="H64" s="5" t="n">
        <v>15</v>
      </c>
      <c r="I64" s="5" t="inlineStr">
        <is>
          <t>combined_footing</t>
        </is>
      </c>
      <c r="J64" s="5" t="inlineStr">
        <is>
          <t>yes</t>
        </is>
      </c>
      <c r="K64" s="5" t="n">
        <v>556</v>
      </c>
      <c r="L64" s="5" t="n">
        <v>0.29</v>
      </c>
      <c r="M64" s="5" t="n">
        <v>0</v>
      </c>
      <c r="N64" s="5" t="inlineStr">
        <is>
          <t>yes</t>
        </is>
      </c>
    </row>
    <row r="65">
      <c r="A65" s="5" t="n">
        <v>64</v>
      </c>
      <c r="B65" s="5" t="inlineStr">
        <is>
          <t>S11-125125</t>
        </is>
      </c>
      <c r="C65" s="5" t="inlineStr">
        <is>
          <t>footing:S</t>
        </is>
      </c>
      <c r="D65" s="5" t="inlineStr">
        <is>
          <t>isolated_footing</t>
        </is>
      </c>
      <c r="E65" s="5" t="n">
        <v>3345.8</v>
      </c>
      <c r="F65" s="5" t="n">
        <v>3214.6</v>
      </c>
      <c r="G65" s="5" t="n">
        <v>551</v>
      </c>
      <c r="H65" s="5" t="n">
        <v>16</v>
      </c>
      <c r="I65" s="5" t="inlineStr">
        <is>
          <t>isolated_footing</t>
        </is>
      </c>
      <c r="J65" s="5" t="inlineStr">
        <is>
          <t>yes</t>
        </is>
      </c>
      <c r="K65" s="5" t="n">
        <v>551</v>
      </c>
      <c r="L65" s="5" t="n">
        <v>0.26</v>
      </c>
      <c r="M65" s="5" t="n">
        <v>0</v>
      </c>
      <c r="N65" s="5" t="inlineStr">
        <is>
          <t>yes</t>
        </is>
      </c>
    </row>
    <row r="66">
      <c r="A66" s="5" t="n">
        <v>65</v>
      </c>
      <c r="B66" s="5" t="inlineStr">
        <is>
          <t>S11-126126</t>
        </is>
      </c>
      <c r="C66" s="5" t="inlineStr">
        <is>
          <t>footing:S</t>
        </is>
      </c>
      <c r="D66" s="5" t="inlineStr">
        <is>
          <t>isolated_footing</t>
        </is>
      </c>
      <c r="E66" s="5" t="n">
        <v>2688.5</v>
      </c>
      <c r="F66" s="5" t="n">
        <v>3103.1</v>
      </c>
      <c r="G66" s="5" t="n">
        <v>621</v>
      </c>
      <c r="H66" s="5" t="n">
        <v>16</v>
      </c>
      <c r="I66" s="5" t="inlineStr">
        <is>
          <t>isolated_footing</t>
        </is>
      </c>
      <c r="J66" s="5" t="inlineStr">
        <is>
          <t>yes</t>
        </is>
      </c>
      <c r="K66" s="5" t="n">
        <v>621</v>
      </c>
      <c r="L66" s="5" t="n">
        <v>0.25</v>
      </c>
      <c r="M66" s="5" t="n">
        <v>0</v>
      </c>
      <c r="N66" s="5" t="inlineStr">
        <is>
          <t>no</t>
        </is>
      </c>
    </row>
    <row r="67">
      <c r="A67" s="5" t="n">
        <v>66</v>
      </c>
      <c r="B67" s="5" t="inlineStr">
        <is>
          <t>S7-</t>
        </is>
      </c>
      <c r="C67" s="5" t="inlineStr">
        <is>
          <t>footing:S</t>
        </is>
      </c>
      <c r="D67" s="5" t="inlineStr">
        <is>
          <t>isolated_footing</t>
        </is>
      </c>
      <c r="E67" s="5" t="n">
        <v>3058.3</v>
      </c>
      <c r="F67" s="5" t="n">
        <v>3459.4</v>
      </c>
      <c r="G67" s="5" t="n">
        <v>555</v>
      </c>
      <c r="H67" s="5" t="n">
        <v>16</v>
      </c>
      <c r="I67" s="5" t="inlineStr">
        <is>
          <t>isolated_footing</t>
        </is>
      </c>
      <c r="J67" s="5" t="inlineStr">
        <is>
          <t>yes</t>
        </is>
      </c>
      <c r="K67" s="5" t="n">
        <v>555</v>
      </c>
      <c r="L67" s="5" t="n">
        <v>0.19</v>
      </c>
      <c r="M67" s="5" t="n">
        <v>0</v>
      </c>
      <c r="N67" s="5" t="inlineStr">
        <is>
          <t>yes</t>
        </is>
      </c>
    </row>
    <row r="68">
      <c r="A68" s="5" t="n">
        <v>67</v>
      </c>
      <c r="B68" s="5" t="inlineStr">
        <is>
          <t>SC1-</t>
        </is>
      </c>
      <c r="C68" s="5" t="inlineStr">
        <is>
          <t>footing:SC</t>
        </is>
      </c>
      <c r="D68" s="5" t="inlineStr">
        <is>
          <t>combined_footing</t>
        </is>
      </c>
      <c r="E68" s="5" t="n">
        <v>4933.3</v>
      </c>
      <c r="F68" s="5" t="n">
        <v>2900</v>
      </c>
      <c r="G68" s="5" t="n">
        <v>400</v>
      </c>
      <c r="H68" s="5" t="n">
        <v>15</v>
      </c>
      <c r="I68" s="5" t="inlineStr">
        <is>
          <t>combined_footing</t>
        </is>
      </c>
      <c r="J68" s="5" t="inlineStr">
        <is>
          <t>yes</t>
        </is>
      </c>
      <c r="K68" s="5" t="n">
        <v>400</v>
      </c>
      <c r="L68" s="5" t="n">
        <v>0.21</v>
      </c>
      <c r="M68" s="5" t="n">
        <v>0</v>
      </c>
      <c r="N68" s="5" t="inlineStr">
        <is>
          <t>yes</t>
        </is>
      </c>
    </row>
    <row r="69">
      <c r="A69" s="5" t="n">
        <v>68</v>
      </c>
      <c r="B69" s="5" t="inlineStr">
        <is>
          <t>SC6</t>
        </is>
      </c>
      <c r="C69" s="5" t="inlineStr">
        <is>
          <t>footing:SC</t>
        </is>
      </c>
      <c r="D69" s="5" t="inlineStr">
        <is>
          <t>combined_footing</t>
        </is>
      </c>
      <c r="E69" s="5" t="n">
        <v>3878.1</v>
      </c>
      <c r="F69" s="5" t="n">
        <v>3112.5</v>
      </c>
      <c r="G69" s="5" t="n">
        <v>479</v>
      </c>
      <c r="H69" s="5" t="n">
        <v>15</v>
      </c>
      <c r="I69" s="5" t="inlineStr">
        <is>
          <t>combined_footing</t>
        </is>
      </c>
      <c r="J69" s="5" t="inlineStr">
        <is>
          <t>yes</t>
        </is>
      </c>
      <c r="K69" s="5" t="n">
        <v>479</v>
      </c>
      <c r="L69" s="5" t="n">
        <v>0.24</v>
      </c>
      <c r="M69" s="5" t="n">
        <v>0</v>
      </c>
      <c r="N69" s="5" t="inlineStr">
        <is>
          <t>yes</t>
        </is>
      </c>
    </row>
    <row r="70">
      <c r="A70" s="5" t="n">
        <v>69</v>
      </c>
      <c r="B70" s="5" t="inlineStr">
        <is>
          <t>S3-124</t>
        </is>
      </c>
      <c r="C70" s="5" t="inlineStr">
        <is>
          <t>footing:S</t>
        </is>
      </c>
      <c r="D70" s="5" t="inlineStr">
        <is>
          <t>isolated_footing</t>
        </is>
      </c>
      <c r="E70" s="5" t="n">
        <v>4120.8</v>
      </c>
      <c r="F70" s="5" t="n">
        <v>3151</v>
      </c>
      <c r="G70" s="5" t="n">
        <v>473</v>
      </c>
      <c r="H70" s="5" t="n">
        <v>17</v>
      </c>
      <c r="I70" s="5" t="inlineStr">
        <is>
          <t>isolated_footing</t>
        </is>
      </c>
      <c r="J70" s="5" t="inlineStr">
        <is>
          <t>yes</t>
        </is>
      </c>
      <c r="K70" s="5" t="n">
        <v>473</v>
      </c>
      <c r="L70" s="5" t="n">
        <v>0.34</v>
      </c>
      <c r="M70" s="5" t="n">
        <v>0</v>
      </c>
      <c r="N70" s="5" t="inlineStr">
        <is>
          <t>yes</t>
        </is>
      </c>
    </row>
    <row r="71">
      <c r="A71" s="5" t="n">
        <v>70</v>
      </c>
      <c r="B71" s="5" t="inlineStr">
        <is>
          <t>S11-127127</t>
        </is>
      </c>
      <c r="C71" s="5" t="inlineStr">
        <is>
          <t>footing:S</t>
        </is>
      </c>
      <c r="D71" s="5" t="inlineStr">
        <is>
          <t>isolated_footing</t>
        </is>
      </c>
      <c r="E71" s="5" t="n">
        <v>1866.7</v>
      </c>
      <c r="F71" s="5" t="n">
        <v>2949</v>
      </c>
      <c r="G71" s="5" t="n">
        <v>669</v>
      </c>
      <c r="H71" s="5" t="n">
        <v>16</v>
      </c>
      <c r="I71" s="5" t="inlineStr">
        <is>
          <t>isolated_footing</t>
        </is>
      </c>
      <c r="J71" s="5" t="inlineStr">
        <is>
          <t>yes</t>
        </is>
      </c>
      <c r="K71" s="5" t="n">
        <v>669</v>
      </c>
      <c r="L71" s="5" t="n">
        <v>0.18</v>
      </c>
      <c r="M71" s="5" t="n">
        <v>0</v>
      </c>
      <c r="N71" s="5" t="inlineStr">
        <is>
          <t>yes</t>
        </is>
      </c>
    </row>
    <row r="72">
      <c r="A72" s="5" t="n">
        <v>71</v>
      </c>
      <c r="B72" s="5" t="inlineStr">
        <is>
          <t>SC2-</t>
        </is>
      </c>
      <c r="C72" s="5" t="inlineStr">
        <is>
          <t>footing:SC</t>
        </is>
      </c>
      <c r="D72" s="5" t="inlineStr">
        <is>
          <t>combined_footing</t>
        </is>
      </c>
      <c r="E72" s="5" t="n">
        <v>2586.5</v>
      </c>
      <c r="F72" s="5" t="n">
        <v>2914.6</v>
      </c>
      <c r="G72" s="5" t="n">
        <v>683</v>
      </c>
      <c r="H72" s="5" t="n">
        <v>4</v>
      </c>
      <c r="I72" s="5" t="inlineStr">
        <is>
          <t>grade_beam</t>
        </is>
      </c>
      <c r="J72" s="5" t="inlineStr">
        <is>
          <t>no</t>
        </is>
      </c>
      <c r="K72" s="5" t="n">
        <v>625</v>
      </c>
      <c r="L72" s="5" t="n">
        <v>0.2</v>
      </c>
      <c r="M72" s="5" t="n">
        <v>0</v>
      </c>
      <c r="N72" s="5" t="inlineStr">
        <is>
          <t>yes</t>
        </is>
      </c>
    </row>
    <row r="73">
      <c r="A73" s="5" t="n">
        <v>72</v>
      </c>
      <c r="B73" s="5" t="inlineStr">
        <is>
          <t>S2-127127</t>
        </is>
      </c>
      <c r="C73" s="5" t="inlineStr">
        <is>
          <t>footing:S</t>
        </is>
      </c>
      <c r="D73" s="5" t="inlineStr">
        <is>
          <t>isolated_footing</t>
        </is>
      </c>
      <c r="E73" s="5" t="n">
        <v>2452.1</v>
      </c>
      <c r="F73" s="5" t="n">
        <v>2726</v>
      </c>
      <c r="G73" s="5" t="n">
        <v>672</v>
      </c>
      <c r="H73" s="5" t="n">
        <v>17</v>
      </c>
      <c r="I73" s="5" t="inlineStr">
        <is>
          <t>isolated_footing</t>
        </is>
      </c>
      <c r="J73" s="5" t="inlineStr">
        <is>
          <t>yes</t>
        </is>
      </c>
      <c r="K73" s="5" t="n">
        <v>672</v>
      </c>
      <c r="L73" s="5" t="n">
        <v>0.2</v>
      </c>
      <c r="M73" s="5" t="n">
        <v>0</v>
      </c>
      <c r="N73" s="5" t="inlineStr">
        <is>
          <t>no</t>
        </is>
      </c>
    </row>
    <row r="74">
      <c r="A74" s="5" t="n">
        <v>73</v>
      </c>
      <c r="B74" s="5" t="inlineStr">
        <is>
          <t>S2-127127</t>
        </is>
      </c>
      <c r="C74" s="5" t="inlineStr">
        <is>
          <t>footing:S</t>
        </is>
      </c>
      <c r="D74" s="5" t="inlineStr">
        <is>
          <t>isolated_footing</t>
        </is>
      </c>
      <c r="E74" s="5" t="n">
        <v>2193.8</v>
      </c>
      <c r="F74" s="5" t="n">
        <v>2596.9</v>
      </c>
      <c r="G74" s="5" t="n">
        <v>674</v>
      </c>
      <c r="H74" s="5" t="n">
        <v>17</v>
      </c>
      <c r="I74" s="5" t="inlineStr">
        <is>
          <t>isolated_footing</t>
        </is>
      </c>
      <c r="J74" s="5" t="inlineStr">
        <is>
          <t>yes</t>
        </is>
      </c>
      <c r="K74" s="5" t="n">
        <v>674</v>
      </c>
      <c r="L74" s="5" t="n">
        <v>0.18</v>
      </c>
      <c r="M74" s="5" t="n">
        <v>0</v>
      </c>
      <c r="N74" s="5" t="inlineStr">
        <is>
          <t>yes</t>
        </is>
      </c>
    </row>
    <row r="75">
      <c r="A75" s="5" t="n">
        <v>74</v>
      </c>
      <c r="B75" s="5" t="inlineStr">
        <is>
          <t>SC2-</t>
        </is>
      </c>
      <c r="C75" s="5" t="inlineStr">
        <is>
          <t>footing:SC</t>
        </is>
      </c>
      <c r="D75" s="5" t="inlineStr">
        <is>
          <t>combined_footing</t>
        </is>
      </c>
      <c r="E75" s="5" t="n">
        <v>1920.8</v>
      </c>
      <c r="F75" s="5" t="n">
        <v>2579.2</v>
      </c>
      <c r="G75" s="5" t="n">
        <v>771</v>
      </c>
      <c r="H75" s="5" t="n">
        <v>4</v>
      </c>
      <c r="I75" s="5" t="inlineStr">
        <is>
          <t>grade_beam</t>
        </is>
      </c>
      <c r="J75" s="5" t="inlineStr">
        <is>
          <t>no</t>
        </is>
      </c>
      <c r="K75" s="5" t="n">
        <v>675</v>
      </c>
      <c r="L75" s="5" t="n">
        <v>0.18</v>
      </c>
      <c r="M75" s="5" t="n">
        <v>0</v>
      </c>
      <c r="N75" s="5" t="inlineStr">
        <is>
          <t>no</t>
        </is>
      </c>
    </row>
    <row r="76">
      <c r="A76" s="5" t="n">
        <v>75</v>
      </c>
      <c r="B76" s="5" t="inlineStr">
        <is>
          <t>SC3</t>
        </is>
      </c>
      <c r="C76" s="5" t="inlineStr">
        <is>
          <t>footing:SC</t>
        </is>
      </c>
      <c r="D76" s="5" t="inlineStr">
        <is>
          <t>combined_footing</t>
        </is>
      </c>
      <c r="E76" s="5" t="n">
        <v>2499</v>
      </c>
      <c r="F76" s="5" t="n">
        <v>3007.3</v>
      </c>
      <c r="G76" s="5" t="n">
        <v>676</v>
      </c>
      <c r="H76" s="5" t="n">
        <v>15</v>
      </c>
      <c r="I76" s="5" t="inlineStr">
        <is>
          <t>combined_footing</t>
        </is>
      </c>
      <c r="J76" s="5" t="inlineStr">
        <is>
          <t>yes</t>
        </is>
      </c>
      <c r="K76" s="5" t="n">
        <v>676</v>
      </c>
      <c r="L76" s="5" t="n">
        <v>0.14</v>
      </c>
      <c r="M76" s="5" t="n">
        <v>0</v>
      </c>
      <c r="N76" s="5" t="inlineStr">
        <is>
          <t>yes</t>
        </is>
      </c>
    </row>
    <row r="77">
      <c r="A77" s="5" t="n">
        <v>76</v>
      </c>
      <c r="B77" s="5" t="inlineStr">
        <is>
          <t>SC1-</t>
        </is>
      </c>
      <c r="C77" s="5" t="inlineStr">
        <is>
          <t>footing:SC</t>
        </is>
      </c>
      <c r="D77" s="5" t="inlineStr">
        <is>
          <t>combined_footing</t>
        </is>
      </c>
      <c r="E77" s="5" t="n">
        <v>2410.4</v>
      </c>
      <c r="F77" s="5" t="n">
        <v>3218.8</v>
      </c>
      <c r="G77" s="5" t="n">
        <v>624</v>
      </c>
      <c r="H77" s="5" t="n">
        <v>15</v>
      </c>
      <c r="I77" s="5" t="inlineStr">
        <is>
          <t>combined_footing</t>
        </is>
      </c>
      <c r="J77" s="5" t="inlineStr">
        <is>
          <t>yes</t>
        </is>
      </c>
      <c r="K77" s="5" t="n">
        <v>624</v>
      </c>
      <c r="L77" s="5" t="n">
        <v>0.19</v>
      </c>
      <c r="M77" s="5" t="n">
        <v>0</v>
      </c>
      <c r="N77" s="5" t="inlineStr">
        <is>
          <t>yes</t>
        </is>
      </c>
    </row>
    <row r="78">
      <c r="A78" s="5" t="n">
        <v>77</v>
      </c>
      <c r="B78" s="5" t="inlineStr">
        <is>
          <t>S16-127</t>
        </is>
      </c>
      <c r="C78" s="5" t="inlineStr">
        <is>
          <t>footing:S</t>
        </is>
      </c>
      <c r="D78" s="5" t="inlineStr">
        <is>
          <t>isolated_footing</t>
        </is>
      </c>
      <c r="E78" s="5" t="n">
        <v>2033.3</v>
      </c>
      <c r="F78" s="5" t="n">
        <v>2767.7</v>
      </c>
      <c r="G78" s="5" t="n">
        <v>671</v>
      </c>
      <c r="H78" s="5" t="n">
        <v>16</v>
      </c>
      <c r="I78" s="5" t="inlineStr">
        <is>
          <t>isolated_footing</t>
        </is>
      </c>
      <c r="J78" s="5" t="inlineStr">
        <is>
          <t>yes</t>
        </is>
      </c>
      <c r="K78" s="5" t="n">
        <v>671</v>
      </c>
      <c r="L78" s="5" t="n">
        <v>0.21</v>
      </c>
      <c r="M78" s="5" t="n">
        <v>0</v>
      </c>
      <c r="N78" s="5" t="inlineStr">
        <is>
          <t>yes</t>
        </is>
      </c>
    </row>
    <row r="79">
      <c r="A79" s="5" t="n">
        <v>78</v>
      </c>
      <c r="B79" s="5" t="inlineStr">
        <is>
          <t>S2-128128</t>
        </is>
      </c>
      <c r="C79" s="5" t="inlineStr">
        <is>
          <t>footing:S</t>
        </is>
      </c>
      <c r="D79" s="5" t="inlineStr">
        <is>
          <t>isolated_footing</t>
        </is>
      </c>
      <c r="E79" s="5" t="n">
        <v>1769.8</v>
      </c>
      <c r="F79" s="5" t="n">
        <v>2376</v>
      </c>
      <c r="G79" s="5" t="n">
        <v>774</v>
      </c>
      <c r="H79" s="5" t="n">
        <v>4</v>
      </c>
      <c r="I79" s="5" t="inlineStr">
        <is>
          <t>grade_beam</t>
        </is>
      </c>
      <c r="J79" s="5" t="inlineStr">
        <is>
          <t>no</t>
        </is>
      </c>
      <c r="K79" s="5" t="n">
        <v>763</v>
      </c>
      <c r="L79" s="5" t="n">
        <v>0.18</v>
      </c>
      <c r="M79" s="5" t="n">
        <v>0</v>
      </c>
      <c r="N79" s="5" t="inlineStr">
        <is>
          <t>no</t>
        </is>
      </c>
    </row>
    <row r="80">
      <c r="A80" s="5" t="n">
        <v>79</v>
      </c>
      <c r="B80" s="5" t="inlineStr">
        <is>
          <t>SC1-</t>
        </is>
      </c>
      <c r="C80" s="5" t="inlineStr">
        <is>
          <t>footing:SC</t>
        </is>
      </c>
      <c r="D80" s="5" t="inlineStr">
        <is>
          <t>combined_footing</t>
        </is>
      </c>
      <c r="E80" s="5" t="n">
        <v>1749</v>
      </c>
      <c r="F80" s="5" t="n">
        <v>2877.1</v>
      </c>
      <c r="G80" s="5" t="n">
        <v>765</v>
      </c>
      <c r="H80" s="5" t="n">
        <v>15</v>
      </c>
      <c r="I80" s="5" t="inlineStr">
        <is>
          <t>combined_footing</t>
        </is>
      </c>
      <c r="J80" s="5" t="inlineStr">
        <is>
          <t>yes</t>
        </is>
      </c>
      <c r="K80" s="5" t="n">
        <v>765</v>
      </c>
      <c r="L80" s="5" t="n">
        <v>0.22</v>
      </c>
      <c r="M80" s="5" t="n">
        <v>0</v>
      </c>
      <c r="N80" s="5" t="inlineStr">
        <is>
          <t>no</t>
        </is>
      </c>
    </row>
    <row r="81">
      <c r="A81" s="5" t="n">
        <v>80</v>
      </c>
      <c r="B81" s="5" t="inlineStr">
        <is>
          <t>S11-128</t>
        </is>
      </c>
      <c r="C81" s="5" t="inlineStr">
        <is>
          <t>footing:S</t>
        </is>
      </c>
      <c r="D81" s="5" t="inlineStr">
        <is>
          <t>isolated_footing</t>
        </is>
      </c>
      <c r="E81" s="5" t="n">
        <v>1692.7</v>
      </c>
      <c r="F81" s="5" t="n">
        <v>2861.5</v>
      </c>
      <c r="G81" s="5" t="n">
        <v>762</v>
      </c>
      <c r="H81" s="5" t="n">
        <v>16</v>
      </c>
      <c r="I81" s="5" t="inlineStr">
        <is>
          <t>isolated_footing</t>
        </is>
      </c>
      <c r="J81" s="5" t="inlineStr">
        <is>
          <t>yes</t>
        </is>
      </c>
      <c r="K81" s="5" t="n">
        <v>762</v>
      </c>
      <c r="L81" s="5" t="n">
        <v>0.17</v>
      </c>
      <c r="M81" s="5" t="n">
        <v>0</v>
      </c>
      <c r="N81" s="5" t="inlineStr">
        <is>
          <t>no</t>
        </is>
      </c>
    </row>
    <row r="82">
      <c r="A82" s="5" t="n">
        <v>81</v>
      </c>
      <c r="B82" s="5" t="inlineStr">
        <is>
          <t>S5-128</t>
        </is>
      </c>
      <c r="C82" s="5" t="inlineStr">
        <is>
          <t>footing:S</t>
        </is>
      </c>
      <c r="D82" s="5" t="inlineStr">
        <is>
          <t>isolated_footing</t>
        </is>
      </c>
      <c r="E82" s="5" t="n">
        <v>1055.2</v>
      </c>
      <c r="F82" s="5" t="n">
        <v>2816.7</v>
      </c>
      <c r="G82" s="5" t="n">
        <v>764</v>
      </c>
      <c r="H82" s="5" t="n">
        <v>16</v>
      </c>
      <c r="I82" s="5" t="inlineStr">
        <is>
          <t>isolated_footing</t>
        </is>
      </c>
      <c r="J82" s="5" t="inlineStr">
        <is>
          <t>yes</t>
        </is>
      </c>
      <c r="K82" s="5" t="n">
        <v>764</v>
      </c>
      <c r="L82" s="5" t="n">
        <v>0.15</v>
      </c>
      <c r="M82" s="5" t="n">
        <v>0</v>
      </c>
      <c r="N82" s="5" t="inlineStr">
        <is>
          <t>yes</t>
        </is>
      </c>
    </row>
    <row r="83">
      <c r="A83" s="5" t="n">
        <v>82</v>
      </c>
      <c r="B83" s="5" t="inlineStr">
        <is>
          <t>S16-127</t>
        </is>
      </c>
      <c r="C83" s="5" t="inlineStr">
        <is>
          <t>footing:S</t>
        </is>
      </c>
      <c r="D83" s="5" t="inlineStr">
        <is>
          <t>isolated_footing</t>
        </is>
      </c>
      <c r="E83" s="5" t="n">
        <v>2260.4</v>
      </c>
      <c r="F83" s="5" t="n">
        <v>2874</v>
      </c>
      <c r="G83" s="5" t="n">
        <v>670</v>
      </c>
      <c r="H83" s="5" t="n">
        <v>16</v>
      </c>
      <c r="I83" s="5" t="inlineStr">
        <is>
          <t>isolated_footing</t>
        </is>
      </c>
      <c r="J83" s="5" t="inlineStr">
        <is>
          <t>yes</t>
        </is>
      </c>
      <c r="K83" s="5" t="n">
        <v>670</v>
      </c>
      <c r="L83" s="5" t="n">
        <v>0.2</v>
      </c>
      <c r="M83" s="5" t="n">
        <v>0</v>
      </c>
      <c r="N83" s="5" t="inlineStr">
        <is>
          <t>yes</t>
        </is>
      </c>
    </row>
    <row r="84">
      <c r="A84" s="5" t="n">
        <v>83</v>
      </c>
      <c r="B84" s="5" t="inlineStr">
        <is>
          <t>S2-127</t>
        </is>
      </c>
      <c r="C84" s="5" t="inlineStr">
        <is>
          <t>footing:S</t>
        </is>
      </c>
      <c r="D84" s="5" t="inlineStr">
        <is>
          <t>isolated_footing</t>
        </is>
      </c>
      <c r="E84" s="5" t="n">
        <v>2360.4</v>
      </c>
      <c r="F84" s="5" t="n">
        <v>3028.1</v>
      </c>
      <c r="G84" s="5" t="n">
        <v>680</v>
      </c>
      <c r="H84" s="5" t="n">
        <v>4</v>
      </c>
      <c r="I84" s="5" t="inlineStr">
        <is>
          <t>grade_beam</t>
        </is>
      </c>
      <c r="J84" s="5" t="inlineStr">
        <is>
          <t>no</t>
        </is>
      </c>
      <c r="K84" s="5" t="n">
        <v>673</v>
      </c>
      <c r="L84" s="5" t="n">
        <v>0.48</v>
      </c>
      <c r="M84" s="5" t="n">
        <v>0</v>
      </c>
      <c r="N84" s="5" t="inlineStr">
        <is>
          <t>yes</t>
        </is>
      </c>
    </row>
    <row r="85">
      <c r="A85" s="5" t="n">
        <v>84</v>
      </c>
      <c r="B85" s="5" t="inlineStr">
        <is>
          <t>SC2-</t>
        </is>
      </c>
      <c r="C85" s="5" t="inlineStr">
        <is>
          <t>footing:SC</t>
        </is>
      </c>
      <c r="D85" s="5" t="inlineStr">
        <is>
          <t>combined_footing</t>
        </is>
      </c>
      <c r="E85" s="5" t="n">
        <v>1213.5</v>
      </c>
      <c r="F85" s="5" t="n">
        <v>1734.4</v>
      </c>
      <c r="G85" s="5" t="n">
        <v>1048</v>
      </c>
      <c r="H85" s="5" t="n">
        <v>23</v>
      </c>
      <c r="I85" s="5" t="inlineStr">
        <is>
          <t>combined_footing</t>
        </is>
      </c>
      <c r="J85" s="5" t="inlineStr">
        <is>
          <t>yes</t>
        </is>
      </c>
      <c r="K85" s="5" t="n">
        <v>1048</v>
      </c>
      <c r="L85" s="5" t="n">
        <v>0.29</v>
      </c>
      <c r="M85" s="5" t="n">
        <v>0</v>
      </c>
      <c r="N85" s="5" t="inlineStr">
        <is>
          <t>yes</t>
        </is>
      </c>
    </row>
    <row r="86">
      <c r="A86" s="5" t="n">
        <v>85</v>
      </c>
      <c r="B86" s="5" t="inlineStr">
        <is>
          <t>S4-130130</t>
        </is>
      </c>
      <c r="C86" s="5" t="inlineStr">
        <is>
          <t>footing:S</t>
        </is>
      </c>
      <c r="D86" s="5" t="inlineStr">
        <is>
          <t>isolated_footing</t>
        </is>
      </c>
      <c r="E86" s="5" t="n">
        <v>962.5</v>
      </c>
      <c r="F86" s="5" t="n">
        <v>1280.2</v>
      </c>
      <c r="G86" s="5" t="n">
        <v>1045</v>
      </c>
      <c r="H86" s="5" t="n">
        <v>16</v>
      </c>
      <c r="I86" s="5" t="inlineStr">
        <is>
          <t>isolated_footing</t>
        </is>
      </c>
      <c r="J86" s="5" t="inlineStr">
        <is>
          <t>yes</t>
        </is>
      </c>
      <c r="K86" s="5" t="n">
        <v>1045</v>
      </c>
      <c r="L86" s="5" t="n">
        <v>0.17</v>
      </c>
      <c r="M86" s="5" t="n">
        <v>0</v>
      </c>
      <c r="N86" s="5" t="inlineStr">
        <is>
          <t>yes</t>
        </is>
      </c>
    </row>
    <row r="87">
      <c r="A87" s="5" t="n">
        <v>86</v>
      </c>
      <c r="B87" s="5" t="inlineStr">
        <is>
          <t>S2-130130</t>
        </is>
      </c>
      <c r="C87" s="5" t="inlineStr">
        <is>
          <t>footing:S</t>
        </is>
      </c>
      <c r="D87" s="5" t="inlineStr">
        <is>
          <t>isolated_footing</t>
        </is>
      </c>
      <c r="E87" s="5" t="n">
        <v>706.2</v>
      </c>
      <c r="F87" s="5" t="n">
        <v>1261.5</v>
      </c>
      <c r="G87" s="5" t="n">
        <v>1013</v>
      </c>
      <c r="H87" s="5" t="n">
        <v>31</v>
      </c>
      <c r="I87" s="5" t="inlineStr">
        <is>
          <t>column</t>
        </is>
      </c>
      <c r="J87" s="5" t="inlineStr">
        <is>
          <t>no</t>
        </is>
      </c>
      <c r="K87" s="5" t="n">
        <v>1041</v>
      </c>
      <c r="L87" s="5" t="n">
        <v>0.36</v>
      </c>
      <c r="M87" s="5" t="n">
        <v>0</v>
      </c>
      <c r="N87" s="5" t="inlineStr">
        <is>
          <t>yes</t>
        </is>
      </c>
    </row>
    <row r="88">
      <c r="A88" s="5" t="n">
        <v>87</v>
      </c>
      <c r="B88" s="5" t="inlineStr">
        <is>
          <t>S18-130130</t>
        </is>
      </c>
      <c r="C88" s="5" t="inlineStr">
        <is>
          <t>footing:S</t>
        </is>
      </c>
      <c r="D88" s="5" t="inlineStr">
        <is>
          <t>isolated_footing</t>
        </is>
      </c>
      <c r="E88" s="5" t="n">
        <v>1068.8</v>
      </c>
      <c r="F88" s="5" t="n">
        <v>1637.5</v>
      </c>
      <c r="G88" s="5" t="n">
        <v>1040</v>
      </c>
      <c r="H88" s="5" t="n">
        <v>16</v>
      </c>
      <c r="I88" s="5" t="inlineStr">
        <is>
          <t>isolated_footing</t>
        </is>
      </c>
      <c r="J88" s="5" t="inlineStr">
        <is>
          <t>yes</t>
        </is>
      </c>
      <c r="K88" s="5" t="n">
        <v>1040</v>
      </c>
      <c r="L88" s="5" t="n">
        <v>0.11</v>
      </c>
      <c r="M88" s="5" t="n">
        <v>0</v>
      </c>
      <c r="N88" s="5" t="inlineStr">
        <is>
          <t>yes</t>
        </is>
      </c>
    </row>
    <row r="89">
      <c r="A89" s="5" t="n">
        <v>88</v>
      </c>
      <c r="B89" s="5" t="inlineStr">
        <is>
          <t>S18-130130</t>
        </is>
      </c>
      <c r="C89" s="5" t="inlineStr">
        <is>
          <t>footing:S</t>
        </is>
      </c>
      <c r="D89" s="5" t="inlineStr">
        <is>
          <t>isolated_footing</t>
        </is>
      </c>
      <c r="E89" s="5" t="n">
        <v>860.4</v>
      </c>
      <c r="F89" s="5" t="n">
        <v>1764.6</v>
      </c>
      <c r="G89" s="5" t="n">
        <v>1046</v>
      </c>
      <c r="H89" s="5" t="n">
        <v>15</v>
      </c>
      <c r="I89" s="5" t="inlineStr">
        <is>
          <t>combined_footing</t>
        </is>
      </c>
      <c r="J89" s="5" t="inlineStr">
        <is>
          <t>no</t>
        </is>
      </c>
      <c r="K89" s="5" t="inlineStr">
        <is>
          <t>unmatched</t>
        </is>
      </c>
      <c r="L89" s="5" t="n"/>
      <c r="M89" s="5" t="n"/>
      <c r="N89" s="5" t="inlineStr">
        <is>
          <t>yes</t>
        </is>
      </c>
    </row>
    <row r="90">
      <c r="A90" s="5" t="n">
        <v>89</v>
      </c>
      <c r="B90" s="5" t="inlineStr">
        <is>
          <t>S2-130130</t>
        </is>
      </c>
      <c r="C90" s="5" t="inlineStr">
        <is>
          <t>footing:S</t>
        </is>
      </c>
      <c r="D90" s="5" t="inlineStr">
        <is>
          <t>isolated_footing</t>
        </is>
      </c>
      <c r="E90" s="5" t="n">
        <v>1271.9</v>
      </c>
      <c r="F90" s="5" t="n">
        <v>1496.9</v>
      </c>
      <c r="G90" s="5" t="n">
        <v>1042</v>
      </c>
      <c r="H90" s="5" t="n">
        <v>17</v>
      </c>
      <c r="I90" s="5" t="inlineStr">
        <is>
          <t>isolated_footing</t>
        </is>
      </c>
      <c r="J90" s="5" t="inlineStr">
        <is>
          <t>yes</t>
        </is>
      </c>
      <c r="K90" s="5" t="n">
        <v>1042</v>
      </c>
      <c r="L90" s="5" t="n">
        <v>0.17</v>
      </c>
      <c r="M90" s="5" t="n">
        <v>0</v>
      </c>
      <c r="N90" s="5" t="inlineStr">
        <is>
          <t>yes</t>
        </is>
      </c>
    </row>
    <row r="91">
      <c r="A91" s="5" t="n">
        <v>90</v>
      </c>
      <c r="B91" s="5" t="inlineStr">
        <is>
          <t>S2-130130</t>
        </is>
      </c>
      <c r="C91" s="5" t="inlineStr">
        <is>
          <t>footing:S</t>
        </is>
      </c>
      <c r="D91" s="5" t="inlineStr">
        <is>
          <t>isolated_footing</t>
        </is>
      </c>
      <c r="E91" s="5" t="n">
        <v>1213.5</v>
      </c>
      <c r="F91" s="5" t="n">
        <v>1275</v>
      </c>
      <c r="G91" s="5" t="n">
        <v>1060</v>
      </c>
      <c r="H91" s="5" t="n">
        <v>4</v>
      </c>
      <c r="I91" s="5" t="inlineStr">
        <is>
          <t>grade_beam</t>
        </is>
      </c>
      <c r="J91" s="5" t="inlineStr">
        <is>
          <t>no</t>
        </is>
      </c>
      <c r="K91" s="5" t="inlineStr">
        <is>
          <t>unmatched</t>
        </is>
      </c>
      <c r="L91" s="5" t="n"/>
      <c r="M91" s="5" t="n"/>
      <c r="N91" s="5" t="inlineStr">
        <is>
          <t>yes</t>
        </is>
      </c>
    </row>
    <row r="92">
      <c r="A92" s="5" t="n">
        <v>91</v>
      </c>
      <c r="B92" s="5" t="inlineStr">
        <is>
          <t>S11-129129</t>
        </is>
      </c>
      <c r="C92" s="5" t="inlineStr">
        <is>
          <t>footing:S</t>
        </is>
      </c>
      <c r="D92" s="5" t="inlineStr">
        <is>
          <t>isolated_footing</t>
        </is>
      </c>
      <c r="E92" s="5" t="n">
        <v>1147.9</v>
      </c>
      <c r="F92" s="5" t="n">
        <v>1929.2</v>
      </c>
      <c r="G92" s="5" t="n">
        <v>896</v>
      </c>
      <c r="H92" s="5" t="n">
        <v>16</v>
      </c>
      <c r="I92" s="5" t="inlineStr">
        <is>
          <t>isolated_footing</t>
        </is>
      </c>
      <c r="J92" s="5" t="inlineStr">
        <is>
          <t>yes</t>
        </is>
      </c>
      <c r="K92" s="5" t="n">
        <v>896</v>
      </c>
      <c r="L92" s="5" t="n">
        <v>0.14</v>
      </c>
      <c r="M92" s="5" t="n">
        <v>0</v>
      </c>
      <c r="N92" s="5" t="inlineStr">
        <is>
          <t>yes</t>
        </is>
      </c>
    </row>
    <row r="93">
      <c r="A93" s="5" t="n">
        <v>92</v>
      </c>
      <c r="B93" s="5" t="inlineStr">
        <is>
          <t>S19-129</t>
        </is>
      </c>
      <c r="C93" s="5" t="inlineStr">
        <is>
          <t>footing:S</t>
        </is>
      </c>
      <c r="D93" s="5" t="inlineStr">
        <is>
          <t>isolated_footing</t>
        </is>
      </c>
      <c r="E93" s="5" t="n">
        <v>820.8</v>
      </c>
      <c r="F93" s="5" t="n">
        <v>2556.2</v>
      </c>
      <c r="G93" s="5" t="n">
        <v>898</v>
      </c>
      <c r="H93" s="5" t="n">
        <v>16</v>
      </c>
      <c r="I93" s="5" t="inlineStr">
        <is>
          <t>isolated_footing</t>
        </is>
      </c>
      <c r="J93" s="5" t="inlineStr">
        <is>
          <t>yes</t>
        </is>
      </c>
      <c r="K93" s="5" t="n">
        <v>898</v>
      </c>
      <c r="L93" s="5" t="n">
        <v>0.2</v>
      </c>
      <c r="M93" s="5" t="n">
        <v>0</v>
      </c>
      <c r="N93" s="5" t="inlineStr">
        <is>
          <t>yes</t>
        </is>
      </c>
    </row>
    <row r="94">
      <c r="A94" s="5" t="n">
        <v>93</v>
      </c>
      <c r="B94" s="5" t="inlineStr">
        <is>
          <t>S2-129129</t>
        </is>
      </c>
      <c r="C94" s="5" t="inlineStr">
        <is>
          <t>footing:S</t>
        </is>
      </c>
      <c r="D94" s="5" t="inlineStr">
        <is>
          <t>isolated_footing</t>
        </is>
      </c>
      <c r="E94" s="5" t="n">
        <v>1353.1</v>
      </c>
      <c r="F94" s="5" t="n">
        <v>1805.2</v>
      </c>
      <c r="G94" s="5" t="n">
        <v>899</v>
      </c>
      <c r="H94" s="5" t="n">
        <v>17</v>
      </c>
      <c r="I94" s="5" t="inlineStr">
        <is>
          <t>isolated_footing</t>
        </is>
      </c>
      <c r="J94" s="5" t="inlineStr">
        <is>
          <t>yes</t>
        </is>
      </c>
      <c r="K94" s="5" t="n">
        <v>899</v>
      </c>
      <c r="L94" s="5" t="n">
        <v>0.16</v>
      </c>
      <c r="M94" s="5" t="n">
        <v>0</v>
      </c>
      <c r="N94" s="5" t="inlineStr">
        <is>
          <t>yes</t>
        </is>
      </c>
    </row>
    <row r="95">
      <c r="A95" s="5" t="n">
        <v>94</v>
      </c>
      <c r="B95" s="5" t="inlineStr">
        <is>
          <t>S2-129129</t>
        </is>
      </c>
      <c r="C95" s="5" t="inlineStr">
        <is>
          <t>footing:S</t>
        </is>
      </c>
      <c r="D95" s="5" t="inlineStr">
        <is>
          <t>isolated_footing</t>
        </is>
      </c>
      <c r="E95" s="5" t="n">
        <v>1411.5</v>
      </c>
      <c r="F95" s="5" t="n">
        <v>2026</v>
      </c>
      <c r="G95" s="5" t="n">
        <v>915</v>
      </c>
      <c r="H95" s="5" t="n">
        <v>4</v>
      </c>
      <c r="I95" s="5" t="inlineStr">
        <is>
          <t>grade_beam</t>
        </is>
      </c>
      <c r="J95" s="5" t="inlineStr">
        <is>
          <t>no</t>
        </is>
      </c>
      <c r="K95" s="5" t="n">
        <v>900</v>
      </c>
      <c r="L95" s="5" t="n">
        <v>0.16</v>
      </c>
      <c r="M95" s="5" t="n">
        <v>0</v>
      </c>
      <c r="N95" s="5" t="inlineStr">
        <is>
          <t>yes</t>
        </is>
      </c>
    </row>
    <row r="96">
      <c r="A96" s="5" t="n">
        <v>95</v>
      </c>
      <c r="B96" s="5" t="inlineStr">
        <is>
          <t>SC2-</t>
        </is>
      </c>
      <c r="C96" s="5" t="inlineStr">
        <is>
          <t>footing:SC</t>
        </is>
      </c>
      <c r="D96" s="5" t="inlineStr">
        <is>
          <t>combined_footing</t>
        </is>
      </c>
      <c r="E96" s="5" t="n">
        <v>1432.3</v>
      </c>
      <c r="F96" s="5" t="n">
        <v>2306.2</v>
      </c>
      <c r="G96" s="5" t="n">
        <v>902</v>
      </c>
      <c r="H96" s="5" t="n">
        <v>23</v>
      </c>
      <c r="I96" s="5" t="inlineStr">
        <is>
          <t>combined_footing</t>
        </is>
      </c>
      <c r="J96" s="5" t="inlineStr">
        <is>
          <t>yes</t>
        </is>
      </c>
      <c r="K96" s="5" t="n">
        <v>902</v>
      </c>
      <c r="L96" s="5" t="n">
        <v>0.34</v>
      </c>
      <c r="M96" s="5" t="n">
        <v>0</v>
      </c>
      <c r="N96" s="5" t="inlineStr">
        <is>
          <t>yes</t>
        </is>
      </c>
    </row>
    <row r="97">
      <c r="A97" s="5" t="n">
        <v>96</v>
      </c>
      <c r="B97" s="5" t="inlineStr">
        <is>
          <t>SC3</t>
        </is>
      </c>
      <c r="C97" s="5" t="inlineStr">
        <is>
          <t>footing:SC</t>
        </is>
      </c>
      <c r="D97" s="5" t="inlineStr">
        <is>
          <t>combined_footing</t>
        </is>
      </c>
      <c r="E97" s="5" t="n">
        <v>1061.5</v>
      </c>
      <c r="F97" s="5" t="n">
        <v>2500</v>
      </c>
      <c r="G97" s="5" t="n">
        <v>766</v>
      </c>
      <c r="H97" s="5" t="n">
        <v>15</v>
      </c>
      <c r="I97" s="5" t="inlineStr">
        <is>
          <t>combined_footing</t>
        </is>
      </c>
      <c r="J97" s="5" t="inlineStr">
        <is>
          <t>yes</t>
        </is>
      </c>
      <c r="K97" s="5" t="n">
        <v>766</v>
      </c>
      <c r="L97" s="5" t="n">
        <v>0.14</v>
      </c>
      <c r="M97" s="5" t="n">
        <v>0</v>
      </c>
      <c r="N97" s="5" t="inlineStr">
        <is>
          <t>yes</t>
        </is>
      </c>
    </row>
    <row r="98">
      <c r="A98" s="5" t="n">
        <v>97</v>
      </c>
      <c r="B98" s="5" t="inlineStr">
        <is>
          <t>SC7</t>
        </is>
      </c>
      <c r="C98" s="5" t="inlineStr">
        <is>
          <t>footing:SC</t>
        </is>
      </c>
      <c r="D98" s="5" t="inlineStr">
        <is>
          <t>combined_footing</t>
        </is>
      </c>
      <c r="E98" s="5" t="n">
        <v>1246.9</v>
      </c>
      <c r="F98" s="5" t="n">
        <v>2342.7</v>
      </c>
      <c r="G98" s="5" t="n">
        <v>903</v>
      </c>
      <c r="H98" s="5" t="n">
        <v>15</v>
      </c>
      <c r="I98" s="5" t="inlineStr">
        <is>
          <t>combined_footing</t>
        </is>
      </c>
      <c r="J98" s="5" t="inlineStr">
        <is>
          <t>yes</t>
        </is>
      </c>
      <c r="K98" s="5" t="n">
        <v>903</v>
      </c>
      <c r="L98" s="5" t="n">
        <v>0.23</v>
      </c>
      <c r="M98" s="5" t="n">
        <v>0</v>
      </c>
      <c r="N98" s="5" t="inlineStr">
        <is>
          <t>yes</t>
        </is>
      </c>
    </row>
    <row r="99">
      <c r="A99" s="5" t="n">
        <v>98</v>
      </c>
      <c r="B99" s="5" t="inlineStr">
        <is>
          <t>SC1-</t>
        </is>
      </c>
      <c r="C99" s="5" t="inlineStr">
        <is>
          <t>footing:SC</t>
        </is>
      </c>
      <c r="D99" s="5" t="inlineStr">
        <is>
          <t>combined_footing</t>
        </is>
      </c>
      <c r="E99" s="5" t="n">
        <v>870.8</v>
      </c>
      <c r="F99" s="5" t="n">
        <v>2675</v>
      </c>
      <c r="G99" s="5" t="n">
        <v>901</v>
      </c>
      <c r="H99" s="5" t="n">
        <v>15</v>
      </c>
      <c r="I99" s="5" t="inlineStr">
        <is>
          <t>combined_footing</t>
        </is>
      </c>
      <c r="J99" s="5" t="inlineStr">
        <is>
          <t>yes</t>
        </is>
      </c>
      <c r="K99" s="5" t="n">
        <v>901</v>
      </c>
      <c r="L99" s="5" t="n">
        <v>0.16</v>
      </c>
      <c r="M99" s="5" t="n">
        <v>0</v>
      </c>
      <c r="N99" s="5" t="inlineStr">
        <is>
          <t>yes</t>
        </is>
      </c>
    </row>
    <row r="100">
      <c r="A100" s="5" t="n">
        <v>99</v>
      </c>
      <c r="B100" s="5" t="inlineStr">
        <is>
          <t>S18-129129</t>
        </is>
      </c>
      <c r="C100" s="5" t="inlineStr">
        <is>
          <t>footing:S</t>
        </is>
      </c>
      <c r="D100" s="5" t="inlineStr">
        <is>
          <t>isolated_footing</t>
        </is>
      </c>
      <c r="E100" s="5" t="n">
        <v>944.8</v>
      </c>
      <c r="F100" s="5" t="n">
        <v>2071.9</v>
      </c>
      <c r="G100" s="5" t="n">
        <v>897</v>
      </c>
      <c r="H100" s="5" t="n">
        <v>16</v>
      </c>
      <c r="I100" s="5" t="inlineStr">
        <is>
          <t>isolated_footing</t>
        </is>
      </c>
      <c r="J100" s="5" t="inlineStr">
        <is>
          <t>yes</t>
        </is>
      </c>
      <c r="K100" s="5" t="n">
        <v>897</v>
      </c>
      <c r="L100" s="5" t="n">
        <v>0.19</v>
      </c>
      <c r="M100" s="5" t="n">
        <v>0</v>
      </c>
      <c r="N100" s="5" t="inlineStr">
        <is>
          <t>yes</t>
        </is>
      </c>
    </row>
    <row r="101">
      <c r="A101" s="5" t="n">
        <v>100</v>
      </c>
      <c r="B101" s="5" t="inlineStr">
        <is>
          <t>SC1-</t>
        </is>
      </c>
      <c r="C101" s="5" t="inlineStr">
        <is>
          <t>footing:SC</t>
        </is>
      </c>
      <c r="D101" s="5" t="inlineStr">
        <is>
          <t>combined_footing</t>
        </is>
      </c>
      <c r="E101" s="5" t="n">
        <v>1133.3</v>
      </c>
      <c r="F101" s="5" t="n">
        <v>1812.5</v>
      </c>
      <c r="G101" s="5" t="n">
        <v>1047</v>
      </c>
      <c r="H101" s="5" t="n">
        <v>15</v>
      </c>
      <c r="I101" s="5" t="inlineStr">
        <is>
          <t>combined_footing</t>
        </is>
      </c>
      <c r="J101" s="5" t="inlineStr">
        <is>
          <t>yes</t>
        </is>
      </c>
      <c r="K101" s="5" t="n">
        <v>1047</v>
      </c>
      <c r="L101" s="5" t="n">
        <v>0.09</v>
      </c>
      <c r="M101" s="5" t="n">
        <v>0</v>
      </c>
      <c r="N101" s="5" t="inlineStr">
        <is>
          <t>yes</t>
        </is>
      </c>
    </row>
    <row r="102">
      <c r="A102" s="5" t="n">
        <v>101</v>
      </c>
      <c r="B102" s="5" t="inlineStr">
        <is>
          <t>SC9-130130</t>
        </is>
      </c>
      <c r="C102" s="5" t="inlineStr">
        <is>
          <t>footing:SC</t>
        </is>
      </c>
      <c r="D102" s="5" t="inlineStr">
        <is>
          <t>combined_footing</t>
        </is>
      </c>
      <c r="E102" s="5" t="n">
        <v>880.2</v>
      </c>
      <c r="F102" s="5" t="n">
        <v>1825</v>
      </c>
      <c r="G102" s="5" t="n">
        <v>1049</v>
      </c>
      <c r="H102" s="5" t="n">
        <v>15</v>
      </c>
      <c r="I102" s="5" t="inlineStr">
        <is>
          <t>combined_footing</t>
        </is>
      </c>
      <c r="J102" s="5" t="inlineStr">
        <is>
          <t>yes</t>
        </is>
      </c>
      <c r="K102" s="5" t="n">
        <v>1049</v>
      </c>
      <c r="L102" s="5" t="n">
        <v>0.06</v>
      </c>
      <c r="M102" s="5" t="n">
        <v>0</v>
      </c>
      <c r="N102" s="5" t="inlineStr">
        <is>
          <t>yes</t>
        </is>
      </c>
    </row>
    <row r="103">
      <c r="A103" s="5" t="n">
        <v>102</v>
      </c>
      <c r="B103" s="5" t="inlineStr">
        <is>
          <t>V1/120/120</t>
        </is>
      </c>
      <c r="C103" s="5" t="inlineStr">
        <is>
          <t>wall</t>
        </is>
      </c>
      <c r="D103" s="5" t="inlineStr">
        <is>
          <t>shear_wall</t>
        </is>
      </c>
      <c r="E103" s="5" t="n">
        <v>4537.5</v>
      </c>
      <c r="F103" s="5" t="n">
        <v>678.1</v>
      </c>
      <c r="G103" s="5" t="n">
        <v>14</v>
      </c>
      <c r="H103" s="5" t="n">
        <v>36</v>
      </c>
      <c r="I103" s="5" t="inlineStr">
        <is>
          <t>shear_wall</t>
        </is>
      </c>
      <c r="J103" s="5" t="inlineStr">
        <is>
          <t>yes</t>
        </is>
      </c>
      <c r="K103" s="5" t="n">
        <v>14</v>
      </c>
      <c r="L103" s="5" t="n">
        <v>0.11</v>
      </c>
      <c r="M103" s="5" t="n">
        <v>0.22</v>
      </c>
      <c r="N103" s="5" t="inlineStr">
        <is>
          <t>yes</t>
        </is>
      </c>
    </row>
    <row r="104">
      <c r="A104" s="5" t="n">
        <v>103</v>
      </c>
      <c r="B104" s="5" t="inlineStr">
        <is>
          <t>V1/120/120</t>
        </is>
      </c>
      <c r="C104" s="5" t="inlineStr">
        <is>
          <t>wall</t>
        </is>
      </c>
      <c r="D104" s="5" t="inlineStr">
        <is>
          <t>shear_wall</t>
        </is>
      </c>
      <c r="E104" s="5" t="n">
        <v>4535.4</v>
      </c>
      <c r="F104" s="5" t="n">
        <v>822.9</v>
      </c>
      <c r="G104" s="5" t="n">
        <v>58</v>
      </c>
      <c r="H104" s="5" t="n">
        <v>4</v>
      </c>
      <c r="I104" s="5" t="inlineStr">
        <is>
          <t>grade_beam</t>
        </is>
      </c>
      <c r="J104" s="5" t="inlineStr">
        <is>
          <t>no</t>
        </is>
      </c>
      <c r="K104" s="5" t="n">
        <v>13</v>
      </c>
      <c r="L104" s="5" t="n">
        <v>0.13</v>
      </c>
      <c r="M104" s="5" t="n">
        <v>0.02</v>
      </c>
      <c r="N104" s="5" t="inlineStr">
        <is>
          <t>yes</t>
        </is>
      </c>
    </row>
    <row r="105">
      <c r="A105" s="5" t="n">
        <v>104</v>
      </c>
      <c r="B105" s="5" t="inlineStr">
        <is>
          <t>V1/120/120</t>
        </is>
      </c>
      <c r="C105" s="5" t="inlineStr">
        <is>
          <t>wall</t>
        </is>
      </c>
      <c r="D105" s="5" t="inlineStr">
        <is>
          <t>shear_wall</t>
        </is>
      </c>
      <c r="E105" s="5" t="n">
        <v>4538.5</v>
      </c>
      <c r="F105" s="5" t="n">
        <v>967.7</v>
      </c>
      <c r="G105" s="5" t="n">
        <v>54</v>
      </c>
      <c r="H105" s="5" t="n">
        <v>4</v>
      </c>
      <c r="I105" s="5" t="inlineStr">
        <is>
          <t>grade_beam</t>
        </is>
      </c>
      <c r="J105" s="5" t="inlineStr">
        <is>
          <t>no</t>
        </is>
      </c>
      <c r="K105" s="5" t="n">
        <v>15</v>
      </c>
      <c r="L105" s="5" t="n">
        <v>0.15</v>
      </c>
      <c r="M105" s="5" t="n">
        <v>0.09</v>
      </c>
      <c r="N105" s="5" t="inlineStr">
        <is>
          <t>yes</t>
        </is>
      </c>
    </row>
    <row r="106">
      <c r="A106" s="5" t="n">
        <v>105</v>
      </c>
      <c r="B106" s="5" t="inlineStr">
        <is>
          <t>V9/120/120</t>
        </is>
      </c>
      <c r="C106" s="5" t="inlineStr">
        <is>
          <t>wall</t>
        </is>
      </c>
      <c r="D106" s="5" t="inlineStr">
        <is>
          <t>shear_wall</t>
        </is>
      </c>
      <c r="E106" s="5" t="n">
        <v>4538.5</v>
      </c>
      <c r="F106" s="5" t="n">
        <v>1136.5</v>
      </c>
      <c r="G106" s="5" t="n">
        <v>26</v>
      </c>
      <c r="H106" s="5" t="n">
        <v>35</v>
      </c>
      <c r="I106" s="5" t="inlineStr">
        <is>
          <t>shear_wall</t>
        </is>
      </c>
      <c r="J106" s="5" t="inlineStr">
        <is>
          <t>yes</t>
        </is>
      </c>
      <c r="K106" s="5" t="n">
        <v>26</v>
      </c>
      <c r="L106" s="5" t="n">
        <v>0.11</v>
      </c>
      <c r="M106" s="5" t="n">
        <v>0.17</v>
      </c>
      <c r="N106" s="5" t="inlineStr">
        <is>
          <t>yes</t>
        </is>
      </c>
    </row>
    <row r="107">
      <c r="A107" s="5" t="n">
        <v>106</v>
      </c>
      <c r="B107" s="5" t="inlineStr">
        <is>
          <t>V4/120/120</t>
        </is>
      </c>
      <c r="C107" s="5" t="inlineStr">
        <is>
          <t>wall</t>
        </is>
      </c>
      <c r="D107" s="5" t="inlineStr">
        <is>
          <t>shear_wall</t>
        </is>
      </c>
      <c r="E107" s="5" t="n">
        <v>4671.9</v>
      </c>
      <c r="F107" s="5" t="n">
        <v>482.3</v>
      </c>
      <c r="G107" s="5" t="n">
        <v>55</v>
      </c>
      <c r="H107" s="5" t="n">
        <v>4</v>
      </c>
      <c r="I107" s="5" t="inlineStr">
        <is>
          <t>grade_beam</t>
        </is>
      </c>
      <c r="J107" s="5" t="inlineStr">
        <is>
          <t>no</t>
        </is>
      </c>
      <c r="K107" s="5" t="n">
        <v>23</v>
      </c>
      <c r="L107" s="5" t="n">
        <v>0.6899999999999999</v>
      </c>
      <c r="M107" s="5" t="n">
        <v>1</v>
      </c>
      <c r="N107" s="5" t="inlineStr">
        <is>
          <t>yes</t>
        </is>
      </c>
    </row>
    <row r="108">
      <c r="A108" s="5" t="n">
        <v>107</v>
      </c>
      <c r="B108" s="5" t="inlineStr">
        <is>
          <t>V4/120/120</t>
        </is>
      </c>
      <c r="C108" s="5" t="inlineStr">
        <is>
          <t>wall</t>
        </is>
      </c>
      <c r="D108" s="5" t="inlineStr">
        <is>
          <t>shear_wall</t>
        </is>
      </c>
      <c r="E108" s="5" t="n">
        <v>4792.7</v>
      </c>
      <c r="F108" s="5" t="n">
        <v>472.9</v>
      </c>
      <c r="G108" s="5" t="n">
        <v>31</v>
      </c>
      <c r="H108" s="5" t="n">
        <v>17</v>
      </c>
      <c r="I108" s="5" t="inlineStr">
        <is>
          <t>isolated_footing</t>
        </is>
      </c>
      <c r="J108" s="5" t="inlineStr">
        <is>
          <t>no</t>
        </is>
      </c>
      <c r="K108" s="5" t="n">
        <v>22</v>
      </c>
      <c r="L108" s="5" t="n">
        <v>0.74</v>
      </c>
      <c r="M108" s="5" t="n">
        <v>0.99</v>
      </c>
      <c r="N108" s="5" t="inlineStr">
        <is>
          <t>yes</t>
        </is>
      </c>
    </row>
    <row r="109">
      <c r="A109" s="5" t="n">
        <v>108</v>
      </c>
      <c r="B109" s="5" t="inlineStr">
        <is>
          <t>V8/120/120</t>
        </is>
      </c>
      <c r="C109" s="5" t="inlineStr">
        <is>
          <t>wall</t>
        </is>
      </c>
      <c r="D109" s="5" t="inlineStr">
        <is>
          <t>shear_wall</t>
        </is>
      </c>
      <c r="E109" s="5" t="n">
        <v>4792.7</v>
      </c>
      <c r="F109" s="5" t="n">
        <v>634.4</v>
      </c>
      <c r="G109" s="5" t="n">
        <v>35</v>
      </c>
      <c r="H109" s="5" t="n">
        <v>17</v>
      </c>
      <c r="I109" s="5" t="inlineStr">
        <is>
          <t>isolated_footing</t>
        </is>
      </c>
      <c r="J109" s="5" t="inlineStr">
        <is>
          <t>no</t>
        </is>
      </c>
      <c r="K109" s="5" t="n">
        <v>25</v>
      </c>
      <c r="L109" s="5" t="n">
        <v>0.73</v>
      </c>
      <c r="M109" s="5" t="n">
        <v>1</v>
      </c>
      <c r="N109" s="5" t="inlineStr">
        <is>
          <t>yes</t>
        </is>
      </c>
    </row>
    <row r="110">
      <c r="A110" s="5" t="n">
        <v>109</v>
      </c>
      <c r="B110" s="5" t="inlineStr">
        <is>
          <t>V2/120/120</t>
        </is>
      </c>
      <c r="C110" s="5" t="inlineStr">
        <is>
          <t>wall</t>
        </is>
      </c>
      <c r="D110" s="5" t="inlineStr">
        <is>
          <t>shear_wall</t>
        </is>
      </c>
      <c r="E110" s="5" t="n">
        <v>4532.3</v>
      </c>
      <c r="F110" s="5" t="n">
        <v>1319.8</v>
      </c>
      <c r="G110" s="5" t="n">
        <v>16</v>
      </c>
      <c r="H110" s="5" t="n">
        <v>36</v>
      </c>
      <c r="I110" s="5" t="inlineStr">
        <is>
          <t>shear_wall</t>
        </is>
      </c>
      <c r="J110" s="5" t="inlineStr">
        <is>
          <t>yes</t>
        </is>
      </c>
      <c r="K110" s="5" t="n">
        <v>16</v>
      </c>
      <c r="L110" s="5" t="n">
        <v>0.11</v>
      </c>
      <c r="M110" s="5" t="n">
        <v>0</v>
      </c>
      <c r="N110" s="5" t="inlineStr">
        <is>
          <t>yes</t>
        </is>
      </c>
    </row>
    <row r="111">
      <c r="A111" s="5" t="n">
        <v>110</v>
      </c>
      <c r="B111" s="5" t="inlineStr">
        <is>
          <t>V2/120/120</t>
        </is>
      </c>
      <c r="C111" s="5" t="inlineStr">
        <is>
          <t>wall</t>
        </is>
      </c>
      <c r="D111" s="5" t="inlineStr">
        <is>
          <t>shear_wall</t>
        </is>
      </c>
      <c r="E111" s="5" t="n">
        <v>4759.4</v>
      </c>
      <c r="F111" s="5" t="n">
        <v>1319.8</v>
      </c>
      <c r="G111" s="5" t="n">
        <v>53</v>
      </c>
      <c r="H111" s="5" t="n">
        <v>4</v>
      </c>
      <c r="I111" s="5" t="inlineStr">
        <is>
          <t>grade_beam</t>
        </is>
      </c>
      <c r="J111" s="5" t="inlineStr">
        <is>
          <t>no</t>
        </is>
      </c>
      <c r="K111" s="5" t="n">
        <v>17</v>
      </c>
      <c r="L111" s="5" t="n">
        <v>0.11</v>
      </c>
      <c r="M111" s="5" t="n">
        <v>0</v>
      </c>
      <c r="N111" s="5" t="inlineStr">
        <is>
          <t>yes</t>
        </is>
      </c>
    </row>
    <row r="112">
      <c r="A112" s="5" t="n">
        <v>111</v>
      </c>
      <c r="B112" s="5" t="inlineStr">
        <is>
          <t>V5/120/120</t>
        </is>
      </c>
      <c r="C112" s="5" t="inlineStr">
        <is>
          <t>wall</t>
        </is>
      </c>
      <c r="D112" s="5" t="inlineStr">
        <is>
          <t>shear_wall</t>
        </is>
      </c>
      <c r="E112" s="5" t="n">
        <v>4761.5</v>
      </c>
      <c r="F112" s="5" t="n">
        <v>1052.1</v>
      </c>
      <c r="G112" s="5" t="n">
        <v>24</v>
      </c>
      <c r="H112" s="5" t="n">
        <v>32</v>
      </c>
      <c r="I112" s="5" t="inlineStr">
        <is>
          <t>shear_wall</t>
        </is>
      </c>
      <c r="J112" s="5" t="inlineStr">
        <is>
          <t>yes</t>
        </is>
      </c>
      <c r="K112" s="5" t="n">
        <v>24</v>
      </c>
      <c r="L112" s="5" t="n">
        <v>0.08</v>
      </c>
      <c r="M112" s="5" t="n">
        <v>1</v>
      </c>
      <c r="N112" s="5" t="inlineStr">
        <is>
          <t>yes</t>
        </is>
      </c>
    </row>
    <row r="113">
      <c r="A113" s="5" t="n">
        <v>112</v>
      </c>
      <c r="B113" s="5" t="inlineStr">
        <is>
          <t>V3/120120</t>
        </is>
      </c>
      <c r="C113" s="5" t="inlineStr">
        <is>
          <t>wall</t>
        </is>
      </c>
      <c r="D113" s="5" t="inlineStr">
        <is>
          <t>shear_wall</t>
        </is>
      </c>
      <c r="E113" s="5" t="n">
        <v>4328.1</v>
      </c>
      <c r="F113" s="5" t="n">
        <v>632.3</v>
      </c>
      <c r="G113" s="5" t="n">
        <v>57</v>
      </c>
      <c r="H113" s="5" t="n">
        <v>4</v>
      </c>
      <c r="I113" s="5" t="inlineStr">
        <is>
          <t>grade_beam</t>
        </is>
      </c>
      <c r="J113" s="5" t="inlineStr">
        <is>
          <t>no</t>
        </is>
      </c>
      <c r="K113" s="5" t="n">
        <v>21</v>
      </c>
      <c r="L113" s="5" t="n">
        <v>0.23</v>
      </c>
      <c r="M113" s="5" t="n">
        <v>0</v>
      </c>
      <c r="N113" s="5" t="inlineStr">
        <is>
          <t>yes</t>
        </is>
      </c>
    </row>
    <row r="114">
      <c r="A114" s="5" t="n">
        <v>113</v>
      </c>
      <c r="B114" s="5" t="inlineStr">
        <is>
          <t>V3/120/120</t>
        </is>
      </c>
      <c r="C114" s="5" t="inlineStr">
        <is>
          <t>wall</t>
        </is>
      </c>
      <c r="D114" s="5" t="inlineStr">
        <is>
          <t>shear_wall</t>
        </is>
      </c>
      <c r="E114" s="5" t="n">
        <v>4327.1</v>
      </c>
      <c r="F114" s="5" t="n">
        <v>861.5</v>
      </c>
      <c r="G114" s="5" t="n">
        <v>18</v>
      </c>
      <c r="H114" s="5" t="n">
        <v>36</v>
      </c>
      <c r="I114" s="5" t="inlineStr">
        <is>
          <t>shear_wall</t>
        </is>
      </c>
      <c r="J114" s="5" t="inlineStr">
        <is>
          <t>yes</t>
        </is>
      </c>
      <c r="K114" s="5" t="n">
        <v>18</v>
      </c>
      <c r="L114" s="5" t="n">
        <v>0.21</v>
      </c>
      <c r="M114" s="5" t="n">
        <v>0</v>
      </c>
      <c r="N114" s="5" t="inlineStr">
        <is>
          <t>yes</t>
        </is>
      </c>
    </row>
    <row r="115">
      <c r="A115" s="5" t="n">
        <v>114</v>
      </c>
      <c r="B115" s="5" t="inlineStr">
        <is>
          <t>V3/120/120</t>
        </is>
      </c>
      <c r="C115" s="5" t="inlineStr">
        <is>
          <t>wall</t>
        </is>
      </c>
      <c r="D115" s="5" t="inlineStr">
        <is>
          <t>shear_wall</t>
        </is>
      </c>
      <c r="E115" s="5" t="n">
        <v>4326</v>
      </c>
      <c r="F115" s="5" t="n">
        <v>1090.6</v>
      </c>
      <c r="G115" s="5" t="n">
        <v>56</v>
      </c>
      <c r="H115" s="5" t="n">
        <v>4</v>
      </c>
      <c r="I115" s="5" t="inlineStr">
        <is>
          <t>grade_beam</t>
        </is>
      </c>
      <c r="J115" s="5" t="inlineStr">
        <is>
          <t>no</t>
        </is>
      </c>
      <c r="K115" s="5" t="n">
        <v>20</v>
      </c>
      <c r="L115" s="5" t="n">
        <v>0.19</v>
      </c>
      <c r="M115" s="5" t="n">
        <v>0</v>
      </c>
      <c r="N115" s="5" t="inlineStr">
        <is>
          <t>yes</t>
        </is>
      </c>
    </row>
    <row r="116">
      <c r="A116" s="5" t="n">
        <v>115</v>
      </c>
      <c r="B116" s="5" t="inlineStr">
        <is>
          <t>V3/120/120</t>
        </is>
      </c>
      <c r="C116" s="5" t="inlineStr">
        <is>
          <t>wall</t>
        </is>
      </c>
      <c r="D116" s="5" t="inlineStr">
        <is>
          <t>shear_wall</t>
        </is>
      </c>
      <c r="E116" s="5" t="n">
        <v>4271.9</v>
      </c>
      <c r="F116" s="5" t="n">
        <v>1319.8</v>
      </c>
      <c r="G116" s="5" t="n">
        <v>19</v>
      </c>
      <c r="H116" s="5" t="n">
        <v>36</v>
      </c>
      <c r="I116" s="5" t="inlineStr">
        <is>
          <t>shear_wall</t>
        </is>
      </c>
      <c r="J116" s="5" t="inlineStr">
        <is>
          <t>yes</t>
        </is>
      </c>
      <c r="K116" s="5" t="n">
        <v>19</v>
      </c>
      <c r="L116" s="5" t="n">
        <v>0.11</v>
      </c>
      <c r="M116" s="5" t="n">
        <v>0</v>
      </c>
      <c r="N116" s="5" t="inlineStr">
        <is>
          <t>yes</t>
        </is>
      </c>
    </row>
    <row r="117">
      <c r="A117" s="5" t="n">
        <v>116</v>
      </c>
      <c r="B117" s="5" t="inlineStr">
        <is>
          <t>V1/121/121</t>
        </is>
      </c>
      <c r="C117" s="5" t="inlineStr">
        <is>
          <t>wall</t>
        </is>
      </c>
      <c r="D117" s="5" t="inlineStr">
        <is>
          <t>shear_wall</t>
        </is>
      </c>
      <c r="E117" s="5" t="n">
        <v>4537.5</v>
      </c>
      <c r="F117" s="5" t="n">
        <v>1346.9</v>
      </c>
      <c r="G117" s="5" t="n">
        <v>149</v>
      </c>
      <c r="H117" s="5" t="n">
        <v>4</v>
      </c>
      <c r="I117" s="5" t="inlineStr">
        <is>
          <t>grade_beam</t>
        </is>
      </c>
      <c r="J117" s="5" t="inlineStr">
        <is>
          <t>no</t>
        </is>
      </c>
      <c r="K117" s="5" t="n">
        <v>112</v>
      </c>
      <c r="L117" s="5" t="n">
        <v>0.2</v>
      </c>
      <c r="M117" s="5" t="n">
        <v>0.24</v>
      </c>
      <c r="N117" s="5" t="inlineStr">
        <is>
          <t>yes</t>
        </is>
      </c>
    </row>
    <row r="118">
      <c r="A118" s="5" t="n">
        <v>117</v>
      </c>
      <c r="B118" s="5" t="inlineStr">
        <is>
          <t>V1/121/121</t>
        </is>
      </c>
      <c r="C118" s="5" t="inlineStr">
        <is>
          <t>wall</t>
        </is>
      </c>
      <c r="D118" s="5" t="inlineStr">
        <is>
          <t>shear_wall</t>
        </is>
      </c>
      <c r="E118" s="5" t="n">
        <v>4535.4</v>
      </c>
      <c r="F118" s="5" t="n">
        <v>1653.1</v>
      </c>
      <c r="G118" s="5" t="n">
        <v>154</v>
      </c>
      <c r="H118" s="5" t="n">
        <v>4</v>
      </c>
      <c r="I118" s="5" t="inlineStr">
        <is>
          <t>grade_beam</t>
        </is>
      </c>
      <c r="J118" s="5" t="inlineStr">
        <is>
          <t>no</t>
        </is>
      </c>
      <c r="K118" s="5" t="n">
        <v>111</v>
      </c>
      <c r="L118" s="5" t="n">
        <v>0.1</v>
      </c>
      <c r="M118" s="5" t="n">
        <v>0.03</v>
      </c>
      <c r="N118" s="5" t="inlineStr">
        <is>
          <t>yes</t>
        </is>
      </c>
    </row>
    <row r="119">
      <c r="A119" s="5" t="n">
        <v>118</v>
      </c>
      <c r="B119" s="5" t="inlineStr">
        <is>
          <t>V1/121/121</t>
        </is>
      </c>
      <c r="C119" s="5" t="inlineStr">
        <is>
          <t>wall</t>
        </is>
      </c>
      <c r="D119" s="5" t="inlineStr">
        <is>
          <t>shear_wall</t>
        </is>
      </c>
      <c r="E119" s="5" t="n">
        <v>4536.5</v>
      </c>
      <c r="F119" s="5" t="n">
        <v>1786.5</v>
      </c>
      <c r="G119" s="5" t="n">
        <v>110</v>
      </c>
      <c r="H119" s="5" t="n">
        <v>36</v>
      </c>
      <c r="I119" s="5" t="inlineStr">
        <is>
          <t>shear_wall</t>
        </is>
      </c>
      <c r="J119" s="5" t="inlineStr">
        <is>
          <t>yes</t>
        </is>
      </c>
      <c r="K119" s="5" t="n">
        <v>110</v>
      </c>
      <c r="L119" s="5" t="n">
        <v>0.22</v>
      </c>
      <c r="M119" s="5" t="n">
        <v>0.16</v>
      </c>
      <c r="N119" s="5" t="inlineStr">
        <is>
          <t>yes</t>
        </is>
      </c>
    </row>
    <row r="120">
      <c r="A120" s="5" t="n">
        <v>119</v>
      </c>
      <c r="B120" s="5" t="inlineStr">
        <is>
          <t>V2/121/121</t>
        </is>
      </c>
      <c r="C120" s="5" t="inlineStr">
        <is>
          <t>wall</t>
        </is>
      </c>
      <c r="D120" s="5" t="inlineStr">
        <is>
          <t>shear_wall</t>
        </is>
      </c>
      <c r="E120" s="5" t="n">
        <v>4768.8</v>
      </c>
      <c r="F120" s="5" t="n">
        <v>1346.9</v>
      </c>
      <c r="G120" s="5" t="n">
        <v>113</v>
      </c>
      <c r="H120" s="5" t="n">
        <v>32</v>
      </c>
      <c r="I120" s="5" t="inlineStr">
        <is>
          <t>shear_wall</t>
        </is>
      </c>
      <c r="J120" s="5" t="inlineStr">
        <is>
          <t>yes</t>
        </is>
      </c>
      <c r="K120" s="5" t="n">
        <v>113</v>
      </c>
      <c r="L120" s="5" t="n">
        <v>0.2</v>
      </c>
      <c r="M120" s="5" t="n">
        <v>0</v>
      </c>
      <c r="N120" s="5" t="inlineStr">
        <is>
          <t>yes</t>
        </is>
      </c>
    </row>
    <row r="121">
      <c r="A121" s="5" t="n">
        <v>120</v>
      </c>
      <c r="B121" s="5" t="inlineStr">
        <is>
          <t>V2/121/121</t>
        </is>
      </c>
      <c r="C121" s="5" t="inlineStr">
        <is>
          <t>wall</t>
        </is>
      </c>
      <c r="D121" s="5" t="inlineStr">
        <is>
          <t>shear_wall</t>
        </is>
      </c>
      <c r="E121" s="5" t="n">
        <v>4762.5</v>
      </c>
      <c r="F121" s="5" t="n">
        <v>2124</v>
      </c>
      <c r="G121" s="5" t="n">
        <v>114</v>
      </c>
      <c r="H121" s="5" t="n">
        <v>30</v>
      </c>
      <c r="I121" s="5" t="inlineStr">
        <is>
          <t>shear_wall</t>
        </is>
      </c>
      <c r="J121" s="5" t="inlineStr">
        <is>
          <t>yes</t>
        </is>
      </c>
      <c r="K121" s="5" t="n">
        <v>114</v>
      </c>
      <c r="L121" s="5" t="n">
        <v>0.13</v>
      </c>
      <c r="M121" s="5" t="n">
        <v>0</v>
      </c>
      <c r="N121" s="5" t="inlineStr">
        <is>
          <t>yes</t>
        </is>
      </c>
    </row>
    <row r="122">
      <c r="A122" s="5" t="n">
        <v>121</v>
      </c>
      <c r="B122" s="5" t="inlineStr">
        <is>
          <t>V2/121/121</t>
        </is>
      </c>
      <c r="C122" s="5" t="inlineStr">
        <is>
          <t>wall</t>
        </is>
      </c>
      <c r="D122" s="5" t="inlineStr">
        <is>
          <t>shear_wall</t>
        </is>
      </c>
      <c r="E122" s="5" t="n">
        <v>4534.4</v>
      </c>
      <c r="F122" s="5" t="n">
        <v>2124</v>
      </c>
      <c r="G122" s="5" t="n">
        <v>115</v>
      </c>
      <c r="H122" s="5" t="n">
        <v>32</v>
      </c>
      <c r="I122" s="5" t="inlineStr">
        <is>
          <t>shear_wall</t>
        </is>
      </c>
      <c r="J122" s="5" t="inlineStr">
        <is>
          <t>yes</t>
        </is>
      </c>
      <c r="K122" s="5" t="n">
        <v>115</v>
      </c>
      <c r="L122" s="5" t="n">
        <v>0.15</v>
      </c>
      <c r="M122" s="5" t="n">
        <v>0</v>
      </c>
      <c r="N122" s="5" t="inlineStr">
        <is>
          <t>yes</t>
        </is>
      </c>
    </row>
    <row r="123">
      <c r="A123" s="5" t="n">
        <v>122</v>
      </c>
      <c r="B123" s="5" t="inlineStr">
        <is>
          <t>V6/121/121</t>
        </is>
      </c>
      <c r="C123" s="5" t="inlineStr">
        <is>
          <t>wall</t>
        </is>
      </c>
      <c r="D123" s="5" t="inlineStr">
        <is>
          <t>shear_wall</t>
        </is>
      </c>
      <c r="E123" s="5" t="n">
        <v>4761.5</v>
      </c>
      <c r="F123" s="5" t="n">
        <v>1710.4</v>
      </c>
      <c r="G123" s="5" t="n">
        <v>121</v>
      </c>
      <c r="H123" s="5" t="n">
        <v>30</v>
      </c>
      <c r="I123" s="5" t="inlineStr">
        <is>
          <t>shear_wall</t>
        </is>
      </c>
      <c r="J123" s="5" t="inlineStr">
        <is>
          <t>yes</t>
        </is>
      </c>
      <c r="K123" s="5" t="n">
        <v>121</v>
      </c>
      <c r="L123" s="5" t="n">
        <v>0.11</v>
      </c>
      <c r="M123" s="5" t="n">
        <v>1</v>
      </c>
      <c r="N123" s="5" t="inlineStr">
        <is>
          <t>yes</t>
        </is>
      </c>
    </row>
    <row r="124">
      <c r="A124" s="5" t="n">
        <v>123</v>
      </c>
      <c r="B124" s="5" t="inlineStr">
        <is>
          <t>V8/121/121</t>
        </is>
      </c>
      <c r="C124" s="5" t="inlineStr">
        <is>
          <t>wall</t>
        </is>
      </c>
      <c r="D124" s="5" t="inlineStr">
        <is>
          <t>shear_wall</t>
        </is>
      </c>
      <c r="E124" s="5" t="n">
        <v>4590.6</v>
      </c>
      <c r="F124" s="5" t="n">
        <v>1936.5</v>
      </c>
      <c r="G124" s="5" t="n">
        <v>155</v>
      </c>
      <c r="H124" s="5" t="n">
        <v>4</v>
      </c>
      <c r="I124" s="5" t="inlineStr">
        <is>
          <t>grade_beam</t>
        </is>
      </c>
      <c r="J124" s="5" t="inlineStr">
        <is>
          <t>no</t>
        </is>
      </c>
      <c r="K124" s="5" t="n">
        <v>122</v>
      </c>
      <c r="L124" s="5" t="n">
        <v>0.14</v>
      </c>
      <c r="M124" s="5" t="n">
        <v>0.19</v>
      </c>
      <c r="N124" s="5" t="inlineStr">
        <is>
          <t>yes</t>
        </is>
      </c>
    </row>
    <row r="125">
      <c r="A125" s="5" t="n">
        <v>124</v>
      </c>
      <c r="B125" s="5" t="inlineStr">
        <is>
          <t>V3/121/121</t>
        </is>
      </c>
      <c r="C125" s="5" t="inlineStr">
        <is>
          <t>wall</t>
        </is>
      </c>
      <c r="D125" s="5" t="inlineStr">
        <is>
          <t>shear_wall</t>
        </is>
      </c>
      <c r="E125" s="5" t="n">
        <v>4317.7</v>
      </c>
      <c r="F125" s="5" t="n">
        <v>1574</v>
      </c>
      <c r="G125" s="5" t="n">
        <v>153</v>
      </c>
      <c r="H125" s="5" t="n">
        <v>4</v>
      </c>
      <c r="I125" s="5" t="inlineStr">
        <is>
          <t>grade_beam</t>
        </is>
      </c>
      <c r="J125" s="5" t="inlineStr">
        <is>
          <t>no</t>
        </is>
      </c>
      <c r="K125" s="5" t="n">
        <v>118</v>
      </c>
      <c r="L125" s="5" t="n">
        <v>0.23</v>
      </c>
      <c r="M125" s="5" t="n">
        <v>0</v>
      </c>
      <c r="N125" s="5" t="inlineStr">
        <is>
          <t>yes</t>
        </is>
      </c>
    </row>
    <row r="126">
      <c r="A126" s="5" t="n">
        <v>125</v>
      </c>
      <c r="B126" s="5" t="inlineStr">
        <is>
          <t>V3/121/121</t>
        </is>
      </c>
      <c r="C126" s="5" t="inlineStr">
        <is>
          <t>wall</t>
        </is>
      </c>
      <c r="D126" s="5" t="inlineStr">
        <is>
          <t>shear_wall</t>
        </is>
      </c>
      <c r="E126" s="5" t="n">
        <v>4324</v>
      </c>
      <c r="F126" s="5" t="n">
        <v>1805.2</v>
      </c>
      <c r="G126" s="5" t="n">
        <v>151</v>
      </c>
      <c r="H126" s="5" t="n">
        <v>4</v>
      </c>
      <c r="I126" s="5" t="inlineStr">
        <is>
          <t>grade_beam</t>
        </is>
      </c>
      <c r="J126" s="5" t="inlineStr">
        <is>
          <t>no</t>
        </is>
      </c>
      <c r="K126" s="5" t="n">
        <v>120</v>
      </c>
      <c r="L126" s="5" t="n">
        <v>0.4</v>
      </c>
      <c r="M126" s="5" t="n">
        <v>0</v>
      </c>
      <c r="N126" s="5" t="inlineStr">
        <is>
          <t>yes</t>
        </is>
      </c>
    </row>
    <row r="127">
      <c r="A127" s="5" t="n">
        <v>126</v>
      </c>
      <c r="B127" s="5" t="inlineStr">
        <is>
          <t>V3/121/121</t>
        </is>
      </c>
      <c r="C127" s="5" t="inlineStr">
        <is>
          <t>wall</t>
        </is>
      </c>
      <c r="D127" s="5" t="inlineStr">
        <is>
          <t>shear_wall</t>
        </is>
      </c>
      <c r="E127" s="5" t="n">
        <v>4325</v>
      </c>
      <c r="F127" s="5" t="n">
        <v>2036.5</v>
      </c>
      <c r="G127" s="5" t="n">
        <v>119</v>
      </c>
      <c r="H127" s="5" t="n">
        <v>36</v>
      </c>
      <c r="I127" s="5" t="inlineStr">
        <is>
          <t>shear_wall</t>
        </is>
      </c>
      <c r="J127" s="5" t="inlineStr">
        <is>
          <t>yes</t>
        </is>
      </c>
      <c r="K127" s="5" t="n">
        <v>119</v>
      </c>
      <c r="L127" s="5" t="n">
        <v>0.48</v>
      </c>
      <c r="M127" s="5" t="n">
        <v>0</v>
      </c>
      <c r="N127" s="5" t="inlineStr">
        <is>
          <t>yes</t>
        </is>
      </c>
    </row>
    <row r="128">
      <c r="A128" s="5" t="n">
        <v>127</v>
      </c>
      <c r="B128" s="5" t="inlineStr">
        <is>
          <t>V9/121/121</t>
        </is>
      </c>
      <c r="C128" s="5" t="inlineStr">
        <is>
          <t>wall</t>
        </is>
      </c>
      <c r="D128" s="5" t="inlineStr">
        <is>
          <t>shear_wall</t>
        </is>
      </c>
      <c r="E128" s="5" t="n">
        <v>4974</v>
      </c>
      <c r="F128" s="5" t="n">
        <v>1786.5</v>
      </c>
      <c r="G128" s="5" t="n">
        <v>127</v>
      </c>
      <c r="H128" s="5" t="n">
        <v>28</v>
      </c>
      <c r="I128" s="5" t="inlineStr">
        <is>
          <t>retaining_wall</t>
        </is>
      </c>
      <c r="J128" s="5" t="inlineStr">
        <is>
          <t>no</t>
        </is>
      </c>
      <c r="K128" s="5" t="n">
        <v>123</v>
      </c>
      <c r="L128" s="5" t="n">
        <v>0.25</v>
      </c>
      <c r="M128" s="5" t="n">
        <v>0.18</v>
      </c>
      <c r="N128" s="5" t="inlineStr">
        <is>
          <t>yes</t>
        </is>
      </c>
    </row>
    <row r="129">
      <c r="A129" s="5" t="n">
        <v>128</v>
      </c>
      <c r="B129" s="5" t="inlineStr">
        <is>
          <t>V1/122/122</t>
        </is>
      </c>
      <c r="C129" s="5" t="inlineStr">
        <is>
          <t>wall</t>
        </is>
      </c>
      <c r="D129" s="5" t="inlineStr">
        <is>
          <t>shear_wall</t>
        </is>
      </c>
      <c r="E129" s="5" t="n">
        <v>4539.6</v>
      </c>
      <c r="F129" s="5" t="n">
        <v>2154.2</v>
      </c>
      <c r="G129" s="5" t="n">
        <v>237</v>
      </c>
      <c r="H129" s="5" t="n">
        <v>37</v>
      </c>
      <c r="I129" s="5" t="inlineStr">
        <is>
          <t>shear_wall</t>
        </is>
      </c>
      <c r="J129" s="5" t="inlineStr">
        <is>
          <t>yes</t>
        </is>
      </c>
      <c r="K129" s="5" t="n">
        <v>237</v>
      </c>
      <c r="L129" s="5" t="n">
        <v>0.22</v>
      </c>
      <c r="M129" s="5" t="n">
        <v>0</v>
      </c>
      <c r="N129" s="5" t="inlineStr">
        <is>
          <t>yes</t>
        </is>
      </c>
    </row>
    <row r="130">
      <c r="A130" s="5" t="n">
        <v>129</v>
      </c>
      <c r="B130" s="5" t="inlineStr">
        <is>
          <t>V1/122/122</t>
        </is>
      </c>
      <c r="C130" s="5" t="inlineStr">
        <is>
          <t>wall</t>
        </is>
      </c>
      <c r="D130" s="5" t="inlineStr">
        <is>
          <t>shear_wall</t>
        </is>
      </c>
      <c r="E130" s="5" t="n">
        <v>4760.4</v>
      </c>
      <c r="F130" s="5" t="n">
        <v>2153.1</v>
      </c>
      <c r="G130" s="5" t="n">
        <v>236</v>
      </c>
      <c r="H130" s="5" t="n">
        <v>37</v>
      </c>
      <c r="I130" s="5" t="inlineStr">
        <is>
          <t>shear_wall</t>
        </is>
      </c>
      <c r="J130" s="5" t="inlineStr">
        <is>
          <t>yes</t>
        </is>
      </c>
      <c r="K130" s="5" t="n">
        <v>236</v>
      </c>
      <c r="L130" s="5" t="n">
        <v>0.21</v>
      </c>
      <c r="M130" s="5" t="n">
        <v>0</v>
      </c>
      <c r="N130" s="5" t="inlineStr">
        <is>
          <t>yes</t>
        </is>
      </c>
    </row>
    <row r="131">
      <c r="A131" s="5" t="n">
        <v>130</v>
      </c>
      <c r="B131" s="5" t="inlineStr">
        <is>
          <t>V1/122/122</t>
        </is>
      </c>
      <c r="C131" s="5" t="inlineStr">
        <is>
          <t>wall</t>
        </is>
      </c>
      <c r="D131" s="5" t="inlineStr">
        <is>
          <t>shear_wall</t>
        </is>
      </c>
      <c r="E131" s="5" t="n">
        <v>4996.9</v>
      </c>
      <c r="F131" s="5" t="n">
        <v>2934.4</v>
      </c>
      <c r="G131" s="5" t="n">
        <v>235</v>
      </c>
      <c r="H131" s="5" t="n">
        <v>37</v>
      </c>
      <c r="I131" s="5" t="inlineStr">
        <is>
          <t>shear_wall</t>
        </is>
      </c>
      <c r="J131" s="5" t="inlineStr">
        <is>
          <t>yes</t>
        </is>
      </c>
      <c r="K131" s="5" t="n">
        <v>235</v>
      </c>
      <c r="L131" s="5" t="n">
        <v>0.14</v>
      </c>
      <c r="M131" s="5" t="n">
        <v>0</v>
      </c>
      <c r="N131" s="5" t="inlineStr">
        <is>
          <t>yes</t>
        </is>
      </c>
    </row>
    <row r="132">
      <c r="A132" s="5" t="n">
        <v>131</v>
      </c>
      <c r="B132" s="5" t="inlineStr">
        <is>
          <t>V1/122/122</t>
        </is>
      </c>
      <c r="C132" s="5" t="inlineStr">
        <is>
          <t>wall</t>
        </is>
      </c>
      <c r="D132" s="5" t="inlineStr">
        <is>
          <t>shear_wall</t>
        </is>
      </c>
      <c r="E132" s="5" t="n">
        <v>4768.8</v>
      </c>
      <c r="F132" s="5" t="n">
        <v>2977.1</v>
      </c>
      <c r="G132" s="5" t="n">
        <v>238</v>
      </c>
      <c r="H132" s="5" t="n">
        <v>35</v>
      </c>
      <c r="I132" s="5" t="inlineStr">
        <is>
          <t>shear_wall</t>
        </is>
      </c>
      <c r="J132" s="5" t="inlineStr">
        <is>
          <t>yes</t>
        </is>
      </c>
      <c r="K132" s="5" t="n">
        <v>238</v>
      </c>
      <c r="L132" s="5" t="n">
        <v>0.14</v>
      </c>
      <c r="M132" s="5" t="n">
        <v>0</v>
      </c>
      <c r="N132" s="5" t="inlineStr">
        <is>
          <t>yes</t>
        </is>
      </c>
    </row>
    <row r="133">
      <c r="A133" s="5" t="n">
        <v>132</v>
      </c>
      <c r="B133" s="5" t="inlineStr">
        <is>
          <t>V2/122/122</t>
        </is>
      </c>
      <c r="C133" s="5" t="inlineStr">
        <is>
          <t>wall</t>
        </is>
      </c>
      <c r="D133" s="5" t="inlineStr">
        <is>
          <t>shear_wall</t>
        </is>
      </c>
      <c r="E133" s="5" t="n">
        <v>4538.5</v>
      </c>
      <c r="F133" s="5" t="n">
        <v>2320.8</v>
      </c>
      <c r="G133" s="5" t="n">
        <v>360</v>
      </c>
      <c r="H133" s="5" t="n">
        <v>8</v>
      </c>
      <c r="I133" s="5" t="inlineStr">
        <is>
          <t>unnamed</t>
        </is>
      </c>
      <c r="J133" s="5" t="inlineStr">
        <is>
          <t>unnamed</t>
        </is>
      </c>
      <c r="K133" s="5" t="n">
        <v>239</v>
      </c>
      <c r="L133" s="5" t="n">
        <v>0.12</v>
      </c>
      <c r="M133" s="5" t="n">
        <v>0.01</v>
      </c>
      <c r="N133" s="5" t="inlineStr">
        <is>
          <t>yes</t>
        </is>
      </c>
    </row>
    <row r="134">
      <c r="A134" s="5" t="n">
        <v>133</v>
      </c>
      <c r="B134" s="5" t="inlineStr">
        <is>
          <t>V2/122/122</t>
        </is>
      </c>
      <c r="C134" s="5" t="inlineStr">
        <is>
          <t>wall</t>
        </is>
      </c>
      <c r="D134" s="5" t="inlineStr">
        <is>
          <t>shear_wall</t>
        </is>
      </c>
      <c r="E134" s="5" t="n">
        <v>4538.5</v>
      </c>
      <c r="F134" s="5" t="n">
        <v>2808.3</v>
      </c>
      <c r="G134" s="5" t="n">
        <v>240</v>
      </c>
      <c r="H134" s="5" t="n">
        <v>35</v>
      </c>
      <c r="I134" s="5" t="inlineStr">
        <is>
          <t>shear_wall</t>
        </is>
      </c>
      <c r="J134" s="5" t="inlineStr">
        <is>
          <t>yes</t>
        </is>
      </c>
      <c r="K134" s="5" t="n">
        <v>240</v>
      </c>
      <c r="L134" s="5" t="n">
        <v>0.12</v>
      </c>
      <c r="M134" s="5" t="n">
        <v>0.03</v>
      </c>
      <c r="N134" s="5" t="inlineStr">
        <is>
          <t>yes</t>
        </is>
      </c>
    </row>
    <row r="135">
      <c r="A135" s="5" t="n">
        <v>134</v>
      </c>
      <c r="B135" s="5" t="inlineStr">
        <is>
          <t>V3/122/122</t>
        </is>
      </c>
      <c r="C135" s="5" t="inlineStr">
        <is>
          <t>wall</t>
        </is>
      </c>
      <c r="D135" s="5" t="inlineStr">
        <is>
          <t>shear_wall</t>
        </is>
      </c>
      <c r="E135" s="5" t="n">
        <v>4538.5</v>
      </c>
      <c r="F135" s="5" t="n">
        <v>2490.6</v>
      </c>
      <c r="G135" s="5" t="n">
        <v>291</v>
      </c>
      <c r="H135" s="5" t="n">
        <v>4</v>
      </c>
      <c r="I135" s="5" t="inlineStr">
        <is>
          <t>grade_beam</t>
        </is>
      </c>
      <c r="J135" s="5" t="inlineStr">
        <is>
          <t>no</t>
        </is>
      </c>
      <c r="K135" s="5" t="n">
        <v>241</v>
      </c>
      <c r="L135" s="5" t="n">
        <v>0.13</v>
      </c>
      <c r="M135" s="5" t="n">
        <v>0.02</v>
      </c>
      <c r="N135" s="5" t="inlineStr">
        <is>
          <t>yes</t>
        </is>
      </c>
    </row>
    <row r="136">
      <c r="A136" s="5" t="n">
        <v>135</v>
      </c>
      <c r="B136" s="5" t="inlineStr">
        <is>
          <t>V4/122/122</t>
        </is>
      </c>
      <c r="C136" s="5" t="inlineStr">
        <is>
          <t>wall</t>
        </is>
      </c>
      <c r="D136" s="5" t="inlineStr">
        <is>
          <t>shear_wall</t>
        </is>
      </c>
      <c r="E136" s="5" t="n">
        <v>4538.5</v>
      </c>
      <c r="F136" s="5" t="n">
        <v>2607.3</v>
      </c>
      <c r="G136" s="5" t="n">
        <v>295</v>
      </c>
      <c r="H136" s="5" t="n">
        <v>4</v>
      </c>
      <c r="I136" s="5" t="inlineStr">
        <is>
          <t>grade_beam</t>
        </is>
      </c>
      <c r="J136" s="5" t="inlineStr">
        <is>
          <t>no</t>
        </is>
      </c>
      <c r="K136" s="5" t="n">
        <v>244</v>
      </c>
      <c r="L136" s="5" t="n">
        <v>0.12</v>
      </c>
      <c r="M136" s="5" t="n">
        <v>0.02</v>
      </c>
      <c r="N136" s="5" t="inlineStr">
        <is>
          <t>yes</t>
        </is>
      </c>
    </row>
    <row r="137">
      <c r="A137" s="5" t="n">
        <v>136</v>
      </c>
      <c r="B137" s="5" t="inlineStr">
        <is>
          <t>V4/122/122</t>
        </is>
      </c>
      <c r="C137" s="5" t="inlineStr">
        <is>
          <t>wall</t>
        </is>
      </c>
      <c r="D137" s="5" t="inlineStr">
        <is>
          <t>shear_wall</t>
        </is>
      </c>
      <c r="E137" s="5" t="n">
        <v>4605.2</v>
      </c>
      <c r="F137" s="5" t="n">
        <v>3008.3</v>
      </c>
      <c r="G137" s="5" t="n">
        <v>363</v>
      </c>
      <c r="H137" s="5" t="n">
        <v>11</v>
      </c>
      <c r="I137" s="5" t="inlineStr">
        <is>
          <t>unnamed</t>
        </is>
      </c>
      <c r="J137" s="5" t="inlineStr">
        <is>
          <t>unnamed</t>
        </is>
      </c>
      <c r="K137" s="5" t="n">
        <v>243</v>
      </c>
      <c r="L137" s="5" t="n">
        <v>0.13</v>
      </c>
      <c r="M137" s="5" t="n">
        <v>0.14</v>
      </c>
      <c r="N137" s="5" t="inlineStr">
        <is>
          <t>yes</t>
        </is>
      </c>
    </row>
    <row r="138">
      <c r="A138" s="5" t="n">
        <v>137</v>
      </c>
      <c r="B138" s="5" t="inlineStr">
        <is>
          <t>V4/122/122</t>
        </is>
      </c>
      <c r="C138" s="5" t="inlineStr">
        <is>
          <t>wall</t>
        </is>
      </c>
      <c r="D138" s="5" t="inlineStr">
        <is>
          <t>shear_wall</t>
        </is>
      </c>
      <c r="E138" s="5" t="n">
        <v>4963.5</v>
      </c>
      <c r="F138" s="5" t="n">
        <v>2509.4</v>
      </c>
      <c r="G138" s="5" t="n">
        <v>242</v>
      </c>
      <c r="H138" s="5" t="n">
        <v>37</v>
      </c>
      <c r="I138" s="5" t="inlineStr">
        <is>
          <t>shear_wall</t>
        </is>
      </c>
      <c r="J138" s="5" t="inlineStr">
        <is>
          <t>yes</t>
        </is>
      </c>
      <c r="K138" s="5" t="n">
        <v>242</v>
      </c>
      <c r="L138" s="5" t="n">
        <v>0.23</v>
      </c>
      <c r="M138" s="5" t="n">
        <v>0.08</v>
      </c>
      <c r="N138" s="5" t="inlineStr">
        <is>
          <t>yes</t>
        </is>
      </c>
    </row>
    <row r="139">
      <c r="A139" s="5" t="n">
        <v>138</v>
      </c>
      <c r="B139" s="5" t="inlineStr">
        <is>
          <t>V5/122/122</t>
        </is>
      </c>
      <c r="C139" s="5" t="inlineStr">
        <is>
          <t>wall</t>
        </is>
      </c>
      <c r="D139" s="5" t="inlineStr">
        <is>
          <t>shear_wall</t>
        </is>
      </c>
      <c r="E139" s="5" t="n">
        <v>4761.5</v>
      </c>
      <c r="F139" s="5" t="n">
        <v>2574</v>
      </c>
      <c r="G139" s="5" t="n">
        <v>261</v>
      </c>
      <c r="H139" s="5" t="n">
        <v>17</v>
      </c>
      <c r="I139" s="5" t="inlineStr">
        <is>
          <t>isolated_footing</t>
        </is>
      </c>
      <c r="J139" s="5" t="inlineStr">
        <is>
          <t>no</t>
        </is>
      </c>
      <c r="K139" s="5" t="n">
        <v>245</v>
      </c>
      <c r="L139" s="5" t="n">
        <v>0.12</v>
      </c>
      <c r="M139" s="5" t="n">
        <v>1</v>
      </c>
      <c r="N139" s="5" t="inlineStr">
        <is>
          <t>yes</t>
        </is>
      </c>
    </row>
    <row r="140">
      <c r="A140" s="5" t="n">
        <v>139</v>
      </c>
      <c r="B140" s="5" t="inlineStr">
        <is>
          <t>V5/122/122</t>
        </is>
      </c>
      <c r="C140" s="5" t="inlineStr">
        <is>
          <t>wall</t>
        </is>
      </c>
      <c r="D140" s="5" t="inlineStr">
        <is>
          <t>shear_wall</t>
        </is>
      </c>
      <c r="E140" s="5" t="n">
        <v>4761.5</v>
      </c>
      <c r="F140" s="5" t="n">
        <v>2331.2</v>
      </c>
      <c r="G140" s="5" t="n">
        <v>290</v>
      </c>
      <c r="H140" s="5" t="n">
        <v>4</v>
      </c>
      <c r="I140" s="5" t="inlineStr">
        <is>
          <t>grade_beam</t>
        </is>
      </c>
      <c r="J140" s="5" t="inlineStr">
        <is>
          <t>no</t>
        </is>
      </c>
      <c r="K140" s="5" t="n">
        <v>246</v>
      </c>
      <c r="L140" s="5" t="n">
        <v>0.1</v>
      </c>
      <c r="M140" s="5" t="n">
        <v>1</v>
      </c>
      <c r="N140" s="5" t="inlineStr">
        <is>
          <t>yes</t>
        </is>
      </c>
    </row>
    <row r="141">
      <c r="A141" s="5" t="n">
        <v>140</v>
      </c>
      <c r="B141" s="5" t="inlineStr">
        <is>
          <t>V6/122/122</t>
        </is>
      </c>
      <c r="C141" s="5" t="inlineStr">
        <is>
          <t>wall</t>
        </is>
      </c>
      <c r="D141" s="5" t="inlineStr">
        <is>
          <t>shear_wall</t>
        </is>
      </c>
      <c r="E141" s="5" t="n">
        <v>4349</v>
      </c>
      <c r="F141" s="5" t="n">
        <v>2154.2</v>
      </c>
      <c r="G141" s="5" t="n">
        <v>147</v>
      </c>
      <c r="H141" s="5" t="n">
        <v>2</v>
      </c>
      <c r="I141" s="5" t="inlineStr">
        <is>
          <t>grade_beam</t>
        </is>
      </c>
      <c r="J141" s="5" t="inlineStr">
        <is>
          <t>no</t>
        </is>
      </c>
      <c r="K141" s="5" t="n">
        <v>251</v>
      </c>
      <c r="L141" s="5" t="n">
        <v>0.35</v>
      </c>
      <c r="M141" s="5" t="n">
        <v>0</v>
      </c>
      <c r="N141" s="5" t="inlineStr">
        <is>
          <t>yes</t>
        </is>
      </c>
    </row>
    <row r="142">
      <c r="A142" s="5" t="n">
        <v>141</v>
      </c>
      <c r="B142" s="5" t="inlineStr">
        <is>
          <t>V6/122/122</t>
        </is>
      </c>
      <c r="C142" s="5" t="inlineStr">
        <is>
          <t>wall</t>
        </is>
      </c>
      <c r="D142" s="5" t="inlineStr">
        <is>
          <t>shear_wall</t>
        </is>
      </c>
      <c r="E142" s="5" t="n">
        <v>4350</v>
      </c>
      <c r="F142" s="5" t="n">
        <v>2269.8</v>
      </c>
      <c r="G142" s="5" t="n">
        <v>249</v>
      </c>
      <c r="H142" s="5" t="n">
        <v>35</v>
      </c>
      <c r="I142" s="5" t="inlineStr">
        <is>
          <t>shear_wall</t>
        </is>
      </c>
      <c r="J142" s="5" t="inlineStr">
        <is>
          <t>yes</t>
        </is>
      </c>
      <c r="K142" s="5" t="n">
        <v>249</v>
      </c>
      <c r="L142" s="5" t="n">
        <v>0.37</v>
      </c>
      <c r="M142" s="5" t="n">
        <v>0</v>
      </c>
      <c r="N142" s="5" t="inlineStr">
        <is>
          <t>yes</t>
        </is>
      </c>
    </row>
    <row r="143">
      <c r="A143" s="5" t="n">
        <v>142</v>
      </c>
      <c r="B143" s="5" t="inlineStr">
        <is>
          <t>V6/122/122</t>
        </is>
      </c>
      <c r="C143" s="5" t="inlineStr">
        <is>
          <t>wall</t>
        </is>
      </c>
      <c r="D143" s="5" t="inlineStr">
        <is>
          <t>shear_wall</t>
        </is>
      </c>
      <c r="E143" s="5" t="n">
        <v>4346.9</v>
      </c>
      <c r="F143" s="5" t="n">
        <v>2502.1</v>
      </c>
      <c r="G143" s="5" t="n">
        <v>291</v>
      </c>
      <c r="H143" s="5" t="n">
        <v>4</v>
      </c>
      <c r="I143" s="5" t="inlineStr">
        <is>
          <t>grade_beam</t>
        </is>
      </c>
      <c r="J143" s="5" t="inlineStr">
        <is>
          <t>no</t>
        </is>
      </c>
      <c r="K143" s="5" t="n">
        <v>248</v>
      </c>
      <c r="L143" s="5" t="n">
        <v>0.34</v>
      </c>
      <c r="M143" s="5" t="n">
        <v>0</v>
      </c>
      <c r="N143" s="5" t="inlineStr">
        <is>
          <t>yes</t>
        </is>
      </c>
    </row>
    <row r="144">
      <c r="A144" s="5" t="n">
        <v>143</v>
      </c>
      <c r="B144" s="5" t="inlineStr">
        <is>
          <t>V6/122/122</t>
        </is>
      </c>
      <c r="C144" s="5" t="inlineStr">
        <is>
          <t>wall</t>
        </is>
      </c>
      <c r="D144" s="5" t="inlineStr">
        <is>
          <t>shear_wall</t>
        </is>
      </c>
      <c r="E144" s="5" t="n">
        <v>4346.9</v>
      </c>
      <c r="F144" s="5" t="n">
        <v>2730.2</v>
      </c>
      <c r="G144" s="5" t="n">
        <v>293</v>
      </c>
      <c r="H144" s="5" t="n">
        <v>4</v>
      </c>
      <c r="I144" s="5" t="inlineStr">
        <is>
          <t>grade_beam</t>
        </is>
      </c>
      <c r="J144" s="5" t="inlineStr">
        <is>
          <t>no</t>
        </is>
      </c>
      <c r="K144" s="5" t="n">
        <v>250</v>
      </c>
      <c r="L144" s="5" t="n">
        <v>0.3</v>
      </c>
      <c r="M144" s="5" t="n">
        <v>0</v>
      </c>
      <c r="N144" s="5" t="inlineStr">
        <is>
          <t>yes</t>
        </is>
      </c>
    </row>
    <row r="145">
      <c r="A145" s="5" t="n">
        <v>144</v>
      </c>
      <c r="B145" s="5" t="inlineStr">
        <is>
          <t>V6/122/122</t>
        </is>
      </c>
      <c r="C145" s="5" t="inlineStr">
        <is>
          <t>wall</t>
        </is>
      </c>
      <c r="D145" s="5" t="inlineStr">
        <is>
          <t>shear_wall</t>
        </is>
      </c>
      <c r="E145" s="5" t="n">
        <v>4217.7</v>
      </c>
      <c r="F145" s="5" t="n">
        <v>2755.2</v>
      </c>
      <c r="G145" s="5" t="n">
        <v>252</v>
      </c>
      <c r="H145" s="5" t="n">
        <v>35</v>
      </c>
      <c r="I145" s="5" t="inlineStr">
        <is>
          <t>shear_wall</t>
        </is>
      </c>
      <c r="J145" s="5" t="inlineStr">
        <is>
          <t>yes</t>
        </is>
      </c>
      <c r="K145" s="5" t="n">
        <v>252</v>
      </c>
      <c r="L145" s="5" t="n">
        <v>0.76</v>
      </c>
      <c r="M145" s="5" t="n">
        <v>0</v>
      </c>
      <c r="N145" s="5" t="inlineStr">
        <is>
          <t>yes</t>
        </is>
      </c>
    </row>
    <row r="146">
      <c r="A146" s="5" t="n">
        <v>145</v>
      </c>
      <c r="B146" s="5" t="inlineStr">
        <is>
          <t>V6/122/122</t>
        </is>
      </c>
      <c r="C146" s="5" t="inlineStr">
        <is>
          <t>wall</t>
        </is>
      </c>
      <c r="D146" s="5" t="inlineStr">
        <is>
          <t>shear_wall</t>
        </is>
      </c>
      <c r="E146" s="5" t="n">
        <v>4240.6</v>
      </c>
      <c r="F146" s="5" t="n">
        <v>2879.2</v>
      </c>
      <c r="G146" s="5" t="n">
        <v>275</v>
      </c>
      <c r="H146" s="5" t="n">
        <v>23</v>
      </c>
      <c r="I146" s="5" t="inlineStr">
        <is>
          <t>combined_footing</t>
        </is>
      </c>
      <c r="J146" s="5" t="inlineStr">
        <is>
          <t>no</t>
        </is>
      </c>
      <c r="K146" s="5" t="n">
        <v>247</v>
      </c>
      <c r="L146" s="5" t="n">
        <v>0.74</v>
      </c>
      <c r="M146" s="5" t="n">
        <v>0</v>
      </c>
      <c r="N146" s="5" t="inlineStr">
        <is>
          <t>yes</t>
        </is>
      </c>
    </row>
    <row r="147">
      <c r="A147" s="5" t="n">
        <v>146</v>
      </c>
      <c r="B147" s="5" t="inlineStr">
        <is>
          <t>V1/123/123</t>
        </is>
      </c>
      <c r="C147" s="5" t="inlineStr">
        <is>
          <t>wall</t>
        </is>
      </c>
      <c r="D147" s="5" t="inlineStr">
        <is>
          <t>shear_wall</t>
        </is>
      </c>
      <c r="E147" s="5" t="n">
        <v>4362.5</v>
      </c>
      <c r="F147" s="5" t="n">
        <v>3544.8</v>
      </c>
      <c r="G147" s="5" t="n">
        <v>376</v>
      </c>
      <c r="H147" s="5" t="n">
        <v>30</v>
      </c>
      <c r="I147" s="5" t="inlineStr">
        <is>
          <t>shear_wall</t>
        </is>
      </c>
      <c r="J147" s="5" t="inlineStr">
        <is>
          <t>yes</t>
        </is>
      </c>
      <c r="K147" s="5" t="n">
        <v>376</v>
      </c>
      <c r="L147" s="5" t="n">
        <v>0.67</v>
      </c>
      <c r="M147" s="5" t="n">
        <v>0</v>
      </c>
      <c r="N147" s="5" t="inlineStr">
        <is>
          <t>yes</t>
        </is>
      </c>
    </row>
    <row r="148">
      <c r="A148" s="5" t="n">
        <v>147</v>
      </c>
      <c r="B148" s="5" t="inlineStr">
        <is>
          <t>V6/123/123</t>
        </is>
      </c>
      <c r="C148" s="5" t="inlineStr">
        <is>
          <t>wall</t>
        </is>
      </c>
      <c r="D148" s="5" t="inlineStr">
        <is>
          <t>shear_wall</t>
        </is>
      </c>
      <c r="E148" s="5" t="n">
        <v>4999</v>
      </c>
      <c r="F148" s="5" t="n">
        <v>2965.6</v>
      </c>
      <c r="G148" s="5" t="n">
        <v>387</v>
      </c>
      <c r="H148" s="5" t="n">
        <v>37</v>
      </c>
      <c r="I148" s="5" t="inlineStr">
        <is>
          <t>shear_wall</t>
        </is>
      </c>
      <c r="J148" s="5" t="inlineStr">
        <is>
          <t>yes</t>
        </is>
      </c>
      <c r="K148" s="5" t="n">
        <v>387</v>
      </c>
      <c r="L148" s="5" t="n">
        <v>0.22</v>
      </c>
      <c r="M148" s="5" t="n">
        <v>0</v>
      </c>
      <c r="N148" s="5" t="inlineStr">
        <is>
          <t>yes</t>
        </is>
      </c>
    </row>
    <row r="149">
      <c r="A149" s="5" t="n">
        <v>148</v>
      </c>
      <c r="B149" s="5" t="inlineStr">
        <is>
          <t>V2/123/123</t>
        </is>
      </c>
      <c r="C149" s="5" t="inlineStr">
        <is>
          <t>wall</t>
        </is>
      </c>
      <c r="D149" s="5" t="inlineStr">
        <is>
          <t>shear_wall</t>
        </is>
      </c>
      <c r="E149" s="5" t="n">
        <v>4553.1</v>
      </c>
      <c r="F149" s="5" t="n">
        <v>3488.5</v>
      </c>
      <c r="G149" s="5" t="n">
        <v>415</v>
      </c>
      <c r="H149" s="5" t="n">
        <v>4</v>
      </c>
      <c r="I149" s="5" t="inlineStr">
        <is>
          <t>grade_beam</t>
        </is>
      </c>
      <c r="J149" s="5" t="inlineStr">
        <is>
          <t>no</t>
        </is>
      </c>
      <c r="K149" s="5" t="n">
        <v>379</v>
      </c>
      <c r="L149" s="5" t="n">
        <v>0.8100000000000001</v>
      </c>
      <c r="M149" s="5" t="n">
        <v>0.99</v>
      </c>
      <c r="N149" s="5" t="inlineStr">
        <is>
          <t>yes</t>
        </is>
      </c>
    </row>
    <row r="150">
      <c r="A150" s="5" t="n">
        <v>149</v>
      </c>
      <c r="B150" s="5" t="inlineStr">
        <is>
          <t>V2/123/123</t>
        </is>
      </c>
      <c r="C150" s="5" t="inlineStr">
        <is>
          <t>wall</t>
        </is>
      </c>
      <c r="D150" s="5" t="inlineStr">
        <is>
          <t>shear_wall</t>
        </is>
      </c>
      <c r="E150" s="5" t="n">
        <v>4734.4</v>
      </c>
      <c r="F150" s="5" t="n">
        <v>3431.3</v>
      </c>
      <c r="G150" s="5" t="n">
        <v>414</v>
      </c>
      <c r="H150" s="5" t="n">
        <v>4</v>
      </c>
      <c r="I150" s="5" t="inlineStr">
        <is>
          <t>grade_beam</t>
        </is>
      </c>
      <c r="J150" s="5" t="inlineStr">
        <is>
          <t>no</t>
        </is>
      </c>
      <c r="K150" s="5" t="n">
        <v>377</v>
      </c>
      <c r="L150" s="5" t="n">
        <v>0.72</v>
      </c>
      <c r="M150" s="5" t="n">
        <v>0.99</v>
      </c>
      <c r="N150" s="5" t="inlineStr">
        <is>
          <t>yes</t>
        </is>
      </c>
    </row>
    <row r="151">
      <c r="A151" s="5" t="n">
        <v>150</v>
      </c>
      <c r="B151" s="5" t="inlineStr">
        <is>
          <t>V2/123/123</t>
        </is>
      </c>
      <c r="C151" s="5" t="inlineStr">
        <is>
          <t>wall</t>
        </is>
      </c>
      <c r="D151" s="5" t="inlineStr">
        <is>
          <t>shear_wall</t>
        </is>
      </c>
      <c r="E151" s="5" t="n">
        <v>4453.1</v>
      </c>
      <c r="F151" s="5" t="n">
        <v>3110.4</v>
      </c>
      <c r="G151" s="5" t="n">
        <v>402</v>
      </c>
      <c r="H151" s="5" t="n">
        <v>6</v>
      </c>
      <c r="I151" s="5" t="inlineStr">
        <is>
          <t>strip_footing</t>
        </is>
      </c>
      <c r="J151" s="5" t="inlineStr">
        <is>
          <t>no</t>
        </is>
      </c>
      <c r="K151" s="5" t="n">
        <v>378</v>
      </c>
      <c r="L151" s="5" t="n">
        <v>0.78</v>
      </c>
      <c r="M151" s="5" t="n">
        <v>1</v>
      </c>
      <c r="N151" s="5" t="inlineStr">
        <is>
          <t>yes</t>
        </is>
      </c>
    </row>
    <row r="152">
      <c r="A152" s="5" t="n">
        <v>151</v>
      </c>
      <c r="B152" s="5" t="inlineStr">
        <is>
          <t>V3/123/123</t>
        </is>
      </c>
      <c r="C152" s="5" t="inlineStr">
        <is>
          <t>wall</t>
        </is>
      </c>
      <c r="D152" s="5" t="inlineStr">
        <is>
          <t>shear_wall</t>
        </is>
      </c>
      <c r="E152" s="5" t="n">
        <v>4330.2</v>
      </c>
      <c r="F152" s="5" t="n">
        <v>3360.4</v>
      </c>
      <c r="G152" s="5" t="n">
        <v>468</v>
      </c>
      <c r="H152" s="5" t="n">
        <v>28</v>
      </c>
      <c r="I152" s="5" t="inlineStr">
        <is>
          <t>retaining_wall</t>
        </is>
      </c>
      <c r="J152" s="5" t="inlineStr">
        <is>
          <t>no</t>
        </is>
      </c>
      <c r="K152" s="5" t="n">
        <v>384</v>
      </c>
      <c r="L152" s="5" t="n">
        <v>0.75</v>
      </c>
      <c r="M152" s="5" t="n">
        <v>1</v>
      </c>
      <c r="N152" s="5" t="inlineStr">
        <is>
          <t>yes</t>
        </is>
      </c>
    </row>
    <row r="153">
      <c r="A153" s="5" t="n">
        <v>152</v>
      </c>
      <c r="B153" s="5" t="inlineStr">
        <is>
          <t>V3/123/123</t>
        </is>
      </c>
      <c r="C153" s="5" t="inlineStr">
        <is>
          <t>wall</t>
        </is>
      </c>
      <c r="D153" s="5" t="inlineStr">
        <is>
          <t>shear_wall</t>
        </is>
      </c>
      <c r="E153" s="5" t="n">
        <v>4288.5</v>
      </c>
      <c r="F153" s="5" t="n">
        <v>3138.5</v>
      </c>
      <c r="G153" s="5" t="n">
        <v>512</v>
      </c>
      <c r="H153" s="5" t="n">
        <v>10</v>
      </c>
      <c r="I153" s="5" t="inlineStr">
        <is>
          <t>unnamed</t>
        </is>
      </c>
      <c r="J153" s="5" t="inlineStr">
        <is>
          <t>unnamed</t>
        </is>
      </c>
      <c r="K153" s="5" t="n">
        <v>383</v>
      </c>
      <c r="L153" s="5" t="n">
        <v>0.76</v>
      </c>
      <c r="M153" s="5" t="n">
        <v>0.99</v>
      </c>
      <c r="N153" s="5" t="inlineStr">
        <is>
          <t>yes</t>
        </is>
      </c>
    </row>
    <row r="154">
      <c r="A154" s="5" t="n">
        <v>153</v>
      </c>
      <c r="B154" s="5" t="inlineStr">
        <is>
          <t>V3/123/123</t>
        </is>
      </c>
      <c r="C154" s="5" t="inlineStr">
        <is>
          <t>wall</t>
        </is>
      </c>
      <c r="D154" s="5" t="inlineStr">
        <is>
          <t>shear_wall</t>
        </is>
      </c>
      <c r="E154" s="5" t="n">
        <v>4657.3</v>
      </c>
      <c r="F154" s="5" t="n">
        <v>3278.1</v>
      </c>
      <c r="G154" s="5" t="n">
        <v>381</v>
      </c>
      <c r="H154" s="5" t="n">
        <v>36</v>
      </c>
      <c r="I154" s="5" t="inlineStr">
        <is>
          <t>shear_wall</t>
        </is>
      </c>
      <c r="J154" s="5" t="inlineStr">
        <is>
          <t>yes</t>
        </is>
      </c>
      <c r="K154" s="5" t="n">
        <v>381</v>
      </c>
      <c r="L154" s="5" t="n">
        <v>0.2</v>
      </c>
      <c r="M154" s="5" t="n">
        <v>0.26</v>
      </c>
      <c r="N154" s="5" t="inlineStr">
        <is>
          <t>yes</t>
        </is>
      </c>
    </row>
    <row r="155">
      <c r="A155" s="5" t="n">
        <v>154</v>
      </c>
      <c r="B155" s="5" t="inlineStr">
        <is>
          <t>V3/123/123</t>
        </is>
      </c>
      <c r="C155" s="5" t="inlineStr">
        <is>
          <t>wall</t>
        </is>
      </c>
      <c r="D155" s="5" t="inlineStr">
        <is>
          <t>shear_wall</t>
        </is>
      </c>
      <c r="E155" s="5" t="n">
        <v>4863.5</v>
      </c>
      <c r="F155" s="5" t="n">
        <v>3238.5</v>
      </c>
      <c r="G155" s="5" t="n">
        <v>382</v>
      </c>
      <c r="H155" s="5" t="n">
        <v>36</v>
      </c>
      <c r="I155" s="5" t="inlineStr">
        <is>
          <t>shear_wall</t>
        </is>
      </c>
      <c r="J155" s="5" t="inlineStr">
        <is>
          <t>yes</t>
        </is>
      </c>
      <c r="K155" s="5" t="n">
        <v>382</v>
      </c>
      <c r="L155" s="5" t="n">
        <v>0.18</v>
      </c>
      <c r="M155" s="5" t="n">
        <v>0.09</v>
      </c>
      <c r="N155" s="5" t="inlineStr">
        <is>
          <t>yes</t>
        </is>
      </c>
    </row>
    <row r="156">
      <c r="A156" s="5" t="n">
        <v>155</v>
      </c>
      <c r="B156" s="5" t="inlineStr">
        <is>
          <t>V7/123/123</t>
        </is>
      </c>
      <c r="C156" s="5" t="inlineStr">
        <is>
          <t>wall</t>
        </is>
      </c>
      <c r="D156" s="5" t="inlineStr">
        <is>
          <t>shear_wall</t>
        </is>
      </c>
      <c r="E156" s="5" t="n">
        <v>5009.4</v>
      </c>
      <c r="F156" s="5" t="n">
        <v>3138.5</v>
      </c>
      <c r="G156" s="5" t="n">
        <v>388</v>
      </c>
      <c r="H156" s="5" t="n">
        <v>37</v>
      </c>
      <c r="I156" s="5" t="inlineStr">
        <is>
          <t>shear_wall</t>
        </is>
      </c>
      <c r="J156" s="5" t="inlineStr">
        <is>
          <t>yes</t>
        </is>
      </c>
      <c r="K156" s="5" t="n">
        <v>388</v>
      </c>
      <c r="L156" s="5" t="n">
        <v>0.16</v>
      </c>
      <c r="M156" s="5" t="n">
        <v>0.25</v>
      </c>
      <c r="N156" s="5" t="inlineStr">
        <is>
          <t>yes</t>
        </is>
      </c>
    </row>
    <row r="157">
      <c r="A157" s="5" t="n">
        <v>156</v>
      </c>
      <c r="B157" s="5" t="inlineStr">
        <is>
          <t>V4/123/123</t>
        </is>
      </c>
      <c r="C157" s="5" t="inlineStr">
        <is>
          <t>wall</t>
        </is>
      </c>
      <c r="D157" s="5" t="inlineStr">
        <is>
          <t>shear_wall</t>
        </is>
      </c>
      <c r="E157" s="5" t="n">
        <v>4524</v>
      </c>
      <c r="F157" s="5" t="n">
        <v>3345.8</v>
      </c>
      <c r="G157" s="5" t="n">
        <v>438</v>
      </c>
      <c r="H157" s="5" t="n">
        <v>8</v>
      </c>
      <c r="I157" s="5" t="inlineStr">
        <is>
          <t>unnamed</t>
        </is>
      </c>
      <c r="J157" s="5" t="inlineStr">
        <is>
          <t>unnamed</t>
        </is>
      </c>
      <c r="K157" s="5" t="n">
        <v>438</v>
      </c>
      <c r="L157" s="5" t="n">
        <v>0.6899999999999999</v>
      </c>
      <c r="M157" s="5" t="n">
        <v>0</v>
      </c>
      <c r="N157" s="5" t="inlineStr">
        <is>
          <t>yes</t>
        </is>
      </c>
    </row>
    <row r="158">
      <c r="A158" s="5" t="n">
        <v>157</v>
      </c>
      <c r="B158" s="5" t="inlineStr">
        <is>
          <t>V4/123/123</t>
        </is>
      </c>
      <c r="C158" s="5" t="inlineStr">
        <is>
          <t>wall</t>
        </is>
      </c>
      <c r="D158" s="5" t="inlineStr">
        <is>
          <t>shear_wall</t>
        </is>
      </c>
      <c r="E158" s="5" t="n">
        <v>4921.9</v>
      </c>
      <c r="F158" s="5" t="n">
        <v>3418.8</v>
      </c>
      <c r="G158" s="5" t="n">
        <v>413</v>
      </c>
      <c r="H158" s="5" t="n">
        <v>4</v>
      </c>
      <c r="I158" s="5" t="inlineStr">
        <is>
          <t>grade_beam</t>
        </is>
      </c>
      <c r="J158" s="5" t="inlineStr">
        <is>
          <t>no</t>
        </is>
      </c>
      <c r="K158" s="5" t="n">
        <v>385</v>
      </c>
      <c r="L158" s="5" t="n">
        <v>0.6899999999999999</v>
      </c>
      <c r="M158" s="5" t="n">
        <v>1</v>
      </c>
      <c r="N158" s="5" t="inlineStr">
        <is>
          <t>yes</t>
        </is>
      </c>
    </row>
    <row r="159">
      <c r="A159" s="5" t="n">
        <v>158</v>
      </c>
      <c r="B159" s="5" t="inlineStr">
        <is>
          <t>V5/123/123</t>
        </is>
      </c>
      <c r="C159" s="5" t="inlineStr">
        <is>
          <t>wall</t>
        </is>
      </c>
      <c r="D159" s="5" t="inlineStr">
        <is>
          <t>shear_wall</t>
        </is>
      </c>
      <c r="E159" s="5" t="n">
        <v>5011.5</v>
      </c>
      <c r="F159" s="5" t="n">
        <v>3313.5</v>
      </c>
      <c r="G159" s="5" t="n">
        <v>386</v>
      </c>
      <c r="H159" s="5" t="n">
        <v>37</v>
      </c>
      <c r="I159" s="5" t="inlineStr">
        <is>
          <t>shear_wall</t>
        </is>
      </c>
      <c r="J159" s="5" t="inlineStr">
        <is>
          <t>yes</t>
        </is>
      </c>
      <c r="K159" s="5" t="n">
        <v>386</v>
      </c>
      <c r="L159" s="5" t="n">
        <v>0.18</v>
      </c>
      <c r="M159" s="5" t="n">
        <v>0</v>
      </c>
      <c r="N159" s="5" t="inlineStr">
        <is>
          <t>yes</t>
        </is>
      </c>
    </row>
    <row r="160">
      <c r="A160" s="5" t="n">
        <v>159</v>
      </c>
      <c r="B160" s="5" t="inlineStr">
        <is>
          <t>V1/124/124</t>
        </is>
      </c>
      <c r="C160" s="5" t="inlineStr">
        <is>
          <t>wall</t>
        </is>
      </c>
      <c r="D160" s="5" t="inlineStr">
        <is>
          <t>shear_wall</t>
        </is>
      </c>
      <c r="E160" s="5" t="n">
        <v>4322.9</v>
      </c>
      <c r="F160" s="5" t="n">
        <v>3553.1</v>
      </c>
      <c r="G160" s="5" t="n">
        <v>451</v>
      </c>
      <c r="H160" s="5" t="n">
        <v>36</v>
      </c>
      <c r="I160" s="5" t="inlineStr">
        <is>
          <t>shear_wall</t>
        </is>
      </c>
      <c r="J160" s="5" t="inlineStr">
        <is>
          <t>yes</t>
        </is>
      </c>
      <c r="K160" s="5" t="n">
        <v>451</v>
      </c>
      <c r="L160" s="5" t="n">
        <v>0.1</v>
      </c>
      <c r="M160" s="5" t="n">
        <v>0</v>
      </c>
      <c r="N160" s="5" t="inlineStr">
        <is>
          <t>yes</t>
        </is>
      </c>
    </row>
    <row r="161">
      <c r="A161" s="5" t="n">
        <v>160</v>
      </c>
      <c r="B161" s="5" t="inlineStr">
        <is>
          <t>V1/124/124</t>
        </is>
      </c>
      <c r="C161" s="5" t="inlineStr">
        <is>
          <t>wall</t>
        </is>
      </c>
      <c r="D161" s="5" t="inlineStr">
        <is>
          <t>shear_wall</t>
        </is>
      </c>
      <c r="E161" s="5" t="n">
        <v>3685.4</v>
      </c>
      <c r="F161" s="5" t="n">
        <v>3669.8</v>
      </c>
      <c r="G161" s="5" t="n">
        <v>450</v>
      </c>
      <c r="H161" s="5" t="n">
        <v>30</v>
      </c>
      <c r="I161" s="5" t="inlineStr">
        <is>
          <t>shear_wall</t>
        </is>
      </c>
      <c r="J161" s="5" t="inlineStr">
        <is>
          <t>yes</t>
        </is>
      </c>
      <c r="K161" s="5" t="n">
        <v>450</v>
      </c>
      <c r="L161" s="5" t="n">
        <v>0.7</v>
      </c>
      <c r="M161" s="5" t="n">
        <v>0</v>
      </c>
      <c r="N161" s="5" t="inlineStr">
        <is>
          <t>yes</t>
        </is>
      </c>
    </row>
    <row r="162">
      <c r="A162" s="5" t="n">
        <v>161</v>
      </c>
      <c r="B162" s="5" t="inlineStr">
        <is>
          <t>V1/124/124</t>
        </is>
      </c>
      <c r="C162" s="5" t="inlineStr">
        <is>
          <t>wall</t>
        </is>
      </c>
      <c r="D162" s="5" t="inlineStr">
        <is>
          <t>shear_wall</t>
        </is>
      </c>
      <c r="E162" s="5" t="n">
        <v>4288.5</v>
      </c>
      <c r="F162" s="5" t="n">
        <v>3367.7</v>
      </c>
      <c r="G162" s="5" t="n">
        <v>449</v>
      </c>
      <c r="H162" s="5" t="n">
        <v>32</v>
      </c>
      <c r="I162" s="5" t="inlineStr">
        <is>
          <t>shear_wall</t>
        </is>
      </c>
      <c r="J162" s="5" t="inlineStr">
        <is>
          <t>yes</t>
        </is>
      </c>
      <c r="K162" s="5" t="n">
        <v>449</v>
      </c>
      <c r="L162" s="5" t="n">
        <v>0.08</v>
      </c>
      <c r="M162" s="5" t="n">
        <v>0</v>
      </c>
      <c r="N162" s="5" t="inlineStr">
        <is>
          <t>yes</t>
        </is>
      </c>
    </row>
    <row r="163">
      <c r="A163" s="5" t="n">
        <v>162</v>
      </c>
      <c r="B163" s="5" t="inlineStr">
        <is>
          <t>V7/124/124</t>
        </is>
      </c>
      <c r="C163" s="5" t="inlineStr">
        <is>
          <t>wall</t>
        </is>
      </c>
      <c r="D163" s="5" t="inlineStr">
        <is>
          <t>shear_wall</t>
        </is>
      </c>
      <c r="E163" s="5" t="n">
        <v>3851</v>
      </c>
      <c r="F163" s="5" t="n">
        <v>3594.8</v>
      </c>
      <c r="G163" s="5" t="n">
        <v>484</v>
      </c>
      <c r="H163" s="5" t="n">
        <v>4</v>
      </c>
      <c r="I163" s="5" t="inlineStr">
        <is>
          <t>grade_beam</t>
        </is>
      </c>
      <c r="J163" s="5" t="inlineStr">
        <is>
          <t>no</t>
        </is>
      </c>
      <c r="K163" s="5" t="n">
        <v>461</v>
      </c>
      <c r="L163" s="5" t="n">
        <v>0.72</v>
      </c>
      <c r="M163" s="5" t="n">
        <v>1</v>
      </c>
      <c r="N163" s="5" t="inlineStr">
        <is>
          <t>yes</t>
        </is>
      </c>
    </row>
    <row r="164">
      <c r="A164" s="5" t="n">
        <v>163</v>
      </c>
      <c r="B164" s="5" t="inlineStr">
        <is>
          <t>V2/124/124</t>
        </is>
      </c>
      <c r="C164" s="5" t="inlineStr">
        <is>
          <t>wall</t>
        </is>
      </c>
      <c r="D164" s="5" t="inlineStr">
        <is>
          <t>shear_wall</t>
        </is>
      </c>
      <c r="E164" s="5" t="n">
        <v>4217.7</v>
      </c>
      <c r="F164" s="5" t="n">
        <v>3340.6</v>
      </c>
      <c r="G164" s="5" t="n">
        <v>452</v>
      </c>
      <c r="H164" s="5" t="n">
        <v>32</v>
      </c>
      <c r="I164" s="5" t="inlineStr">
        <is>
          <t>shear_wall</t>
        </is>
      </c>
      <c r="J164" s="5" t="inlineStr">
        <is>
          <t>yes</t>
        </is>
      </c>
      <c r="K164" s="5" t="n">
        <v>452</v>
      </c>
      <c r="L164" s="5" t="n">
        <v>0.19</v>
      </c>
      <c r="M164" s="5" t="n">
        <v>0.03</v>
      </c>
      <c r="N164" s="5" t="inlineStr">
        <is>
          <t>yes</t>
        </is>
      </c>
    </row>
    <row r="165">
      <c r="A165" s="5" t="n">
        <v>164</v>
      </c>
      <c r="B165" s="5" t="inlineStr">
        <is>
          <t>V3/124/124</t>
        </is>
      </c>
      <c r="C165" s="5" t="inlineStr">
        <is>
          <t>wall</t>
        </is>
      </c>
      <c r="D165" s="5" t="inlineStr">
        <is>
          <t>shear_wall</t>
        </is>
      </c>
      <c r="E165" s="5" t="n">
        <v>4235.4</v>
      </c>
      <c r="F165" s="5" t="n">
        <v>3096.9</v>
      </c>
      <c r="G165" s="5" t="n">
        <v>227</v>
      </c>
      <c r="H165" s="5" t="n">
        <v>29</v>
      </c>
      <c r="I165" s="5" t="inlineStr">
        <is>
          <t>column</t>
        </is>
      </c>
      <c r="J165" s="5" t="inlineStr">
        <is>
          <t>no</t>
        </is>
      </c>
      <c r="K165" s="5" t="n">
        <v>453</v>
      </c>
      <c r="L165" s="5" t="n">
        <v>0.15</v>
      </c>
      <c r="M165" s="5" t="n">
        <v>0.99</v>
      </c>
      <c r="N165" s="5" t="inlineStr">
        <is>
          <t>yes</t>
        </is>
      </c>
    </row>
    <row r="166">
      <c r="A166" s="5" t="n">
        <v>165</v>
      </c>
      <c r="B166" s="5" t="inlineStr">
        <is>
          <t>V7/124/124</t>
        </is>
      </c>
      <c r="C166" s="5" t="inlineStr">
        <is>
          <t>wall</t>
        </is>
      </c>
      <c r="D166" s="5" t="inlineStr">
        <is>
          <t>shear_wall</t>
        </is>
      </c>
      <c r="E166" s="5" t="n">
        <v>3740.6</v>
      </c>
      <c r="F166" s="5" t="n">
        <v>3196.9</v>
      </c>
      <c r="G166" s="5" t="n">
        <v>483</v>
      </c>
      <c r="H166" s="5" t="n">
        <v>4</v>
      </c>
      <c r="I166" s="5" t="inlineStr">
        <is>
          <t>grade_beam</t>
        </is>
      </c>
      <c r="J166" s="5" t="inlineStr">
        <is>
          <t>no</t>
        </is>
      </c>
      <c r="K166" s="5" t="n">
        <v>460</v>
      </c>
      <c r="L166" s="5" t="n">
        <v>0.14</v>
      </c>
      <c r="M166" s="5" t="n">
        <v>1</v>
      </c>
      <c r="N166" s="5" t="inlineStr">
        <is>
          <t>yes</t>
        </is>
      </c>
    </row>
    <row r="167">
      <c r="A167" s="5" t="n">
        <v>166</v>
      </c>
      <c r="B167" s="5" t="inlineStr">
        <is>
          <t>V4/124/124</t>
        </is>
      </c>
      <c r="C167" s="5" t="inlineStr">
        <is>
          <t>wall</t>
        </is>
      </c>
      <c r="D167" s="5" t="inlineStr">
        <is>
          <t>shear_wall</t>
        </is>
      </c>
      <c r="E167" s="5" t="n">
        <v>3924</v>
      </c>
      <c r="F167" s="5" t="n">
        <v>3155.2</v>
      </c>
      <c r="G167" s="5" t="n">
        <v>292</v>
      </c>
      <c r="H167" s="5" t="n">
        <v>4</v>
      </c>
      <c r="I167" s="5" t="inlineStr">
        <is>
          <t>grade_beam</t>
        </is>
      </c>
      <c r="J167" s="5" t="inlineStr">
        <is>
          <t>no</t>
        </is>
      </c>
      <c r="K167" s="5" t="n">
        <v>454</v>
      </c>
      <c r="L167" s="5" t="n">
        <v>0.18</v>
      </c>
      <c r="M167" s="5" t="n">
        <v>0.96</v>
      </c>
      <c r="N167" s="5" t="inlineStr">
        <is>
          <t>yes</t>
        </is>
      </c>
    </row>
    <row r="168">
      <c r="A168" s="5" t="n">
        <v>167</v>
      </c>
      <c r="B168" s="5" t="inlineStr">
        <is>
          <t>V5/124/124</t>
        </is>
      </c>
      <c r="C168" s="5" t="inlineStr">
        <is>
          <t>wall</t>
        </is>
      </c>
      <c r="D168" s="5" t="inlineStr">
        <is>
          <t>shear_wall</t>
        </is>
      </c>
      <c r="E168" s="5" t="n">
        <v>3819.8</v>
      </c>
      <c r="F168" s="5" t="n">
        <v>3417.7</v>
      </c>
      <c r="G168" s="5" t="n">
        <v>455</v>
      </c>
      <c r="H168" s="5" t="n">
        <v>35</v>
      </c>
      <c r="I168" s="5" t="inlineStr">
        <is>
          <t>shear_wall</t>
        </is>
      </c>
      <c r="J168" s="5" t="inlineStr">
        <is>
          <t>yes</t>
        </is>
      </c>
      <c r="K168" s="5" t="n">
        <v>455</v>
      </c>
      <c r="L168" s="5" t="n">
        <v>0.13</v>
      </c>
      <c r="M168" s="5" t="n">
        <v>0.05</v>
      </c>
      <c r="N168" s="5" t="inlineStr">
        <is>
          <t>yes</t>
        </is>
      </c>
    </row>
    <row r="169">
      <c r="A169" s="5" t="n">
        <v>168</v>
      </c>
      <c r="B169" s="5" t="inlineStr">
        <is>
          <t>V6/124/124</t>
        </is>
      </c>
      <c r="C169" s="5" t="inlineStr">
        <is>
          <t>wall</t>
        </is>
      </c>
      <c r="D169" s="5" t="inlineStr">
        <is>
          <t>shear_wall</t>
        </is>
      </c>
      <c r="E169" s="5" t="n">
        <v>3561.5</v>
      </c>
      <c r="F169" s="5" t="n">
        <v>3001</v>
      </c>
      <c r="G169" s="5" t="n">
        <v>296</v>
      </c>
      <c r="H169" s="5" t="n">
        <v>4</v>
      </c>
      <c r="I169" s="5" t="inlineStr">
        <is>
          <t>grade_beam</t>
        </is>
      </c>
      <c r="J169" s="5" t="inlineStr">
        <is>
          <t>no</t>
        </is>
      </c>
      <c r="K169" s="5" t="n">
        <v>457</v>
      </c>
      <c r="L169" s="5" t="n">
        <v>0.76</v>
      </c>
      <c r="M169" s="5" t="n">
        <v>0</v>
      </c>
      <c r="N169" s="5" t="inlineStr">
        <is>
          <t>yes</t>
        </is>
      </c>
    </row>
    <row r="170">
      <c r="A170" s="5" t="n">
        <v>169</v>
      </c>
      <c r="B170" s="5" t="inlineStr">
        <is>
          <t>V6/124/124</t>
        </is>
      </c>
      <c r="C170" s="5" t="inlineStr">
        <is>
          <t>wall</t>
        </is>
      </c>
      <c r="D170" s="5" t="inlineStr">
        <is>
          <t>shear_wall</t>
        </is>
      </c>
      <c r="E170" s="5" t="n">
        <v>3786.5</v>
      </c>
      <c r="F170" s="5" t="n">
        <v>2944.8</v>
      </c>
      <c r="G170" s="5" t="n">
        <v>289</v>
      </c>
      <c r="H170" s="5" t="n">
        <v>4</v>
      </c>
      <c r="I170" s="5" t="inlineStr">
        <is>
          <t>grade_beam</t>
        </is>
      </c>
      <c r="J170" s="5" t="inlineStr">
        <is>
          <t>no</t>
        </is>
      </c>
      <c r="K170" s="5" t="n">
        <v>459</v>
      </c>
      <c r="L170" s="5" t="n">
        <v>0.83</v>
      </c>
      <c r="M170" s="5" t="n">
        <v>0</v>
      </c>
      <c r="N170" s="5" t="inlineStr">
        <is>
          <t>yes</t>
        </is>
      </c>
    </row>
    <row r="171">
      <c r="A171" s="5" t="n">
        <v>170</v>
      </c>
      <c r="B171" s="5" t="inlineStr">
        <is>
          <t>V6/124/124</t>
        </is>
      </c>
      <c r="C171" s="5" t="inlineStr">
        <is>
          <t>wall</t>
        </is>
      </c>
      <c r="D171" s="5" t="inlineStr">
        <is>
          <t>shear_wall</t>
        </is>
      </c>
      <c r="E171" s="5" t="n">
        <v>3976</v>
      </c>
      <c r="F171" s="5" t="n">
        <v>2918.8</v>
      </c>
      <c r="G171" s="5" t="n">
        <v>458</v>
      </c>
      <c r="H171" s="5" t="n">
        <v>36</v>
      </c>
      <c r="I171" s="5" t="inlineStr">
        <is>
          <t>shear_wall</t>
        </is>
      </c>
      <c r="J171" s="5" t="inlineStr">
        <is>
          <t>yes</t>
        </is>
      </c>
      <c r="K171" s="5" t="n">
        <v>458</v>
      </c>
      <c r="L171" s="5" t="n">
        <v>0.17</v>
      </c>
      <c r="M171" s="5" t="n">
        <v>0</v>
      </c>
      <c r="N171" s="5" t="inlineStr">
        <is>
          <t>yes</t>
        </is>
      </c>
    </row>
    <row r="172">
      <c r="A172" s="5" t="n">
        <v>171</v>
      </c>
      <c r="B172" s="5" t="inlineStr">
        <is>
          <t>V6/124/124</t>
        </is>
      </c>
      <c r="C172" s="5" t="inlineStr">
        <is>
          <t>wall</t>
        </is>
      </c>
      <c r="D172" s="5" t="inlineStr">
        <is>
          <t>shear_wall</t>
        </is>
      </c>
      <c r="E172" s="5" t="n">
        <v>4199</v>
      </c>
      <c r="F172" s="5" t="n">
        <v>2903.1</v>
      </c>
      <c r="G172" s="5" t="n">
        <v>456</v>
      </c>
      <c r="H172" s="5" t="n">
        <v>36</v>
      </c>
      <c r="I172" s="5" t="inlineStr">
        <is>
          <t>shear_wall</t>
        </is>
      </c>
      <c r="J172" s="5" t="inlineStr">
        <is>
          <t>yes</t>
        </is>
      </c>
      <c r="K172" s="5" t="n">
        <v>456</v>
      </c>
      <c r="L172" s="5" t="n">
        <v>0.15</v>
      </c>
      <c r="M172" s="5" t="n">
        <v>0</v>
      </c>
      <c r="N172" s="5" t="inlineStr">
        <is>
          <t>yes</t>
        </is>
      </c>
    </row>
    <row r="173">
      <c r="A173" s="5" t="n">
        <v>172</v>
      </c>
      <c r="B173" s="5" t="inlineStr">
        <is>
          <t>V1/120/120</t>
        </is>
      </c>
      <c r="C173" s="5" t="inlineStr">
        <is>
          <t>wall</t>
        </is>
      </c>
      <c r="D173" s="5" t="inlineStr">
        <is>
          <t>shear_wall</t>
        </is>
      </c>
      <c r="E173" s="5" t="n">
        <v>4541.7</v>
      </c>
      <c r="F173" s="5" t="n">
        <v>513.5</v>
      </c>
      <c r="G173" s="5" t="n">
        <v>91</v>
      </c>
      <c r="H173" s="5" t="n">
        <v>7</v>
      </c>
      <c r="I173" s="5" t="inlineStr">
        <is>
          <t>unnamed</t>
        </is>
      </c>
      <c r="J173" s="5" t="inlineStr">
        <is>
          <t>unnamed</t>
        </is>
      </c>
      <c r="K173" s="5" t="n">
        <v>12</v>
      </c>
      <c r="L173" s="5" t="n">
        <v>0.13</v>
      </c>
      <c r="M173" s="5" t="n">
        <v>0.23</v>
      </c>
      <c r="N173" s="5" t="inlineStr">
        <is>
          <t>yes</t>
        </is>
      </c>
    </row>
    <row r="174">
      <c r="A174" s="5" t="n">
        <v>173</v>
      </c>
      <c r="B174" s="5" t="inlineStr">
        <is>
          <t>V1/126/126</t>
        </is>
      </c>
      <c r="C174" s="5" t="inlineStr">
        <is>
          <t>wall</t>
        </is>
      </c>
      <c r="D174" s="5" t="inlineStr">
        <is>
          <t>shear_wall</t>
        </is>
      </c>
      <c r="E174" s="5" t="n">
        <v>2430.2</v>
      </c>
      <c r="F174" s="5" t="n">
        <v>3333.3</v>
      </c>
      <c r="G174" s="5" t="n">
        <v>615</v>
      </c>
      <c r="H174" s="5" t="n">
        <v>28</v>
      </c>
      <c r="I174" s="5" t="inlineStr">
        <is>
          <t>retaining_wall</t>
        </is>
      </c>
      <c r="J174" s="5" t="inlineStr">
        <is>
          <t>no</t>
        </is>
      </c>
      <c r="K174" s="5" t="n">
        <v>609</v>
      </c>
      <c r="L174" s="5" t="n">
        <v>0.8</v>
      </c>
      <c r="M174" s="5" t="n">
        <v>0</v>
      </c>
      <c r="N174" s="5" t="inlineStr">
        <is>
          <t>no</t>
        </is>
      </c>
    </row>
    <row r="175">
      <c r="A175" s="5" t="n">
        <v>174</v>
      </c>
      <c r="B175" s="5" t="inlineStr">
        <is>
          <t>V1/126/126</t>
        </is>
      </c>
      <c r="C175" s="5" t="inlineStr">
        <is>
          <t>wall</t>
        </is>
      </c>
      <c r="D175" s="5" t="inlineStr">
        <is>
          <t>shear_wall</t>
        </is>
      </c>
      <c r="E175" s="5" t="n">
        <v>2549</v>
      </c>
      <c r="F175" s="5" t="n">
        <v>3091.7</v>
      </c>
      <c r="G175" s="5" t="n">
        <v>628</v>
      </c>
      <c r="H175" s="5" t="n">
        <v>4</v>
      </c>
      <c r="I175" s="5" t="inlineStr">
        <is>
          <t>grade_beam</t>
        </is>
      </c>
      <c r="J175" s="5" t="inlineStr">
        <is>
          <t>no</t>
        </is>
      </c>
      <c r="K175" s="5" t="n">
        <v>608</v>
      </c>
      <c r="L175" s="5" t="n">
        <v>0.72</v>
      </c>
      <c r="M175" s="5" t="n">
        <v>0</v>
      </c>
      <c r="N175" s="5" t="inlineStr">
        <is>
          <t>no</t>
        </is>
      </c>
    </row>
    <row r="176">
      <c r="A176" s="5" t="n">
        <v>175</v>
      </c>
      <c r="B176" s="5" t="inlineStr">
        <is>
          <t>V1/125/125</t>
        </is>
      </c>
      <c r="C176" s="5" t="inlineStr">
        <is>
          <t>wall</t>
        </is>
      </c>
      <c r="D176" s="5" t="inlineStr">
        <is>
          <t>shear_wall</t>
        </is>
      </c>
      <c r="E176" s="5" t="n">
        <v>3566.7</v>
      </c>
      <c r="F176" s="5" t="n">
        <v>3253.1</v>
      </c>
      <c r="G176" s="5" t="n">
        <v>534</v>
      </c>
      <c r="H176" s="5" t="n">
        <v>35</v>
      </c>
      <c r="I176" s="5" t="inlineStr">
        <is>
          <t>shear_wall</t>
        </is>
      </c>
      <c r="J176" s="5" t="inlineStr">
        <is>
          <t>yes</t>
        </is>
      </c>
      <c r="K176" s="5" t="n">
        <v>534</v>
      </c>
      <c r="L176" s="5" t="n">
        <v>0</v>
      </c>
      <c r="M176" s="5" t="n">
        <v>0</v>
      </c>
      <c r="N176" s="5" t="inlineStr">
        <is>
          <t>yes</t>
        </is>
      </c>
    </row>
    <row r="177">
      <c r="A177" s="5" t="n">
        <v>176</v>
      </c>
      <c r="B177" s="5" t="inlineStr">
        <is>
          <t>V1/125/125</t>
        </is>
      </c>
      <c r="C177" s="5" t="inlineStr">
        <is>
          <t>wall</t>
        </is>
      </c>
      <c r="D177" s="5" t="inlineStr">
        <is>
          <t>shear_wall</t>
        </is>
      </c>
      <c r="E177" s="5" t="n">
        <v>3611.5</v>
      </c>
      <c r="F177" s="5" t="n">
        <v>3494.8</v>
      </c>
      <c r="G177" s="5" t="n">
        <v>532</v>
      </c>
      <c r="H177" s="5" t="n">
        <v>37</v>
      </c>
      <c r="I177" s="5" t="inlineStr">
        <is>
          <t>shear_wall</t>
        </is>
      </c>
      <c r="J177" s="5" t="inlineStr">
        <is>
          <t>yes</t>
        </is>
      </c>
      <c r="K177" s="5" t="n">
        <v>532</v>
      </c>
      <c r="L177" s="5" t="n">
        <v>0.02</v>
      </c>
      <c r="M177" s="5" t="n">
        <v>0</v>
      </c>
      <c r="N177" s="5" t="inlineStr">
        <is>
          <t>yes</t>
        </is>
      </c>
    </row>
    <row r="178">
      <c r="A178" s="5" t="n">
        <v>177</v>
      </c>
      <c r="B178" s="5" t="inlineStr">
        <is>
          <t>V1/125/125</t>
        </is>
      </c>
      <c r="C178" s="5" t="inlineStr">
        <is>
          <t>wall</t>
        </is>
      </c>
      <c r="D178" s="5" t="inlineStr">
        <is>
          <t>shear_wall</t>
        </is>
      </c>
      <c r="E178" s="5" t="n">
        <v>3645.8</v>
      </c>
      <c r="F178" s="5" t="n">
        <v>3681.3</v>
      </c>
      <c r="G178" s="5" t="n">
        <v>533</v>
      </c>
      <c r="H178" s="5" t="n">
        <v>35</v>
      </c>
      <c r="I178" s="5" t="inlineStr">
        <is>
          <t>shear_wall</t>
        </is>
      </c>
      <c r="J178" s="5" t="inlineStr">
        <is>
          <t>yes</t>
        </is>
      </c>
      <c r="K178" s="5" t="n">
        <v>533</v>
      </c>
      <c r="L178" s="5" t="n">
        <v>0.04</v>
      </c>
      <c r="M178" s="5" t="n">
        <v>0</v>
      </c>
      <c r="N178" s="5" t="inlineStr">
        <is>
          <t>yes</t>
        </is>
      </c>
    </row>
    <row r="179">
      <c r="A179" s="5" t="n">
        <v>178</v>
      </c>
      <c r="B179" s="5" t="inlineStr">
        <is>
          <t>V3/125/125</t>
        </is>
      </c>
      <c r="C179" s="5" t="inlineStr">
        <is>
          <t>wall</t>
        </is>
      </c>
      <c r="D179" s="5" t="inlineStr">
        <is>
          <t>shear_wall</t>
        </is>
      </c>
      <c r="E179" s="5" t="n">
        <v>3421.9</v>
      </c>
      <c r="F179" s="5" t="n">
        <v>3310.4</v>
      </c>
      <c r="G179" s="5" t="n">
        <v>561</v>
      </c>
      <c r="H179" s="5" t="n">
        <v>4</v>
      </c>
      <c r="I179" s="5" t="inlineStr">
        <is>
          <t>grade_beam</t>
        </is>
      </c>
      <c r="J179" s="5" t="inlineStr">
        <is>
          <t>no</t>
        </is>
      </c>
      <c r="K179" s="5" t="n">
        <v>535</v>
      </c>
      <c r="L179" s="5" t="n">
        <v>0.77</v>
      </c>
      <c r="M179" s="5" t="n">
        <v>1</v>
      </c>
      <c r="N179" s="5" t="inlineStr">
        <is>
          <t>yes</t>
        </is>
      </c>
    </row>
    <row r="180">
      <c r="A180" s="5" t="n">
        <v>179</v>
      </c>
      <c r="B180" s="5" t="inlineStr">
        <is>
          <t>V3/126/126</t>
        </is>
      </c>
      <c r="C180" s="5" t="inlineStr">
        <is>
          <t>wall</t>
        </is>
      </c>
      <c r="D180" s="5" t="inlineStr">
        <is>
          <t>shear_wall</t>
        </is>
      </c>
      <c r="E180" s="5" t="n">
        <v>2691.7</v>
      </c>
      <c r="F180" s="5" t="n">
        <v>3222.9</v>
      </c>
      <c r="G180" s="5" t="n">
        <v>630</v>
      </c>
      <c r="H180" s="5" t="n">
        <v>4</v>
      </c>
      <c r="I180" s="5" t="inlineStr">
        <is>
          <t>grade_beam</t>
        </is>
      </c>
      <c r="J180" s="5" t="inlineStr">
        <is>
          <t>no</t>
        </is>
      </c>
      <c r="K180" s="5" t="n">
        <v>610</v>
      </c>
      <c r="L180" s="5" t="n">
        <v>0.76</v>
      </c>
      <c r="M180" s="5" t="n">
        <v>1</v>
      </c>
      <c r="N180" s="5" t="inlineStr">
        <is>
          <t>yes</t>
        </is>
      </c>
    </row>
    <row r="181">
      <c r="A181" s="5" t="n">
        <v>180</v>
      </c>
      <c r="B181" s="5" t="inlineStr">
        <is>
          <t>V4/126/126</t>
        </is>
      </c>
      <c r="C181" s="5" t="inlineStr">
        <is>
          <t>wall</t>
        </is>
      </c>
      <c r="D181" s="5" t="inlineStr">
        <is>
          <t>shear_wall</t>
        </is>
      </c>
      <c r="E181" s="5" t="n">
        <v>2856.2</v>
      </c>
      <c r="F181" s="5" t="n">
        <v>3300</v>
      </c>
      <c r="G181" s="5" t="n">
        <v>629</v>
      </c>
      <c r="H181" s="5" t="n">
        <v>4</v>
      </c>
      <c r="I181" s="5" t="inlineStr">
        <is>
          <t>grade_beam</t>
        </is>
      </c>
      <c r="J181" s="5" t="inlineStr">
        <is>
          <t>no</t>
        </is>
      </c>
      <c r="K181" s="5" t="n">
        <v>611</v>
      </c>
      <c r="L181" s="5" t="n">
        <v>0.71</v>
      </c>
      <c r="M181" s="5" t="n">
        <v>1</v>
      </c>
      <c r="N181" s="5" t="inlineStr">
        <is>
          <t>yes</t>
        </is>
      </c>
    </row>
    <row r="182">
      <c r="A182" s="5" t="n">
        <v>181</v>
      </c>
      <c r="B182" s="5" t="inlineStr">
        <is>
          <t>V4/125/125</t>
        </is>
      </c>
      <c r="C182" s="5" t="inlineStr">
        <is>
          <t>wall</t>
        </is>
      </c>
      <c r="D182" s="5" t="inlineStr">
        <is>
          <t>shear_wall</t>
        </is>
      </c>
      <c r="E182" s="5" t="n">
        <v>3040.6</v>
      </c>
      <c r="F182" s="5" t="n">
        <v>3379.2</v>
      </c>
      <c r="G182" s="5" t="n">
        <v>537</v>
      </c>
      <c r="H182" s="5" t="n">
        <v>35</v>
      </c>
      <c r="I182" s="5" t="inlineStr">
        <is>
          <t>shear_wall</t>
        </is>
      </c>
      <c r="J182" s="5" t="inlineStr">
        <is>
          <t>yes</t>
        </is>
      </c>
      <c r="K182" s="5" t="n">
        <v>537</v>
      </c>
      <c r="L182" s="5" t="n">
        <v>0.71</v>
      </c>
      <c r="M182" s="5" t="n">
        <v>1</v>
      </c>
      <c r="N182" s="5" t="inlineStr">
        <is>
          <t>yes</t>
        </is>
      </c>
    </row>
    <row r="183">
      <c r="A183" s="5" t="n">
        <v>182</v>
      </c>
      <c r="B183" s="5" t="inlineStr">
        <is>
          <t>V4/125/125</t>
        </is>
      </c>
      <c r="C183" s="5" t="inlineStr">
        <is>
          <t>wall</t>
        </is>
      </c>
      <c r="D183" s="5" t="inlineStr">
        <is>
          <t>shear_wall</t>
        </is>
      </c>
      <c r="E183" s="5" t="n">
        <v>3238.5</v>
      </c>
      <c r="F183" s="5" t="n">
        <v>3336.5</v>
      </c>
      <c r="G183" s="5" t="n">
        <v>560</v>
      </c>
      <c r="H183" s="5" t="n">
        <v>4</v>
      </c>
      <c r="I183" s="5" t="inlineStr">
        <is>
          <t>grade_beam</t>
        </is>
      </c>
      <c r="J183" s="5" t="inlineStr">
        <is>
          <t>no</t>
        </is>
      </c>
      <c r="K183" s="5" t="n">
        <v>536</v>
      </c>
      <c r="L183" s="5" t="n">
        <v>0.6899999999999999</v>
      </c>
      <c r="M183" s="5" t="n">
        <v>1</v>
      </c>
      <c r="N183" s="5" t="inlineStr">
        <is>
          <t>yes</t>
        </is>
      </c>
    </row>
    <row r="184">
      <c r="A184" s="5" t="n">
        <v>183</v>
      </c>
      <c r="B184" s="5" t="inlineStr">
        <is>
          <t>V4/125/125</t>
        </is>
      </c>
      <c r="C184" s="5" t="inlineStr">
        <is>
          <t>wall</t>
        </is>
      </c>
      <c r="D184" s="5" t="inlineStr">
        <is>
          <t>shear_wall</t>
        </is>
      </c>
      <c r="E184" s="5" t="n">
        <v>3016.7</v>
      </c>
      <c r="F184" s="5" t="n">
        <v>3553.1</v>
      </c>
      <c r="G184" s="5" t="n">
        <v>627</v>
      </c>
      <c r="H184" s="5" t="n">
        <v>4</v>
      </c>
      <c r="I184" s="5" t="inlineStr">
        <is>
          <t>grade_beam</t>
        </is>
      </c>
      <c r="J184" s="5" t="inlineStr">
        <is>
          <t>no</t>
        </is>
      </c>
      <c r="K184" s="5" t="n">
        <v>538</v>
      </c>
      <c r="L184" s="5" t="n">
        <v>0.73</v>
      </c>
      <c r="M184" s="5" t="n">
        <v>1</v>
      </c>
      <c r="N184" s="5" t="inlineStr">
        <is>
          <t>yes</t>
        </is>
      </c>
    </row>
    <row r="185">
      <c r="A185" s="5" t="n">
        <v>184</v>
      </c>
      <c r="B185" s="5" t="inlineStr">
        <is>
          <t>V5/126/126</t>
        </is>
      </c>
      <c r="C185" s="5" t="inlineStr">
        <is>
          <t>wall</t>
        </is>
      </c>
      <c r="D185" s="5" t="inlineStr">
        <is>
          <t>shear_wall</t>
        </is>
      </c>
      <c r="E185" s="5" t="n">
        <v>2531.2</v>
      </c>
      <c r="F185" s="5" t="n">
        <v>3343.8</v>
      </c>
      <c r="G185" s="5" t="n">
        <v>612</v>
      </c>
      <c r="H185" s="5" t="n">
        <v>37</v>
      </c>
      <c r="I185" s="5" t="inlineStr">
        <is>
          <t>shear_wall</t>
        </is>
      </c>
      <c r="J185" s="5" t="inlineStr">
        <is>
          <t>yes</t>
        </is>
      </c>
      <c r="K185" s="5" t="n">
        <v>612</v>
      </c>
      <c r="L185" s="5" t="n">
        <v>0.16</v>
      </c>
      <c r="M185" s="5" t="n">
        <v>0</v>
      </c>
      <c r="N185" s="5" t="inlineStr">
        <is>
          <t>no</t>
        </is>
      </c>
    </row>
    <row r="186">
      <c r="A186" s="5" t="n">
        <v>185</v>
      </c>
      <c r="B186" s="5" t="inlineStr">
        <is>
          <t>V3/121/121</t>
        </is>
      </c>
      <c r="C186" s="5" t="inlineStr">
        <is>
          <t>wall</t>
        </is>
      </c>
      <c r="D186" s="5" t="inlineStr">
        <is>
          <t>shear_wall</t>
        </is>
      </c>
      <c r="E186" s="5" t="n">
        <v>4312.5</v>
      </c>
      <c r="F186" s="5" t="n">
        <v>2127.1</v>
      </c>
      <c r="G186" s="5" t="n">
        <v>116</v>
      </c>
      <c r="H186" s="5" t="n">
        <v>36</v>
      </c>
      <c r="I186" s="5" t="inlineStr">
        <is>
          <t>shear_wall</t>
        </is>
      </c>
      <c r="J186" s="5" t="inlineStr">
        <is>
          <t>yes</t>
        </is>
      </c>
      <c r="K186" s="5" t="n">
        <v>116</v>
      </c>
      <c r="L186" s="5" t="n">
        <v>0.06</v>
      </c>
      <c r="M186" s="5" t="n">
        <v>0</v>
      </c>
      <c r="N186" s="5" t="inlineStr">
        <is>
          <t>yes</t>
        </is>
      </c>
    </row>
    <row r="187">
      <c r="A187" s="5" t="n">
        <v>186</v>
      </c>
      <c r="B187" s="5" t="inlineStr">
        <is>
          <t>V3/121/121</t>
        </is>
      </c>
      <c r="C187" s="5" t="inlineStr">
        <is>
          <t>wall</t>
        </is>
      </c>
      <c r="D187" s="5" t="inlineStr">
        <is>
          <t>shear_wall</t>
        </is>
      </c>
      <c r="E187" s="5" t="n">
        <v>4272.9</v>
      </c>
      <c r="F187" s="5" t="n">
        <v>1346.9</v>
      </c>
      <c r="G187" s="5" t="n">
        <v>117</v>
      </c>
      <c r="H187" s="5" t="n">
        <v>36</v>
      </c>
      <c r="I187" s="5" t="inlineStr">
        <is>
          <t>shear_wall</t>
        </is>
      </c>
      <c r="J187" s="5" t="inlineStr">
        <is>
          <t>yes</t>
        </is>
      </c>
      <c r="K187" s="5" t="n">
        <v>117</v>
      </c>
      <c r="L187" s="5" t="n">
        <v>0.2</v>
      </c>
      <c r="M187" s="5" t="n">
        <v>0</v>
      </c>
      <c r="N187" s="5" t="inlineStr">
        <is>
          <t>yes</t>
        </is>
      </c>
    </row>
    <row r="188">
      <c r="A188" s="5" t="n">
        <v>187</v>
      </c>
      <c r="B188" s="5" t="inlineStr">
        <is>
          <t>V5/125/125</t>
        </is>
      </c>
      <c r="C188" s="5" t="inlineStr">
        <is>
          <t>wall</t>
        </is>
      </c>
      <c r="D188" s="5" t="inlineStr">
        <is>
          <t>shear_wall</t>
        </is>
      </c>
      <c r="E188" s="5" t="n">
        <v>3503.1</v>
      </c>
      <c r="F188" s="5" t="n">
        <v>3478.1</v>
      </c>
      <c r="G188" s="5" t="n">
        <v>539</v>
      </c>
      <c r="H188" s="5" t="n">
        <v>37</v>
      </c>
      <c r="I188" s="5" t="inlineStr">
        <is>
          <t>shear_wall</t>
        </is>
      </c>
      <c r="J188" s="5" t="inlineStr">
        <is>
          <t>yes</t>
        </is>
      </c>
      <c r="K188" s="5" t="n">
        <v>539</v>
      </c>
      <c r="L188" s="5" t="n">
        <v>0.09</v>
      </c>
      <c r="M188" s="5" t="n">
        <v>0.09</v>
      </c>
      <c r="N188" s="5" t="inlineStr">
        <is>
          <t>yes</t>
        </is>
      </c>
    </row>
    <row r="189">
      <c r="A189" s="5" t="n">
        <v>188</v>
      </c>
      <c r="B189" s="5" t="inlineStr">
        <is>
          <t>V8/125/125</t>
        </is>
      </c>
      <c r="C189" s="5" t="inlineStr">
        <is>
          <t>wall</t>
        </is>
      </c>
      <c r="D189" s="5" t="inlineStr">
        <is>
          <t>shear_wall</t>
        </is>
      </c>
      <c r="E189" s="5" t="n">
        <v>3517.7</v>
      </c>
      <c r="F189" s="5" t="n">
        <v>3009.4</v>
      </c>
      <c r="G189" s="5" t="n">
        <v>540</v>
      </c>
      <c r="H189" s="5" t="n">
        <v>36</v>
      </c>
      <c r="I189" s="5" t="inlineStr">
        <is>
          <t>shear_wall</t>
        </is>
      </c>
      <c r="J189" s="5" t="inlineStr">
        <is>
          <t>yes</t>
        </is>
      </c>
      <c r="K189" s="5" t="n">
        <v>540</v>
      </c>
      <c r="L189" s="5" t="n">
        <v>0.14</v>
      </c>
      <c r="M189" s="5" t="n">
        <v>0</v>
      </c>
      <c r="N189" s="5" t="inlineStr">
        <is>
          <t>yes</t>
        </is>
      </c>
    </row>
    <row r="190">
      <c r="A190" s="5" t="n">
        <v>189</v>
      </c>
      <c r="B190" s="5" t="inlineStr">
        <is>
          <t>V8/125/125</t>
        </is>
      </c>
      <c r="C190" s="5" t="inlineStr">
        <is>
          <t>wall</t>
        </is>
      </c>
      <c r="D190" s="5" t="inlineStr">
        <is>
          <t>shear_wall</t>
        </is>
      </c>
      <c r="E190" s="5" t="n">
        <v>3326</v>
      </c>
      <c r="F190" s="5" t="n">
        <v>3055.2</v>
      </c>
      <c r="G190" s="5" t="n">
        <v>564</v>
      </c>
      <c r="H190" s="5" t="n">
        <v>4</v>
      </c>
      <c r="I190" s="5" t="inlineStr">
        <is>
          <t>grade_beam</t>
        </is>
      </c>
      <c r="J190" s="5" t="inlineStr">
        <is>
          <t>no</t>
        </is>
      </c>
      <c r="K190" s="5" t="n">
        <v>541</v>
      </c>
      <c r="L190" s="5" t="n">
        <v>0.75</v>
      </c>
      <c r="M190" s="5" t="n">
        <v>0</v>
      </c>
      <c r="N190" s="5" t="inlineStr">
        <is>
          <t>yes</t>
        </is>
      </c>
    </row>
    <row r="191">
      <c r="A191" s="5" t="n">
        <v>190</v>
      </c>
      <c r="B191" s="5" t="inlineStr">
        <is>
          <t>V8/125/125</t>
        </is>
      </c>
      <c r="C191" s="5" t="inlineStr">
        <is>
          <t>wall</t>
        </is>
      </c>
      <c r="D191" s="5" t="inlineStr">
        <is>
          <t>shear_wall</t>
        </is>
      </c>
      <c r="E191" s="5" t="n">
        <v>3079.2</v>
      </c>
      <c r="F191" s="5" t="n">
        <v>3093.8</v>
      </c>
      <c r="G191" s="5" t="n">
        <v>562</v>
      </c>
      <c r="H191" s="5" t="n">
        <v>4</v>
      </c>
      <c r="I191" s="5" t="inlineStr">
        <is>
          <t>grade_beam</t>
        </is>
      </c>
      <c r="J191" s="5" t="inlineStr">
        <is>
          <t>no</t>
        </is>
      </c>
      <c r="K191" s="5" t="n">
        <v>542</v>
      </c>
      <c r="L191" s="5" t="n">
        <v>0.72</v>
      </c>
      <c r="M191" s="5" t="n">
        <v>0</v>
      </c>
      <c r="N191" s="5" t="inlineStr">
        <is>
          <t>yes</t>
        </is>
      </c>
    </row>
    <row r="192">
      <c r="A192" s="5" t="n">
        <v>191</v>
      </c>
      <c r="B192" s="5" t="inlineStr">
        <is>
          <t>V8/126/126</t>
        </is>
      </c>
      <c r="C192" s="5" t="inlineStr">
        <is>
          <t>wall</t>
        </is>
      </c>
      <c r="D192" s="5" t="inlineStr">
        <is>
          <t>shear_wall</t>
        </is>
      </c>
      <c r="E192" s="5" t="n">
        <v>2850</v>
      </c>
      <c r="F192" s="5" t="n">
        <v>3014.6</v>
      </c>
      <c r="G192" s="5" t="n">
        <v>631</v>
      </c>
      <c r="H192" s="5" t="n">
        <v>4</v>
      </c>
      <c r="I192" s="5" t="inlineStr">
        <is>
          <t>grade_beam</t>
        </is>
      </c>
      <c r="J192" s="5" t="inlineStr">
        <is>
          <t>no</t>
        </is>
      </c>
      <c r="K192" s="5" t="n">
        <v>613</v>
      </c>
      <c r="L192" s="5" t="n">
        <v>0.78</v>
      </c>
      <c r="M192" s="5" t="n">
        <v>0</v>
      </c>
      <c r="N192" s="5" t="inlineStr">
        <is>
          <t>yes</t>
        </is>
      </c>
    </row>
    <row r="193">
      <c r="A193" s="5" t="n">
        <v>192</v>
      </c>
      <c r="B193" s="5" t="inlineStr">
        <is>
          <t>V8/126/126</t>
        </is>
      </c>
      <c r="C193" s="5" t="inlineStr">
        <is>
          <t>wall</t>
        </is>
      </c>
      <c r="D193" s="5" t="inlineStr">
        <is>
          <t>shear_wall</t>
        </is>
      </c>
      <c r="E193" s="5" t="n">
        <v>2658.3</v>
      </c>
      <c r="F193" s="5" t="n">
        <v>2871.9</v>
      </c>
      <c r="G193" s="5" t="n">
        <v>625</v>
      </c>
      <c r="H193" s="5" t="n">
        <v>23</v>
      </c>
      <c r="I193" s="5" t="inlineStr">
        <is>
          <t>combined_footing</t>
        </is>
      </c>
      <c r="J193" s="5" t="inlineStr">
        <is>
          <t>no</t>
        </is>
      </c>
      <c r="K193" s="5" t="n">
        <v>614</v>
      </c>
      <c r="L193" s="5" t="n">
        <v>0.75</v>
      </c>
      <c r="M193" s="5" t="n">
        <v>0</v>
      </c>
      <c r="N193" s="5" t="inlineStr">
        <is>
          <t>no</t>
        </is>
      </c>
    </row>
    <row r="194">
      <c r="A194" s="5" t="n">
        <v>193</v>
      </c>
      <c r="B194" s="5" t="inlineStr">
        <is>
          <t>V8/124/124</t>
        </is>
      </c>
      <c r="C194" s="5" t="inlineStr">
        <is>
          <t>wall</t>
        </is>
      </c>
      <c r="D194" s="5" t="inlineStr">
        <is>
          <t>shear_wall</t>
        </is>
      </c>
      <c r="E194" s="5" t="n">
        <v>3653.1</v>
      </c>
      <c r="F194" s="5" t="n">
        <v>3484.4</v>
      </c>
      <c r="G194" s="5" t="n">
        <v>463</v>
      </c>
      <c r="H194" s="5" t="n">
        <v>37</v>
      </c>
      <c r="I194" s="5" t="inlineStr">
        <is>
          <t>shear_wall</t>
        </is>
      </c>
      <c r="J194" s="5" t="inlineStr">
        <is>
          <t>yes</t>
        </is>
      </c>
      <c r="K194" s="5" t="n">
        <v>463</v>
      </c>
      <c r="L194" s="5" t="n">
        <v>0.73</v>
      </c>
      <c r="M194" s="5" t="n">
        <v>0</v>
      </c>
      <c r="N194" s="5" t="inlineStr">
        <is>
          <t>yes</t>
        </is>
      </c>
    </row>
    <row r="195">
      <c r="A195" s="5" t="n">
        <v>194</v>
      </c>
      <c r="B195" s="5" t="inlineStr">
        <is>
          <t>V8/124/124</t>
        </is>
      </c>
      <c r="C195" s="5" t="inlineStr">
        <is>
          <t>wall</t>
        </is>
      </c>
      <c r="D195" s="5" t="inlineStr">
        <is>
          <t>shear_wall</t>
        </is>
      </c>
      <c r="E195" s="5" t="n">
        <v>3605.2</v>
      </c>
      <c r="F195" s="5" t="n">
        <v>3244.8</v>
      </c>
      <c r="G195" s="5" t="n">
        <v>485</v>
      </c>
      <c r="H195" s="5" t="n">
        <v>4</v>
      </c>
      <c r="I195" s="5" t="inlineStr">
        <is>
          <t>grade_beam</t>
        </is>
      </c>
      <c r="J195" s="5" t="inlineStr">
        <is>
          <t>no</t>
        </is>
      </c>
      <c r="K195" s="5" t="n">
        <v>462</v>
      </c>
      <c r="L195" s="5" t="n">
        <v>0.64</v>
      </c>
      <c r="M195" s="5" t="n">
        <v>0</v>
      </c>
      <c r="N195" s="5" t="inlineStr">
        <is>
          <t>yes</t>
        </is>
      </c>
    </row>
    <row r="196">
      <c r="A196" s="5" t="n">
        <v>195</v>
      </c>
      <c r="B196" s="5" t="inlineStr">
        <is>
          <t>V1/127/127</t>
        </is>
      </c>
      <c r="C196" s="5" t="inlineStr">
        <is>
          <t>wall</t>
        </is>
      </c>
      <c r="D196" s="5" t="inlineStr">
        <is>
          <t>shear_wall</t>
        </is>
      </c>
      <c r="E196" s="5" t="n">
        <v>2389.6</v>
      </c>
      <c r="F196" s="5" t="n">
        <v>3313.5</v>
      </c>
      <c r="G196" s="5" t="n">
        <v>649</v>
      </c>
      <c r="H196" s="5" t="n">
        <v>32</v>
      </c>
      <c r="I196" s="5" t="inlineStr">
        <is>
          <t>shear_wall</t>
        </is>
      </c>
      <c r="J196" s="5" t="inlineStr">
        <is>
          <t>yes</t>
        </is>
      </c>
      <c r="K196" s="5" t="n">
        <v>649</v>
      </c>
      <c r="L196" s="5" t="n">
        <v>0.09</v>
      </c>
      <c r="M196" s="5" t="n">
        <v>0</v>
      </c>
      <c r="N196" s="5" t="inlineStr">
        <is>
          <t>no</t>
        </is>
      </c>
    </row>
    <row r="197">
      <c r="A197" s="5" t="n">
        <v>196</v>
      </c>
      <c r="B197" s="5" t="inlineStr">
        <is>
          <t>V1/127/127</t>
        </is>
      </c>
      <c r="C197" s="5" t="inlineStr">
        <is>
          <t>wall</t>
        </is>
      </c>
      <c r="D197" s="5" t="inlineStr">
        <is>
          <t>shear_wall</t>
        </is>
      </c>
      <c r="E197" s="5" t="n">
        <v>1762.5</v>
      </c>
      <c r="F197" s="5" t="n">
        <v>2994.8</v>
      </c>
      <c r="G197" s="5" t="n">
        <v>661</v>
      </c>
      <c r="H197" s="5" t="n">
        <v>28</v>
      </c>
      <c r="I197" s="5" t="inlineStr">
        <is>
          <t>retaining_wall</t>
        </is>
      </c>
      <c r="J197" s="5" t="inlineStr">
        <is>
          <t>no</t>
        </is>
      </c>
      <c r="K197" s="5" t="n">
        <v>648</v>
      </c>
      <c r="L197" s="5" t="n">
        <v>0.72</v>
      </c>
      <c r="M197" s="5" t="n">
        <v>0</v>
      </c>
      <c r="N197" s="5" t="inlineStr">
        <is>
          <t>no</t>
        </is>
      </c>
    </row>
    <row r="198">
      <c r="A198" s="5" t="n">
        <v>197</v>
      </c>
      <c r="B198" s="5" t="inlineStr">
        <is>
          <t>V3/127/127</t>
        </is>
      </c>
      <c r="C198" s="5" t="inlineStr">
        <is>
          <t>wall</t>
        </is>
      </c>
      <c r="D198" s="5" t="inlineStr">
        <is>
          <t>shear_wall</t>
        </is>
      </c>
      <c r="E198" s="5" t="n">
        <v>1863.5</v>
      </c>
      <c r="F198" s="5" t="n">
        <v>2800</v>
      </c>
      <c r="G198" s="5" t="n">
        <v>680</v>
      </c>
      <c r="H198" s="5" t="n">
        <v>4</v>
      </c>
      <c r="I198" s="5" t="inlineStr">
        <is>
          <t>grade_beam</t>
        </is>
      </c>
      <c r="J198" s="5" t="inlineStr">
        <is>
          <t>no</t>
        </is>
      </c>
      <c r="K198" s="5" t="n">
        <v>650</v>
      </c>
      <c r="L198" s="5" t="n">
        <v>0.82</v>
      </c>
      <c r="M198" s="5" t="n">
        <v>1</v>
      </c>
      <c r="N198" s="5" t="inlineStr">
        <is>
          <t>yes</t>
        </is>
      </c>
    </row>
    <row r="199">
      <c r="A199" s="5" t="n">
        <v>198</v>
      </c>
      <c r="B199" s="5" t="inlineStr">
        <is>
          <t>V3/127/127</t>
        </is>
      </c>
      <c r="C199" s="5" t="inlineStr">
        <is>
          <t>wall</t>
        </is>
      </c>
      <c r="D199" s="5" t="inlineStr">
        <is>
          <t>shear_wall</t>
        </is>
      </c>
      <c r="E199" s="5" t="n">
        <v>2489.6</v>
      </c>
      <c r="F199" s="5" t="n">
        <v>3114.6</v>
      </c>
      <c r="G199" s="5" t="n">
        <v>683</v>
      </c>
      <c r="H199" s="5" t="n">
        <v>4</v>
      </c>
      <c r="I199" s="5" t="inlineStr">
        <is>
          <t>grade_beam</t>
        </is>
      </c>
      <c r="J199" s="5" t="inlineStr">
        <is>
          <t>no</t>
        </is>
      </c>
      <c r="K199" s="5" t="n">
        <v>651</v>
      </c>
      <c r="L199" s="5" t="n">
        <v>0.08</v>
      </c>
      <c r="M199" s="5" t="n">
        <v>0</v>
      </c>
      <c r="N199" s="5" t="inlineStr">
        <is>
          <t>no</t>
        </is>
      </c>
    </row>
    <row r="200">
      <c r="A200" s="5" t="n">
        <v>199</v>
      </c>
      <c r="B200" s="5" t="inlineStr">
        <is>
          <t>V4/127/127</t>
        </is>
      </c>
      <c r="C200" s="5" t="inlineStr">
        <is>
          <t>wall</t>
        </is>
      </c>
      <c r="D200" s="5" t="inlineStr">
        <is>
          <t>shear_wall</t>
        </is>
      </c>
      <c r="E200" s="5" t="n">
        <v>1913.5</v>
      </c>
      <c r="F200" s="5" t="n">
        <v>3033.3</v>
      </c>
      <c r="G200" s="5" t="n">
        <v>653</v>
      </c>
      <c r="H200" s="5" t="n">
        <v>32</v>
      </c>
      <c r="I200" s="5" t="inlineStr">
        <is>
          <t>shear_wall</t>
        </is>
      </c>
      <c r="J200" s="5" t="inlineStr">
        <is>
          <t>yes</t>
        </is>
      </c>
      <c r="K200" s="5" t="n">
        <v>653</v>
      </c>
      <c r="L200" s="5" t="n">
        <v>0.24</v>
      </c>
      <c r="M200" s="5" t="n">
        <v>0</v>
      </c>
      <c r="N200" s="5" t="inlineStr">
        <is>
          <t>no</t>
        </is>
      </c>
    </row>
    <row r="201">
      <c r="A201" s="5" t="n">
        <v>200</v>
      </c>
      <c r="B201" s="5" t="inlineStr">
        <is>
          <t>V4/127/127</t>
        </is>
      </c>
      <c r="C201" s="5" t="inlineStr">
        <is>
          <t>wall</t>
        </is>
      </c>
      <c r="D201" s="5" t="inlineStr">
        <is>
          <t>shear_wall</t>
        </is>
      </c>
      <c r="E201" s="5" t="n">
        <v>2068.8</v>
      </c>
      <c r="F201" s="5" t="n">
        <v>3111.5</v>
      </c>
      <c r="G201" s="5" t="n">
        <v>652</v>
      </c>
      <c r="H201" s="5" t="n">
        <v>37</v>
      </c>
      <c r="I201" s="5" t="inlineStr">
        <is>
          <t>shear_wall</t>
        </is>
      </c>
      <c r="J201" s="5" t="inlineStr">
        <is>
          <t>yes</t>
        </is>
      </c>
      <c r="K201" s="5" t="n">
        <v>652</v>
      </c>
      <c r="L201" s="5" t="n">
        <v>0.18</v>
      </c>
      <c r="M201" s="5" t="n">
        <v>0.06</v>
      </c>
      <c r="N201" s="5" t="inlineStr">
        <is>
          <t>yes</t>
        </is>
      </c>
    </row>
    <row r="202">
      <c r="A202" s="5" t="n">
        <v>201</v>
      </c>
      <c r="B202" s="5" t="inlineStr">
        <is>
          <t>V5/127/127</t>
        </is>
      </c>
      <c r="C202" s="5" t="inlineStr">
        <is>
          <t>wall</t>
        </is>
      </c>
      <c r="D202" s="5" t="inlineStr">
        <is>
          <t>shear_wall</t>
        </is>
      </c>
      <c r="E202" s="5" t="n">
        <v>2253.1</v>
      </c>
      <c r="F202" s="5" t="n">
        <v>3012.5</v>
      </c>
      <c r="G202" s="5" t="n">
        <v>670</v>
      </c>
      <c r="H202" s="5" t="n">
        <v>16</v>
      </c>
      <c r="I202" s="5" t="inlineStr">
        <is>
          <t>isolated_footing</t>
        </is>
      </c>
      <c r="J202" s="5" t="inlineStr">
        <is>
          <t>no</t>
        </is>
      </c>
      <c r="K202" s="5" t="n">
        <v>654</v>
      </c>
      <c r="L202" s="5" t="n">
        <v>0.78</v>
      </c>
      <c r="M202" s="5" t="n">
        <v>1</v>
      </c>
      <c r="N202" s="5" t="inlineStr">
        <is>
          <t>yes</t>
        </is>
      </c>
    </row>
    <row r="203">
      <c r="A203" s="5" t="n">
        <v>202</v>
      </c>
      <c r="B203" s="5" t="inlineStr">
        <is>
          <t>V5/127/127</t>
        </is>
      </c>
      <c r="C203" s="5" t="inlineStr">
        <is>
          <t>wall</t>
        </is>
      </c>
      <c r="D203" s="5" t="inlineStr">
        <is>
          <t>shear_wall</t>
        </is>
      </c>
      <c r="E203" s="5" t="n">
        <v>2032.3</v>
      </c>
      <c r="F203" s="5" t="n">
        <v>2909.4</v>
      </c>
      <c r="G203" s="5" t="n">
        <v>671</v>
      </c>
      <c r="H203" s="5" t="n">
        <v>16</v>
      </c>
      <c r="I203" s="5" t="inlineStr">
        <is>
          <t>isolated_footing</t>
        </is>
      </c>
      <c r="J203" s="5" t="inlineStr">
        <is>
          <t>no</t>
        </is>
      </c>
      <c r="K203" s="5" t="n">
        <v>655</v>
      </c>
      <c r="L203" s="5" t="n">
        <v>0.87</v>
      </c>
      <c r="M203" s="5" t="n">
        <v>1</v>
      </c>
      <c r="N203" s="5" t="inlineStr">
        <is>
          <t>yes</t>
        </is>
      </c>
    </row>
    <row r="204">
      <c r="A204" s="5" t="n">
        <v>203</v>
      </c>
      <c r="B204" s="5" t="inlineStr">
        <is>
          <t>V6/127/127</t>
        </is>
      </c>
      <c r="C204" s="5" t="inlineStr">
        <is>
          <t>wall</t>
        </is>
      </c>
      <c r="D204" s="5" t="inlineStr">
        <is>
          <t>shear_wall</t>
        </is>
      </c>
      <c r="E204" s="5" t="n">
        <v>1982.3</v>
      </c>
      <c r="F204" s="5" t="n">
        <v>2560.4</v>
      </c>
      <c r="G204" s="5" t="n">
        <v>675</v>
      </c>
      <c r="H204" s="5" t="n">
        <v>23</v>
      </c>
      <c r="I204" s="5" t="inlineStr">
        <is>
          <t>combined_footing</t>
        </is>
      </c>
      <c r="J204" s="5" t="inlineStr">
        <is>
          <t>no</t>
        </is>
      </c>
      <c r="K204" s="5" t="n">
        <v>658</v>
      </c>
      <c r="L204" s="5" t="n">
        <v>0.77</v>
      </c>
      <c r="M204" s="5" t="n">
        <v>0</v>
      </c>
      <c r="N204" s="5" t="inlineStr">
        <is>
          <t>yes</t>
        </is>
      </c>
    </row>
    <row r="205">
      <c r="A205" s="5" t="n">
        <v>204</v>
      </c>
      <c r="B205" s="5" t="inlineStr">
        <is>
          <t>V6/127/127</t>
        </is>
      </c>
      <c r="C205" s="5" t="inlineStr">
        <is>
          <t>wall</t>
        </is>
      </c>
      <c r="D205" s="5" t="inlineStr">
        <is>
          <t>shear_wall</t>
        </is>
      </c>
      <c r="E205" s="5" t="n">
        <v>2201</v>
      </c>
      <c r="F205" s="5" t="n">
        <v>2670.8</v>
      </c>
      <c r="G205" s="5" t="n">
        <v>709</v>
      </c>
      <c r="H205" s="5" t="n">
        <v>5</v>
      </c>
      <c r="I205" s="5" t="inlineStr">
        <is>
          <t>unnamed</t>
        </is>
      </c>
      <c r="J205" s="5" t="inlineStr">
        <is>
          <t>unnamed</t>
        </is>
      </c>
      <c r="K205" s="5" t="n">
        <v>659</v>
      </c>
      <c r="L205" s="5" t="n">
        <v>0.78</v>
      </c>
      <c r="M205" s="5" t="n">
        <v>0</v>
      </c>
      <c r="N205" s="5" t="inlineStr">
        <is>
          <t>no</t>
        </is>
      </c>
    </row>
    <row r="206">
      <c r="A206" s="5" t="n">
        <v>205</v>
      </c>
      <c r="B206" s="5" t="inlineStr">
        <is>
          <t>V6/127/127</t>
        </is>
      </c>
      <c r="C206" s="5" t="inlineStr">
        <is>
          <t>wall</t>
        </is>
      </c>
      <c r="D206" s="5" t="inlineStr">
        <is>
          <t>shear_wall</t>
        </is>
      </c>
      <c r="E206" s="5" t="n">
        <v>2376</v>
      </c>
      <c r="F206" s="5" t="n">
        <v>2761.5</v>
      </c>
      <c r="G206" s="5" t="n">
        <v>684</v>
      </c>
      <c r="H206" s="5" t="n">
        <v>4</v>
      </c>
      <c r="I206" s="5" t="inlineStr">
        <is>
          <t>grade_beam</t>
        </is>
      </c>
      <c r="J206" s="5" t="inlineStr">
        <is>
          <t>no</t>
        </is>
      </c>
      <c r="K206" s="5" t="n">
        <v>657</v>
      </c>
      <c r="L206" s="5" t="n">
        <v>0.09</v>
      </c>
      <c r="M206" s="5" t="n">
        <v>0</v>
      </c>
      <c r="N206" s="5" t="inlineStr">
        <is>
          <t>no</t>
        </is>
      </c>
    </row>
    <row r="207">
      <c r="A207" s="5" t="n">
        <v>206</v>
      </c>
      <c r="B207" s="5" t="inlineStr">
        <is>
          <t>V6/127/127</t>
        </is>
      </c>
      <c r="C207" s="5" t="inlineStr">
        <is>
          <t>wall</t>
        </is>
      </c>
      <c r="D207" s="5" t="inlineStr">
        <is>
          <t>shear_wall</t>
        </is>
      </c>
      <c r="E207" s="5" t="n">
        <v>2609.4</v>
      </c>
      <c r="F207" s="5" t="n">
        <v>2877.1</v>
      </c>
      <c r="G207" s="5" t="n">
        <v>656</v>
      </c>
      <c r="H207" s="5" t="n">
        <v>36</v>
      </c>
      <c r="I207" s="5" t="inlineStr">
        <is>
          <t>shear_wall</t>
        </is>
      </c>
      <c r="J207" s="5" t="inlineStr">
        <is>
          <t>yes</t>
        </is>
      </c>
      <c r="K207" s="5" t="n">
        <v>656</v>
      </c>
      <c r="L207" s="5" t="n">
        <v>0.06</v>
      </c>
      <c r="M207" s="5" t="n">
        <v>0</v>
      </c>
      <c r="N207" s="5" t="inlineStr">
        <is>
          <t>yes</t>
        </is>
      </c>
    </row>
    <row r="208">
      <c r="A208" s="5" t="n">
        <v>207</v>
      </c>
      <c r="B208" s="5" t="inlineStr">
        <is>
          <t>V1/128/128</t>
        </is>
      </c>
      <c r="C208" s="5" t="inlineStr">
        <is>
          <t>wall</t>
        </is>
      </c>
      <c r="D208" s="5" t="inlineStr">
        <is>
          <t>shear_wall</t>
        </is>
      </c>
      <c r="E208" s="5" t="n">
        <v>1728.1</v>
      </c>
      <c r="F208" s="5" t="n">
        <v>2976</v>
      </c>
      <c r="G208" s="5" t="n">
        <v>737</v>
      </c>
      <c r="H208" s="5" t="n">
        <v>32</v>
      </c>
      <c r="I208" s="5" t="inlineStr">
        <is>
          <t>shear_wall</t>
        </is>
      </c>
      <c r="J208" s="5" t="inlineStr">
        <is>
          <t>yes</t>
        </is>
      </c>
      <c r="K208" s="5" t="n">
        <v>737</v>
      </c>
      <c r="L208" s="5" t="n">
        <v>0.01</v>
      </c>
      <c r="M208" s="5" t="n">
        <v>0</v>
      </c>
      <c r="N208" s="5" t="inlineStr">
        <is>
          <t>no</t>
        </is>
      </c>
    </row>
    <row r="209">
      <c r="A209" s="5" t="n">
        <v>208</v>
      </c>
      <c r="B209" s="5" t="inlineStr">
        <is>
          <t>V1/128/128</t>
        </is>
      </c>
      <c r="C209" s="5" t="inlineStr">
        <is>
          <t>wall</t>
        </is>
      </c>
      <c r="D209" s="5" t="inlineStr">
        <is>
          <t>shear_wall</t>
        </is>
      </c>
      <c r="E209" s="5" t="n">
        <v>852.1</v>
      </c>
      <c r="F209" s="5" t="n">
        <v>2772.9</v>
      </c>
      <c r="G209" s="5" t="n">
        <v>781</v>
      </c>
      <c r="H209" s="5" t="n">
        <v>34</v>
      </c>
      <c r="I209" s="5" t="inlineStr">
        <is>
          <t>unnamed</t>
        </is>
      </c>
      <c r="J209" s="5" t="inlineStr">
        <is>
          <t>unnamed</t>
        </is>
      </c>
      <c r="K209" s="5" t="n">
        <v>738</v>
      </c>
      <c r="L209" s="5" t="n">
        <v>0.73</v>
      </c>
      <c r="M209" s="5" t="n">
        <v>0</v>
      </c>
      <c r="N209" s="5" t="inlineStr">
        <is>
          <t>yes</t>
        </is>
      </c>
    </row>
    <row r="210">
      <c r="A210" s="5" t="n">
        <v>209</v>
      </c>
      <c r="B210" s="5" t="inlineStr">
        <is>
          <t>V7/128/128</t>
        </is>
      </c>
      <c r="C210" s="5" t="inlineStr">
        <is>
          <t>wall</t>
        </is>
      </c>
      <c r="D210" s="5" t="inlineStr">
        <is>
          <t>shear_wall</t>
        </is>
      </c>
      <c r="E210" s="5" t="n">
        <v>1011.5</v>
      </c>
      <c r="F210" s="5" t="n">
        <v>2647.9</v>
      </c>
      <c r="G210" s="5" t="n">
        <v>806</v>
      </c>
      <c r="H210" s="5" t="n">
        <v>3</v>
      </c>
      <c r="I210" s="5" t="inlineStr">
        <is>
          <t>unnamed</t>
        </is>
      </c>
      <c r="J210" s="5" t="inlineStr">
        <is>
          <t>unnamed</t>
        </is>
      </c>
      <c r="K210" s="5" t="n">
        <v>873</v>
      </c>
      <c r="L210" s="5" t="n">
        <v>0.51</v>
      </c>
      <c r="M210" s="5" t="n">
        <v>0.82</v>
      </c>
      <c r="N210" s="5" t="inlineStr">
        <is>
          <t>yes</t>
        </is>
      </c>
    </row>
    <row r="211">
      <c r="A211" s="5" t="n">
        <v>210</v>
      </c>
      <c r="B211" s="5" t="inlineStr">
        <is>
          <t>V3/128/128</t>
        </is>
      </c>
      <c r="C211" s="5" t="inlineStr">
        <is>
          <t>wall</t>
        </is>
      </c>
      <c r="D211" s="5" t="inlineStr">
        <is>
          <t>shear_wall</t>
        </is>
      </c>
      <c r="E211" s="5" t="n">
        <v>1822.9</v>
      </c>
      <c r="F211" s="5" t="n">
        <v>2779.2</v>
      </c>
      <c r="G211" s="5" t="n">
        <v>739</v>
      </c>
      <c r="H211" s="5" t="n">
        <v>36</v>
      </c>
      <c r="I211" s="5" t="inlineStr">
        <is>
          <t>shear_wall</t>
        </is>
      </c>
      <c r="J211" s="5" t="inlineStr">
        <is>
          <t>yes</t>
        </is>
      </c>
      <c r="K211" s="5" t="n">
        <v>739</v>
      </c>
      <c r="L211" s="5" t="n">
        <v>0.13</v>
      </c>
      <c r="M211" s="5" t="n">
        <v>1</v>
      </c>
      <c r="N211" s="5" t="inlineStr">
        <is>
          <t>yes</t>
        </is>
      </c>
    </row>
    <row r="212">
      <c r="A212" s="5" t="n">
        <v>211</v>
      </c>
      <c r="B212" s="5" t="inlineStr">
        <is>
          <t>V4/128/128</t>
        </is>
      </c>
      <c r="C212" s="5" t="inlineStr">
        <is>
          <t>wall</t>
        </is>
      </c>
      <c r="D212" s="5" t="inlineStr">
        <is>
          <t>shear_wall</t>
        </is>
      </c>
      <c r="E212" s="5" t="n">
        <v>1213.5</v>
      </c>
      <c r="F212" s="5" t="n">
        <v>2481.2</v>
      </c>
      <c r="G212" s="5" t="n">
        <v>872</v>
      </c>
      <c r="H212" s="5" t="n">
        <v>3</v>
      </c>
      <c r="I212" s="5" t="inlineStr">
        <is>
          <t>unnamed</t>
        </is>
      </c>
      <c r="J212" s="5" t="inlineStr">
        <is>
          <t>unnamed</t>
        </is>
      </c>
      <c r="K212" s="5" t="n">
        <v>872</v>
      </c>
      <c r="L212" s="5" t="n">
        <v>0</v>
      </c>
      <c r="M212" s="5" t="n">
        <v>0</v>
      </c>
      <c r="N212" s="5" t="inlineStr">
        <is>
          <t>no</t>
        </is>
      </c>
    </row>
    <row r="213">
      <c r="A213" s="5" t="n">
        <v>212</v>
      </c>
      <c r="B213" s="5" t="inlineStr">
        <is>
          <t>V5/128/128</t>
        </is>
      </c>
      <c r="C213" s="5" t="inlineStr">
        <is>
          <t>wall</t>
        </is>
      </c>
      <c r="D213" s="5" t="inlineStr">
        <is>
          <t>shear_wall</t>
        </is>
      </c>
      <c r="E213" s="5" t="n">
        <v>1644.8</v>
      </c>
      <c r="F213" s="5" t="n">
        <v>2899</v>
      </c>
      <c r="G213" s="5" t="n">
        <v>740</v>
      </c>
      <c r="H213" s="5" t="n">
        <v>37</v>
      </c>
      <c r="I213" s="5" t="inlineStr">
        <is>
          <t>shear_wall</t>
        </is>
      </c>
      <c r="J213" s="5" t="inlineStr">
        <is>
          <t>yes</t>
        </is>
      </c>
      <c r="K213" s="5" t="n">
        <v>740</v>
      </c>
      <c r="L213" s="5" t="n">
        <v>0.17</v>
      </c>
      <c r="M213" s="5" t="n">
        <v>0</v>
      </c>
      <c r="N213" s="5" t="inlineStr">
        <is>
          <t>no</t>
        </is>
      </c>
    </row>
    <row r="214">
      <c r="A214" s="5" t="n">
        <v>213</v>
      </c>
      <c r="B214" s="5" t="inlineStr">
        <is>
          <t>V6/128/128</t>
        </is>
      </c>
      <c r="C214" s="5" t="inlineStr">
        <is>
          <t>wall</t>
        </is>
      </c>
      <c r="D214" s="5" t="inlineStr">
        <is>
          <t>shear_wall</t>
        </is>
      </c>
      <c r="E214" s="5" t="n">
        <v>1942.7</v>
      </c>
      <c r="F214" s="5" t="n">
        <v>2542.7</v>
      </c>
      <c r="G214" s="5" t="n">
        <v>741</v>
      </c>
      <c r="H214" s="5" t="n">
        <v>36</v>
      </c>
      <c r="I214" s="5" t="inlineStr">
        <is>
          <t>shear_wall</t>
        </is>
      </c>
      <c r="J214" s="5" t="inlineStr">
        <is>
          <t>yes</t>
        </is>
      </c>
      <c r="K214" s="5" t="n">
        <v>741</v>
      </c>
      <c r="L214" s="5" t="n">
        <v>0.09</v>
      </c>
      <c r="M214" s="5" t="n">
        <v>0</v>
      </c>
      <c r="N214" s="5" t="inlineStr">
        <is>
          <t>yes</t>
        </is>
      </c>
    </row>
    <row r="215">
      <c r="A215" s="5" t="n">
        <v>214</v>
      </c>
      <c r="B215" s="5" t="inlineStr">
        <is>
          <t>V6/128/128</t>
        </is>
      </c>
      <c r="C215" s="5" t="inlineStr">
        <is>
          <t>wall</t>
        </is>
      </c>
      <c r="D215" s="5" t="inlineStr">
        <is>
          <t>shear_wall</t>
        </is>
      </c>
      <c r="E215" s="5" t="n">
        <v>1766.7</v>
      </c>
      <c r="F215" s="5" t="n">
        <v>2455.2</v>
      </c>
      <c r="G215" s="5" t="n">
        <v>763</v>
      </c>
      <c r="H215" s="5" t="n">
        <v>17</v>
      </c>
      <c r="I215" s="5" t="inlineStr">
        <is>
          <t>isolated_footing</t>
        </is>
      </c>
      <c r="J215" s="5" t="inlineStr">
        <is>
          <t>no</t>
        </is>
      </c>
      <c r="K215" s="5" t="n">
        <v>743</v>
      </c>
      <c r="L215" s="5" t="n">
        <v>0.76</v>
      </c>
      <c r="M215" s="5" t="n">
        <v>0</v>
      </c>
      <c r="N215" s="5" t="inlineStr">
        <is>
          <t>yes</t>
        </is>
      </c>
    </row>
    <row r="216">
      <c r="A216" s="5" t="n">
        <v>215</v>
      </c>
      <c r="B216" s="5" t="inlineStr">
        <is>
          <t>V6/128/128</t>
        </is>
      </c>
      <c r="C216" s="5" t="inlineStr">
        <is>
          <t>wall</t>
        </is>
      </c>
      <c r="D216" s="5" t="inlineStr">
        <is>
          <t>shear_wall</t>
        </is>
      </c>
      <c r="E216" s="5" t="n">
        <v>1465.6</v>
      </c>
      <c r="F216" s="5" t="n">
        <v>2275</v>
      </c>
      <c r="G216" s="5" t="n">
        <v>772</v>
      </c>
      <c r="H216" s="5" t="n">
        <v>4</v>
      </c>
      <c r="I216" s="5" t="inlineStr">
        <is>
          <t>grade_beam</t>
        </is>
      </c>
      <c r="J216" s="5" t="inlineStr">
        <is>
          <t>no</t>
        </is>
      </c>
      <c r="K216" s="5" t="n">
        <v>742</v>
      </c>
      <c r="L216" s="5" t="n">
        <v>0.75</v>
      </c>
      <c r="M216" s="5" t="n">
        <v>0</v>
      </c>
      <c r="N216" s="5" t="inlineStr">
        <is>
          <t>no</t>
        </is>
      </c>
    </row>
    <row r="217">
      <c r="A217" s="5" t="n">
        <v>216</v>
      </c>
      <c r="B217" s="5" t="inlineStr">
        <is>
          <t>V7a/128/128</t>
        </is>
      </c>
      <c r="C217" s="5" t="inlineStr">
        <is>
          <t>wall</t>
        </is>
      </c>
      <c r="D217" s="5" t="inlineStr">
        <is>
          <t>shear_wall</t>
        </is>
      </c>
      <c r="E217" s="5" t="n">
        <v>1681.3</v>
      </c>
      <c r="F217" s="5" t="n">
        <v>2708.3</v>
      </c>
      <c r="G217" s="5" t="n">
        <v>745</v>
      </c>
      <c r="H217" s="5" t="n">
        <v>37</v>
      </c>
      <c r="I217" s="5" t="inlineStr">
        <is>
          <t>shear_wall</t>
        </is>
      </c>
      <c r="J217" s="5" t="inlineStr">
        <is>
          <t>yes</t>
        </is>
      </c>
      <c r="K217" s="5" t="n">
        <v>745</v>
      </c>
      <c r="L217" s="5" t="n">
        <v>0.91</v>
      </c>
      <c r="M217" s="5" t="n">
        <v>0</v>
      </c>
      <c r="N217" s="5" t="inlineStr">
        <is>
          <t>no</t>
        </is>
      </c>
    </row>
    <row r="218">
      <c r="A218" s="5" t="n">
        <v>217</v>
      </c>
      <c r="B218" s="5" t="inlineStr">
        <is>
          <t>V6/130/130</t>
        </is>
      </c>
      <c r="C218" s="5" t="inlineStr">
        <is>
          <t>wall</t>
        </is>
      </c>
      <c r="D218" s="5" t="inlineStr">
        <is>
          <t>shear_wall</t>
        </is>
      </c>
      <c r="E218" s="5" t="n">
        <v>1260.4</v>
      </c>
      <c r="F218" s="5" t="n">
        <v>1726</v>
      </c>
      <c r="G218" s="5" t="n">
        <v>1030</v>
      </c>
      <c r="H218" s="5" t="n">
        <v>36</v>
      </c>
      <c r="I218" s="5" t="inlineStr">
        <is>
          <t>shear_wall</t>
        </is>
      </c>
      <c r="J218" s="5" t="inlineStr">
        <is>
          <t>yes</t>
        </is>
      </c>
      <c r="K218" s="5" t="n">
        <v>1030</v>
      </c>
      <c r="L218" s="5" t="n">
        <v>0.08</v>
      </c>
      <c r="M218" s="5" t="n">
        <v>0</v>
      </c>
      <c r="N218" s="5" t="inlineStr">
        <is>
          <t>yes</t>
        </is>
      </c>
    </row>
    <row r="219">
      <c r="A219" s="5" t="n">
        <v>218</v>
      </c>
      <c r="B219" s="5" t="inlineStr">
        <is>
          <t>V6/130/130</t>
        </is>
      </c>
      <c r="C219" s="5" t="inlineStr">
        <is>
          <t>wall</t>
        </is>
      </c>
      <c r="D219" s="5" t="inlineStr">
        <is>
          <t>shear_wall</t>
        </is>
      </c>
      <c r="E219" s="5" t="n">
        <v>1202.1</v>
      </c>
      <c r="F219" s="5" t="n">
        <v>1515.6</v>
      </c>
      <c r="G219" s="5" t="n">
        <v>1028</v>
      </c>
      <c r="H219" s="5" t="n">
        <v>36</v>
      </c>
      <c r="I219" s="5" t="inlineStr">
        <is>
          <t>shear_wall</t>
        </is>
      </c>
      <c r="J219" s="5" t="inlineStr">
        <is>
          <t>yes</t>
        </is>
      </c>
      <c r="K219" s="5" t="n">
        <v>1028</v>
      </c>
      <c r="L219" s="5" t="n">
        <v>0.05</v>
      </c>
      <c r="M219" s="5" t="n">
        <v>0</v>
      </c>
      <c r="N219" s="5" t="inlineStr">
        <is>
          <t>yes</t>
        </is>
      </c>
    </row>
    <row r="220">
      <c r="A220" s="5" t="n">
        <v>219</v>
      </c>
      <c r="B220" s="5" t="inlineStr">
        <is>
          <t>V6/130/130</t>
        </is>
      </c>
      <c r="C220" s="5" t="inlineStr">
        <is>
          <t>wall</t>
        </is>
      </c>
      <c r="D220" s="5" t="inlineStr">
        <is>
          <t>shear_wall</t>
        </is>
      </c>
      <c r="E220" s="5" t="n">
        <v>1143.8</v>
      </c>
      <c r="F220" s="5" t="n">
        <v>1290.6</v>
      </c>
      <c r="G220" s="5" t="n">
        <v>1029</v>
      </c>
      <c r="H220" s="5" t="n">
        <v>36</v>
      </c>
      <c r="I220" s="5" t="inlineStr">
        <is>
          <t>shear_wall</t>
        </is>
      </c>
      <c r="J220" s="5" t="inlineStr">
        <is>
          <t>yes</t>
        </is>
      </c>
      <c r="K220" s="5" t="n">
        <v>1029</v>
      </c>
      <c r="L220" s="5" t="n">
        <v>0.17</v>
      </c>
      <c r="M220" s="5" t="n">
        <v>0</v>
      </c>
      <c r="N220" s="5" t="inlineStr">
        <is>
          <t>yes</t>
        </is>
      </c>
    </row>
    <row r="221">
      <c r="A221" s="5" t="n">
        <v>220</v>
      </c>
      <c r="B221" s="5" t="inlineStr">
        <is>
          <t>V1/130/130</t>
        </is>
      </c>
      <c r="C221" s="5" t="inlineStr">
        <is>
          <t>wall</t>
        </is>
      </c>
      <c r="D221" s="5" t="inlineStr">
        <is>
          <t>shear_wall</t>
        </is>
      </c>
      <c r="E221" s="5" t="n">
        <v>1032.3</v>
      </c>
      <c r="F221" s="5" t="n">
        <v>1787.5</v>
      </c>
      <c r="G221" s="5" t="n">
        <v>1023</v>
      </c>
      <c r="H221" s="5" t="n">
        <v>36</v>
      </c>
      <c r="I221" s="5" t="inlineStr">
        <is>
          <t>shear_wall</t>
        </is>
      </c>
      <c r="J221" s="5" t="inlineStr">
        <is>
          <t>yes</t>
        </is>
      </c>
      <c r="K221" s="5" t="n">
        <v>1023</v>
      </c>
      <c r="L221" s="5" t="n">
        <v>0.03</v>
      </c>
      <c r="M221" s="5" t="n">
        <v>0</v>
      </c>
      <c r="N221" s="5" t="inlineStr">
        <is>
          <t>yes</t>
        </is>
      </c>
    </row>
    <row r="222">
      <c r="A222" s="5" t="n">
        <v>221</v>
      </c>
      <c r="B222" s="5" t="inlineStr">
        <is>
          <t>V1/130/130</t>
        </is>
      </c>
      <c r="C222" s="5" t="inlineStr">
        <is>
          <t>wall</t>
        </is>
      </c>
      <c r="D222" s="5" t="inlineStr">
        <is>
          <t>shear_wall</t>
        </is>
      </c>
      <c r="E222" s="5" t="n">
        <v>800</v>
      </c>
      <c r="F222" s="5" t="n">
        <v>1847.9</v>
      </c>
      <c r="G222" s="5" t="n">
        <v>1020</v>
      </c>
      <c r="H222" s="5" t="n">
        <v>32</v>
      </c>
      <c r="I222" s="5" t="inlineStr">
        <is>
          <t>shear_wall</t>
        </is>
      </c>
      <c r="J222" s="5" t="inlineStr">
        <is>
          <t>yes</t>
        </is>
      </c>
      <c r="K222" s="5" t="n">
        <v>1020</v>
      </c>
      <c r="L222" s="5" t="n">
        <v>0.06</v>
      </c>
      <c r="M222" s="5" t="n">
        <v>0</v>
      </c>
      <c r="N222" s="5" t="inlineStr">
        <is>
          <t>yes</t>
        </is>
      </c>
    </row>
    <row r="223">
      <c r="A223" s="5" t="n">
        <v>222</v>
      </c>
      <c r="B223" s="5" t="inlineStr">
        <is>
          <t>V1/130/130</t>
        </is>
      </c>
      <c r="C223" s="5" t="inlineStr">
        <is>
          <t>wall</t>
        </is>
      </c>
      <c r="D223" s="5" t="inlineStr">
        <is>
          <t>shear_wall</t>
        </is>
      </c>
      <c r="E223" s="5" t="n">
        <v>884.4</v>
      </c>
      <c r="F223" s="5" t="n">
        <v>1258.3</v>
      </c>
      <c r="G223" s="5" t="n">
        <v>1059</v>
      </c>
      <c r="H223" s="5" t="n">
        <v>4</v>
      </c>
      <c r="I223" s="5" t="inlineStr">
        <is>
          <t>grade_beam</t>
        </is>
      </c>
      <c r="J223" s="5" t="inlineStr">
        <is>
          <t>no</t>
        </is>
      </c>
      <c r="K223" s="5" t="n">
        <v>1021</v>
      </c>
      <c r="L223" s="5" t="n">
        <v>0.78</v>
      </c>
      <c r="M223" s="5" t="n">
        <v>0</v>
      </c>
      <c r="N223" s="5" t="inlineStr">
        <is>
          <t>yes</t>
        </is>
      </c>
    </row>
    <row r="224">
      <c r="A224" s="5" t="n">
        <v>223</v>
      </c>
      <c r="B224" s="5" t="inlineStr">
        <is>
          <t>V1/130/130</t>
        </is>
      </c>
      <c r="C224" s="5" t="inlineStr">
        <is>
          <t>wall</t>
        </is>
      </c>
      <c r="D224" s="5" t="inlineStr">
        <is>
          <t>shear_wall</t>
        </is>
      </c>
      <c r="E224" s="5" t="n">
        <v>634.4</v>
      </c>
      <c r="F224" s="5" t="n">
        <v>1245.8</v>
      </c>
      <c r="G224" s="5" t="n">
        <v>1041</v>
      </c>
      <c r="H224" s="5" t="n">
        <v>17</v>
      </c>
      <c r="I224" s="5" t="inlineStr">
        <is>
          <t>isolated_footing</t>
        </is>
      </c>
      <c r="J224" s="5" t="inlineStr">
        <is>
          <t>no</t>
        </is>
      </c>
      <c r="K224" s="5" t="n">
        <v>1022</v>
      </c>
      <c r="L224" s="5" t="n">
        <v>0.78</v>
      </c>
      <c r="M224" s="5" t="n">
        <v>0</v>
      </c>
      <c r="N224" s="5" t="inlineStr">
        <is>
          <t>yes</t>
        </is>
      </c>
    </row>
    <row r="225">
      <c r="A225" s="5" t="n">
        <v>224</v>
      </c>
      <c r="B225" s="5" t="inlineStr">
        <is>
          <t>V3/130/130</t>
        </is>
      </c>
      <c r="C225" s="5" t="inlineStr">
        <is>
          <t>wall</t>
        </is>
      </c>
      <c r="D225" s="5" t="inlineStr">
        <is>
          <t>shear_wall</t>
        </is>
      </c>
      <c r="E225" s="5" t="n">
        <v>954.2</v>
      </c>
      <c r="F225" s="5" t="n">
        <v>1605.2</v>
      </c>
      <c r="G225" s="5" t="n">
        <v>1062</v>
      </c>
      <c r="H225" s="5" t="n">
        <v>4</v>
      </c>
      <c r="I225" s="5" t="inlineStr">
        <is>
          <t>grade_beam</t>
        </is>
      </c>
      <c r="J225" s="5" t="inlineStr">
        <is>
          <t>no</t>
        </is>
      </c>
      <c r="K225" s="5" t="n">
        <v>1026</v>
      </c>
      <c r="L225" s="5" t="n">
        <v>0.1</v>
      </c>
      <c r="M225" s="5" t="n">
        <v>1</v>
      </c>
      <c r="N225" s="5" t="inlineStr">
        <is>
          <t>yes</t>
        </is>
      </c>
    </row>
    <row r="226">
      <c r="A226" s="5" t="n">
        <v>225</v>
      </c>
      <c r="B226" s="5" t="inlineStr">
        <is>
          <t>V3/130/130</t>
        </is>
      </c>
      <c r="C226" s="5" t="inlineStr">
        <is>
          <t>wall</t>
        </is>
      </c>
      <c r="D226" s="5" t="inlineStr">
        <is>
          <t>shear_wall</t>
        </is>
      </c>
      <c r="E226" s="5" t="n">
        <v>912.5</v>
      </c>
      <c r="F226" s="5" t="n">
        <v>1421.9</v>
      </c>
      <c r="G226" s="5" t="n">
        <v>1025</v>
      </c>
      <c r="H226" s="5" t="n">
        <v>35</v>
      </c>
      <c r="I226" s="5" t="inlineStr">
        <is>
          <t>shear_wall</t>
        </is>
      </c>
      <c r="J226" s="5" t="inlineStr">
        <is>
          <t>yes</t>
        </is>
      </c>
      <c r="K226" s="5" t="n">
        <v>1025</v>
      </c>
      <c r="L226" s="5" t="n">
        <v>0.12</v>
      </c>
      <c r="M226" s="5" t="n">
        <v>1</v>
      </c>
      <c r="N226" s="5" t="inlineStr">
        <is>
          <t>yes</t>
        </is>
      </c>
    </row>
    <row r="227">
      <c r="A227" s="5" t="n">
        <v>226</v>
      </c>
      <c r="B227" s="5" t="inlineStr">
        <is>
          <t>V4/130/130</t>
        </is>
      </c>
      <c r="C227" s="5" t="inlineStr">
        <is>
          <t>wall</t>
        </is>
      </c>
      <c r="D227" s="5" t="inlineStr">
        <is>
          <t>shear_wall</t>
        </is>
      </c>
      <c r="E227" s="5" t="n">
        <v>789.6</v>
      </c>
      <c r="F227" s="5" t="n">
        <v>1690.6</v>
      </c>
      <c r="G227" s="5" t="n">
        <v>1027</v>
      </c>
      <c r="H227" s="5" t="n">
        <v>32</v>
      </c>
      <c r="I227" s="5" t="inlineStr">
        <is>
          <t>shear_wall</t>
        </is>
      </c>
      <c r="J227" s="5" t="inlineStr">
        <is>
          <t>yes</t>
        </is>
      </c>
      <c r="K227" s="5" t="n">
        <v>1027</v>
      </c>
      <c r="L227" s="5" t="n">
        <v>0.13</v>
      </c>
      <c r="M227" s="5" t="n">
        <v>0.06</v>
      </c>
      <c r="N227" s="5" t="inlineStr">
        <is>
          <t>yes</t>
        </is>
      </c>
    </row>
    <row r="228">
      <c r="A228" s="5" t="n">
        <v>227</v>
      </c>
      <c r="B228" s="5" t="inlineStr">
        <is>
          <t>V1/129/129</t>
        </is>
      </c>
      <c r="C228" s="5" t="inlineStr">
        <is>
          <t>wall</t>
        </is>
      </c>
      <c r="D228" s="5" t="inlineStr">
        <is>
          <t>shear_wall</t>
        </is>
      </c>
      <c r="E228" s="5" t="n">
        <v>809.4</v>
      </c>
      <c r="F228" s="5" t="n">
        <v>1887.5</v>
      </c>
      <c r="G228" s="5" t="n">
        <v>905</v>
      </c>
      <c r="H228" s="5" t="n">
        <v>6</v>
      </c>
      <c r="I228" s="5" t="inlineStr">
        <is>
          <t>strip_footing</t>
        </is>
      </c>
      <c r="J228" s="5" t="inlineStr">
        <is>
          <t>no</t>
        </is>
      </c>
      <c r="K228" s="5" t="n">
        <v>880</v>
      </c>
      <c r="L228" s="5" t="n">
        <v>0.72</v>
      </c>
      <c r="M228" s="5" t="n">
        <v>0</v>
      </c>
      <c r="N228" s="5" t="inlineStr">
        <is>
          <t>yes</t>
        </is>
      </c>
    </row>
    <row r="229">
      <c r="A229" s="5" t="n">
        <v>228</v>
      </c>
      <c r="B229" s="5" t="inlineStr">
        <is>
          <t>V1/129/129</t>
        </is>
      </c>
      <c r="C229" s="5" t="inlineStr">
        <is>
          <t>wall</t>
        </is>
      </c>
      <c r="D229" s="5" t="inlineStr">
        <is>
          <t>shear_wall</t>
        </is>
      </c>
      <c r="E229" s="5" t="n">
        <v>1042.7</v>
      </c>
      <c r="F229" s="5" t="n">
        <v>1827.1</v>
      </c>
      <c r="G229" s="5" t="n">
        <v>916</v>
      </c>
      <c r="H229" s="5" t="n">
        <v>4</v>
      </c>
      <c r="I229" s="5" t="inlineStr">
        <is>
          <t>grade_beam</t>
        </is>
      </c>
      <c r="J229" s="5" t="inlineStr">
        <is>
          <t>no</t>
        </is>
      </c>
      <c r="K229" s="5" t="n">
        <v>882</v>
      </c>
      <c r="L229" s="5" t="n">
        <v>0.75</v>
      </c>
      <c r="M229" s="5" t="n">
        <v>0</v>
      </c>
      <c r="N229" s="5" t="inlineStr">
        <is>
          <t>yes</t>
        </is>
      </c>
    </row>
    <row r="230">
      <c r="A230" s="5" t="n">
        <v>229</v>
      </c>
      <c r="B230" s="5" t="inlineStr">
        <is>
          <t>V1/129/129</t>
        </is>
      </c>
      <c r="C230" s="5" t="inlineStr">
        <is>
          <t>wall</t>
        </is>
      </c>
      <c r="D230" s="5" t="inlineStr">
        <is>
          <t>shear_wall</t>
        </is>
      </c>
      <c r="E230" s="5" t="n">
        <v>826</v>
      </c>
      <c r="F230" s="5" t="n">
        <v>2740.6</v>
      </c>
      <c r="G230" s="5" t="n">
        <v>881</v>
      </c>
      <c r="H230" s="5" t="n">
        <v>30</v>
      </c>
      <c r="I230" s="5" t="inlineStr">
        <is>
          <t>shear_wall</t>
        </is>
      </c>
      <c r="J230" s="5" t="inlineStr">
        <is>
          <t>yes</t>
        </is>
      </c>
      <c r="K230" s="5" t="n">
        <v>881</v>
      </c>
      <c r="L230" s="5" t="n">
        <v>0.08</v>
      </c>
      <c r="M230" s="5" t="n">
        <v>0</v>
      </c>
      <c r="N230" s="5" t="inlineStr">
        <is>
          <t>no</t>
        </is>
      </c>
    </row>
    <row r="231">
      <c r="A231" s="5" t="n">
        <v>230</v>
      </c>
      <c r="B231" s="5" t="inlineStr">
        <is>
          <t>V3/129/129</t>
        </is>
      </c>
      <c r="C231" s="5" t="inlineStr">
        <is>
          <t>wall</t>
        </is>
      </c>
      <c r="D231" s="5" t="inlineStr">
        <is>
          <t>shear_wall</t>
        </is>
      </c>
      <c r="E231" s="5" t="n">
        <v>1064.6</v>
      </c>
      <c r="F231" s="5" t="n">
        <v>2016.7</v>
      </c>
      <c r="G231" s="5" t="n">
        <v>913</v>
      </c>
      <c r="H231" s="5" t="n">
        <v>4</v>
      </c>
      <c r="I231" s="5" t="inlineStr">
        <is>
          <t>grade_beam</t>
        </is>
      </c>
      <c r="J231" s="5" t="inlineStr">
        <is>
          <t>no</t>
        </is>
      </c>
      <c r="K231" s="5" t="n">
        <v>883</v>
      </c>
      <c r="L231" s="5" t="n">
        <v>0.74</v>
      </c>
      <c r="M231" s="5" t="n">
        <v>1</v>
      </c>
      <c r="N231" s="5" t="inlineStr">
        <is>
          <t>yes</t>
        </is>
      </c>
    </row>
    <row r="232">
      <c r="A232" s="5" t="n">
        <v>231</v>
      </c>
      <c r="B232" s="5" t="inlineStr">
        <is>
          <t>V5/129/129</t>
        </is>
      </c>
      <c r="C232" s="5" t="inlineStr">
        <is>
          <t>wall</t>
        </is>
      </c>
      <c r="D232" s="5" t="inlineStr">
        <is>
          <t>shear_wall</t>
        </is>
      </c>
      <c r="E232" s="5" t="n">
        <v>1107.3</v>
      </c>
      <c r="F232" s="5" t="n">
        <v>2163.5</v>
      </c>
      <c r="G232" s="5" t="n">
        <v>884</v>
      </c>
      <c r="H232" s="5" t="n">
        <v>35</v>
      </c>
      <c r="I232" s="5" t="inlineStr">
        <is>
          <t>shear_wall</t>
        </is>
      </c>
      <c r="J232" s="5" t="inlineStr">
        <is>
          <t>yes</t>
        </is>
      </c>
      <c r="K232" s="5" t="n">
        <v>884</v>
      </c>
      <c r="L232" s="5" t="n">
        <v>0.08</v>
      </c>
      <c r="M232" s="5" t="n">
        <v>1</v>
      </c>
      <c r="N232" s="5" t="inlineStr">
        <is>
          <t>yes</t>
        </is>
      </c>
    </row>
    <row r="233">
      <c r="A233" s="5" t="n">
        <v>232</v>
      </c>
      <c r="B233" s="5" t="inlineStr">
        <is>
          <t>V6/129/129</t>
        </is>
      </c>
      <c r="C233" s="5" t="inlineStr">
        <is>
          <t>wall</t>
        </is>
      </c>
      <c r="D233" s="5" t="inlineStr">
        <is>
          <t>shear_wall</t>
        </is>
      </c>
      <c r="E233" s="5" t="n">
        <v>870.8</v>
      </c>
      <c r="F233" s="5" t="n">
        <v>1989.6</v>
      </c>
      <c r="G233" s="5" t="n">
        <v>885</v>
      </c>
      <c r="H233" s="5" t="n">
        <v>32</v>
      </c>
      <c r="I233" s="5" t="inlineStr">
        <is>
          <t>shear_wall</t>
        </is>
      </c>
      <c r="J233" s="5" t="inlineStr">
        <is>
          <t>yes</t>
        </is>
      </c>
      <c r="K233" s="5" t="n">
        <v>885</v>
      </c>
      <c r="L233" s="5" t="n">
        <v>0.21</v>
      </c>
      <c r="M233" s="5" t="n">
        <v>0.15</v>
      </c>
      <c r="N233" s="5" t="inlineStr">
        <is>
          <t>yes</t>
        </is>
      </c>
    </row>
    <row r="234">
      <c r="A234" s="5" t="n">
        <v>233</v>
      </c>
      <c r="B234" s="5" t="inlineStr">
        <is>
          <t>V7/128/128</t>
        </is>
      </c>
      <c r="C234" s="5" t="inlineStr">
        <is>
          <t>wall</t>
        </is>
      </c>
      <c r="D234" s="5" t="inlineStr">
        <is>
          <t>shear_wall</t>
        </is>
      </c>
      <c r="E234" s="5" t="n">
        <v>1185.4</v>
      </c>
      <c r="F234" s="5" t="n">
        <v>2447.9</v>
      </c>
      <c r="G234" s="5" t="n">
        <v>961</v>
      </c>
      <c r="H234" s="5" t="n">
        <v>3</v>
      </c>
      <c r="I234" s="5" t="inlineStr">
        <is>
          <t>unnamed</t>
        </is>
      </c>
      <c r="J234" s="5" t="inlineStr">
        <is>
          <t>unnamed</t>
        </is>
      </c>
      <c r="K234" s="5" t="n">
        <v>744</v>
      </c>
      <c r="L234" s="5" t="n">
        <v>0.44</v>
      </c>
      <c r="M234" s="5" t="n">
        <v>0</v>
      </c>
      <c r="N234" s="5" t="inlineStr">
        <is>
          <t>no</t>
        </is>
      </c>
    </row>
    <row r="235">
      <c r="A235" s="5" t="n">
        <v>234</v>
      </c>
      <c r="B235" s="5" t="inlineStr">
        <is>
          <t>V8/129/129</t>
        </is>
      </c>
      <c r="C235" s="5" t="inlineStr">
        <is>
          <t>wall</t>
        </is>
      </c>
      <c r="D235" s="5" t="inlineStr">
        <is>
          <t>shear_wall</t>
        </is>
      </c>
      <c r="E235" s="5" t="n">
        <v>981.3</v>
      </c>
      <c r="F235" s="5" t="n">
        <v>2613.5</v>
      </c>
      <c r="G235" s="5" t="n">
        <v>950</v>
      </c>
      <c r="H235" s="5" t="n">
        <v>3</v>
      </c>
      <c r="I235" s="5" t="inlineStr">
        <is>
          <t>unnamed</t>
        </is>
      </c>
      <c r="J235" s="5" t="inlineStr">
        <is>
          <t>unnamed</t>
        </is>
      </c>
      <c r="K235" s="5" t="n">
        <v>886</v>
      </c>
      <c r="L235" s="5" t="n">
        <v>0.1</v>
      </c>
      <c r="M235" s="5" t="n">
        <v>0</v>
      </c>
      <c r="N235" s="5" t="inlineStr">
        <is>
          <t>no</t>
        </is>
      </c>
    </row>
    <row r="236">
      <c r="A236" s="5" t="n">
        <v>235</v>
      </c>
      <c r="B236" s="5" t="inlineStr">
        <is>
          <t>V9/128/128</t>
        </is>
      </c>
      <c r="C236" s="5" t="inlineStr">
        <is>
          <t>wall</t>
        </is>
      </c>
      <c r="D236" s="5" t="inlineStr">
        <is>
          <t>shear_wall</t>
        </is>
      </c>
      <c r="E236" s="5" t="n">
        <v>1438.5</v>
      </c>
      <c r="F236" s="5" t="n">
        <v>2241.7</v>
      </c>
      <c r="G236" s="5" t="n">
        <v>914</v>
      </c>
      <c r="H236" s="5" t="n">
        <v>4</v>
      </c>
      <c r="I236" s="5" t="inlineStr">
        <is>
          <t>grade_beam</t>
        </is>
      </c>
      <c r="J236" s="5" t="inlineStr">
        <is>
          <t>no</t>
        </is>
      </c>
      <c r="K236" s="5" t="n">
        <v>746</v>
      </c>
      <c r="L236" s="5" t="n">
        <v>0.1</v>
      </c>
      <c r="M236" s="5" t="n">
        <v>0</v>
      </c>
      <c r="N236" s="5" t="inlineStr">
        <is>
          <t>no</t>
        </is>
      </c>
    </row>
    <row r="237">
      <c r="A237" s="5" t="n">
        <v>236</v>
      </c>
      <c r="B237" s="5" t="inlineStr">
        <is>
          <t>V9/128/128</t>
        </is>
      </c>
      <c r="C237" s="5" t="inlineStr">
        <is>
          <t>wall</t>
        </is>
      </c>
      <c r="D237" s="5" t="inlineStr">
        <is>
          <t>shear_wall</t>
        </is>
      </c>
      <c r="E237" s="5" t="n">
        <v>1351</v>
      </c>
      <c r="F237" s="5" t="n">
        <v>2078.1</v>
      </c>
      <c r="G237" s="5" t="n">
        <v>900</v>
      </c>
      <c r="H237" s="5" t="n">
        <v>17</v>
      </c>
      <c r="I237" s="5" t="inlineStr">
        <is>
          <t>isolated_footing</t>
        </is>
      </c>
      <c r="J237" s="5" t="inlineStr">
        <is>
          <t>no</t>
        </is>
      </c>
      <c r="K237" s="5" t="n">
        <v>748</v>
      </c>
      <c r="L237" s="5" t="n">
        <v>0.87</v>
      </c>
      <c r="M237" s="5" t="n">
        <v>0</v>
      </c>
      <c r="N237" s="5" t="inlineStr">
        <is>
          <t>yes</t>
        </is>
      </c>
    </row>
    <row r="238">
      <c r="A238" s="5" t="n">
        <v>237</v>
      </c>
      <c r="B238" s="5" t="inlineStr">
        <is>
          <t>V9/128/128</t>
        </is>
      </c>
      <c r="C238" s="5" t="inlineStr">
        <is>
          <t>wall</t>
        </is>
      </c>
      <c r="D238" s="5" t="inlineStr">
        <is>
          <t>shear_wall</t>
        </is>
      </c>
      <c r="E238" s="5" t="n">
        <v>1291.7</v>
      </c>
      <c r="F238" s="5" t="n">
        <v>1855.2</v>
      </c>
      <c r="G238" s="5" t="n">
        <v>912</v>
      </c>
      <c r="H238" s="5" t="n">
        <v>4</v>
      </c>
      <c r="I238" s="5" t="inlineStr">
        <is>
          <t>grade_beam</t>
        </is>
      </c>
      <c r="J238" s="5" t="inlineStr">
        <is>
          <t>no</t>
        </is>
      </c>
      <c r="K238" s="5" t="n">
        <v>747</v>
      </c>
      <c r="L238" s="5" t="n">
        <v>0.79</v>
      </c>
      <c r="M238" s="5" t="n">
        <v>0</v>
      </c>
      <c r="N238" s="5" t="inlineStr">
        <is>
          <t>yes</t>
        </is>
      </c>
    </row>
    <row r="239">
      <c r="A239" s="5" t="n">
        <v>238</v>
      </c>
      <c r="B239" s="5" t="inlineStr">
        <is>
          <t>V9/128/128</t>
        </is>
      </c>
      <c r="C239" s="5" t="inlineStr">
        <is>
          <t>wall</t>
        </is>
      </c>
      <c r="D239" s="5" t="inlineStr">
        <is>
          <t>shear_wall</t>
        </is>
      </c>
      <c r="E239" s="5" t="n">
        <v>1267.7</v>
      </c>
      <c r="F239" s="5" t="n">
        <v>1769.8</v>
      </c>
      <c r="G239" s="5" t="n">
        <v>912</v>
      </c>
      <c r="H239" s="5" t="n">
        <v>4</v>
      </c>
      <c r="I239" s="5" t="inlineStr">
        <is>
          <t>grade_beam</t>
        </is>
      </c>
      <c r="J239" s="5" t="inlineStr">
        <is>
          <t>no</t>
        </is>
      </c>
      <c r="K239" s="5" t="n">
        <v>749</v>
      </c>
      <c r="L239" s="5" t="n">
        <v>0.82</v>
      </c>
      <c r="M239" s="5" t="n">
        <v>0</v>
      </c>
      <c r="N239" s="5" t="inlineStr">
        <is>
          <t>yes</t>
        </is>
      </c>
    </row>
    <row r="240">
      <c r="A240" s="5" t="n">
        <v>239</v>
      </c>
      <c r="B240" s="5" t="inlineStr">
        <is>
          <t>S0 (240x240x60)</t>
        </is>
      </c>
      <c r="C240" s="5" t="inlineStr">
        <is>
          <t>footing:S</t>
        </is>
      </c>
      <c r="D240" s="5" t="inlineStr">
        <is>
          <t>isolated_footing</t>
        </is>
      </c>
      <c r="E240" s="5" t="n">
        <v>2266.7</v>
      </c>
      <c r="F240" s="5" t="n">
        <v>2557.3</v>
      </c>
      <c r="G240" s="5" t="n">
        <v>666</v>
      </c>
      <c r="H240" s="5" t="n">
        <v>18</v>
      </c>
      <c r="I240" s="5" t="inlineStr">
        <is>
          <t>isolated_footing</t>
        </is>
      </c>
      <c r="J240" s="5" t="inlineStr">
        <is>
          <t>yes</t>
        </is>
      </c>
      <c r="K240" s="5" t="n">
        <v>666</v>
      </c>
      <c r="L240" s="5" t="n">
        <v>0.09</v>
      </c>
      <c r="M240" s="5" t="n">
        <v>0</v>
      </c>
      <c r="N240" s="5" t="inlineStr">
        <is>
          <t>no</t>
        </is>
      </c>
    </row>
    <row r="241">
      <c r="A241" s="5" t="n">
        <v>240</v>
      </c>
      <c r="B241" s="5" t="inlineStr">
        <is>
          <t>S0 (240x240x60)</t>
        </is>
      </c>
      <c r="C241" s="5" t="inlineStr">
        <is>
          <t>footing:S</t>
        </is>
      </c>
      <c r="D241" s="5" t="inlineStr">
        <is>
          <t>isolated_footing</t>
        </is>
      </c>
      <c r="E241" s="5" t="n">
        <v>2425</v>
      </c>
      <c r="F241" s="5" t="n">
        <v>2636.5</v>
      </c>
      <c r="G241" s="5" t="n">
        <v>668</v>
      </c>
      <c r="H241" s="5" t="n">
        <v>18</v>
      </c>
      <c r="I241" s="5" t="inlineStr">
        <is>
          <t>isolated_footing</t>
        </is>
      </c>
      <c r="J241" s="5" t="inlineStr">
        <is>
          <t>yes</t>
        </is>
      </c>
      <c r="K241" s="5" t="n">
        <v>668</v>
      </c>
      <c r="L241" s="5" t="n">
        <v>0.1</v>
      </c>
      <c r="M241" s="5" t="n">
        <v>0</v>
      </c>
      <c r="N241" s="5" t="inlineStr">
        <is>
          <t>no</t>
        </is>
      </c>
    </row>
    <row r="242">
      <c r="A242" s="5" t="n">
        <v>241</v>
      </c>
      <c r="B242" s="5" t="inlineStr">
        <is>
          <t>S0 (240x240x60)</t>
        </is>
      </c>
      <c r="C242" s="5" t="inlineStr">
        <is>
          <t>footing:S</t>
        </is>
      </c>
      <c r="D242" s="5" t="inlineStr">
        <is>
          <t>isolated_footing</t>
        </is>
      </c>
      <c r="E242" s="5" t="n">
        <v>2309.4</v>
      </c>
      <c r="F242" s="5" t="n">
        <v>2867.7</v>
      </c>
      <c r="G242" s="5" t="n">
        <v>665</v>
      </c>
      <c r="H242" s="5" t="n">
        <v>18</v>
      </c>
      <c r="I242" s="5" t="inlineStr">
        <is>
          <t>isolated_footing</t>
        </is>
      </c>
      <c r="J242" s="5" t="inlineStr">
        <is>
          <t>yes</t>
        </is>
      </c>
      <c r="K242" s="5" t="n">
        <v>665</v>
      </c>
      <c r="L242" s="5" t="n">
        <v>0.26</v>
      </c>
      <c r="M242" s="5" t="n">
        <v>0</v>
      </c>
      <c r="N242" s="5" t="inlineStr">
        <is>
          <t>no</t>
        </is>
      </c>
    </row>
    <row r="243">
      <c r="A243" s="5" t="n">
        <v>242</v>
      </c>
      <c r="B243" s="5" t="inlineStr">
        <is>
          <t>S0 (240x240x60)</t>
        </is>
      </c>
      <c r="C243" s="5" t="inlineStr">
        <is>
          <t>footing:S</t>
        </is>
      </c>
      <c r="D243" s="5" t="inlineStr">
        <is>
          <t>isolated_footing</t>
        </is>
      </c>
      <c r="E243" s="5" t="n">
        <v>2151</v>
      </c>
      <c r="F243" s="5" t="n">
        <v>2788.5</v>
      </c>
      <c r="G243" s="5" t="n">
        <v>667</v>
      </c>
      <c r="H243" s="5" t="n">
        <v>18</v>
      </c>
      <c r="I243" s="5" t="inlineStr">
        <is>
          <t>isolated_footing</t>
        </is>
      </c>
      <c r="J243" s="5" t="inlineStr">
        <is>
          <t>yes</t>
        </is>
      </c>
      <c r="K243" s="5" t="n">
        <v>667</v>
      </c>
      <c r="L243" s="5" t="n">
        <v>0.27</v>
      </c>
      <c r="M243" s="5" t="n">
        <v>0</v>
      </c>
      <c r="N243" s="5" t="inlineStr">
        <is>
          <t>yes</t>
        </is>
      </c>
    </row>
    <row r="244">
      <c r="A244" s="5" t="n">
        <v>243</v>
      </c>
      <c r="B244" s="5" t="inlineStr">
        <is>
          <t>P1/120/120</t>
        </is>
      </c>
      <c r="C244" s="5" t="inlineStr">
        <is>
          <t>column</t>
        </is>
      </c>
      <c r="D244" s="5" t="inlineStr">
        <is>
          <t>column</t>
        </is>
      </c>
      <c r="E244" s="5" t="n">
        <v>4616.7</v>
      </c>
      <c r="F244" s="5" t="n">
        <v>788.5</v>
      </c>
      <c r="G244" s="5" t="n">
        <v>2</v>
      </c>
      <c r="H244" s="5" t="n">
        <v>31</v>
      </c>
      <c r="I244" s="5" t="inlineStr">
        <is>
          <t>column</t>
        </is>
      </c>
      <c r="J244" s="5" t="inlineStr">
        <is>
          <t>yes</t>
        </is>
      </c>
      <c r="K244" s="5" t="n">
        <v>2</v>
      </c>
      <c r="L244" s="5" t="n">
        <v>0.12</v>
      </c>
      <c r="M244" s="5" t="n">
        <v>0</v>
      </c>
      <c r="N244" s="5" t="inlineStr">
        <is>
          <t>yes</t>
        </is>
      </c>
    </row>
    <row r="245">
      <c r="A245" s="5" t="n">
        <v>244</v>
      </c>
      <c r="B245" s="5" t="inlineStr">
        <is>
          <t>P1/120/120</t>
        </is>
      </c>
      <c r="C245" s="5" t="inlineStr">
        <is>
          <t>column</t>
        </is>
      </c>
      <c r="D245" s="5" t="inlineStr">
        <is>
          <t>column</t>
        </is>
      </c>
      <c r="E245" s="5" t="n">
        <v>4725</v>
      </c>
      <c r="F245" s="5" t="n">
        <v>788.5</v>
      </c>
      <c r="G245" s="5" t="n">
        <v>5</v>
      </c>
      <c r="H245" s="5" t="n">
        <v>31</v>
      </c>
      <c r="I245" s="5" t="inlineStr">
        <is>
          <t>column</t>
        </is>
      </c>
      <c r="J245" s="5" t="inlineStr">
        <is>
          <t>yes</t>
        </is>
      </c>
      <c r="K245" s="5" t="n">
        <v>5</v>
      </c>
      <c r="L245" s="5" t="n">
        <v>0.12</v>
      </c>
      <c r="M245" s="5" t="n">
        <v>0</v>
      </c>
      <c r="N245" s="5" t="inlineStr">
        <is>
          <t>yes</t>
        </is>
      </c>
    </row>
    <row r="246">
      <c r="A246" s="5" t="n">
        <v>245</v>
      </c>
      <c r="B246" s="5" t="inlineStr">
        <is>
          <t>P1/120/120</t>
        </is>
      </c>
      <c r="C246" s="5" t="inlineStr">
        <is>
          <t>column</t>
        </is>
      </c>
      <c r="D246" s="5" t="inlineStr">
        <is>
          <t>column</t>
        </is>
      </c>
      <c r="E246" s="5" t="n">
        <v>4720.8</v>
      </c>
      <c r="F246" s="5" t="n">
        <v>859.4</v>
      </c>
      <c r="G246" s="5" t="n">
        <v>3</v>
      </c>
      <c r="H246" s="5" t="n">
        <v>31</v>
      </c>
      <c r="I246" s="5" t="inlineStr">
        <is>
          <t>column</t>
        </is>
      </c>
      <c r="J246" s="5" t="inlineStr">
        <is>
          <t>yes</t>
        </is>
      </c>
      <c r="K246" s="5" t="n">
        <v>3</v>
      </c>
      <c r="L246" s="5" t="n">
        <v>0.07000000000000001</v>
      </c>
      <c r="M246" s="5" t="n">
        <v>0</v>
      </c>
      <c r="N246" s="5" t="inlineStr">
        <is>
          <t>yes</t>
        </is>
      </c>
    </row>
    <row r="247">
      <c r="A247" s="5" t="n">
        <v>246</v>
      </c>
      <c r="B247" s="5" t="inlineStr">
        <is>
          <t>P1/120/120</t>
        </is>
      </c>
      <c r="C247" s="5" t="inlineStr">
        <is>
          <t>column</t>
        </is>
      </c>
      <c r="D247" s="5" t="inlineStr">
        <is>
          <t>column</t>
        </is>
      </c>
      <c r="E247" s="5" t="n">
        <v>4624</v>
      </c>
      <c r="F247" s="5" t="n">
        <v>858.3</v>
      </c>
      <c r="G247" s="5" t="n">
        <v>4</v>
      </c>
      <c r="H247" s="5" t="n">
        <v>31</v>
      </c>
      <c r="I247" s="5" t="inlineStr">
        <is>
          <t>column</t>
        </is>
      </c>
      <c r="J247" s="5" t="inlineStr">
        <is>
          <t>yes</t>
        </is>
      </c>
      <c r="K247" s="5" t="n">
        <v>4</v>
      </c>
      <c r="L247" s="5" t="n">
        <v>0.16</v>
      </c>
      <c r="M247" s="5" t="n">
        <v>0</v>
      </c>
      <c r="N247" s="5" t="inlineStr">
        <is>
          <t>yes</t>
        </is>
      </c>
    </row>
    <row r="248">
      <c r="A248" s="5" t="n">
        <v>247</v>
      </c>
      <c r="B248" s="5" t="inlineStr">
        <is>
          <t>P2/121/121</t>
        </is>
      </c>
      <c r="C248" s="5" t="inlineStr">
        <is>
          <t>column</t>
        </is>
      </c>
      <c r="D248" s="5" t="inlineStr">
        <is>
          <t>column</t>
        </is>
      </c>
      <c r="E248" s="5" t="n">
        <v>4731.2</v>
      </c>
      <c r="F248" s="5" t="n">
        <v>1524</v>
      </c>
      <c r="G248" s="5" t="n">
        <v>102</v>
      </c>
      <c r="H248" s="5" t="n">
        <v>31</v>
      </c>
      <c r="I248" s="5" t="inlineStr">
        <is>
          <t>column</t>
        </is>
      </c>
      <c r="J248" s="5" t="inlineStr">
        <is>
          <t>yes</t>
        </is>
      </c>
      <c r="K248" s="5" t="n">
        <v>102</v>
      </c>
      <c r="L248" s="5" t="n">
        <v>0.1</v>
      </c>
      <c r="M248" s="5" t="n">
        <v>0</v>
      </c>
      <c r="N248" s="5" t="inlineStr">
        <is>
          <t>yes</t>
        </is>
      </c>
    </row>
    <row r="249">
      <c r="A249" s="5" t="n">
        <v>248</v>
      </c>
      <c r="B249" s="5" t="inlineStr">
        <is>
          <t>P2/121/121</t>
        </is>
      </c>
      <c r="C249" s="5" t="inlineStr">
        <is>
          <t>column</t>
        </is>
      </c>
      <c r="D249" s="5" t="inlineStr">
        <is>
          <t>column</t>
        </is>
      </c>
      <c r="E249" s="5" t="n">
        <v>4732.3</v>
      </c>
      <c r="F249" s="5" t="n">
        <v>1609.4</v>
      </c>
      <c r="G249" s="5" t="n">
        <v>101</v>
      </c>
      <c r="H249" s="5" t="n">
        <v>31</v>
      </c>
      <c r="I249" s="5" t="inlineStr">
        <is>
          <t>column</t>
        </is>
      </c>
      <c r="J249" s="5" t="inlineStr">
        <is>
          <t>yes</t>
        </is>
      </c>
      <c r="K249" s="5" t="n">
        <v>101</v>
      </c>
      <c r="L249" s="5" t="n">
        <v>0.16</v>
      </c>
      <c r="M249" s="5" t="n">
        <v>0</v>
      </c>
      <c r="N249" s="5" t="inlineStr">
        <is>
          <t>yes</t>
        </is>
      </c>
    </row>
    <row r="250">
      <c r="A250" s="5" t="n">
        <v>249</v>
      </c>
      <c r="B250" s="5" t="inlineStr">
        <is>
          <t>P2/121/121</t>
        </is>
      </c>
      <c r="C250" s="5" t="inlineStr">
        <is>
          <t>column</t>
        </is>
      </c>
      <c r="D250" s="5" t="inlineStr">
        <is>
          <t>column</t>
        </is>
      </c>
      <c r="E250" s="5" t="n">
        <v>4601</v>
      </c>
      <c r="F250" s="5" t="n">
        <v>1609.4</v>
      </c>
      <c r="G250" s="5" t="n">
        <v>99</v>
      </c>
      <c r="H250" s="5" t="n">
        <v>31</v>
      </c>
      <c r="I250" s="5" t="inlineStr">
        <is>
          <t>column</t>
        </is>
      </c>
      <c r="J250" s="5" t="inlineStr">
        <is>
          <t>yes</t>
        </is>
      </c>
      <c r="K250" s="5" t="n">
        <v>99</v>
      </c>
      <c r="L250" s="5" t="n">
        <v>0.12</v>
      </c>
      <c r="M250" s="5" t="n">
        <v>0</v>
      </c>
      <c r="N250" s="5" t="inlineStr">
        <is>
          <t>yes</t>
        </is>
      </c>
    </row>
    <row r="251">
      <c r="A251" s="5" t="n">
        <v>250</v>
      </c>
      <c r="B251" s="5" t="inlineStr">
        <is>
          <t>P2/121/121</t>
        </is>
      </c>
      <c r="C251" s="5" t="inlineStr">
        <is>
          <t>column</t>
        </is>
      </c>
      <c r="D251" s="5" t="inlineStr">
        <is>
          <t>column</t>
        </is>
      </c>
      <c r="E251" s="5" t="n">
        <v>4600</v>
      </c>
      <c r="F251" s="5" t="n">
        <v>1522.9</v>
      </c>
      <c r="G251" s="5" t="n">
        <v>100</v>
      </c>
      <c r="H251" s="5" t="n">
        <v>31</v>
      </c>
      <c r="I251" s="5" t="inlineStr">
        <is>
          <t>column</t>
        </is>
      </c>
      <c r="J251" s="5" t="inlineStr">
        <is>
          <t>yes</t>
        </is>
      </c>
      <c r="K251" s="5" t="n">
        <v>100</v>
      </c>
      <c r="L251" s="5" t="n">
        <v>0.1</v>
      </c>
      <c r="M251" s="5" t="n">
        <v>0</v>
      </c>
      <c r="N251" s="5" t="inlineStr">
        <is>
          <t>yes</t>
        </is>
      </c>
    </row>
    <row r="252">
      <c r="A252" s="5" t="n">
        <v>251</v>
      </c>
      <c r="B252" s="5" t="inlineStr">
        <is>
          <t>P2/122/122</t>
        </is>
      </c>
      <c r="C252" s="5" t="inlineStr">
        <is>
          <t>column</t>
        </is>
      </c>
      <c r="D252" s="5" t="inlineStr">
        <is>
          <t>column</t>
        </is>
      </c>
      <c r="E252" s="5" t="n">
        <v>4617.7</v>
      </c>
      <c r="F252" s="5" t="n">
        <v>2693.8</v>
      </c>
      <c r="G252" s="5" t="n">
        <v>224</v>
      </c>
      <c r="H252" s="5" t="n">
        <v>29</v>
      </c>
      <c r="I252" s="5" t="inlineStr">
        <is>
          <t>column</t>
        </is>
      </c>
      <c r="J252" s="5" t="inlineStr">
        <is>
          <t>yes</t>
        </is>
      </c>
      <c r="K252" s="5" t="n">
        <v>224</v>
      </c>
      <c r="L252" s="5" t="n">
        <v>0.25</v>
      </c>
      <c r="M252" s="5" t="n">
        <v>0</v>
      </c>
      <c r="N252" s="5" t="inlineStr">
        <is>
          <t>yes</t>
        </is>
      </c>
    </row>
    <row r="253">
      <c r="A253" s="5" t="n">
        <v>252</v>
      </c>
      <c r="B253" s="5" t="inlineStr">
        <is>
          <t>P3/122/122</t>
        </is>
      </c>
      <c r="C253" s="5" t="inlineStr">
        <is>
          <t>column</t>
        </is>
      </c>
      <c r="D253" s="5" t="inlineStr">
        <is>
          <t>column</t>
        </is>
      </c>
      <c r="E253" s="5" t="n">
        <v>4267.7</v>
      </c>
      <c r="F253" s="5" t="n">
        <v>3065.6</v>
      </c>
      <c r="G253" s="5" t="n">
        <v>285</v>
      </c>
      <c r="H253" s="5" t="n">
        <v>4</v>
      </c>
      <c r="I253" s="5" t="inlineStr">
        <is>
          <t>grade_beam</t>
        </is>
      </c>
      <c r="J253" s="5" t="inlineStr">
        <is>
          <t>no</t>
        </is>
      </c>
      <c r="K253" s="5" t="n">
        <v>227</v>
      </c>
      <c r="L253" s="5" t="n">
        <v>0.49</v>
      </c>
      <c r="M253" s="5" t="n">
        <v>0</v>
      </c>
      <c r="N253" s="5" t="inlineStr">
        <is>
          <t>yes</t>
        </is>
      </c>
    </row>
    <row r="254">
      <c r="A254" s="5" t="n">
        <v>253</v>
      </c>
      <c r="B254" s="5" t="inlineStr">
        <is>
          <t>P4/122/122</t>
        </is>
      </c>
      <c r="C254" s="5" t="inlineStr">
        <is>
          <t>column</t>
        </is>
      </c>
      <c r="D254" s="5" t="inlineStr">
        <is>
          <t>column</t>
        </is>
      </c>
      <c r="E254" s="5" t="n">
        <v>4441.7</v>
      </c>
      <c r="F254" s="5" t="n">
        <v>3038.5</v>
      </c>
      <c r="G254" s="5" t="n">
        <v>285</v>
      </c>
      <c r="H254" s="5" t="n">
        <v>4</v>
      </c>
      <c r="I254" s="5" t="inlineStr">
        <is>
          <t>grade_beam</t>
        </is>
      </c>
      <c r="J254" s="5" t="inlineStr">
        <is>
          <t>no</t>
        </is>
      </c>
      <c r="K254" s="5" t="n">
        <v>229</v>
      </c>
      <c r="L254" s="5" t="n">
        <v>0.21</v>
      </c>
      <c r="M254" s="5" t="n">
        <v>0</v>
      </c>
      <c r="N254" s="5" t="inlineStr">
        <is>
          <t>yes</t>
        </is>
      </c>
    </row>
    <row r="255">
      <c r="A255" s="5" t="n">
        <v>254</v>
      </c>
      <c r="B255" s="5" t="inlineStr">
        <is>
          <t>P4/122/122</t>
        </is>
      </c>
      <c r="C255" s="5" t="inlineStr">
        <is>
          <t>column</t>
        </is>
      </c>
      <c r="D255" s="5" t="inlineStr">
        <is>
          <t>column</t>
        </is>
      </c>
      <c r="E255" s="5" t="n">
        <v>4334.4</v>
      </c>
      <c r="F255" s="5" t="n">
        <v>2877.1</v>
      </c>
      <c r="G255" s="5" t="n">
        <v>228</v>
      </c>
      <c r="H255" s="5" t="n">
        <v>29</v>
      </c>
      <c r="I255" s="5" t="inlineStr">
        <is>
          <t>column</t>
        </is>
      </c>
      <c r="J255" s="5" t="inlineStr">
        <is>
          <t>yes</t>
        </is>
      </c>
      <c r="K255" s="5" t="n">
        <v>228</v>
      </c>
      <c r="L255" s="5" t="n">
        <v>0.71</v>
      </c>
      <c r="M255" s="5" t="n">
        <v>0</v>
      </c>
      <c r="N255" s="5" t="inlineStr">
        <is>
          <t>yes</t>
        </is>
      </c>
    </row>
    <row r="256">
      <c r="A256" s="5" t="n">
        <v>255</v>
      </c>
      <c r="B256" s="5" t="inlineStr">
        <is>
          <t>P1/124/124</t>
        </is>
      </c>
      <c r="C256" s="5" t="inlineStr">
        <is>
          <t>column</t>
        </is>
      </c>
      <c r="D256" s="5" t="inlineStr">
        <is>
          <t>column</t>
        </is>
      </c>
      <c r="E256" s="5" t="n">
        <v>4101</v>
      </c>
      <c r="F256" s="5" t="n">
        <v>3199</v>
      </c>
      <c r="G256" s="5" t="n">
        <v>486</v>
      </c>
      <c r="H256" s="5" t="n">
        <v>4</v>
      </c>
      <c r="I256" s="5" t="inlineStr">
        <is>
          <t>grade_beam</t>
        </is>
      </c>
      <c r="J256" s="5" t="inlineStr">
        <is>
          <t>no</t>
        </is>
      </c>
      <c r="K256" s="5" t="n">
        <v>439</v>
      </c>
      <c r="L256" s="5" t="n">
        <v>0.74</v>
      </c>
      <c r="M256" s="5" t="n">
        <v>0</v>
      </c>
      <c r="N256" s="5" t="inlineStr">
        <is>
          <t>yes</t>
        </is>
      </c>
    </row>
    <row r="257">
      <c r="A257" s="5" t="n">
        <v>256</v>
      </c>
      <c r="B257" s="5" t="inlineStr">
        <is>
          <t>P1/124/124</t>
        </is>
      </c>
      <c r="C257" s="5" t="inlineStr">
        <is>
          <t>column</t>
        </is>
      </c>
      <c r="D257" s="5" t="inlineStr">
        <is>
          <t>column</t>
        </is>
      </c>
      <c r="E257" s="5" t="n">
        <v>4036.5</v>
      </c>
      <c r="F257" s="5" t="n">
        <v>3341.7</v>
      </c>
      <c r="G257" s="5" t="n">
        <v>492</v>
      </c>
      <c r="H257" s="5" t="n">
        <v>14</v>
      </c>
      <c r="I257" s="5" t="inlineStr">
        <is>
          <t>unnamed</t>
        </is>
      </c>
      <c r="J257" s="5" t="inlineStr">
        <is>
          <t>unnamed</t>
        </is>
      </c>
      <c r="K257" s="5" t="n">
        <v>440</v>
      </c>
      <c r="L257" s="5" t="n">
        <v>0.6899999999999999</v>
      </c>
      <c r="M257" s="5" t="n">
        <v>0</v>
      </c>
      <c r="N257" s="5" t="inlineStr">
        <is>
          <t>yes</t>
        </is>
      </c>
    </row>
    <row r="258">
      <c r="A258" s="5" t="n">
        <v>257</v>
      </c>
      <c r="B258" s="5" t="inlineStr">
        <is>
          <t>P1/124/124</t>
        </is>
      </c>
      <c r="C258" s="5" t="inlineStr">
        <is>
          <t>column</t>
        </is>
      </c>
      <c r="D258" s="5" t="inlineStr">
        <is>
          <t>column</t>
        </is>
      </c>
      <c r="E258" s="5" t="n">
        <v>4122.9</v>
      </c>
      <c r="F258" s="5" t="n">
        <v>3326</v>
      </c>
      <c r="G258" s="5" t="n">
        <v>515</v>
      </c>
      <c r="H258" s="5" t="n">
        <v>12</v>
      </c>
      <c r="I258" s="5" t="inlineStr">
        <is>
          <t>unnamed</t>
        </is>
      </c>
      <c r="J258" s="5" t="inlineStr">
        <is>
          <t>unnamed</t>
        </is>
      </c>
      <c r="K258" s="5" t="n">
        <v>515</v>
      </c>
      <c r="L258" s="5" t="n">
        <v>0.11</v>
      </c>
      <c r="M258" s="5" t="n">
        <v>0</v>
      </c>
      <c r="N258" s="5" t="inlineStr">
        <is>
          <t>yes</t>
        </is>
      </c>
    </row>
    <row r="259">
      <c r="A259" s="5" t="n">
        <v>258</v>
      </c>
      <c r="B259" s="5" t="inlineStr">
        <is>
          <t>P1/126/126</t>
        </is>
      </c>
      <c r="C259" s="5" t="inlineStr">
        <is>
          <t>column</t>
        </is>
      </c>
      <c r="D259" s="5" t="inlineStr">
        <is>
          <t>column</t>
        </is>
      </c>
      <c r="E259" s="5" t="n">
        <v>2780.2</v>
      </c>
      <c r="F259" s="5" t="n">
        <v>3381.3</v>
      </c>
      <c r="G259" s="5" t="n">
        <v>607</v>
      </c>
      <c r="H259" s="5" t="n">
        <v>29</v>
      </c>
      <c r="I259" s="5" t="inlineStr">
        <is>
          <t>column</t>
        </is>
      </c>
      <c r="J259" s="5" t="inlineStr">
        <is>
          <t>yes</t>
        </is>
      </c>
      <c r="K259" s="5" t="n">
        <v>607</v>
      </c>
      <c r="L259" s="5" t="n">
        <v>0.05</v>
      </c>
      <c r="M259" s="5" t="n">
        <v>0</v>
      </c>
      <c r="N259" s="5" t="inlineStr">
        <is>
          <t>no</t>
        </is>
      </c>
    </row>
    <row r="260">
      <c r="A260" s="5" t="n">
        <v>259</v>
      </c>
      <c r="B260" s="5" t="inlineStr">
        <is>
          <t>P1/126/126</t>
        </is>
      </c>
      <c r="C260" s="5" t="inlineStr">
        <is>
          <t>column</t>
        </is>
      </c>
      <c r="D260" s="5" t="inlineStr">
        <is>
          <t>column</t>
        </is>
      </c>
      <c r="E260" s="5" t="n">
        <v>2869.8</v>
      </c>
      <c r="F260" s="5" t="n">
        <v>3425</v>
      </c>
      <c r="G260" s="5" t="n">
        <v>606</v>
      </c>
      <c r="H260" s="5" t="n">
        <v>29</v>
      </c>
      <c r="I260" s="5" t="inlineStr">
        <is>
          <t>column</t>
        </is>
      </c>
      <c r="J260" s="5" t="inlineStr">
        <is>
          <t>yes</t>
        </is>
      </c>
      <c r="K260" s="5" t="n">
        <v>606</v>
      </c>
      <c r="L260" s="5" t="n">
        <v>0.72</v>
      </c>
      <c r="M260" s="5" t="n">
        <v>0</v>
      </c>
      <c r="N260" s="5" t="inlineStr">
        <is>
          <t>no</t>
        </is>
      </c>
    </row>
    <row r="261">
      <c r="A261" s="5" t="n">
        <v>260</v>
      </c>
      <c r="B261" s="5" t="inlineStr">
        <is>
          <t>P1/127/127</t>
        </is>
      </c>
      <c r="C261" s="5" t="inlineStr">
        <is>
          <t>column</t>
        </is>
      </c>
      <c r="D261" s="5" t="inlineStr">
        <is>
          <t>column</t>
        </is>
      </c>
      <c r="E261" s="5" t="n">
        <v>2278.1</v>
      </c>
      <c r="F261" s="5" t="n">
        <v>3156.2</v>
      </c>
      <c r="G261" s="5" t="n">
        <v>677</v>
      </c>
      <c r="H261" s="5" t="n">
        <v>6</v>
      </c>
      <c r="I261" s="5" t="inlineStr">
        <is>
          <t>strip_footing</t>
        </is>
      </c>
      <c r="J261" s="5" t="inlineStr">
        <is>
          <t>no</t>
        </is>
      </c>
      <c r="K261" s="5" t="n">
        <v>640</v>
      </c>
      <c r="L261" s="5" t="n">
        <v>0.78</v>
      </c>
      <c r="M261" s="5" t="n">
        <v>0</v>
      </c>
      <c r="N261" s="5" t="inlineStr">
        <is>
          <t>no</t>
        </is>
      </c>
    </row>
    <row r="262">
      <c r="A262" s="5" t="n">
        <v>261</v>
      </c>
      <c r="B262" s="5" t="inlineStr">
        <is>
          <t>P1/127/127</t>
        </is>
      </c>
      <c r="C262" s="5" t="inlineStr">
        <is>
          <t>column</t>
        </is>
      </c>
      <c r="D262" s="5" t="inlineStr">
        <is>
          <t>column</t>
        </is>
      </c>
      <c r="E262" s="5" t="n">
        <v>2168.8</v>
      </c>
      <c r="F262" s="5" t="n">
        <v>3102.1</v>
      </c>
      <c r="G262" s="5" t="n">
        <v>641</v>
      </c>
      <c r="H262" s="5" t="n">
        <v>31</v>
      </c>
      <c r="I262" s="5" t="inlineStr">
        <is>
          <t>column</t>
        </is>
      </c>
      <c r="J262" s="5" t="inlineStr">
        <is>
          <t>yes</t>
        </is>
      </c>
      <c r="K262" s="5" t="n">
        <v>641</v>
      </c>
      <c r="L262" s="5" t="n">
        <v>0.16</v>
      </c>
      <c r="M262" s="5" t="n">
        <v>0</v>
      </c>
      <c r="N262" s="5" t="inlineStr">
        <is>
          <t>no</t>
        </is>
      </c>
    </row>
    <row r="263">
      <c r="A263" s="5" t="n">
        <v>262</v>
      </c>
      <c r="B263" s="5" t="inlineStr">
        <is>
          <t>P1/127/127</t>
        </is>
      </c>
      <c r="C263" s="5" t="inlineStr">
        <is>
          <t>column</t>
        </is>
      </c>
      <c r="D263" s="5" t="inlineStr">
        <is>
          <t>column</t>
        </is>
      </c>
      <c r="E263" s="5" t="n">
        <v>2324</v>
      </c>
      <c r="F263" s="5" t="n">
        <v>3061.5</v>
      </c>
      <c r="G263" s="5" t="n">
        <v>673</v>
      </c>
      <c r="H263" s="5" t="n">
        <v>17</v>
      </c>
      <c r="I263" s="5" t="inlineStr">
        <is>
          <t>isolated_footing</t>
        </is>
      </c>
      <c r="J263" s="5" t="inlineStr">
        <is>
          <t>no</t>
        </is>
      </c>
      <c r="K263" s="5" t="n">
        <v>639</v>
      </c>
      <c r="L263" s="5" t="n">
        <v>0.72</v>
      </c>
      <c r="M263" s="5" t="n">
        <v>0</v>
      </c>
      <c r="N263" s="5" t="inlineStr">
        <is>
          <t>no</t>
        </is>
      </c>
    </row>
    <row r="264">
      <c r="A264" s="5" t="n">
        <v>263</v>
      </c>
      <c r="B264" s="5" t="inlineStr">
        <is>
          <t>P1/128/128</t>
        </is>
      </c>
      <c r="C264" s="5" t="inlineStr">
        <is>
          <t>column</t>
        </is>
      </c>
      <c r="D264" s="5" t="inlineStr">
        <is>
          <t>column</t>
        </is>
      </c>
      <c r="E264" s="5" t="n">
        <v>1328.1</v>
      </c>
      <c r="F264" s="5" t="n">
        <v>2679.2</v>
      </c>
      <c r="G264" s="5" t="n">
        <v>728</v>
      </c>
      <c r="H264" s="5" t="n">
        <v>31</v>
      </c>
      <c r="I264" s="5" t="inlineStr">
        <is>
          <t>column</t>
        </is>
      </c>
      <c r="J264" s="5" t="inlineStr">
        <is>
          <t>yes</t>
        </is>
      </c>
      <c r="K264" s="5" t="n">
        <v>728</v>
      </c>
      <c r="L264" s="5" t="n">
        <v>0.08</v>
      </c>
      <c r="M264" s="5" t="n">
        <v>0</v>
      </c>
      <c r="N264" s="5" t="inlineStr">
        <is>
          <t>no</t>
        </is>
      </c>
    </row>
    <row r="265">
      <c r="A265" s="5" t="n">
        <v>264</v>
      </c>
      <c r="B265" s="5" t="inlineStr">
        <is>
          <t>P1/128/128</t>
        </is>
      </c>
      <c r="C265" s="5" t="inlineStr">
        <is>
          <t>column</t>
        </is>
      </c>
      <c r="D265" s="5" t="inlineStr">
        <is>
          <t>column</t>
        </is>
      </c>
      <c r="E265" s="5" t="n">
        <v>1434.4</v>
      </c>
      <c r="F265" s="5" t="n">
        <v>2733.3</v>
      </c>
      <c r="G265" s="5" t="n">
        <v>871</v>
      </c>
      <c r="H265" s="5" t="n">
        <v>11</v>
      </c>
      <c r="I265" s="5" t="inlineStr">
        <is>
          <t>unnamed</t>
        </is>
      </c>
      <c r="J265" s="5" t="inlineStr">
        <is>
          <t>unnamed</t>
        </is>
      </c>
      <c r="K265" s="5" t="n">
        <v>871</v>
      </c>
      <c r="L265" s="5" t="n">
        <v>0.16</v>
      </c>
      <c r="M265" s="5" t="n">
        <v>0</v>
      </c>
      <c r="N265" s="5" t="inlineStr">
        <is>
          <t>no</t>
        </is>
      </c>
    </row>
    <row r="266">
      <c r="A266" s="5" t="n">
        <v>265</v>
      </c>
      <c r="B266" s="5" t="inlineStr">
        <is>
          <t>P2/128/128</t>
        </is>
      </c>
      <c r="C266" s="5" t="inlineStr">
        <is>
          <t>column</t>
        </is>
      </c>
      <c r="D266" s="5" t="inlineStr">
        <is>
          <t>column</t>
        </is>
      </c>
      <c r="E266" s="5" t="n">
        <v>978.1</v>
      </c>
      <c r="F266" s="5" t="n">
        <v>2835.4</v>
      </c>
      <c r="G266" s="5" t="n">
        <v>729</v>
      </c>
      <c r="H266" s="5" t="n">
        <v>29</v>
      </c>
      <c r="I266" s="5" t="inlineStr">
        <is>
          <t>column</t>
        </is>
      </c>
      <c r="J266" s="5" t="inlineStr">
        <is>
          <t>yes</t>
        </is>
      </c>
      <c r="K266" s="5" t="n">
        <v>729</v>
      </c>
      <c r="L266" s="5" t="n">
        <v>0.16</v>
      </c>
      <c r="M266" s="5" t="n">
        <v>0</v>
      </c>
      <c r="N266" s="5" t="inlineStr">
        <is>
          <t>yes</t>
        </is>
      </c>
    </row>
    <row r="267">
      <c r="A267" s="5" t="n">
        <v>266</v>
      </c>
      <c r="B267" s="5" t="inlineStr">
        <is>
          <t>P2/129/129</t>
        </is>
      </c>
      <c r="C267" s="5" t="inlineStr">
        <is>
          <t>column</t>
        </is>
      </c>
      <c r="D267" s="5" t="inlineStr">
        <is>
          <t>column</t>
        </is>
      </c>
      <c r="E267" s="5" t="n">
        <v>783.3</v>
      </c>
      <c r="F267" s="5" t="n">
        <v>2617.7</v>
      </c>
      <c r="G267" s="5" t="n">
        <v>877</v>
      </c>
      <c r="H267" s="5" t="n">
        <v>29</v>
      </c>
      <c r="I267" s="5" t="inlineStr">
        <is>
          <t>column</t>
        </is>
      </c>
      <c r="J267" s="5" t="inlineStr">
        <is>
          <t>yes</t>
        </is>
      </c>
      <c r="K267" s="5" t="n">
        <v>877</v>
      </c>
      <c r="L267" s="5" t="n">
        <v>0.46</v>
      </c>
      <c r="M267" s="5" t="n">
        <v>0</v>
      </c>
      <c r="N267" s="5" t="inlineStr">
        <is>
          <t>yes</t>
        </is>
      </c>
    </row>
    <row r="268">
      <c r="A268" s="5" t="n">
        <v>267</v>
      </c>
      <c r="B268" s="5" t="inlineStr">
        <is>
          <t>P1/129/129</t>
        </is>
      </c>
      <c r="C268" s="5" t="inlineStr">
        <is>
          <t>column</t>
        </is>
      </c>
      <c r="D268" s="5" t="inlineStr">
        <is>
          <t>column</t>
        </is>
      </c>
      <c r="E268" s="5" t="n">
        <v>1047.9</v>
      </c>
      <c r="F268" s="5" t="n">
        <v>2286.5</v>
      </c>
      <c r="G268" s="5" t="n">
        <v>875</v>
      </c>
      <c r="H268" s="5" t="n">
        <v>31</v>
      </c>
      <c r="I268" s="5" t="inlineStr">
        <is>
          <t>column</t>
        </is>
      </c>
      <c r="J268" s="5" t="inlineStr">
        <is>
          <t>yes</t>
        </is>
      </c>
      <c r="K268" s="5" t="n">
        <v>875</v>
      </c>
      <c r="L268" s="5" t="n">
        <v>0.79</v>
      </c>
      <c r="M268" s="5" t="n">
        <v>0</v>
      </c>
      <c r="N268" s="5" t="inlineStr">
        <is>
          <t>yes</t>
        </is>
      </c>
    </row>
    <row r="269">
      <c r="A269" s="5" t="n">
        <v>268</v>
      </c>
      <c r="B269" s="5" t="inlineStr">
        <is>
          <t>P1/129/129</t>
        </is>
      </c>
      <c r="C269" s="5" t="inlineStr">
        <is>
          <t>column</t>
        </is>
      </c>
      <c r="D269" s="5" t="inlineStr">
        <is>
          <t>column</t>
        </is>
      </c>
      <c r="E269" s="5" t="n">
        <v>986.5</v>
      </c>
      <c r="F269" s="5" t="n">
        <v>2200</v>
      </c>
      <c r="G269" s="5" t="n">
        <v>876</v>
      </c>
      <c r="H269" s="5" t="n">
        <v>31</v>
      </c>
      <c r="I269" s="5" t="inlineStr">
        <is>
          <t>column</t>
        </is>
      </c>
      <c r="J269" s="5" t="inlineStr">
        <is>
          <t>yes</t>
        </is>
      </c>
      <c r="K269" s="5" t="n">
        <v>876</v>
      </c>
      <c r="L269" s="5" t="n">
        <v>0</v>
      </c>
      <c r="M269" s="5" t="n">
        <v>0</v>
      </c>
      <c r="N269" s="5" t="inlineStr">
        <is>
          <t>yes</t>
        </is>
      </c>
    </row>
    <row r="270">
      <c r="A270" s="5" t="n">
        <v>269</v>
      </c>
      <c r="B270" s="5" t="inlineStr">
        <is>
          <t>P1/130/130</t>
        </is>
      </c>
      <c r="C270" s="5" t="inlineStr">
        <is>
          <t>column</t>
        </is>
      </c>
      <c r="D270" s="5" t="inlineStr">
        <is>
          <t>column</t>
        </is>
      </c>
      <c r="E270" s="5" t="n">
        <v>795.8</v>
      </c>
      <c r="F270" s="5" t="n">
        <v>1382.3</v>
      </c>
      <c r="G270" s="5" t="n">
        <v>1012</v>
      </c>
      <c r="H270" s="5" t="n">
        <v>31</v>
      </c>
      <c r="I270" s="5" t="inlineStr">
        <is>
          <t>column</t>
        </is>
      </c>
      <c r="J270" s="5" t="inlineStr">
        <is>
          <t>yes</t>
        </is>
      </c>
      <c r="K270" s="5" t="n">
        <v>1012</v>
      </c>
      <c r="L270" s="5" t="n">
        <v>0.08</v>
      </c>
      <c r="M270" s="5" t="n">
        <v>0</v>
      </c>
      <c r="N270" s="5" t="inlineStr">
        <is>
          <t>no</t>
        </is>
      </c>
    </row>
    <row r="271">
      <c r="A271" s="5" t="n">
        <v>270</v>
      </c>
      <c r="B271" s="5" t="inlineStr">
        <is>
          <t>P1/130/130</t>
        </is>
      </c>
      <c r="C271" s="5" t="inlineStr">
        <is>
          <t>column</t>
        </is>
      </c>
      <c r="D271" s="5" t="inlineStr">
        <is>
          <t>column</t>
        </is>
      </c>
      <c r="E271" s="5" t="n">
        <v>788.5</v>
      </c>
      <c r="F271" s="5" t="n">
        <v>1489.6</v>
      </c>
      <c r="G271" s="5" t="n">
        <v>1011</v>
      </c>
      <c r="H271" s="5" t="n">
        <v>31</v>
      </c>
      <c r="I271" s="5" t="inlineStr">
        <is>
          <t>column</t>
        </is>
      </c>
      <c r="J271" s="5" t="inlineStr">
        <is>
          <t>yes</t>
        </is>
      </c>
      <c r="K271" s="5" t="n">
        <v>1011</v>
      </c>
      <c r="L271" s="5" t="n">
        <v>0.77</v>
      </c>
      <c r="M271" s="5" t="n">
        <v>0</v>
      </c>
      <c r="N271" s="5" t="inlineStr">
        <is>
          <t>yes</t>
        </is>
      </c>
    </row>
    <row r="272">
      <c r="A272" s="5" t="n">
        <v>271</v>
      </c>
      <c r="B272" s="5" t="inlineStr">
        <is>
          <t>P1/125/125</t>
        </is>
      </c>
      <c r="C272" s="5" t="inlineStr">
        <is>
          <t>column</t>
        </is>
      </c>
      <c r="D272" s="5" t="inlineStr">
        <is>
          <t>column</t>
        </is>
      </c>
      <c r="E272" s="5" t="n">
        <v>3161.5</v>
      </c>
      <c r="F272" s="5" t="n">
        <v>3459.4</v>
      </c>
      <c r="G272" s="5" t="n">
        <v>519</v>
      </c>
      <c r="H272" s="5" t="n">
        <v>29</v>
      </c>
      <c r="I272" s="5" t="inlineStr">
        <is>
          <t>column</t>
        </is>
      </c>
      <c r="J272" s="5" t="inlineStr">
        <is>
          <t>yes</t>
        </is>
      </c>
      <c r="K272" s="5" t="n">
        <v>519</v>
      </c>
      <c r="L272" s="5" t="n">
        <v>0.07000000000000001</v>
      </c>
      <c r="M272" s="5" t="n">
        <v>0</v>
      </c>
      <c r="N272" s="5" t="inlineStr">
        <is>
          <t>yes</t>
        </is>
      </c>
    </row>
    <row r="273">
      <c r="A273" s="5" t="n">
        <v>272</v>
      </c>
      <c r="B273" s="5" t="inlineStr">
        <is>
          <t>P1/125/125</t>
        </is>
      </c>
      <c r="C273" s="5" t="inlineStr">
        <is>
          <t>column</t>
        </is>
      </c>
      <c r="D273" s="5" t="inlineStr">
        <is>
          <t>column</t>
        </is>
      </c>
      <c r="E273" s="5" t="n">
        <v>3259.4</v>
      </c>
      <c r="F273" s="5" t="n">
        <v>3440.6</v>
      </c>
      <c r="G273" s="5" t="n">
        <v>518</v>
      </c>
      <c r="H273" s="5" t="n">
        <v>29</v>
      </c>
      <c r="I273" s="5" t="inlineStr">
        <is>
          <t>column</t>
        </is>
      </c>
      <c r="J273" s="5" t="inlineStr">
        <is>
          <t>yes</t>
        </is>
      </c>
      <c r="K273" s="5" t="n">
        <v>518</v>
      </c>
      <c r="L273" s="5" t="n">
        <v>0.71</v>
      </c>
      <c r="M273" s="5" t="n">
        <v>0</v>
      </c>
      <c r="N273" s="5" t="inlineStr">
        <is>
          <t>yes</t>
        </is>
      </c>
    </row>
    <row r="274">
      <c r="A274" s="5" t="n">
        <v>273</v>
      </c>
      <c r="B274" s="5" t="inlineStr">
        <is>
          <t>S20-130</t>
        </is>
      </c>
      <c r="C274" s="5" t="inlineStr">
        <is>
          <t>footing:S</t>
        </is>
      </c>
      <c r="D274" s="5" t="inlineStr">
        <is>
          <t>isolated_footing</t>
        </is>
      </c>
      <c r="E274" s="5" t="n">
        <v>754.2</v>
      </c>
      <c r="F274" s="5" t="n">
        <v>1320.8</v>
      </c>
      <c r="G274" s="5" t="n">
        <v>1017</v>
      </c>
      <c r="H274" s="5" t="n">
        <v>32</v>
      </c>
      <c r="I274" s="5" t="inlineStr">
        <is>
          <t>shear_wall</t>
        </is>
      </c>
      <c r="J274" s="5" t="inlineStr">
        <is>
          <t>no</t>
        </is>
      </c>
      <c r="K274" s="5" t="n">
        <v>1044</v>
      </c>
      <c r="L274" s="5" t="n">
        <v>0.82</v>
      </c>
      <c r="M274" s="5" t="n">
        <v>0</v>
      </c>
      <c r="N274" s="5" t="inlineStr">
        <is>
          <t>yes</t>
        </is>
      </c>
    </row>
    <row r="275">
      <c r="A275" s="5" t="n">
        <v>274</v>
      </c>
      <c r="B275" s="5" t="inlineStr">
        <is>
          <t>S20-130</t>
        </is>
      </c>
      <c r="C275" s="5" t="inlineStr">
        <is>
          <t>footing:S</t>
        </is>
      </c>
      <c r="D275" s="5" t="inlineStr">
        <is>
          <t>isolated_footing</t>
        </is>
      </c>
      <c r="E275" s="5" t="n">
        <v>654.2</v>
      </c>
      <c r="F275" s="5" t="n">
        <v>1345.8</v>
      </c>
      <c r="G275" s="5" t="n">
        <v>1043</v>
      </c>
      <c r="H275" s="5" t="n">
        <v>26</v>
      </c>
      <c r="I275" s="5" t="inlineStr">
        <is>
          <t>isolated_footing</t>
        </is>
      </c>
      <c r="J275" s="5" t="inlineStr">
        <is>
          <t>yes</t>
        </is>
      </c>
      <c r="K275" s="5" t="n">
        <v>1043</v>
      </c>
      <c r="L275" s="5" t="n">
        <v>0.77</v>
      </c>
      <c r="M275" s="5" t="n">
        <v>0</v>
      </c>
      <c r="N275" s="5" t="inlineStr">
        <is>
          <t>yes</t>
        </is>
      </c>
    </row>
    <row r="276">
      <c r="A276" s="5" t="n">
        <v>275</v>
      </c>
      <c r="B276" s="5" t="inlineStr">
        <is>
          <t>P3/130/130</t>
        </is>
      </c>
      <c r="C276" s="5" t="inlineStr">
        <is>
          <t>column</t>
        </is>
      </c>
      <c r="D276" s="5" t="inlineStr">
        <is>
          <t>column</t>
        </is>
      </c>
      <c r="E276" s="5" t="n">
        <v>627.1</v>
      </c>
      <c r="F276" s="5" t="n">
        <v>1336.5</v>
      </c>
      <c r="G276" s="5" t="n">
        <v>1035</v>
      </c>
      <c r="H276" s="5" t="n">
        <v>28</v>
      </c>
      <c r="I276" s="5" t="inlineStr">
        <is>
          <t>retaining_wall</t>
        </is>
      </c>
      <c r="J276" s="5" t="inlineStr">
        <is>
          <t>no</t>
        </is>
      </c>
      <c r="K276" s="5" t="n">
        <v>1014</v>
      </c>
      <c r="L276" s="5" t="n">
        <v>0.84</v>
      </c>
      <c r="M276" s="5" t="n">
        <v>0</v>
      </c>
      <c r="N276" s="5" t="inlineStr">
        <is>
          <t>yes</t>
        </is>
      </c>
    </row>
    <row r="277">
      <c r="A277" s="5" t="n">
        <v>276</v>
      </c>
      <c r="B277" s="5" t="inlineStr">
        <is>
          <t>P3/130/130</t>
        </is>
      </c>
      <c r="C277" s="5" t="inlineStr">
        <is>
          <t>column</t>
        </is>
      </c>
      <c r="D277" s="5" t="inlineStr">
        <is>
          <t>column</t>
        </is>
      </c>
      <c r="E277" s="5" t="n">
        <v>716.7</v>
      </c>
      <c r="F277" s="5" t="n">
        <v>1311.5</v>
      </c>
      <c r="G277" s="5" t="n">
        <v>1063</v>
      </c>
      <c r="H277" s="5" t="n">
        <v>4</v>
      </c>
      <c r="I277" s="5" t="inlineStr">
        <is>
          <t>grade_beam</t>
        </is>
      </c>
      <c r="J277" s="5" t="inlineStr">
        <is>
          <t>no</t>
        </is>
      </c>
      <c r="K277" s="5" t="n">
        <v>1013</v>
      </c>
      <c r="L277" s="5" t="n">
        <v>0.79</v>
      </c>
      <c r="M277" s="5" t="n">
        <v>0</v>
      </c>
      <c r="N277" s="5" t="inlineStr">
        <is>
          <t>yes</t>
        </is>
      </c>
    </row>
    <row r="278">
      <c r="A278" s="5" t="n">
        <v>277</v>
      </c>
      <c r="B278" s="5" t="inlineStr">
        <is>
          <t>P2a/122/122</t>
        </is>
      </c>
      <c r="C278" s="5" t="inlineStr">
        <is>
          <t>column</t>
        </is>
      </c>
      <c r="D278" s="5" t="inlineStr">
        <is>
          <t>column</t>
        </is>
      </c>
      <c r="E278" s="5" t="n">
        <v>4730.2</v>
      </c>
      <c r="F278" s="5" t="n">
        <v>2606.2</v>
      </c>
      <c r="G278" s="5" t="n">
        <v>226</v>
      </c>
      <c r="H278" s="5" t="n">
        <v>29</v>
      </c>
      <c r="I278" s="5" t="inlineStr">
        <is>
          <t>column</t>
        </is>
      </c>
      <c r="J278" s="5" t="inlineStr">
        <is>
          <t>yes</t>
        </is>
      </c>
      <c r="K278" s="5" t="n">
        <v>226</v>
      </c>
      <c r="L278" s="5" t="n">
        <v>0.1</v>
      </c>
      <c r="M278" s="5" t="n">
        <v>0</v>
      </c>
      <c r="N278" s="5" t="inlineStr">
        <is>
          <t>yes</t>
        </is>
      </c>
    </row>
    <row r="279">
      <c r="A279" s="5" t="n">
        <v>278</v>
      </c>
      <c r="B279" s="5" t="inlineStr">
        <is>
          <t>P2a/122a/122</t>
        </is>
      </c>
      <c r="C279" s="5" t="inlineStr">
        <is>
          <t>column</t>
        </is>
      </c>
      <c r="D279" s="5" t="inlineStr">
        <is>
          <t>column</t>
        </is>
      </c>
      <c r="E279" s="5" t="n">
        <v>4736.5</v>
      </c>
      <c r="F279" s="5" t="n">
        <v>2694.8</v>
      </c>
      <c r="G279" s="5" t="n">
        <v>225</v>
      </c>
      <c r="H279" s="5" t="n">
        <v>29</v>
      </c>
      <c r="I279" s="5" t="inlineStr">
        <is>
          <t>column</t>
        </is>
      </c>
      <c r="J279" s="5" t="inlineStr">
        <is>
          <t>yes</t>
        </is>
      </c>
      <c r="K279" s="5" t="n">
        <v>225</v>
      </c>
      <c r="L279" s="5" t="n">
        <v>0.11</v>
      </c>
      <c r="M279" s="5" t="n">
        <v>0</v>
      </c>
      <c r="N279" s="5" t="inlineStr">
        <is>
          <t>yes</t>
        </is>
      </c>
    </row>
    <row r="280">
      <c r="A280" s="5" t="n">
        <v>279</v>
      </c>
      <c r="B280" s="5" t="inlineStr">
        <is>
          <t>LG-40x15</t>
        </is>
      </c>
      <c r="C280" s="5" t="inlineStr">
        <is>
          <t>grade_beam</t>
        </is>
      </c>
      <c r="D280" s="5" t="inlineStr">
        <is>
          <t>grade_beam</t>
        </is>
      </c>
      <c r="E280" s="5" t="n">
        <v>4333.3</v>
      </c>
      <c r="F280" s="5" t="n">
        <v>2212.5</v>
      </c>
      <c r="G280" s="5" t="n">
        <v>287</v>
      </c>
      <c r="H280" s="5" t="n">
        <v>4</v>
      </c>
      <c r="I280" s="5" t="inlineStr">
        <is>
          <t>grade_beam</t>
        </is>
      </c>
      <c r="J280" s="5" t="inlineStr">
        <is>
          <t>yes</t>
        </is>
      </c>
      <c r="K280" s="5" t="n">
        <v>287</v>
      </c>
      <c r="L280" s="5" t="n">
        <v>0.18</v>
      </c>
      <c r="M280" s="5" t="n">
        <v>0</v>
      </c>
      <c r="N280" s="5" t="inlineStr">
        <is>
          <t>yes</t>
        </is>
      </c>
    </row>
    <row r="281">
      <c r="A281" s="5" t="n">
        <v>280</v>
      </c>
      <c r="B281" s="5" t="inlineStr">
        <is>
          <t>LG-40x15</t>
        </is>
      </c>
      <c r="C281" s="5" t="inlineStr">
        <is>
          <t>grade_beam</t>
        </is>
      </c>
      <c r="D281" s="5" t="inlineStr">
        <is>
          <t>grade_beam</t>
        </is>
      </c>
      <c r="E281" s="5" t="n">
        <v>4333.3</v>
      </c>
      <c r="F281" s="5" t="n">
        <v>2413.5</v>
      </c>
      <c r="G281" s="5" t="n">
        <v>287</v>
      </c>
      <c r="H281" s="5" t="n">
        <v>4</v>
      </c>
      <c r="I281" s="5" t="inlineStr">
        <is>
          <t>grade_beam</t>
        </is>
      </c>
      <c r="J281" s="5" t="inlineStr">
        <is>
          <t>yes</t>
        </is>
      </c>
      <c r="K281" s="5" t="n">
        <v>287</v>
      </c>
      <c r="L281" s="5" t="n">
        <v>0.18</v>
      </c>
      <c r="M281" s="5" t="n">
        <v>0</v>
      </c>
      <c r="N281" s="5" t="inlineStr">
        <is>
          <t>yes</t>
        </is>
      </c>
    </row>
    <row r="282">
      <c r="A282" s="5" t="n">
        <v>281</v>
      </c>
      <c r="B282" s="5" t="inlineStr">
        <is>
          <t>LG-40x15</t>
        </is>
      </c>
      <c r="C282" s="5" t="inlineStr">
        <is>
          <t>grade_beam</t>
        </is>
      </c>
      <c r="D282" s="5" t="inlineStr">
        <is>
          <t>grade_beam</t>
        </is>
      </c>
      <c r="E282" s="5" t="n">
        <v>4558.3</v>
      </c>
      <c r="F282" s="5" t="n">
        <v>2425</v>
      </c>
      <c r="G282" s="5" t="n">
        <v>284</v>
      </c>
      <c r="H282" s="5" t="n">
        <v>4</v>
      </c>
      <c r="I282" s="5" t="inlineStr">
        <is>
          <t>grade_beam</t>
        </is>
      </c>
      <c r="J282" s="5" t="inlineStr">
        <is>
          <t>yes</t>
        </is>
      </c>
      <c r="K282" s="5" t="n">
        <v>284</v>
      </c>
      <c r="L282" s="5" t="n">
        <v>0.14</v>
      </c>
      <c r="M282" s="5" t="n">
        <v>0</v>
      </c>
      <c r="N282" s="5" t="inlineStr">
        <is>
          <t>yes</t>
        </is>
      </c>
    </row>
    <row r="283">
      <c r="A283" s="5" t="n">
        <v>282</v>
      </c>
      <c r="B283" s="5" t="inlineStr">
        <is>
          <t>LG-40x15</t>
        </is>
      </c>
      <c r="C283" s="5" t="inlineStr">
        <is>
          <t>grade_beam</t>
        </is>
      </c>
      <c r="D283" s="5" t="inlineStr">
        <is>
          <t>grade_beam</t>
        </is>
      </c>
      <c r="E283" s="5" t="n">
        <v>4332.3</v>
      </c>
      <c r="F283" s="5" t="n">
        <v>2591.7</v>
      </c>
      <c r="G283" s="5" t="n">
        <v>287</v>
      </c>
      <c r="H283" s="5" t="n">
        <v>4</v>
      </c>
      <c r="I283" s="5" t="inlineStr">
        <is>
          <t>grade_beam</t>
        </is>
      </c>
      <c r="J283" s="5" t="inlineStr">
        <is>
          <t>yes</t>
        </is>
      </c>
      <c r="K283" s="5" t="n">
        <v>287</v>
      </c>
      <c r="L283" s="5" t="n">
        <v>0.15</v>
      </c>
      <c r="M283" s="5" t="n">
        <v>0</v>
      </c>
      <c r="N283" s="5" t="inlineStr">
        <is>
          <t>yes</t>
        </is>
      </c>
    </row>
    <row r="284">
      <c r="A284" s="5" t="n">
        <v>283</v>
      </c>
      <c r="B284" s="5" t="inlineStr">
        <is>
          <t>LG-40x15</t>
        </is>
      </c>
      <c r="C284" s="5" t="inlineStr">
        <is>
          <t>grade_beam</t>
        </is>
      </c>
      <c r="D284" s="5" t="inlineStr">
        <is>
          <t>grade_beam</t>
        </is>
      </c>
      <c r="E284" s="5" t="n">
        <v>4300</v>
      </c>
      <c r="F284" s="5" t="n">
        <v>2806.2</v>
      </c>
      <c r="G284" s="5" t="n">
        <v>299</v>
      </c>
      <c r="H284" s="5" t="n">
        <v>4</v>
      </c>
      <c r="I284" s="5" t="inlineStr">
        <is>
          <t>grade_beam</t>
        </is>
      </c>
      <c r="J284" s="5" t="inlineStr">
        <is>
          <t>yes</t>
        </is>
      </c>
      <c r="K284" s="5" t="n">
        <v>299</v>
      </c>
      <c r="L284" s="5" t="n">
        <v>0.21</v>
      </c>
      <c r="M284" s="5" t="n">
        <v>0</v>
      </c>
      <c r="N284" s="5" t="inlineStr">
        <is>
          <t>yes</t>
        </is>
      </c>
    </row>
    <row r="285">
      <c r="A285" s="5" t="n">
        <v>284</v>
      </c>
      <c r="B285" s="5" t="inlineStr">
        <is>
          <t>LG-40x15</t>
        </is>
      </c>
      <c r="C285" s="5" t="inlineStr">
        <is>
          <t>grade_beam</t>
        </is>
      </c>
      <c r="D285" s="5" t="inlineStr">
        <is>
          <t>grade_beam</t>
        </is>
      </c>
      <c r="E285" s="5" t="n">
        <v>4383.3</v>
      </c>
      <c r="F285" s="5" t="n">
        <v>2975</v>
      </c>
      <c r="G285" s="5" t="n">
        <v>298</v>
      </c>
      <c r="H285" s="5" t="n">
        <v>4</v>
      </c>
      <c r="I285" s="5" t="inlineStr">
        <is>
          <t>grade_beam</t>
        </is>
      </c>
      <c r="J285" s="5" t="inlineStr">
        <is>
          <t>yes</t>
        </is>
      </c>
      <c r="K285" s="5" t="n">
        <v>298</v>
      </c>
      <c r="L285" s="5" t="n">
        <v>0.17</v>
      </c>
      <c r="M285" s="5" t="n">
        <v>0.02</v>
      </c>
      <c r="N285" s="5" t="inlineStr">
        <is>
          <t>yes</t>
        </is>
      </c>
    </row>
    <row r="286">
      <c r="A286" s="5" t="n">
        <v>285</v>
      </c>
      <c r="B286" s="5" t="inlineStr">
        <is>
          <t>LG-40x15</t>
        </is>
      </c>
      <c r="C286" s="5" t="inlineStr">
        <is>
          <t>grade_beam</t>
        </is>
      </c>
      <c r="D286" s="5" t="inlineStr">
        <is>
          <t>grade_beam</t>
        </is>
      </c>
      <c r="E286" s="5" t="n">
        <v>4250</v>
      </c>
      <c r="F286" s="5" t="n">
        <v>2996.9</v>
      </c>
      <c r="G286" s="5" t="n">
        <v>288</v>
      </c>
      <c r="H286" s="5" t="n">
        <v>4</v>
      </c>
      <c r="I286" s="5" t="inlineStr">
        <is>
          <t>grade_beam</t>
        </is>
      </c>
      <c r="J286" s="5" t="inlineStr">
        <is>
          <t>yes</t>
        </is>
      </c>
      <c r="K286" s="5" t="n">
        <v>288</v>
      </c>
      <c r="L286" s="5" t="n">
        <v>0.21</v>
      </c>
      <c r="M286" s="5" t="n">
        <v>0</v>
      </c>
      <c r="N286" s="5" t="inlineStr">
        <is>
          <t>yes</t>
        </is>
      </c>
    </row>
    <row r="287">
      <c r="A287" s="5" t="n">
        <v>286</v>
      </c>
      <c r="B287" s="5" t="inlineStr">
        <is>
          <t>LG-40x15</t>
        </is>
      </c>
      <c r="C287" s="5" t="inlineStr">
        <is>
          <t>grade_beam</t>
        </is>
      </c>
      <c r="D287" s="5" t="inlineStr">
        <is>
          <t>grade_beam</t>
        </is>
      </c>
      <c r="E287" s="5" t="n">
        <v>4558.3</v>
      </c>
      <c r="F287" s="5" t="n">
        <v>2936.5</v>
      </c>
      <c r="G287" s="5" t="n">
        <v>284</v>
      </c>
      <c r="H287" s="5" t="n">
        <v>4</v>
      </c>
      <c r="I287" s="5" t="inlineStr">
        <is>
          <t>grade_beam</t>
        </is>
      </c>
      <c r="J287" s="5" t="inlineStr">
        <is>
          <t>yes</t>
        </is>
      </c>
      <c r="K287" s="5" t="n">
        <v>284</v>
      </c>
      <c r="L287" s="5" t="n">
        <v>0.16</v>
      </c>
      <c r="M287" s="5" t="n">
        <v>0</v>
      </c>
      <c r="N287" s="5" t="inlineStr">
        <is>
          <t>yes</t>
        </is>
      </c>
    </row>
    <row r="288">
      <c r="A288" s="5" t="n">
        <v>287</v>
      </c>
      <c r="B288" s="5" t="inlineStr">
        <is>
          <t>LG-40x15</t>
        </is>
      </c>
      <c r="C288" s="5" t="inlineStr">
        <is>
          <t>grade_beam</t>
        </is>
      </c>
      <c r="D288" s="5" t="inlineStr">
        <is>
          <t>grade_beam</t>
        </is>
      </c>
      <c r="E288" s="5" t="n">
        <v>4687.5</v>
      </c>
      <c r="F288" s="5" t="n">
        <v>2804.2</v>
      </c>
      <c r="G288" s="5" t="n">
        <v>297</v>
      </c>
      <c r="H288" s="5" t="n">
        <v>4</v>
      </c>
      <c r="I288" s="5" t="inlineStr">
        <is>
          <t>grade_beam</t>
        </is>
      </c>
      <c r="J288" s="5" t="inlineStr">
        <is>
          <t>yes</t>
        </is>
      </c>
      <c r="K288" s="5" t="n">
        <v>297</v>
      </c>
      <c r="L288" s="5" t="n">
        <v>0.21</v>
      </c>
      <c r="M288" s="5" t="n">
        <v>0</v>
      </c>
      <c r="N288" s="5" t="inlineStr">
        <is>
          <t>yes</t>
        </is>
      </c>
    </row>
    <row r="289">
      <c r="A289" s="5" t="n">
        <v>288</v>
      </c>
      <c r="B289" s="5" t="inlineStr">
        <is>
          <t>LG-40x15</t>
        </is>
      </c>
      <c r="C289" s="5" t="inlineStr">
        <is>
          <t>grade_beam</t>
        </is>
      </c>
      <c r="D289" s="5" t="inlineStr">
        <is>
          <t>grade_beam</t>
        </is>
      </c>
      <c r="E289" s="5" t="n">
        <v>4884.4</v>
      </c>
      <c r="F289" s="5" t="n">
        <v>2952.1</v>
      </c>
      <c r="G289" s="5" t="n">
        <v>285</v>
      </c>
      <c r="H289" s="5" t="n">
        <v>4</v>
      </c>
      <c r="I289" s="5" t="inlineStr">
        <is>
          <t>grade_beam</t>
        </is>
      </c>
      <c r="J289" s="5" t="inlineStr">
        <is>
          <t>yes</t>
        </is>
      </c>
      <c r="K289" s="5" t="n">
        <v>285</v>
      </c>
      <c r="L289" s="5" t="n">
        <v>0.15</v>
      </c>
      <c r="M289" s="5" t="n">
        <v>0</v>
      </c>
      <c r="N289" s="5" t="inlineStr">
        <is>
          <t>yes</t>
        </is>
      </c>
    </row>
    <row r="290">
      <c r="A290" s="5" t="n">
        <v>289</v>
      </c>
      <c r="B290" s="5" t="inlineStr">
        <is>
          <t>LG-40x15</t>
        </is>
      </c>
      <c r="C290" s="5" t="inlineStr">
        <is>
          <t>grade_beam</t>
        </is>
      </c>
      <c r="D290" s="5" t="inlineStr">
        <is>
          <t>grade_beam</t>
        </is>
      </c>
      <c r="E290" s="5" t="n">
        <v>4680.2</v>
      </c>
      <c r="F290" s="5" t="n">
        <v>2988.5</v>
      </c>
      <c r="G290" s="5" t="n">
        <v>363</v>
      </c>
      <c r="H290" s="5" t="n">
        <v>11</v>
      </c>
      <c r="I290" s="5" t="inlineStr">
        <is>
          <t>unnamed</t>
        </is>
      </c>
      <c r="J290" s="5" t="inlineStr">
        <is>
          <t>unnamed</t>
        </is>
      </c>
      <c r="K290" s="5" t="n">
        <v>285</v>
      </c>
      <c r="L290" s="5" t="n">
        <v>0.21</v>
      </c>
      <c r="M290" s="5" t="n">
        <v>0.17</v>
      </c>
      <c r="N290" s="5" t="inlineStr">
        <is>
          <t>yes</t>
        </is>
      </c>
    </row>
    <row r="291">
      <c r="A291" s="5" t="n">
        <v>290</v>
      </c>
      <c r="B291" s="5" t="inlineStr">
        <is>
          <t>LG-40x15</t>
        </is>
      </c>
      <c r="C291" s="5" t="inlineStr">
        <is>
          <t>grade_beam</t>
        </is>
      </c>
      <c r="D291" s="5" t="inlineStr">
        <is>
          <t>grade_beam</t>
        </is>
      </c>
      <c r="E291" s="5" t="n">
        <v>4514.6</v>
      </c>
      <c r="F291" s="5" t="n">
        <v>3019.8</v>
      </c>
      <c r="G291" s="5" t="n">
        <v>285</v>
      </c>
      <c r="H291" s="5" t="n">
        <v>4</v>
      </c>
      <c r="I291" s="5" t="inlineStr">
        <is>
          <t>grade_beam</t>
        </is>
      </c>
      <c r="J291" s="5" t="inlineStr">
        <is>
          <t>yes</t>
        </is>
      </c>
      <c r="K291" s="5" t="n">
        <v>285</v>
      </c>
      <c r="L291" s="5" t="n">
        <v>0.2</v>
      </c>
      <c r="M291" s="5" t="n">
        <v>0</v>
      </c>
      <c r="N291" s="5" t="inlineStr">
        <is>
          <t>yes</t>
        </is>
      </c>
    </row>
    <row r="292">
      <c r="A292" s="5" t="n">
        <v>291</v>
      </c>
      <c r="B292" s="5" t="inlineStr">
        <is>
          <t>LG-40x15</t>
        </is>
      </c>
      <c r="C292" s="5" t="inlineStr">
        <is>
          <t>grade_beam</t>
        </is>
      </c>
      <c r="D292" s="5" t="inlineStr">
        <is>
          <t>grade_beam</t>
        </is>
      </c>
      <c r="E292" s="5" t="n">
        <v>4355.2</v>
      </c>
      <c r="F292" s="5" t="n">
        <v>3050</v>
      </c>
      <c r="G292" s="5" t="n">
        <v>285</v>
      </c>
      <c r="H292" s="5" t="n">
        <v>4</v>
      </c>
      <c r="I292" s="5" t="inlineStr">
        <is>
          <t>grade_beam</t>
        </is>
      </c>
      <c r="J292" s="5" t="inlineStr">
        <is>
          <t>yes</t>
        </is>
      </c>
      <c r="K292" s="5" t="n">
        <v>285</v>
      </c>
      <c r="L292" s="5" t="n">
        <v>0.18</v>
      </c>
      <c r="M292" s="5" t="n">
        <v>0</v>
      </c>
      <c r="N292" s="5" t="inlineStr">
        <is>
          <t>yes</t>
        </is>
      </c>
    </row>
    <row r="293">
      <c r="A293" s="5" t="n">
        <v>292</v>
      </c>
      <c r="B293" s="5" t="inlineStr">
        <is>
          <t>LG-40x15</t>
        </is>
      </c>
      <c r="C293" s="5" t="inlineStr">
        <is>
          <t>grade_beam</t>
        </is>
      </c>
      <c r="D293" s="5" t="inlineStr">
        <is>
          <t>grade_beam</t>
        </is>
      </c>
      <c r="E293" s="5" t="n">
        <v>4680.2</v>
      </c>
      <c r="F293" s="5" t="n">
        <v>2319.8</v>
      </c>
      <c r="G293" s="5" t="n">
        <v>290</v>
      </c>
      <c r="H293" s="5" t="n">
        <v>4</v>
      </c>
      <c r="I293" s="5" t="inlineStr">
        <is>
          <t>grade_beam</t>
        </is>
      </c>
      <c r="J293" s="5" t="inlineStr">
        <is>
          <t>yes</t>
        </is>
      </c>
      <c r="K293" s="5" t="n">
        <v>290</v>
      </c>
      <c r="L293" s="5" t="n">
        <v>0.12</v>
      </c>
      <c r="M293" s="5" t="n">
        <v>0</v>
      </c>
      <c r="N293" s="5" t="inlineStr">
        <is>
          <t>yes</t>
        </is>
      </c>
    </row>
    <row r="294">
      <c r="A294" s="5" t="n">
        <v>293</v>
      </c>
      <c r="B294" s="5" t="inlineStr">
        <is>
          <t>LG-40x15</t>
        </is>
      </c>
      <c r="C294" s="5" t="inlineStr">
        <is>
          <t>grade_beam</t>
        </is>
      </c>
      <c r="D294" s="5" t="inlineStr">
        <is>
          <t>grade_beam</t>
        </is>
      </c>
      <c r="E294" s="5" t="n">
        <v>4217.7</v>
      </c>
      <c r="F294" s="5" t="n">
        <v>2836.5</v>
      </c>
      <c r="G294" s="5" t="n">
        <v>288</v>
      </c>
      <c r="H294" s="5" t="n">
        <v>4</v>
      </c>
      <c r="I294" s="5" t="inlineStr">
        <is>
          <t>grade_beam</t>
        </is>
      </c>
      <c r="J294" s="5" t="inlineStr">
        <is>
          <t>yes</t>
        </is>
      </c>
      <c r="K294" s="5" t="n">
        <v>288</v>
      </c>
      <c r="L294" s="5" t="n">
        <v>0.14</v>
      </c>
      <c r="M294" s="5" t="n">
        <v>0.24</v>
      </c>
      <c r="N294" s="5" t="inlineStr">
        <is>
          <t>yes</t>
        </is>
      </c>
    </row>
    <row r="295">
      <c r="A295" s="5" t="n">
        <v>294</v>
      </c>
      <c r="B295" s="5" t="inlineStr">
        <is>
          <t>LG-40x15</t>
        </is>
      </c>
      <c r="C295" s="5" t="inlineStr">
        <is>
          <t>grade_beam</t>
        </is>
      </c>
      <c r="D295" s="5" t="inlineStr">
        <is>
          <t>grade_beam</t>
        </is>
      </c>
      <c r="E295" s="5" t="n">
        <v>4582.3</v>
      </c>
      <c r="F295" s="5" t="n">
        <v>2691.7</v>
      </c>
      <c r="G295" s="5" t="n">
        <v>305</v>
      </c>
      <c r="H295" s="5" t="n">
        <v>4</v>
      </c>
      <c r="I295" s="5" t="inlineStr">
        <is>
          <t>grade_beam</t>
        </is>
      </c>
      <c r="J295" s="5" t="inlineStr">
        <is>
          <t>yes</t>
        </is>
      </c>
      <c r="K295" s="5" t="n">
        <v>305</v>
      </c>
      <c r="L295" s="5" t="n">
        <v>0.11</v>
      </c>
      <c r="M295" s="5" t="n">
        <v>0</v>
      </c>
      <c r="N295" s="5" t="inlineStr">
        <is>
          <t>yes</t>
        </is>
      </c>
    </row>
    <row r="296">
      <c r="A296" s="5" t="n">
        <v>295</v>
      </c>
      <c r="B296" s="5" t="inlineStr">
        <is>
          <t>LG-40x15</t>
        </is>
      </c>
      <c r="C296" s="5" t="inlineStr">
        <is>
          <t>grade_beam</t>
        </is>
      </c>
      <c r="D296" s="5" t="inlineStr">
        <is>
          <t>grade_beam</t>
        </is>
      </c>
      <c r="E296" s="5" t="n">
        <v>4440.6</v>
      </c>
      <c r="F296" s="5" t="n">
        <v>2605.2</v>
      </c>
      <c r="G296" s="5" t="n">
        <v>295</v>
      </c>
      <c r="H296" s="5" t="n">
        <v>4</v>
      </c>
      <c r="I296" s="5" t="inlineStr">
        <is>
          <t>grade_beam</t>
        </is>
      </c>
      <c r="J296" s="5" t="inlineStr">
        <is>
          <t>yes</t>
        </is>
      </c>
      <c r="K296" s="5" t="n">
        <v>295</v>
      </c>
      <c r="L296" s="5" t="n">
        <v>0.14</v>
      </c>
      <c r="M296" s="5" t="n">
        <v>0</v>
      </c>
      <c r="N296" s="5" t="inlineStr">
        <is>
          <t>yes</t>
        </is>
      </c>
    </row>
    <row r="297">
      <c r="A297" s="5" t="n">
        <v>296</v>
      </c>
      <c r="B297" s="5" t="inlineStr">
        <is>
          <t>LG-40x15</t>
        </is>
      </c>
      <c r="C297" s="5" t="inlineStr">
        <is>
          <t>grade_beam</t>
        </is>
      </c>
      <c r="D297" s="5" t="inlineStr">
        <is>
          <t>grade_beam</t>
        </is>
      </c>
      <c r="E297" s="5" t="n">
        <v>4246.9</v>
      </c>
      <c r="F297" s="5" t="n">
        <v>2479.2</v>
      </c>
      <c r="G297" s="5" t="n">
        <v>302</v>
      </c>
      <c r="H297" s="5" t="n">
        <v>4</v>
      </c>
      <c r="I297" s="5" t="inlineStr">
        <is>
          <t>grade_beam</t>
        </is>
      </c>
      <c r="J297" s="5" t="inlineStr">
        <is>
          <t>yes</t>
        </is>
      </c>
      <c r="K297" s="5" t="n">
        <v>302</v>
      </c>
      <c r="L297" s="5" t="n">
        <v>0.17</v>
      </c>
      <c r="M297" s="5" t="n">
        <v>0</v>
      </c>
      <c r="N297" s="5" t="inlineStr">
        <is>
          <t>yes</t>
        </is>
      </c>
    </row>
    <row r="298">
      <c r="A298" s="5" t="n">
        <v>297</v>
      </c>
      <c r="B298" s="5" t="inlineStr">
        <is>
          <t>LG-40x15</t>
        </is>
      </c>
      <c r="C298" s="5" t="inlineStr">
        <is>
          <t>grade_beam</t>
        </is>
      </c>
      <c r="D298" s="5" t="inlineStr">
        <is>
          <t>grade_beam</t>
        </is>
      </c>
      <c r="E298" s="5" t="n">
        <v>4245.8</v>
      </c>
      <c r="F298" s="5" t="n">
        <v>2247.9</v>
      </c>
      <c r="G298" s="5" t="n">
        <v>301</v>
      </c>
      <c r="H298" s="5" t="n">
        <v>4</v>
      </c>
      <c r="I298" s="5" t="inlineStr">
        <is>
          <t>grade_beam</t>
        </is>
      </c>
      <c r="J298" s="5" t="inlineStr">
        <is>
          <t>yes</t>
        </is>
      </c>
      <c r="K298" s="5" t="n">
        <v>301</v>
      </c>
      <c r="L298" s="5" t="n">
        <v>0.2</v>
      </c>
      <c r="M298" s="5" t="n">
        <v>0</v>
      </c>
      <c r="N298" s="5" t="inlineStr">
        <is>
          <t>yes</t>
        </is>
      </c>
    </row>
    <row r="299">
      <c r="A299" s="5" t="n">
        <v>298</v>
      </c>
      <c r="B299" s="5" t="inlineStr">
        <is>
          <t>LG-40x15</t>
        </is>
      </c>
      <c r="C299" s="5" t="inlineStr">
        <is>
          <t>grade_beam</t>
        </is>
      </c>
      <c r="D299" s="5" t="inlineStr">
        <is>
          <t>grade_beam</t>
        </is>
      </c>
      <c r="E299" s="5" t="n">
        <v>4421.9</v>
      </c>
      <c r="F299" s="5" t="n">
        <v>2318.8</v>
      </c>
      <c r="G299" s="5" t="n">
        <v>290</v>
      </c>
      <c r="H299" s="5" t="n">
        <v>4</v>
      </c>
      <c r="I299" s="5" t="inlineStr">
        <is>
          <t>grade_beam</t>
        </is>
      </c>
      <c r="J299" s="5" t="inlineStr">
        <is>
          <t>yes</t>
        </is>
      </c>
      <c r="K299" s="5" t="n">
        <v>290</v>
      </c>
      <c r="L299" s="5" t="n">
        <v>0.14</v>
      </c>
      <c r="M299" s="5" t="n">
        <v>0</v>
      </c>
      <c r="N299" s="5" t="inlineStr">
        <is>
          <t>yes</t>
        </is>
      </c>
    </row>
    <row r="300">
      <c r="A300" s="5" t="n">
        <v>299</v>
      </c>
      <c r="B300" s="5" t="inlineStr">
        <is>
          <t>LG-40x15</t>
        </is>
      </c>
      <c r="C300" s="5" t="inlineStr">
        <is>
          <t>grade_beam</t>
        </is>
      </c>
      <c r="D300" s="5" t="inlineStr">
        <is>
          <t>grade_beam</t>
        </is>
      </c>
      <c r="E300" s="5" t="n">
        <v>4454.2</v>
      </c>
      <c r="F300" s="5" t="n">
        <v>3207.3</v>
      </c>
      <c r="G300" s="5" t="n">
        <v>412</v>
      </c>
      <c r="H300" s="5" t="n">
        <v>4</v>
      </c>
      <c r="I300" s="5" t="inlineStr">
        <is>
          <t>grade_beam</t>
        </is>
      </c>
      <c r="J300" s="5" t="inlineStr">
        <is>
          <t>yes</t>
        </is>
      </c>
      <c r="K300" s="5" t="n">
        <v>412</v>
      </c>
      <c r="L300" s="5" t="n">
        <v>0.14</v>
      </c>
      <c r="M300" s="5" t="n">
        <v>0.18</v>
      </c>
      <c r="N300" s="5" t="inlineStr">
        <is>
          <t>yes</t>
        </is>
      </c>
    </row>
    <row r="301">
      <c r="A301" s="5" t="n">
        <v>300</v>
      </c>
      <c r="B301" s="5" t="inlineStr">
        <is>
          <t>LG-40x15</t>
        </is>
      </c>
      <c r="C301" s="5" t="inlineStr">
        <is>
          <t>grade_beam</t>
        </is>
      </c>
      <c r="D301" s="5" t="inlineStr">
        <is>
          <t>grade_beam</t>
        </is>
      </c>
      <c r="E301" s="5" t="n">
        <v>4884.4</v>
      </c>
      <c r="F301" s="5" t="n">
        <v>3311.5</v>
      </c>
      <c r="G301" s="5" t="n">
        <v>413</v>
      </c>
      <c r="H301" s="5" t="n">
        <v>4</v>
      </c>
      <c r="I301" s="5" t="inlineStr">
        <is>
          <t>grade_beam</t>
        </is>
      </c>
      <c r="J301" s="5" t="inlineStr">
        <is>
          <t>yes</t>
        </is>
      </c>
      <c r="K301" s="5" t="n">
        <v>413</v>
      </c>
      <c r="L301" s="5" t="n">
        <v>0.1</v>
      </c>
      <c r="M301" s="5" t="n">
        <v>0.24</v>
      </c>
      <c r="N301" s="5" t="inlineStr">
        <is>
          <t>yes</t>
        </is>
      </c>
    </row>
    <row r="302">
      <c r="A302" s="5" t="n">
        <v>301</v>
      </c>
      <c r="B302" s="5" t="inlineStr">
        <is>
          <t>LG-40x15</t>
        </is>
      </c>
      <c r="C302" s="5" t="inlineStr">
        <is>
          <t>grade_beam</t>
        </is>
      </c>
      <c r="D302" s="5" t="inlineStr">
        <is>
          <t>grade_beam</t>
        </is>
      </c>
      <c r="E302" s="5" t="n">
        <v>4705.2</v>
      </c>
      <c r="F302" s="5" t="n">
        <v>3369.8</v>
      </c>
      <c r="G302" s="5" t="n">
        <v>414</v>
      </c>
      <c r="H302" s="5" t="n">
        <v>4</v>
      </c>
      <c r="I302" s="5" t="inlineStr">
        <is>
          <t>grade_beam</t>
        </is>
      </c>
      <c r="J302" s="5" t="inlineStr">
        <is>
          <t>yes</t>
        </is>
      </c>
      <c r="K302" s="5" t="n">
        <v>414</v>
      </c>
      <c r="L302" s="5" t="n">
        <v>0.13</v>
      </c>
      <c r="M302" s="5" t="n">
        <v>0</v>
      </c>
      <c r="N302" s="5" t="inlineStr">
        <is>
          <t>yes</t>
        </is>
      </c>
    </row>
    <row r="303">
      <c r="A303" s="5" t="n">
        <v>302</v>
      </c>
      <c r="B303" s="5" t="inlineStr">
        <is>
          <t>LG-40x15</t>
        </is>
      </c>
      <c r="C303" s="5" t="inlineStr">
        <is>
          <t>grade_beam</t>
        </is>
      </c>
      <c r="D303" s="5" t="inlineStr">
        <is>
          <t>grade_beam</t>
        </is>
      </c>
      <c r="E303" s="5" t="n">
        <v>4525</v>
      </c>
      <c r="F303" s="5" t="n">
        <v>3429.2</v>
      </c>
      <c r="G303" s="5" t="n">
        <v>411</v>
      </c>
      <c r="H303" s="5" t="n">
        <v>4</v>
      </c>
      <c r="I303" s="5" t="inlineStr">
        <is>
          <t>grade_beam</t>
        </is>
      </c>
      <c r="J303" s="5" t="inlineStr">
        <is>
          <t>yes</t>
        </is>
      </c>
      <c r="K303" s="5" t="n">
        <v>411</v>
      </c>
      <c r="L303" s="5" t="n">
        <v>0.21</v>
      </c>
      <c r="M303" s="5" t="n">
        <v>0</v>
      </c>
      <c r="N303" s="5" t="inlineStr">
        <is>
          <t>yes</t>
        </is>
      </c>
    </row>
    <row r="304">
      <c r="A304" s="5" t="n">
        <v>303</v>
      </c>
      <c r="B304" s="5" t="inlineStr">
        <is>
          <t>LG-40x15</t>
        </is>
      </c>
      <c r="C304" s="5" t="inlineStr">
        <is>
          <t>grade_beam</t>
        </is>
      </c>
      <c r="D304" s="5" t="inlineStr">
        <is>
          <t>grade_beam</t>
        </is>
      </c>
      <c r="E304" s="5" t="n">
        <v>4293.8</v>
      </c>
      <c r="F304" s="5" t="n">
        <v>3236.5</v>
      </c>
      <c r="G304" s="5" t="n">
        <v>288</v>
      </c>
      <c r="H304" s="5" t="n">
        <v>4</v>
      </c>
      <c r="I304" s="5" t="inlineStr">
        <is>
          <t>grade_beam</t>
        </is>
      </c>
      <c r="J304" s="5" t="inlineStr">
        <is>
          <t>yes</t>
        </is>
      </c>
      <c r="K304" s="5" t="n">
        <v>288</v>
      </c>
      <c r="L304" s="5" t="n">
        <v>0.16</v>
      </c>
      <c r="M304" s="5" t="n">
        <v>0.07000000000000001</v>
      </c>
      <c r="N304" s="5" t="inlineStr">
        <is>
          <t>yes</t>
        </is>
      </c>
    </row>
    <row r="305">
      <c r="A305" s="5" t="n">
        <v>304</v>
      </c>
      <c r="B305" s="5" t="inlineStr">
        <is>
          <t>LG-40x15</t>
        </is>
      </c>
      <c r="C305" s="5" t="inlineStr">
        <is>
          <t>grade_beam</t>
        </is>
      </c>
      <c r="D305" s="5" t="inlineStr">
        <is>
          <t>grade_beam</t>
        </is>
      </c>
      <c r="E305" s="5" t="n">
        <v>4557.3</v>
      </c>
      <c r="F305" s="5" t="n">
        <v>3279.2</v>
      </c>
      <c r="G305" s="5" t="n">
        <v>409</v>
      </c>
      <c r="H305" s="5" t="n">
        <v>4</v>
      </c>
      <c r="I305" s="5" t="inlineStr">
        <is>
          <t>grade_beam</t>
        </is>
      </c>
      <c r="J305" s="5" t="inlineStr">
        <is>
          <t>yes</t>
        </is>
      </c>
      <c r="K305" s="5" t="n">
        <v>409</v>
      </c>
      <c r="L305" s="5" t="n">
        <v>0.17</v>
      </c>
      <c r="M305" s="5" t="n">
        <v>0</v>
      </c>
      <c r="N305" s="5" t="inlineStr">
        <is>
          <t>yes</t>
        </is>
      </c>
    </row>
    <row r="306">
      <c r="A306" s="5" t="n">
        <v>305</v>
      </c>
      <c r="B306" s="5" t="inlineStr">
        <is>
          <t>LG-40x15</t>
        </is>
      </c>
      <c r="C306" s="5" t="inlineStr">
        <is>
          <t>grade_beam</t>
        </is>
      </c>
      <c r="D306" s="5" t="inlineStr">
        <is>
          <t>grade_beam</t>
        </is>
      </c>
      <c r="E306" s="5" t="n">
        <v>4526</v>
      </c>
      <c r="F306" s="5" t="n">
        <v>3060.4</v>
      </c>
      <c r="G306" s="5" t="n">
        <v>408</v>
      </c>
      <c r="H306" s="5" t="n">
        <v>4</v>
      </c>
      <c r="I306" s="5" t="inlineStr">
        <is>
          <t>grade_beam</t>
        </is>
      </c>
      <c r="J306" s="5" t="inlineStr">
        <is>
          <t>yes</t>
        </is>
      </c>
      <c r="K306" s="5" t="n">
        <v>408</v>
      </c>
      <c r="L306" s="5" t="n">
        <v>0.3</v>
      </c>
      <c r="M306" s="5" t="n">
        <v>0</v>
      </c>
      <c r="N306" s="5" t="inlineStr">
        <is>
          <t>yes</t>
        </is>
      </c>
    </row>
    <row r="307">
      <c r="A307" s="5" t="n">
        <v>306</v>
      </c>
      <c r="B307" s="5" t="inlineStr">
        <is>
          <t>LG-40x15</t>
        </is>
      </c>
      <c r="C307" s="5" t="inlineStr">
        <is>
          <t>grade_beam</t>
        </is>
      </c>
      <c r="D307" s="5" t="inlineStr">
        <is>
          <t>grade_beam</t>
        </is>
      </c>
      <c r="E307" s="5" t="n">
        <v>4346.9</v>
      </c>
      <c r="F307" s="5" t="n">
        <v>3093.8</v>
      </c>
      <c r="G307" s="5" t="n">
        <v>408</v>
      </c>
      <c r="H307" s="5" t="n">
        <v>4</v>
      </c>
      <c r="I307" s="5" t="inlineStr">
        <is>
          <t>grade_beam</t>
        </is>
      </c>
      <c r="J307" s="5" t="inlineStr">
        <is>
          <t>yes</t>
        </is>
      </c>
      <c r="K307" s="5" t="n">
        <v>408</v>
      </c>
      <c r="L307" s="5" t="n">
        <v>0.29</v>
      </c>
      <c r="M307" s="5" t="n">
        <v>0.07000000000000001</v>
      </c>
      <c r="N307" s="5" t="inlineStr">
        <is>
          <t>yes</t>
        </is>
      </c>
    </row>
    <row r="308">
      <c r="A308" s="5" t="n">
        <v>307</v>
      </c>
      <c r="B308" s="5" t="inlineStr">
        <is>
          <t>LG-40x15</t>
        </is>
      </c>
      <c r="C308" s="5" t="inlineStr">
        <is>
          <t>grade_beam</t>
        </is>
      </c>
      <c r="D308" s="5" t="inlineStr">
        <is>
          <t>grade_beam</t>
        </is>
      </c>
      <c r="E308" s="5" t="n">
        <v>4629.2</v>
      </c>
      <c r="F308" s="5" t="n">
        <v>3462.5</v>
      </c>
      <c r="G308" s="5" t="n">
        <v>415</v>
      </c>
      <c r="H308" s="5" t="n">
        <v>4</v>
      </c>
      <c r="I308" s="5" t="inlineStr">
        <is>
          <t>grade_beam</t>
        </is>
      </c>
      <c r="J308" s="5" t="inlineStr">
        <is>
          <t>yes</t>
        </is>
      </c>
      <c r="K308" s="5" t="n">
        <v>415</v>
      </c>
      <c r="L308" s="5" t="n">
        <v>0.21</v>
      </c>
      <c r="M308" s="5" t="n">
        <v>0</v>
      </c>
      <c r="N308" s="5" t="inlineStr">
        <is>
          <t>yes</t>
        </is>
      </c>
    </row>
    <row r="309">
      <c r="A309" s="5" t="n">
        <v>308</v>
      </c>
      <c r="B309" s="5" t="inlineStr">
        <is>
          <t>LG-40x15</t>
        </is>
      </c>
      <c r="C309" s="5" t="inlineStr">
        <is>
          <t>grade_beam</t>
        </is>
      </c>
      <c r="D309" s="5" t="inlineStr">
        <is>
          <t>grade_beam</t>
        </is>
      </c>
      <c r="E309" s="5" t="n">
        <v>4942.7</v>
      </c>
      <c r="F309" s="5" t="n">
        <v>3325</v>
      </c>
      <c r="G309" s="5" t="n">
        <v>417</v>
      </c>
      <c r="H309" s="5" t="n">
        <v>4</v>
      </c>
      <c r="I309" s="5" t="inlineStr">
        <is>
          <t>grade_beam</t>
        </is>
      </c>
      <c r="J309" s="5" t="inlineStr">
        <is>
          <t>yes</t>
        </is>
      </c>
      <c r="K309" s="5" t="n">
        <v>417</v>
      </c>
      <c r="L309" s="5" t="n">
        <v>0.22</v>
      </c>
      <c r="M309" s="5" t="n">
        <v>0</v>
      </c>
      <c r="N309" s="5" t="inlineStr">
        <is>
          <t>yes</t>
        </is>
      </c>
    </row>
    <row r="310">
      <c r="A310" s="5" t="n">
        <v>309</v>
      </c>
      <c r="B310" s="5" t="inlineStr">
        <is>
          <t>LG-40x15</t>
        </is>
      </c>
      <c r="C310" s="5" t="inlineStr">
        <is>
          <t>grade_beam</t>
        </is>
      </c>
      <c r="D310" s="5" t="inlineStr">
        <is>
          <t>grade_beam</t>
        </is>
      </c>
      <c r="E310" s="5" t="n">
        <v>4951</v>
      </c>
      <c r="F310" s="5" t="n">
        <v>3149</v>
      </c>
      <c r="G310" s="5" t="n">
        <v>416</v>
      </c>
      <c r="H310" s="5" t="n">
        <v>4</v>
      </c>
      <c r="I310" s="5" t="inlineStr">
        <is>
          <t>grade_beam</t>
        </is>
      </c>
      <c r="J310" s="5" t="inlineStr">
        <is>
          <t>yes</t>
        </is>
      </c>
      <c r="K310" s="5" t="n">
        <v>416</v>
      </c>
      <c r="L310" s="5" t="n">
        <v>0.18</v>
      </c>
      <c r="M310" s="5" t="n">
        <v>0.18</v>
      </c>
      <c r="N310" s="5" t="inlineStr">
        <is>
          <t>yes</t>
        </is>
      </c>
    </row>
    <row r="311">
      <c r="A311" s="5" t="n">
        <v>310</v>
      </c>
      <c r="B311" s="5" t="inlineStr">
        <is>
          <t>LG-40x15</t>
        </is>
      </c>
      <c r="C311" s="5" t="inlineStr">
        <is>
          <t>grade_beam</t>
        </is>
      </c>
      <c r="D311" s="5" t="inlineStr">
        <is>
          <t>grade_beam</t>
        </is>
      </c>
      <c r="E311" s="5" t="n">
        <v>4890.6</v>
      </c>
      <c r="F311" s="5" t="n">
        <v>2989.6</v>
      </c>
      <c r="G311" s="5" t="n">
        <v>410</v>
      </c>
      <c r="H311" s="5" t="n">
        <v>4</v>
      </c>
      <c r="I311" s="5" t="inlineStr">
        <is>
          <t>grade_beam</t>
        </is>
      </c>
      <c r="J311" s="5" t="inlineStr">
        <is>
          <t>yes</t>
        </is>
      </c>
      <c r="K311" s="5" t="n">
        <v>410</v>
      </c>
      <c r="L311" s="5" t="n">
        <v>0.23</v>
      </c>
      <c r="M311" s="5" t="n">
        <v>0</v>
      </c>
      <c r="N311" s="5" t="inlineStr">
        <is>
          <t>yes</t>
        </is>
      </c>
    </row>
    <row r="312">
      <c r="A312" s="5" t="n">
        <v>311</v>
      </c>
      <c r="B312" s="5" t="inlineStr">
        <is>
          <t>LG-40x15</t>
        </is>
      </c>
      <c r="C312" s="5" t="inlineStr">
        <is>
          <t>grade_beam</t>
        </is>
      </c>
      <c r="D312" s="5" t="inlineStr">
        <is>
          <t>grade_beam</t>
        </is>
      </c>
      <c r="E312" s="5" t="n">
        <v>4244.8</v>
      </c>
      <c r="F312" s="5" t="n">
        <v>2707.3</v>
      </c>
      <c r="G312" s="5" t="n">
        <v>293</v>
      </c>
      <c r="H312" s="5" t="n">
        <v>4</v>
      </c>
      <c r="I312" s="5" t="inlineStr">
        <is>
          <t>grade_beam</t>
        </is>
      </c>
      <c r="J312" s="5" t="inlineStr">
        <is>
          <t>yes</t>
        </is>
      </c>
      <c r="K312" s="5" t="n">
        <v>293</v>
      </c>
      <c r="L312" s="5" t="n">
        <v>0.22</v>
      </c>
      <c r="M312" s="5" t="n">
        <v>0</v>
      </c>
      <c r="N312" s="5" t="inlineStr">
        <is>
          <t>yes</t>
        </is>
      </c>
    </row>
    <row r="313">
      <c r="A313" s="5" t="n">
        <v>312</v>
      </c>
      <c r="B313" s="5" t="inlineStr">
        <is>
          <t>LG-40x15</t>
        </is>
      </c>
      <c r="C313" s="5" t="inlineStr">
        <is>
          <t>grade_beam</t>
        </is>
      </c>
      <c r="D313" s="5" t="inlineStr">
        <is>
          <t>grade_beam</t>
        </is>
      </c>
      <c r="E313" s="5" t="n">
        <v>4442.7</v>
      </c>
      <c r="F313" s="5" t="n">
        <v>2708.3</v>
      </c>
      <c r="G313" s="5" t="n">
        <v>293</v>
      </c>
      <c r="H313" s="5" t="n">
        <v>4</v>
      </c>
      <c r="I313" s="5" t="inlineStr">
        <is>
          <t>grade_beam</t>
        </is>
      </c>
      <c r="J313" s="5" t="inlineStr">
        <is>
          <t>yes</t>
        </is>
      </c>
      <c r="K313" s="5" t="n">
        <v>293</v>
      </c>
      <c r="L313" s="5" t="n">
        <v>0.19</v>
      </c>
      <c r="M313" s="5" t="n">
        <v>0</v>
      </c>
      <c r="N313" s="5" t="inlineStr">
        <is>
          <t>yes</t>
        </is>
      </c>
    </row>
    <row r="314">
      <c r="A314" s="5" t="n">
        <v>313</v>
      </c>
      <c r="B314" s="5" t="inlineStr">
        <is>
          <t>LG-40x15</t>
        </is>
      </c>
      <c r="C314" s="5" t="inlineStr">
        <is>
          <t>grade_beam</t>
        </is>
      </c>
      <c r="D314" s="5" t="inlineStr">
        <is>
          <t>grade_beam</t>
        </is>
      </c>
      <c r="E314" s="5" t="n">
        <v>4558.3</v>
      </c>
      <c r="F314" s="5" t="n">
        <v>2786.5</v>
      </c>
      <c r="G314" s="5" t="n">
        <v>362</v>
      </c>
      <c r="H314" s="5" t="n">
        <v>9</v>
      </c>
      <c r="I314" s="5" t="inlineStr">
        <is>
          <t>unnamed</t>
        </is>
      </c>
      <c r="J314" s="5" t="inlineStr">
        <is>
          <t>unnamed</t>
        </is>
      </c>
      <c r="K314" s="5" t="n">
        <v>284</v>
      </c>
      <c r="L314" s="5" t="n">
        <v>0.15</v>
      </c>
      <c r="M314" s="5" t="n">
        <v>0.02</v>
      </c>
      <c r="N314" s="5" t="inlineStr">
        <is>
          <t>yes</t>
        </is>
      </c>
    </row>
    <row r="315">
      <c r="A315" s="5" t="n">
        <v>314</v>
      </c>
      <c r="B315" s="5" t="inlineStr">
        <is>
          <t>LG-40x15</t>
        </is>
      </c>
      <c r="C315" s="5" t="inlineStr">
        <is>
          <t>grade_beam</t>
        </is>
      </c>
      <c r="D315" s="5" t="inlineStr">
        <is>
          <t>grade_beam</t>
        </is>
      </c>
      <c r="E315" s="5" t="n">
        <v>4402.1</v>
      </c>
      <c r="F315" s="5" t="n">
        <v>3306.3</v>
      </c>
      <c r="G315" s="5" t="n">
        <v>409</v>
      </c>
      <c r="H315" s="5" t="n">
        <v>4</v>
      </c>
      <c r="I315" s="5" t="inlineStr">
        <is>
          <t>grade_beam</t>
        </is>
      </c>
      <c r="J315" s="5" t="inlineStr">
        <is>
          <t>yes</t>
        </is>
      </c>
      <c r="K315" s="5" t="n">
        <v>409</v>
      </c>
      <c r="L315" s="5" t="n">
        <v>0.23</v>
      </c>
      <c r="M315" s="5" t="n">
        <v>0</v>
      </c>
      <c r="N315" s="5" t="inlineStr">
        <is>
          <t>yes</t>
        </is>
      </c>
    </row>
    <row r="316">
      <c r="A316" s="5" t="n">
        <v>315</v>
      </c>
      <c r="B316" s="5" t="inlineStr">
        <is>
          <t>LG-40x15</t>
        </is>
      </c>
      <c r="C316" s="5" t="inlineStr">
        <is>
          <t>grade_beam</t>
        </is>
      </c>
      <c r="D316" s="5" t="inlineStr">
        <is>
          <t>grade_beam</t>
        </is>
      </c>
      <c r="E316" s="5" t="n">
        <v>4274</v>
      </c>
      <c r="F316" s="5" t="n">
        <v>2882.3</v>
      </c>
      <c r="G316" s="5" t="n">
        <v>304</v>
      </c>
      <c r="H316" s="5" t="n">
        <v>4</v>
      </c>
      <c r="I316" s="5" t="inlineStr">
        <is>
          <t>grade_beam</t>
        </is>
      </c>
      <c r="J316" s="5" t="inlineStr">
        <is>
          <t>yes</t>
        </is>
      </c>
      <c r="K316" s="5" t="n">
        <v>304</v>
      </c>
      <c r="L316" s="5" t="n">
        <v>0.17</v>
      </c>
      <c r="M316" s="5" t="n">
        <v>0.08</v>
      </c>
      <c r="N316" s="5" t="inlineStr">
        <is>
          <t>yes</t>
        </is>
      </c>
    </row>
    <row r="317">
      <c r="A317" s="5" t="n">
        <v>316</v>
      </c>
      <c r="B317" s="5" t="inlineStr">
        <is>
          <t>LG-40x15</t>
        </is>
      </c>
      <c r="C317" s="5" t="inlineStr">
        <is>
          <t>grade_beam</t>
        </is>
      </c>
      <c r="D317" s="5" t="inlineStr">
        <is>
          <t>grade_beam</t>
        </is>
      </c>
      <c r="E317" s="5" t="n">
        <v>4683.3</v>
      </c>
      <c r="F317" s="5" t="n">
        <v>2483.3</v>
      </c>
      <c r="G317" s="5" t="n">
        <v>291</v>
      </c>
      <c r="H317" s="5" t="n">
        <v>4</v>
      </c>
      <c r="I317" s="5" t="inlineStr">
        <is>
          <t>grade_beam</t>
        </is>
      </c>
      <c r="J317" s="5" t="inlineStr">
        <is>
          <t>yes</t>
        </is>
      </c>
      <c r="K317" s="5" t="n">
        <v>291</v>
      </c>
      <c r="L317" s="5" t="n">
        <v>0.33</v>
      </c>
      <c r="M317" s="5" t="n">
        <v>0</v>
      </c>
      <c r="N317" s="5" t="inlineStr">
        <is>
          <t>yes</t>
        </is>
      </c>
    </row>
    <row r="318">
      <c r="A318" s="5" t="n">
        <v>317</v>
      </c>
      <c r="B318" s="5" t="inlineStr">
        <is>
          <t>LG-40x15</t>
        </is>
      </c>
      <c r="C318" s="5" t="inlineStr">
        <is>
          <t>grade_beam</t>
        </is>
      </c>
      <c r="D318" s="5" t="inlineStr">
        <is>
          <t>grade_beam</t>
        </is>
      </c>
      <c r="E318" s="5" t="n">
        <v>4783.3</v>
      </c>
      <c r="F318" s="5" t="n">
        <v>2886.5</v>
      </c>
      <c r="G318" s="5" t="n">
        <v>294</v>
      </c>
      <c r="H318" s="5" t="n">
        <v>4</v>
      </c>
      <c r="I318" s="5" t="inlineStr">
        <is>
          <t>grade_beam</t>
        </is>
      </c>
      <c r="J318" s="5" t="inlineStr">
        <is>
          <t>yes</t>
        </is>
      </c>
      <c r="K318" s="5" t="n">
        <v>294</v>
      </c>
      <c r="L318" s="5" t="n">
        <v>0.16</v>
      </c>
      <c r="M318" s="5" t="n">
        <v>0</v>
      </c>
      <c r="N318" s="5" t="inlineStr">
        <is>
          <t>yes</t>
        </is>
      </c>
    </row>
    <row r="319">
      <c r="A319" s="5" t="n">
        <v>318</v>
      </c>
      <c r="B319" s="5" t="inlineStr">
        <is>
          <t>LG-40x15</t>
        </is>
      </c>
      <c r="C319" s="5" t="inlineStr">
        <is>
          <t>grade_beam</t>
        </is>
      </c>
      <c r="D319" s="5" t="inlineStr">
        <is>
          <t>grade_beam</t>
        </is>
      </c>
      <c r="E319" s="5" t="n">
        <v>3908.3</v>
      </c>
      <c r="F319" s="5" t="n">
        <v>3083.3</v>
      </c>
      <c r="G319" s="5" t="n">
        <v>292</v>
      </c>
      <c r="H319" s="5" t="n">
        <v>4</v>
      </c>
      <c r="I319" s="5" t="inlineStr">
        <is>
          <t>grade_beam</t>
        </is>
      </c>
      <c r="J319" s="5" t="inlineStr">
        <is>
          <t>yes</t>
        </is>
      </c>
      <c r="K319" s="5" t="n">
        <v>292</v>
      </c>
      <c r="L319" s="5" t="n">
        <v>0.2</v>
      </c>
      <c r="M319" s="5" t="n">
        <v>0.22</v>
      </c>
      <c r="N319" s="5" t="inlineStr">
        <is>
          <t>yes</t>
        </is>
      </c>
    </row>
    <row r="320">
      <c r="A320" s="5" t="n">
        <v>319</v>
      </c>
      <c r="B320" s="5" t="inlineStr">
        <is>
          <t>LG-40x15</t>
        </is>
      </c>
      <c r="C320" s="5" t="inlineStr">
        <is>
          <t>grade_beam</t>
        </is>
      </c>
      <c r="D320" s="5" t="inlineStr">
        <is>
          <t>grade_beam</t>
        </is>
      </c>
      <c r="E320" s="5" t="n">
        <v>3762.5</v>
      </c>
      <c r="F320" s="5" t="n">
        <v>2905.2</v>
      </c>
      <c r="G320" s="5" t="n">
        <v>300</v>
      </c>
      <c r="H320" s="5" t="n">
        <v>4</v>
      </c>
      <c r="I320" s="5" t="inlineStr">
        <is>
          <t>grade_beam</t>
        </is>
      </c>
      <c r="J320" s="5" t="inlineStr">
        <is>
          <t>yes</t>
        </is>
      </c>
      <c r="K320" s="5" t="n">
        <v>300</v>
      </c>
      <c r="L320" s="5" t="n">
        <v>0.19</v>
      </c>
      <c r="M320" s="5" t="n">
        <v>0.01</v>
      </c>
      <c r="N320" s="5" t="inlineStr">
        <is>
          <t>yes</t>
        </is>
      </c>
    </row>
    <row r="321">
      <c r="A321" s="5" t="n">
        <v>320</v>
      </c>
      <c r="B321" s="5" t="inlineStr">
        <is>
          <t>LG-40x15</t>
        </is>
      </c>
      <c r="C321" s="5" t="inlineStr">
        <is>
          <t>grade_beam</t>
        </is>
      </c>
      <c r="D321" s="5" t="inlineStr">
        <is>
          <t>grade_beam</t>
        </is>
      </c>
      <c r="E321" s="5" t="n">
        <v>3719.8</v>
      </c>
      <c r="F321" s="5" t="n">
        <v>3107.3</v>
      </c>
      <c r="G321" s="5" t="n">
        <v>483</v>
      </c>
      <c r="H321" s="5" t="n">
        <v>4</v>
      </c>
      <c r="I321" s="5" t="inlineStr">
        <is>
          <t>grade_beam</t>
        </is>
      </c>
      <c r="J321" s="5" t="inlineStr">
        <is>
          <t>yes</t>
        </is>
      </c>
      <c r="K321" s="5" t="n">
        <v>483</v>
      </c>
      <c r="L321" s="5" t="n">
        <v>0.19</v>
      </c>
      <c r="M321" s="5" t="n">
        <v>0</v>
      </c>
      <c r="N321" s="5" t="inlineStr">
        <is>
          <t>yes</t>
        </is>
      </c>
    </row>
    <row r="322">
      <c r="A322" s="5" t="n">
        <v>321</v>
      </c>
      <c r="B322" s="5" t="inlineStr">
        <is>
          <t>LG-40x15</t>
        </is>
      </c>
      <c r="C322" s="5" t="inlineStr">
        <is>
          <t>grade_beam</t>
        </is>
      </c>
      <c r="D322" s="5" t="inlineStr">
        <is>
          <t>grade_beam</t>
        </is>
      </c>
      <c r="E322" s="5" t="n">
        <v>3795.8</v>
      </c>
      <c r="F322" s="5" t="n">
        <v>3522.9</v>
      </c>
      <c r="G322" s="5" t="n">
        <v>483</v>
      </c>
      <c r="H322" s="5" t="n">
        <v>4</v>
      </c>
      <c r="I322" s="5" t="inlineStr">
        <is>
          <t>grade_beam</t>
        </is>
      </c>
      <c r="J322" s="5" t="inlineStr">
        <is>
          <t>yes</t>
        </is>
      </c>
      <c r="K322" s="5" t="n">
        <v>483</v>
      </c>
      <c r="L322" s="5" t="n">
        <v>0.27</v>
      </c>
      <c r="M322" s="5" t="n">
        <v>0.18</v>
      </c>
      <c r="N322" s="5" t="inlineStr">
        <is>
          <t>yes</t>
        </is>
      </c>
    </row>
    <row r="323">
      <c r="A323" s="5" t="n">
        <v>322</v>
      </c>
      <c r="B323" s="5" t="inlineStr">
        <is>
          <t>LG-40x15</t>
        </is>
      </c>
      <c r="C323" s="5" t="inlineStr">
        <is>
          <t>grade_beam</t>
        </is>
      </c>
      <c r="D323" s="5" t="inlineStr">
        <is>
          <t>grade_beam</t>
        </is>
      </c>
      <c r="E323" s="5" t="n">
        <v>3987.5</v>
      </c>
      <c r="F323" s="5" t="n">
        <v>2867.7</v>
      </c>
      <c r="G323" s="5" t="n">
        <v>303</v>
      </c>
      <c r="H323" s="5" t="n">
        <v>4</v>
      </c>
      <c r="I323" s="5" t="inlineStr">
        <is>
          <t>grade_beam</t>
        </is>
      </c>
      <c r="J323" s="5" t="inlineStr">
        <is>
          <t>yes</t>
        </is>
      </c>
      <c r="K323" s="5" t="n">
        <v>303</v>
      </c>
      <c r="L323" s="5" t="n">
        <v>0.2</v>
      </c>
      <c r="M323" s="5" t="n">
        <v>0.06</v>
      </c>
      <c r="N323" s="5" t="inlineStr">
        <is>
          <t>yes</t>
        </is>
      </c>
    </row>
    <row r="324">
      <c r="A324" s="5" t="n">
        <v>323</v>
      </c>
      <c r="B324" s="5" t="inlineStr">
        <is>
          <t>LG-40x15</t>
        </is>
      </c>
      <c r="C324" s="5" t="inlineStr">
        <is>
          <t>grade_beam</t>
        </is>
      </c>
      <c r="D324" s="5" t="inlineStr">
        <is>
          <t>grade_beam</t>
        </is>
      </c>
      <c r="E324" s="5" t="n">
        <v>3955.2</v>
      </c>
      <c r="F324" s="5" t="n">
        <v>3590.6</v>
      </c>
      <c r="G324" s="5" t="n">
        <v>484</v>
      </c>
      <c r="H324" s="5" t="n">
        <v>4</v>
      </c>
      <c r="I324" s="5" t="inlineStr">
        <is>
          <t>grade_beam</t>
        </is>
      </c>
      <c r="J324" s="5" t="inlineStr">
        <is>
          <t>yes</t>
        </is>
      </c>
      <c r="K324" s="5" t="n">
        <v>484</v>
      </c>
      <c r="L324" s="5" t="n">
        <v>0.19</v>
      </c>
      <c r="M324" s="5" t="n">
        <v>0</v>
      </c>
      <c r="N324" s="5" t="inlineStr">
        <is>
          <t>yes</t>
        </is>
      </c>
    </row>
    <row r="325">
      <c r="A325" s="5" t="n">
        <v>324</v>
      </c>
      <c r="B325" s="5" t="inlineStr">
        <is>
          <t>LG-40x15</t>
        </is>
      </c>
      <c r="C325" s="5" t="inlineStr">
        <is>
          <t>grade_beam</t>
        </is>
      </c>
      <c r="D325" s="5" t="inlineStr">
        <is>
          <t>grade_beam</t>
        </is>
      </c>
      <c r="E325" s="5" t="n">
        <v>3900</v>
      </c>
      <c r="F325" s="5" t="n">
        <v>3341.7</v>
      </c>
      <c r="G325" s="5" t="n">
        <v>487</v>
      </c>
      <c r="H325" s="5" t="n">
        <v>4</v>
      </c>
      <c r="I325" s="5" t="inlineStr">
        <is>
          <t>grade_beam</t>
        </is>
      </c>
      <c r="J325" s="5" t="inlineStr">
        <is>
          <t>yes</t>
        </is>
      </c>
      <c r="K325" s="5" t="n">
        <v>487</v>
      </c>
      <c r="L325" s="5" t="n">
        <v>0.18</v>
      </c>
      <c r="M325" s="5" t="n">
        <v>0.06</v>
      </c>
      <c r="N325" s="5" t="inlineStr">
        <is>
          <t>yes</t>
        </is>
      </c>
    </row>
    <row r="326">
      <c r="A326" s="5" t="n">
        <v>325</v>
      </c>
      <c r="B326" s="5" t="inlineStr">
        <is>
          <t>LG-40x15</t>
        </is>
      </c>
      <c r="C326" s="5" t="inlineStr">
        <is>
          <t>grade_beam</t>
        </is>
      </c>
      <c r="D326" s="5" t="inlineStr">
        <is>
          <t>grade_beam</t>
        </is>
      </c>
      <c r="E326" s="5" t="n">
        <v>3849</v>
      </c>
      <c r="F326" s="5" t="n">
        <v>3185.4</v>
      </c>
      <c r="G326" s="5" t="n">
        <v>485</v>
      </c>
      <c r="H326" s="5" t="n">
        <v>4</v>
      </c>
      <c r="I326" s="5" t="inlineStr">
        <is>
          <t>grade_beam</t>
        </is>
      </c>
      <c r="J326" s="5" t="inlineStr">
        <is>
          <t>yes</t>
        </is>
      </c>
      <c r="K326" s="5" t="n">
        <v>485</v>
      </c>
      <c r="L326" s="5" t="n">
        <v>0.14</v>
      </c>
      <c r="M326" s="5" t="n">
        <v>0</v>
      </c>
      <c r="N326" s="5" t="inlineStr">
        <is>
          <t>yes</t>
        </is>
      </c>
    </row>
    <row r="327">
      <c r="A327" s="5" t="n">
        <v>326</v>
      </c>
      <c r="B327" s="5" t="inlineStr">
        <is>
          <t>LG-40x15</t>
        </is>
      </c>
      <c r="C327" s="5" t="inlineStr">
        <is>
          <t>grade_beam</t>
        </is>
      </c>
      <c r="D327" s="5" t="inlineStr">
        <is>
          <t>grade_beam</t>
        </is>
      </c>
      <c r="E327" s="5" t="n">
        <v>4171.9</v>
      </c>
      <c r="F327" s="5" t="n">
        <v>3177.1</v>
      </c>
      <c r="G327" s="5" t="n">
        <v>486</v>
      </c>
      <c r="H327" s="5" t="n">
        <v>4</v>
      </c>
      <c r="I327" s="5" t="inlineStr">
        <is>
          <t>grade_beam</t>
        </is>
      </c>
      <c r="J327" s="5" t="inlineStr">
        <is>
          <t>yes</t>
        </is>
      </c>
      <c r="K327" s="5" t="n">
        <v>486</v>
      </c>
      <c r="L327" s="5" t="n">
        <v>0.15</v>
      </c>
      <c r="M327" s="5" t="n">
        <v>0.12</v>
      </c>
      <c r="N327" s="5" t="inlineStr">
        <is>
          <t>yes</t>
        </is>
      </c>
    </row>
    <row r="328">
      <c r="A328" s="5" t="n">
        <v>327</v>
      </c>
      <c r="B328" s="5" t="inlineStr">
        <is>
          <t>LG-40x15</t>
        </is>
      </c>
      <c r="C328" s="5" t="inlineStr">
        <is>
          <t>grade_beam</t>
        </is>
      </c>
      <c r="D328" s="5" t="inlineStr">
        <is>
          <t>grade_beam</t>
        </is>
      </c>
      <c r="E328" s="5" t="n">
        <v>3882.3</v>
      </c>
      <c r="F328" s="5" t="n">
        <v>2939.6</v>
      </c>
      <c r="G328" s="5" t="n">
        <v>313</v>
      </c>
      <c r="H328" s="5" t="n">
        <v>24</v>
      </c>
      <c r="I328" s="5" t="inlineStr">
        <is>
          <t>unnamed</t>
        </is>
      </c>
      <c r="J328" s="5" t="inlineStr">
        <is>
          <t>unnamed</t>
        </is>
      </c>
      <c r="K328" s="5" t="n">
        <v>289</v>
      </c>
      <c r="L328" s="5" t="n">
        <v>0.19</v>
      </c>
      <c r="M328" s="5" t="n">
        <v>0.17</v>
      </c>
      <c r="N328" s="5" t="inlineStr">
        <is>
          <t>yes</t>
        </is>
      </c>
    </row>
    <row r="329">
      <c r="A329" s="5" t="n">
        <v>328</v>
      </c>
      <c r="B329" s="5" t="inlineStr">
        <is>
          <t>LG-40x15</t>
        </is>
      </c>
      <c r="C329" s="5" t="inlineStr">
        <is>
          <t>grade_beam</t>
        </is>
      </c>
      <c r="D329" s="5" t="inlineStr">
        <is>
          <t>grade_beam</t>
        </is>
      </c>
      <c r="E329" s="5" t="n">
        <v>4120.8</v>
      </c>
      <c r="F329" s="5" t="n">
        <v>2895.8</v>
      </c>
      <c r="G329" s="5" t="n">
        <v>289</v>
      </c>
      <c r="H329" s="5" t="n">
        <v>4</v>
      </c>
      <c r="I329" s="5" t="inlineStr">
        <is>
          <t>grade_beam</t>
        </is>
      </c>
      <c r="J329" s="5" t="inlineStr">
        <is>
          <t>yes</t>
        </is>
      </c>
      <c r="K329" s="5" t="n">
        <v>289</v>
      </c>
      <c r="L329" s="5" t="n">
        <v>0.15</v>
      </c>
      <c r="M329" s="5" t="n">
        <v>0.08</v>
      </c>
      <c r="N329" s="5" t="inlineStr">
        <is>
          <t>yes</t>
        </is>
      </c>
    </row>
    <row r="330">
      <c r="A330" s="5" t="n">
        <v>329</v>
      </c>
      <c r="B330" s="5" t="inlineStr">
        <is>
          <t>LG-40x15</t>
        </is>
      </c>
      <c r="C330" s="5" t="inlineStr">
        <is>
          <t>grade_beam</t>
        </is>
      </c>
      <c r="D330" s="5" t="inlineStr">
        <is>
          <t>grade_beam</t>
        </is>
      </c>
      <c r="E330" s="5" t="n">
        <v>3660.4</v>
      </c>
      <c r="F330" s="5" t="n">
        <v>2970.8</v>
      </c>
      <c r="G330" s="5" t="n">
        <v>296</v>
      </c>
      <c r="H330" s="5" t="n">
        <v>4</v>
      </c>
      <c r="I330" s="5" t="inlineStr">
        <is>
          <t>grade_beam</t>
        </is>
      </c>
      <c r="J330" s="5" t="inlineStr">
        <is>
          <t>yes</t>
        </is>
      </c>
      <c r="K330" s="5" t="n">
        <v>296</v>
      </c>
      <c r="L330" s="5" t="n">
        <v>0.11</v>
      </c>
      <c r="M330" s="5" t="n">
        <v>0</v>
      </c>
      <c r="N330" s="5" t="inlineStr">
        <is>
          <t>yes</t>
        </is>
      </c>
    </row>
    <row r="331">
      <c r="A331" s="5" t="n">
        <v>330</v>
      </c>
      <c r="B331" s="5" t="inlineStr">
        <is>
          <t>LG-40x15</t>
        </is>
      </c>
      <c r="C331" s="5" t="inlineStr">
        <is>
          <t>grade_beam</t>
        </is>
      </c>
      <c r="D331" s="5" t="inlineStr">
        <is>
          <t>grade_beam</t>
        </is>
      </c>
      <c r="E331" s="5" t="n">
        <v>3681.3</v>
      </c>
      <c r="F331" s="5" t="n">
        <v>3215.6</v>
      </c>
      <c r="G331" s="5" t="n">
        <v>485</v>
      </c>
      <c r="H331" s="5" t="n">
        <v>4</v>
      </c>
      <c r="I331" s="5" t="inlineStr">
        <is>
          <t>grade_beam</t>
        </is>
      </c>
      <c r="J331" s="5" t="inlineStr">
        <is>
          <t>yes</t>
        </is>
      </c>
      <c r="K331" s="5" t="n">
        <v>485</v>
      </c>
      <c r="L331" s="5" t="n">
        <v>0.18</v>
      </c>
      <c r="M331" s="5" t="n">
        <v>0</v>
      </c>
      <c r="N331" s="5" t="inlineStr">
        <is>
          <t>yes</t>
        </is>
      </c>
    </row>
    <row r="332">
      <c r="A332" s="5" t="n">
        <v>331</v>
      </c>
      <c r="B332" s="5" t="inlineStr">
        <is>
          <t>LG-40x15</t>
        </is>
      </c>
      <c r="C332" s="5" t="inlineStr">
        <is>
          <t>grade_beam</t>
        </is>
      </c>
      <c r="D332" s="5" t="inlineStr">
        <is>
          <t>grade_beam</t>
        </is>
      </c>
      <c r="E332" s="5" t="n">
        <v>3705.2</v>
      </c>
      <c r="F332" s="5" t="n">
        <v>3437.5</v>
      </c>
      <c r="G332" s="5" t="n">
        <v>488</v>
      </c>
      <c r="H332" s="5" t="n">
        <v>4</v>
      </c>
      <c r="I332" s="5" t="inlineStr">
        <is>
          <t>grade_beam</t>
        </is>
      </c>
      <c r="J332" s="5" t="inlineStr">
        <is>
          <t>yes</t>
        </is>
      </c>
      <c r="K332" s="5" t="n">
        <v>488</v>
      </c>
      <c r="L332" s="5" t="n">
        <v>0.13</v>
      </c>
      <c r="M332" s="5" t="n">
        <v>0</v>
      </c>
      <c r="N332" s="5" t="inlineStr">
        <is>
          <t>yes</t>
        </is>
      </c>
    </row>
    <row r="333">
      <c r="A333" s="5" t="n">
        <v>332</v>
      </c>
      <c r="B333" s="5" t="inlineStr">
        <is>
          <t>LG-40x15</t>
        </is>
      </c>
      <c r="C333" s="5" t="inlineStr">
        <is>
          <t>grade_beam</t>
        </is>
      </c>
      <c r="D333" s="5" t="inlineStr">
        <is>
          <t>grade_beam</t>
        </is>
      </c>
      <c r="E333" s="5" t="n">
        <v>3761.5</v>
      </c>
      <c r="F333" s="5" t="n">
        <v>3627.1</v>
      </c>
      <c r="G333" s="5" t="n">
        <v>484</v>
      </c>
      <c r="H333" s="5" t="n">
        <v>4</v>
      </c>
      <c r="I333" s="5" t="inlineStr">
        <is>
          <t>grade_beam</t>
        </is>
      </c>
      <c r="J333" s="5" t="inlineStr">
        <is>
          <t>yes</t>
        </is>
      </c>
      <c r="K333" s="5" t="n">
        <v>484</v>
      </c>
      <c r="L333" s="5" t="n">
        <v>0.18</v>
      </c>
      <c r="M333" s="5" t="n">
        <v>0</v>
      </c>
      <c r="N333" s="5" t="inlineStr">
        <is>
          <t>yes</t>
        </is>
      </c>
    </row>
    <row r="334">
      <c r="A334" s="5" t="n">
        <v>333</v>
      </c>
      <c r="B334" s="5" t="inlineStr">
        <is>
          <t>LG-40x15</t>
        </is>
      </c>
      <c r="C334" s="5" t="inlineStr">
        <is>
          <t>grade_beam</t>
        </is>
      </c>
      <c r="D334" s="5" t="inlineStr">
        <is>
          <t>grade_beam</t>
        </is>
      </c>
      <c r="E334" s="5" t="n">
        <v>2892.7</v>
      </c>
      <c r="F334" s="5" t="n">
        <v>3141.7</v>
      </c>
      <c r="G334" s="5" t="n">
        <v>632</v>
      </c>
      <c r="H334" s="5" t="n">
        <v>4</v>
      </c>
      <c r="I334" s="5" t="inlineStr">
        <is>
          <t>grade_beam</t>
        </is>
      </c>
      <c r="J334" s="5" t="inlineStr">
        <is>
          <t>yes</t>
        </is>
      </c>
      <c r="K334" s="5" t="n">
        <v>632</v>
      </c>
      <c r="L334" s="5" t="n">
        <v>0.21</v>
      </c>
      <c r="M334" s="5" t="n">
        <v>0</v>
      </c>
      <c r="N334" s="5" t="inlineStr">
        <is>
          <t>yes</t>
        </is>
      </c>
    </row>
    <row r="335">
      <c r="A335" s="5" t="n">
        <v>334</v>
      </c>
      <c r="B335" s="5" t="inlineStr">
        <is>
          <t>LG-40x15</t>
        </is>
      </c>
      <c r="C335" s="5" t="inlineStr">
        <is>
          <t>grade_beam</t>
        </is>
      </c>
      <c r="D335" s="5" t="inlineStr">
        <is>
          <t>grade_beam</t>
        </is>
      </c>
      <c r="E335" s="5" t="n">
        <v>2738.5</v>
      </c>
      <c r="F335" s="5" t="n">
        <v>2928.1</v>
      </c>
      <c r="G335" s="5" t="n">
        <v>633</v>
      </c>
      <c r="H335" s="5" t="n">
        <v>4</v>
      </c>
      <c r="I335" s="5" t="inlineStr">
        <is>
          <t>grade_beam</t>
        </is>
      </c>
      <c r="J335" s="5" t="inlineStr">
        <is>
          <t>yes</t>
        </is>
      </c>
      <c r="K335" s="5" t="n">
        <v>633</v>
      </c>
      <c r="L335" s="5" t="n">
        <v>0.17</v>
      </c>
      <c r="M335" s="5" t="n">
        <v>0</v>
      </c>
      <c r="N335" s="5" t="inlineStr">
        <is>
          <t>yes</t>
        </is>
      </c>
    </row>
    <row r="336">
      <c r="A336" s="5" t="n">
        <v>335</v>
      </c>
      <c r="B336" s="5" t="inlineStr">
        <is>
          <t>LG-40x15</t>
        </is>
      </c>
      <c r="C336" s="5" t="inlineStr">
        <is>
          <t>grade_beam</t>
        </is>
      </c>
      <c r="D336" s="5" t="inlineStr">
        <is>
          <t>grade_beam</t>
        </is>
      </c>
      <c r="E336" s="5" t="n">
        <v>2767.7</v>
      </c>
      <c r="F336" s="5" t="n">
        <v>3219.8</v>
      </c>
      <c r="G336" s="5" t="n">
        <v>629</v>
      </c>
      <c r="H336" s="5" t="n">
        <v>4</v>
      </c>
      <c r="I336" s="5" t="inlineStr">
        <is>
          <t>grade_beam</t>
        </is>
      </c>
      <c r="J336" s="5" t="inlineStr">
        <is>
          <t>yes</t>
        </is>
      </c>
      <c r="K336" s="5" t="n">
        <v>629</v>
      </c>
      <c r="L336" s="5" t="n">
        <v>0.08</v>
      </c>
      <c r="M336" s="5" t="n">
        <v>0</v>
      </c>
      <c r="N336" s="5" t="inlineStr">
        <is>
          <t>yes</t>
        </is>
      </c>
    </row>
    <row r="337">
      <c r="A337" s="5" t="n">
        <v>336</v>
      </c>
      <c r="B337" s="5" t="inlineStr">
        <is>
          <t>LG-40x15</t>
        </is>
      </c>
      <c r="C337" s="5" t="inlineStr">
        <is>
          <t>grade_beam</t>
        </is>
      </c>
      <c r="D337" s="5" t="inlineStr">
        <is>
          <t>grade_beam</t>
        </is>
      </c>
      <c r="E337" s="5" t="n">
        <v>3175</v>
      </c>
      <c r="F337" s="5" t="n">
        <v>3192.7</v>
      </c>
      <c r="G337" s="5" t="n">
        <v>563</v>
      </c>
      <c r="H337" s="5" t="n">
        <v>4</v>
      </c>
      <c r="I337" s="5" t="inlineStr">
        <is>
          <t>grade_beam</t>
        </is>
      </c>
      <c r="J337" s="5" t="inlineStr">
        <is>
          <t>yes</t>
        </is>
      </c>
      <c r="K337" s="5" t="n">
        <v>563</v>
      </c>
      <c r="L337" s="5" t="n">
        <v>0.23</v>
      </c>
      <c r="M337" s="5" t="n">
        <v>0.02</v>
      </c>
      <c r="N337" s="5" t="inlineStr">
        <is>
          <t>yes</t>
        </is>
      </c>
    </row>
    <row r="338">
      <c r="A338" s="5" t="n">
        <v>337</v>
      </c>
      <c r="B338" s="5" t="inlineStr">
        <is>
          <t>LG-40x15</t>
        </is>
      </c>
      <c r="C338" s="5" t="inlineStr">
        <is>
          <t>grade_beam</t>
        </is>
      </c>
      <c r="D338" s="5" t="inlineStr">
        <is>
          <t>grade_beam</t>
        </is>
      </c>
      <c r="E338" s="5" t="n">
        <v>3381.3</v>
      </c>
      <c r="F338" s="5" t="n">
        <v>3174</v>
      </c>
      <c r="G338" s="5" t="n">
        <v>561</v>
      </c>
      <c r="H338" s="5" t="n">
        <v>4</v>
      </c>
      <c r="I338" s="5" t="inlineStr">
        <is>
          <t>grade_beam</t>
        </is>
      </c>
      <c r="J338" s="5" t="inlineStr">
        <is>
          <t>yes</t>
        </is>
      </c>
      <c r="K338" s="5" t="n">
        <v>561</v>
      </c>
      <c r="L338" s="5" t="n">
        <v>0.22</v>
      </c>
      <c r="M338" s="5" t="n">
        <v>0</v>
      </c>
      <c r="N338" s="5" t="inlineStr">
        <is>
          <t>yes</t>
        </is>
      </c>
    </row>
    <row r="339">
      <c r="A339" s="5" t="n">
        <v>338</v>
      </c>
      <c r="B339" s="5" t="inlineStr">
        <is>
          <t>LG-40x15</t>
        </is>
      </c>
      <c r="C339" s="5" t="inlineStr">
        <is>
          <t>grade_beam</t>
        </is>
      </c>
      <c r="D339" s="5" t="inlineStr">
        <is>
          <t>grade_beam</t>
        </is>
      </c>
      <c r="E339" s="5" t="n">
        <v>2929.2</v>
      </c>
      <c r="F339" s="5" t="n">
        <v>3025</v>
      </c>
      <c r="G339" s="5" t="n">
        <v>631</v>
      </c>
      <c r="H339" s="5" t="n">
        <v>4</v>
      </c>
      <c r="I339" s="5" t="inlineStr">
        <is>
          <t>grade_beam</t>
        </is>
      </c>
      <c r="J339" s="5" t="inlineStr">
        <is>
          <t>yes</t>
        </is>
      </c>
      <c r="K339" s="5" t="n">
        <v>631</v>
      </c>
      <c r="L339" s="5" t="n">
        <v>0.21</v>
      </c>
      <c r="M339" s="5" t="n">
        <v>0.02</v>
      </c>
      <c r="N339" s="5" t="inlineStr">
        <is>
          <t>yes</t>
        </is>
      </c>
    </row>
    <row r="340">
      <c r="A340" s="5" t="n">
        <v>339</v>
      </c>
      <c r="B340" s="5" t="inlineStr">
        <is>
          <t>LG-40x15</t>
        </is>
      </c>
      <c r="C340" s="5" t="inlineStr">
        <is>
          <t>grade_beam</t>
        </is>
      </c>
      <c r="D340" s="5" t="inlineStr">
        <is>
          <t>grade_beam</t>
        </is>
      </c>
      <c r="E340" s="5" t="n">
        <v>3180.2</v>
      </c>
      <c r="F340" s="5" t="n">
        <v>3051</v>
      </c>
      <c r="G340" s="5" t="n">
        <v>562</v>
      </c>
      <c r="H340" s="5" t="n">
        <v>4</v>
      </c>
      <c r="I340" s="5" t="inlineStr">
        <is>
          <t>grade_beam</t>
        </is>
      </c>
      <c r="J340" s="5" t="inlineStr">
        <is>
          <t>yes</t>
        </is>
      </c>
      <c r="K340" s="5" t="n">
        <v>562</v>
      </c>
      <c r="L340" s="5" t="n">
        <v>0.19</v>
      </c>
      <c r="M340" s="5" t="n">
        <v>0.09</v>
      </c>
      <c r="N340" s="5" t="inlineStr">
        <is>
          <t>yes</t>
        </is>
      </c>
    </row>
    <row r="341">
      <c r="A341" s="5" t="n">
        <v>340</v>
      </c>
      <c r="B341" s="5" t="inlineStr">
        <is>
          <t>LG-40x15</t>
        </is>
      </c>
      <c r="C341" s="5" t="inlineStr">
        <is>
          <t>grade_beam</t>
        </is>
      </c>
      <c r="D341" s="5" t="inlineStr">
        <is>
          <t>grade_beam</t>
        </is>
      </c>
      <c r="E341" s="5" t="n">
        <v>3436.5</v>
      </c>
      <c r="F341" s="5" t="n">
        <v>3002.1</v>
      </c>
      <c r="G341" s="5" t="n">
        <v>564</v>
      </c>
      <c r="H341" s="5" t="n">
        <v>4</v>
      </c>
      <c r="I341" s="5" t="inlineStr">
        <is>
          <t>grade_beam</t>
        </is>
      </c>
      <c r="J341" s="5" t="inlineStr">
        <is>
          <t>yes</t>
        </is>
      </c>
      <c r="K341" s="5" t="n">
        <v>564</v>
      </c>
      <c r="L341" s="5" t="n">
        <v>0.17</v>
      </c>
      <c r="M341" s="5" t="n">
        <v>0</v>
      </c>
      <c r="N341" s="5" t="inlineStr">
        <is>
          <t>yes</t>
        </is>
      </c>
    </row>
    <row r="342">
      <c r="A342" s="5" t="n">
        <v>341</v>
      </c>
      <c r="B342" s="5" t="inlineStr">
        <is>
          <t>LG-40x15</t>
        </is>
      </c>
      <c r="C342" s="5" t="inlineStr">
        <is>
          <t>grade_beam</t>
        </is>
      </c>
      <c r="D342" s="5" t="inlineStr">
        <is>
          <t>grade_beam</t>
        </is>
      </c>
      <c r="E342" s="5" t="n">
        <v>3074</v>
      </c>
      <c r="F342" s="5" t="n">
        <v>3021.9</v>
      </c>
      <c r="G342" s="5" t="n">
        <v>627</v>
      </c>
      <c r="H342" s="5" t="n">
        <v>4</v>
      </c>
      <c r="I342" s="5" t="inlineStr">
        <is>
          <t>grade_beam</t>
        </is>
      </c>
      <c r="J342" s="5" t="inlineStr">
        <is>
          <t>yes</t>
        </is>
      </c>
      <c r="K342" s="5" t="n">
        <v>627</v>
      </c>
      <c r="L342" s="5" t="n">
        <v>0.16</v>
      </c>
      <c r="M342" s="5" t="n">
        <v>0.01</v>
      </c>
      <c r="N342" s="5" t="inlineStr">
        <is>
          <t>yes</t>
        </is>
      </c>
    </row>
    <row r="343">
      <c r="A343" s="5" t="n">
        <v>342</v>
      </c>
      <c r="B343" s="5" t="inlineStr">
        <is>
          <t>LG-40x15</t>
        </is>
      </c>
      <c r="C343" s="5" t="inlineStr">
        <is>
          <t>grade_beam</t>
        </is>
      </c>
      <c r="D343" s="5" t="inlineStr">
        <is>
          <t>grade_beam</t>
        </is>
      </c>
      <c r="E343" s="5" t="n">
        <v>2884.4</v>
      </c>
      <c r="F343" s="5" t="n">
        <v>2911.5</v>
      </c>
      <c r="G343" s="5" t="n">
        <v>634</v>
      </c>
      <c r="H343" s="5" t="n">
        <v>4</v>
      </c>
      <c r="I343" s="5" t="inlineStr">
        <is>
          <t>grade_beam</t>
        </is>
      </c>
      <c r="J343" s="5" t="inlineStr">
        <is>
          <t>yes</t>
        </is>
      </c>
      <c r="K343" s="5" t="n">
        <v>634</v>
      </c>
      <c r="L343" s="5" t="n">
        <v>0.18</v>
      </c>
      <c r="M343" s="5" t="n">
        <v>0.05</v>
      </c>
      <c r="N343" s="5" t="inlineStr">
        <is>
          <t>yes</t>
        </is>
      </c>
    </row>
    <row r="344">
      <c r="A344" s="5" t="n">
        <v>343</v>
      </c>
      <c r="B344" s="5" t="inlineStr">
        <is>
          <t>LG-40x15</t>
        </is>
      </c>
      <c r="C344" s="5" t="inlineStr">
        <is>
          <t>grade_beam</t>
        </is>
      </c>
      <c r="D344" s="5" t="inlineStr">
        <is>
          <t>grade_beam</t>
        </is>
      </c>
      <c r="E344" s="5" t="n">
        <v>2604.2</v>
      </c>
      <c r="F344" s="5" t="n">
        <v>3134.4</v>
      </c>
      <c r="G344" s="5" t="n">
        <v>629</v>
      </c>
      <c r="H344" s="5" t="n">
        <v>4</v>
      </c>
      <c r="I344" s="5" t="inlineStr">
        <is>
          <t>grade_beam</t>
        </is>
      </c>
      <c r="J344" s="5" t="inlineStr">
        <is>
          <t>yes</t>
        </is>
      </c>
      <c r="K344" s="5" t="n">
        <v>629</v>
      </c>
      <c r="L344" s="5" t="n">
        <v>0.18</v>
      </c>
      <c r="M344" s="5" t="n">
        <v>0</v>
      </c>
      <c r="N344" s="5" t="inlineStr">
        <is>
          <t>yes</t>
        </is>
      </c>
    </row>
    <row r="345">
      <c r="A345" s="5" t="n">
        <v>344</v>
      </c>
      <c r="B345" s="5" t="inlineStr">
        <is>
          <t>LG-40x15</t>
        </is>
      </c>
      <c r="C345" s="5" t="inlineStr">
        <is>
          <t>grade_beam</t>
        </is>
      </c>
      <c r="D345" s="5" t="inlineStr">
        <is>
          <t>grade_beam</t>
        </is>
      </c>
      <c r="E345" s="5" t="n">
        <v>3488.5</v>
      </c>
      <c r="F345" s="5" t="n">
        <v>3237.5</v>
      </c>
      <c r="G345" s="5" t="n">
        <v>560</v>
      </c>
      <c r="H345" s="5" t="n">
        <v>4</v>
      </c>
      <c r="I345" s="5" t="inlineStr">
        <is>
          <t>grade_beam</t>
        </is>
      </c>
      <c r="J345" s="5" t="inlineStr">
        <is>
          <t>yes</t>
        </is>
      </c>
      <c r="K345" s="5" t="n">
        <v>560</v>
      </c>
      <c r="L345" s="5" t="n">
        <v>0.16</v>
      </c>
      <c r="M345" s="5" t="n">
        <v>0</v>
      </c>
      <c r="N345" s="5" t="inlineStr">
        <is>
          <t>yes</t>
        </is>
      </c>
    </row>
    <row r="346">
      <c r="A346" s="5" t="n">
        <v>345</v>
      </c>
      <c r="B346" s="5" t="inlineStr">
        <is>
          <t>LG-40x15</t>
        </is>
      </c>
      <c r="C346" s="5" t="inlineStr">
        <is>
          <t>grade_beam</t>
        </is>
      </c>
      <c r="D346" s="5" t="inlineStr">
        <is>
          <t>grade_beam</t>
        </is>
      </c>
      <c r="E346" s="5" t="n">
        <v>3402.1</v>
      </c>
      <c r="F346" s="5" t="n">
        <v>3425</v>
      </c>
      <c r="G346" s="5" t="n">
        <v>561</v>
      </c>
      <c r="H346" s="5" t="n">
        <v>4</v>
      </c>
      <c r="I346" s="5" t="inlineStr">
        <is>
          <t>grade_beam</t>
        </is>
      </c>
      <c r="J346" s="5" t="inlineStr">
        <is>
          <t>yes</t>
        </is>
      </c>
      <c r="K346" s="5" t="n">
        <v>561</v>
      </c>
      <c r="L346" s="5" t="n">
        <v>0.24</v>
      </c>
      <c r="M346" s="5" t="n">
        <v>0.04</v>
      </c>
      <c r="N346" s="5" t="inlineStr">
        <is>
          <t>yes</t>
        </is>
      </c>
    </row>
    <row r="347">
      <c r="A347" s="5" t="n">
        <v>346</v>
      </c>
      <c r="B347" s="5" t="inlineStr">
        <is>
          <t>LG-40x15</t>
        </is>
      </c>
      <c r="C347" s="5" t="inlineStr">
        <is>
          <t>grade_beam</t>
        </is>
      </c>
      <c r="D347" s="5" t="inlineStr">
        <is>
          <t>grade_beam</t>
        </is>
      </c>
      <c r="E347" s="5" t="n">
        <v>2482.3</v>
      </c>
      <c r="F347" s="5" t="n">
        <v>3192.7</v>
      </c>
      <c r="G347" s="5" t="n">
        <v>628</v>
      </c>
      <c r="H347" s="5" t="n">
        <v>4</v>
      </c>
      <c r="I347" s="5" t="inlineStr">
        <is>
          <t>grade_beam</t>
        </is>
      </c>
      <c r="J347" s="5" t="inlineStr">
        <is>
          <t>yes</t>
        </is>
      </c>
      <c r="K347" s="5" t="n">
        <v>628</v>
      </c>
      <c r="L347" s="5" t="n">
        <v>0.13</v>
      </c>
      <c r="M347" s="5" t="n">
        <v>0.03</v>
      </c>
      <c r="N347" s="5" t="inlineStr">
        <is>
          <t>yes</t>
        </is>
      </c>
    </row>
    <row r="348">
      <c r="A348" s="5" t="n">
        <v>347</v>
      </c>
      <c r="B348" s="5" t="inlineStr">
        <is>
          <t>LG-40x15</t>
        </is>
      </c>
      <c r="C348" s="5" t="inlineStr">
        <is>
          <t>grade_beam</t>
        </is>
      </c>
      <c r="D348" s="5" t="inlineStr">
        <is>
          <t>grade_beam</t>
        </is>
      </c>
      <c r="E348" s="5" t="n">
        <v>2730.2</v>
      </c>
      <c r="F348" s="5" t="n">
        <v>3059.4</v>
      </c>
      <c r="G348" s="5" t="n">
        <v>630</v>
      </c>
      <c r="H348" s="5" t="n">
        <v>4</v>
      </c>
      <c r="I348" s="5" t="inlineStr">
        <is>
          <t>grade_beam</t>
        </is>
      </c>
      <c r="J348" s="5" t="inlineStr">
        <is>
          <t>yes</t>
        </is>
      </c>
      <c r="K348" s="5" t="n">
        <v>630</v>
      </c>
      <c r="L348" s="5" t="n">
        <v>0.2</v>
      </c>
      <c r="M348" s="5" t="n">
        <v>0</v>
      </c>
      <c r="N348" s="5" t="inlineStr">
        <is>
          <t>no</t>
        </is>
      </c>
    </row>
    <row r="349">
      <c r="A349" s="5" t="n">
        <v>348</v>
      </c>
      <c r="B349" s="5" t="inlineStr">
        <is>
          <t>LG-40x15</t>
        </is>
      </c>
      <c r="C349" s="5" t="inlineStr">
        <is>
          <t>grade_beam</t>
        </is>
      </c>
      <c r="D349" s="5" t="inlineStr">
        <is>
          <t>grade_beam</t>
        </is>
      </c>
      <c r="E349" s="5" t="n">
        <v>2586.5</v>
      </c>
      <c r="F349" s="5" t="n">
        <v>2988.5</v>
      </c>
      <c r="G349" s="5" t="n">
        <v>628</v>
      </c>
      <c r="H349" s="5" t="n">
        <v>4</v>
      </c>
      <c r="I349" s="5" t="inlineStr">
        <is>
          <t>grade_beam</t>
        </is>
      </c>
      <c r="J349" s="5" t="inlineStr">
        <is>
          <t>yes</t>
        </is>
      </c>
      <c r="K349" s="5" t="n">
        <v>628</v>
      </c>
      <c r="L349" s="5" t="n">
        <v>0.18</v>
      </c>
      <c r="M349" s="5" t="n">
        <v>0</v>
      </c>
      <c r="N349" s="5" t="inlineStr">
        <is>
          <t>no</t>
        </is>
      </c>
    </row>
    <row r="350">
      <c r="A350" s="5" t="n">
        <v>349</v>
      </c>
      <c r="B350" s="5" t="inlineStr">
        <is>
          <t>LG-40x15</t>
        </is>
      </c>
      <c r="C350" s="5" t="inlineStr">
        <is>
          <t>grade_beam</t>
        </is>
      </c>
      <c r="D350" s="5" t="inlineStr">
        <is>
          <t>grade_beam</t>
        </is>
      </c>
      <c r="E350" s="5" t="n">
        <v>3275</v>
      </c>
      <c r="F350" s="5" t="n">
        <v>2988.5</v>
      </c>
      <c r="G350" s="5" t="n">
        <v>565</v>
      </c>
      <c r="H350" s="5" t="n">
        <v>4</v>
      </c>
      <c r="I350" s="5" t="inlineStr">
        <is>
          <t>grade_beam</t>
        </is>
      </c>
      <c r="J350" s="5" t="inlineStr">
        <is>
          <t>yes</t>
        </is>
      </c>
      <c r="K350" s="5" t="n">
        <v>565</v>
      </c>
      <c r="L350" s="5" t="n">
        <v>0.21</v>
      </c>
      <c r="M350" s="5" t="n">
        <v>0.36</v>
      </c>
      <c r="N350" s="5" t="inlineStr">
        <is>
          <t>yes</t>
        </is>
      </c>
    </row>
    <row r="351">
      <c r="A351" s="5" t="n">
        <v>350</v>
      </c>
      <c r="B351" s="5" t="inlineStr">
        <is>
          <t>LG-40x15</t>
        </is>
      </c>
      <c r="C351" s="5" t="inlineStr">
        <is>
          <t>grade_beam</t>
        </is>
      </c>
      <c r="D351" s="5" t="inlineStr">
        <is>
          <t>grade_beam</t>
        </is>
      </c>
      <c r="E351" s="5" t="n">
        <v>3299</v>
      </c>
      <c r="F351" s="5" t="n">
        <v>3274</v>
      </c>
      <c r="G351" s="5" t="n">
        <v>560</v>
      </c>
      <c r="H351" s="5" t="n">
        <v>4</v>
      </c>
      <c r="I351" s="5" t="inlineStr">
        <is>
          <t>grade_beam</t>
        </is>
      </c>
      <c r="J351" s="5" t="inlineStr">
        <is>
          <t>yes</t>
        </is>
      </c>
      <c r="K351" s="5" t="n">
        <v>560</v>
      </c>
      <c r="L351" s="5" t="n">
        <v>0.14</v>
      </c>
      <c r="M351" s="5" t="n">
        <v>0</v>
      </c>
      <c r="N351" s="5" t="inlineStr">
        <is>
          <t>yes</t>
        </is>
      </c>
    </row>
    <row r="352">
      <c r="A352" s="5" t="n">
        <v>351</v>
      </c>
      <c r="B352" s="5" t="inlineStr">
        <is>
          <t>LG-40x15</t>
        </is>
      </c>
      <c r="C352" s="5" t="inlineStr">
        <is>
          <t>grade_beam</t>
        </is>
      </c>
      <c r="D352" s="5" t="inlineStr">
        <is>
          <t>grade_beam</t>
        </is>
      </c>
      <c r="E352" s="5" t="n">
        <v>3125</v>
      </c>
      <c r="F352" s="5" t="n">
        <v>3305.2</v>
      </c>
      <c r="G352" s="5" t="n">
        <v>560</v>
      </c>
      <c r="H352" s="5" t="n">
        <v>4</v>
      </c>
      <c r="I352" s="5" t="inlineStr">
        <is>
          <t>grade_beam</t>
        </is>
      </c>
      <c r="J352" s="5" t="inlineStr">
        <is>
          <t>yes</t>
        </is>
      </c>
      <c r="K352" s="5" t="n">
        <v>560</v>
      </c>
      <c r="L352" s="5" t="n">
        <v>0.19</v>
      </c>
      <c r="M352" s="5" t="n">
        <v>0</v>
      </c>
      <c r="N352" s="5" t="inlineStr">
        <is>
          <t>yes</t>
        </is>
      </c>
    </row>
    <row r="353">
      <c r="A353" s="5" t="n">
        <v>352</v>
      </c>
      <c r="B353" s="5" t="inlineStr">
        <is>
          <t>LG-40x15</t>
        </is>
      </c>
      <c r="C353" s="5" t="inlineStr">
        <is>
          <t>grade_beam</t>
        </is>
      </c>
      <c r="D353" s="5" t="inlineStr">
        <is>
          <t>grade_beam</t>
        </is>
      </c>
      <c r="E353" s="5" t="n">
        <v>2463.5</v>
      </c>
      <c r="F353" s="5" t="n">
        <v>2796.9</v>
      </c>
      <c r="G353" s="5" t="n">
        <v>681</v>
      </c>
      <c r="H353" s="5" t="n">
        <v>4</v>
      </c>
      <c r="I353" s="5" t="inlineStr">
        <is>
          <t>grade_beam</t>
        </is>
      </c>
      <c r="J353" s="5" t="inlineStr">
        <is>
          <t>yes</t>
        </is>
      </c>
      <c r="K353" s="5" t="n">
        <v>681</v>
      </c>
      <c r="L353" s="5" t="n">
        <v>0.17</v>
      </c>
      <c r="M353" s="5" t="n">
        <v>0.01</v>
      </c>
      <c r="N353" s="5" t="inlineStr">
        <is>
          <t>yes</t>
        </is>
      </c>
    </row>
    <row r="354">
      <c r="A354" s="5" t="n">
        <v>353</v>
      </c>
      <c r="B354" s="5" t="inlineStr">
        <is>
          <t>LG-40x15</t>
        </is>
      </c>
      <c r="C354" s="5" t="inlineStr">
        <is>
          <t>grade_beam</t>
        </is>
      </c>
      <c r="D354" s="5" t="inlineStr">
        <is>
          <t>grade_beam</t>
        </is>
      </c>
      <c r="E354" s="5" t="n">
        <v>2165.6</v>
      </c>
      <c r="F354" s="5" t="n">
        <v>2911.5</v>
      </c>
      <c r="G354" s="5" t="n">
        <v>680</v>
      </c>
      <c r="H354" s="5" t="n">
        <v>4</v>
      </c>
      <c r="I354" s="5" t="inlineStr">
        <is>
          <t>grade_beam</t>
        </is>
      </c>
      <c r="J354" s="5" t="inlineStr">
        <is>
          <t>yes</t>
        </is>
      </c>
      <c r="K354" s="5" t="n">
        <v>680</v>
      </c>
      <c r="L354" s="5" t="n">
        <v>0.17</v>
      </c>
      <c r="M354" s="5" t="n">
        <v>0</v>
      </c>
      <c r="N354" s="5" t="inlineStr">
        <is>
          <t>yes</t>
        </is>
      </c>
    </row>
    <row r="355">
      <c r="A355" s="5" t="n">
        <v>354</v>
      </c>
      <c r="B355" s="5" t="inlineStr">
        <is>
          <t>LG-40x15</t>
        </is>
      </c>
      <c r="C355" s="5" t="inlineStr">
        <is>
          <t>grade_beam</t>
        </is>
      </c>
      <c r="D355" s="5" t="inlineStr">
        <is>
          <t>grade_beam</t>
        </is>
      </c>
      <c r="E355" s="5" t="n">
        <v>2557.3</v>
      </c>
      <c r="F355" s="5" t="n">
        <v>2965.6</v>
      </c>
      <c r="G355" s="5" t="n">
        <v>683</v>
      </c>
      <c r="H355" s="5" t="n">
        <v>4</v>
      </c>
      <c r="I355" s="5" t="inlineStr">
        <is>
          <t>grade_beam</t>
        </is>
      </c>
      <c r="J355" s="5" t="inlineStr">
        <is>
          <t>yes</t>
        </is>
      </c>
      <c r="K355" s="5" t="n">
        <v>683</v>
      </c>
      <c r="L355" s="5" t="n">
        <v>0.14</v>
      </c>
      <c r="M355" s="5" t="n">
        <v>0</v>
      </c>
      <c r="N355" s="5" t="inlineStr">
        <is>
          <t>yes</t>
        </is>
      </c>
    </row>
    <row r="356">
      <c r="A356" s="5" t="n">
        <v>355</v>
      </c>
      <c r="B356" s="5" t="inlineStr">
        <is>
          <t>LG-40x15</t>
        </is>
      </c>
      <c r="C356" s="5" t="inlineStr">
        <is>
          <t>grade_beam</t>
        </is>
      </c>
      <c r="D356" s="5" t="inlineStr">
        <is>
          <t>grade_beam</t>
        </is>
      </c>
      <c r="E356" s="5" t="n">
        <v>2436.5</v>
      </c>
      <c r="F356" s="5" t="n">
        <v>2682.3</v>
      </c>
      <c r="G356" s="5" t="n">
        <v>719</v>
      </c>
      <c r="H356" s="5" t="n">
        <v>8</v>
      </c>
      <c r="I356" s="5" t="inlineStr">
        <is>
          <t>unnamed</t>
        </is>
      </c>
      <c r="J356" s="5" t="inlineStr">
        <is>
          <t>unnamed</t>
        </is>
      </c>
      <c r="K356" s="5" t="n">
        <v>684</v>
      </c>
      <c r="L356" s="5" t="n">
        <v>0.21</v>
      </c>
      <c r="M356" s="5" t="n">
        <v>0</v>
      </c>
      <c r="N356" s="5" t="inlineStr">
        <is>
          <t>no</t>
        </is>
      </c>
    </row>
    <row r="357">
      <c r="A357" s="5" t="n">
        <v>356</v>
      </c>
      <c r="B357" s="5" t="inlineStr">
        <is>
          <t>LG-40x15</t>
        </is>
      </c>
      <c r="C357" s="5" t="inlineStr">
        <is>
          <t>grade_beam</t>
        </is>
      </c>
      <c r="D357" s="5" t="inlineStr">
        <is>
          <t>grade_beam</t>
        </is>
      </c>
      <c r="E357" s="5" t="n">
        <v>2644.8</v>
      </c>
      <c r="F357" s="5" t="n">
        <v>2786.5</v>
      </c>
      <c r="G357" s="5" t="n">
        <v>713</v>
      </c>
      <c r="H357" s="5" t="n">
        <v>5</v>
      </c>
      <c r="I357" s="5" t="inlineStr">
        <is>
          <t>unnamed</t>
        </is>
      </c>
      <c r="J357" s="5" t="inlineStr">
        <is>
          <t>unnamed</t>
        </is>
      </c>
      <c r="K357" s="5" t="n">
        <v>683</v>
      </c>
      <c r="L357" s="5" t="n">
        <v>0.21</v>
      </c>
      <c r="M357" s="5" t="n">
        <v>0</v>
      </c>
      <c r="N357" s="5" t="inlineStr">
        <is>
          <t>no</t>
        </is>
      </c>
    </row>
    <row r="358">
      <c r="A358" s="5" t="n">
        <v>357</v>
      </c>
      <c r="B358" s="5" t="inlineStr">
        <is>
          <t>LG-40x15</t>
        </is>
      </c>
      <c r="C358" s="5" t="inlineStr">
        <is>
          <t>grade_beam</t>
        </is>
      </c>
      <c r="D358" s="5" t="inlineStr">
        <is>
          <t>grade_beam</t>
        </is>
      </c>
      <c r="E358" s="5" t="n">
        <v>1965.6</v>
      </c>
      <c r="F358" s="5" t="n">
        <v>2944.8</v>
      </c>
      <c r="G358" s="5" t="n">
        <v>686</v>
      </c>
      <c r="H358" s="5" t="n">
        <v>4</v>
      </c>
      <c r="I358" s="5" t="inlineStr">
        <is>
          <t>grade_beam</t>
        </is>
      </c>
      <c r="J358" s="5" t="inlineStr">
        <is>
          <t>yes</t>
        </is>
      </c>
      <c r="K358" s="5" t="n">
        <v>686</v>
      </c>
      <c r="L358" s="5" t="n">
        <v>0.27</v>
      </c>
      <c r="M358" s="5" t="n">
        <v>0</v>
      </c>
      <c r="N358" s="5" t="inlineStr">
        <is>
          <t>yes</t>
        </is>
      </c>
    </row>
    <row r="359">
      <c r="A359" s="5" t="n">
        <v>358</v>
      </c>
      <c r="B359" s="5" t="inlineStr">
        <is>
          <t>LG-40x15</t>
        </is>
      </c>
      <c r="C359" s="5" t="inlineStr">
        <is>
          <t>grade_beam</t>
        </is>
      </c>
      <c r="D359" s="5" t="inlineStr">
        <is>
          <t>grade_beam</t>
        </is>
      </c>
      <c r="E359" s="5" t="n">
        <v>1815.6</v>
      </c>
      <c r="F359" s="5" t="n">
        <v>2863.5</v>
      </c>
      <c r="G359" s="5" t="n">
        <v>682</v>
      </c>
      <c r="H359" s="5" t="n">
        <v>4</v>
      </c>
      <c r="I359" s="5" t="inlineStr">
        <is>
          <t>grade_beam</t>
        </is>
      </c>
      <c r="J359" s="5" t="inlineStr">
        <is>
          <t>yes</t>
        </is>
      </c>
      <c r="K359" s="5" t="n">
        <v>682</v>
      </c>
      <c r="L359" s="5" t="n">
        <v>0.18</v>
      </c>
      <c r="M359" s="5" t="n">
        <v>0.03</v>
      </c>
      <c r="N359" s="5" t="inlineStr">
        <is>
          <t>yes</t>
        </is>
      </c>
    </row>
    <row r="360">
      <c r="A360" s="5" t="n">
        <v>359</v>
      </c>
      <c r="B360" s="5" t="inlineStr">
        <is>
          <t>LG-40x15</t>
        </is>
      </c>
      <c r="C360" s="5" t="inlineStr">
        <is>
          <t>grade_beam</t>
        </is>
      </c>
      <c r="D360" s="5" t="inlineStr">
        <is>
          <t>grade_beam</t>
        </is>
      </c>
      <c r="E360" s="5" t="n">
        <v>2019.8</v>
      </c>
      <c r="F360" s="5" t="n">
        <v>2455.2</v>
      </c>
      <c r="G360" s="5" t="n">
        <v>682</v>
      </c>
      <c r="H360" s="5" t="n">
        <v>4</v>
      </c>
      <c r="I360" s="5" t="inlineStr">
        <is>
          <t>grade_beam</t>
        </is>
      </c>
      <c r="J360" s="5" t="inlineStr">
        <is>
          <t>yes</t>
        </is>
      </c>
      <c r="K360" s="5" t="n">
        <v>682</v>
      </c>
      <c r="L360" s="5" t="n">
        <v>0.16</v>
      </c>
      <c r="M360" s="5" t="n">
        <v>0</v>
      </c>
      <c r="N360" s="5" t="inlineStr">
        <is>
          <t>no</t>
        </is>
      </c>
    </row>
    <row r="361">
      <c r="A361" s="5" t="n">
        <v>360</v>
      </c>
      <c r="B361" s="5" t="inlineStr">
        <is>
          <t>LG-40x15</t>
        </is>
      </c>
      <c r="C361" s="5" t="inlineStr">
        <is>
          <t>grade_beam</t>
        </is>
      </c>
      <c r="D361" s="5" t="inlineStr">
        <is>
          <t>grade_beam</t>
        </is>
      </c>
      <c r="E361" s="5" t="n">
        <v>2276</v>
      </c>
      <c r="F361" s="5" t="n">
        <v>3074</v>
      </c>
      <c r="G361" s="5" t="n">
        <v>689</v>
      </c>
      <c r="H361" s="5" t="n">
        <v>4</v>
      </c>
      <c r="I361" s="5" t="inlineStr">
        <is>
          <t>grade_beam</t>
        </is>
      </c>
      <c r="J361" s="5" t="inlineStr">
        <is>
          <t>yes</t>
        </is>
      </c>
      <c r="K361" s="5" t="n">
        <v>689</v>
      </c>
      <c r="L361" s="5" t="n">
        <v>0.21</v>
      </c>
      <c r="M361" s="5" t="n">
        <v>0</v>
      </c>
      <c r="N361" s="5" t="inlineStr">
        <is>
          <t>no</t>
        </is>
      </c>
    </row>
    <row r="362">
      <c r="A362" s="5" t="n">
        <v>361</v>
      </c>
      <c r="B362" s="5" t="inlineStr">
        <is>
          <t>LG-40x15</t>
        </is>
      </c>
      <c r="C362" s="5" t="inlineStr">
        <is>
          <t>grade_beam</t>
        </is>
      </c>
      <c r="D362" s="5" t="inlineStr">
        <is>
          <t>grade_beam</t>
        </is>
      </c>
      <c r="E362" s="5" t="n">
        <v>2207.3</v>
      </c>
      <c r="F362" s="5" t="n">
        <v>3015.6</v>
      </c>
      <c r="G362" s="5" t="n">
        <v>688</v>
      </c>
      <c r="H362" s="5" t="n">
        <v>4</v>
      </c>
      <c r="I362" s="5" t="inlineStr">
        <is>
          <t>grade_beam</t>
        </is>
      </c>
      <c r="J362" s="5" t="inlineStr">
        <is>
          <t>yes</t>
        </is>
      </c>
      <c r="K362" s="5" t="n">
        <v>688</v>
      </c>
      <c r="L362" s="5" t="n">
        <v>0.22</v>
      </c>
      <c r="M362" s="5" t="n">
        <v>0</v>
      </c>
      <c r="N362" s="5" t="inlineStr">
        <is>
          <t>yes</t>
        </is>
      </c>
    </row>
    <row r="363">
      <c r="A363" s="5" t="n">
        <v>362</v>
      </c>
      <c r="B363" s="5" t="inlineStr">
        <is>
          <t>LG-40x15</t>
        </is>
      </c>
      <c r="C363" s="5" t="inlineStr">
        <is>
          <t>grade_beam</t>
        </is>
      </c>
      <c r="D363" s="5" t="inlineStr">
        <is>
          <t>grade_beam</t>
        </is>
      </c>
      <c r="E363" s="5" t="n">
        <v>2449</v>
      </c>
      <c r="F363" s="5" t="n">
        <v>3174</v>
      </c>
      <c r="G363" s="5" t="n">
        <v>683</v>
      </c>
      <c r="H363" s="5" t="n">
        <v>4</v>
      </c>
      <c r="I363" s="5" t="inlineStr">
        <is>
          <t>grade_beam</t>
        </is>
      </c>
      <c r="J363" s="5" t="inlineStr">
        <is>
          <t>yes</t>
        </is>
      </c>
      <c r="K363" s="5" t="n">
        <v>683</v>
      </c>
      <c r="L363" s="5" t="n">
        <v>0.25</v>
      </c>
      <c r="M363" s="5" t="n">
        <v>0</v>
      </c>
      <c r="N363" s="5" t="inlineStr">
        <is>
          <t>no</t>
        </is>
      </c>
    </row>
    <row r="364">
      <c r="A364" s="5" t="n">
        <v>363</v>
      </c>
      <c r="B364" s="5" t="inlineStr">
        <is>
          <t>LG 25x40</t>
        </is>
      </c>
      <c r="C364" s="5" t="inlineStr">
        <is>
          <t>grade_beam</t>
        </is>
      </c>
      <c r="D364" s="5" t="inlineStr">
        <is>
          <t>grade_beam</t>
        </is>
      </c>
      <c r="E364" s="5" t="n">
        <v>4257.3</v>
      </c>
      <c r="F364" s="5" t="n">
        <v>3254.2</v>
      </c>
      <c r="G364" s="5" t="n">
        <v>357</v>
      </c>
      <c r="H364" s="5" t="n">
        <v>5</v>
      </c>
      <c r="I364" s="5" t="inlineStr">
        <is>
          <t>unnamed</t>
        </is>
      </c>
      <c r="J364" s="5" t="inlineStr">
        <is>
          <t>unnamed</t>
        </is>
      </c>
      <c r="K364" s="5" t="inlineStr">
        <is>
          <t>unmatched</t>
        </is>
      </c>
      <c r="L364" s="5" t="n"/>
      <c r="M364" s="5" t="n"/>
      <c r="N364" s="5" t="inlineStr">
        <is>
          <t>yes</t>
        </is>
      </c>
    </row>
    <row r="365">
      <c r="A365" s="5" t="n">
        <v>364</v>
      </c>
      <c r="B365" s="5" t="inlineStr">
        <is>
          <t>LG-40x15</t>
        </is>
      </c>
      <c r="C365" s="5" t="inlineStr">
        <is>
          <t>grade_beam</t>
        </is>
      </c>
      <c r="D365" s="5" t="inlineStr">
        <is>
          <t>grade_beam</t>
        </is>
      </c>
      <c r="E365" s="5" t="n">
        <v>4210.4</v>
      </c>
      <c r="F365" s="5" t="n">
        <v>3000</v>
      </c>
      <c r="G365" s="5" t="n">
        <v>357</v>
      </c>
      <c r="H365" s="5" t="n">
        <v>5</v>
      </c>
      <c r="I365" s="5" t="inlineStr">
        <is>
          <t>unnamed</t>
        </is>
      </c>
      <c r="J365" s="5" t="inlineStr">
        <is>
          <t>unnamed</t>
        </is>
      </c>
      <c r="K365" s="5" t="n">
        <v>288</v>
      </c>
      <c r="L365" s="5" t="n">
        <v>0.72</v>
      </c>
      <c r="M365" s="5" t="n">
        <v>0</v>
      </c>
      <c r="N365" s="5" t="inlineStr">
        <is>
          <t>yes</t>
        </is>
      </c>
    </row>
    <row r="366">
      <c r="A366" s="5" t="n">
        <v>365</v>
      </c>
      <c r="B366" s="5" t="inlineStr">
        <is>
          <t>LG-40x15</t>
        </is>
      </c>
      <c r="C366" s="5" t="inlineStr">
        <is>
          <t>grade_beam</t>
        </is>
      </c>
      <c r="D366" s="5" t="inlineStr">
        <is>
          <t>grade_beam</t>
        </is>
      </c>
      <c r="E366" s="5" t="n">
        <v>4179.2</v>
      </c>
      <c r="F366" s="5" t="n">
        <v>2840.6</v>
      </c>
      <c r="G366" s="5" t="n">
        <v>357</v>
      </c>
      <c r="H366" s="5" t="n">
        <v>5</v>
      </c>
      <c r="I366" s="5" t="inlineStr">
        <is>
          <t>unnamed</t>
        </is>
      </c>
      <c r="J366" s="5" t="inlineStr">
        <is>
          <t>unnamed</t>
        </is>
      </c>
      <c r="K366" s="5" t="inlineStr">
        <is>
          <t>unmatched</t>
        </is>
      </c>
      <c r="L366" s="5" t="n"/>
      <c r="M366" s="5" t="n"/>
      <c r="N366" s="5" t="inlineStr">
        <is>
          <t>yes</t>
        </is>
      </c>
    </row>
    <row r="367">
      <c r="A367" s="5" t="n">
        <v>366</v>
      </c>
      <c r="B367" s="5" t="inlineStr">
        <is>
          <t>LG-40x15</t>
        </is>
      </c>
      <c r="C367" s="5" t="inlineStr">
        <is>
          <t>grade_beam</t>
        </is>
      </c>
      <c r="D367" s="5" t="inlineStr">
        <is>
          <t>grade_beam</t>
        </is>
      </c>
      <c r="E367" s="5" t="n">
        <v>4045.8</v>
      </c>
      <c r="F367" s="5" t="n">
        <v>3200</v>
      </c>
      <c r="G367" s="5" t="n">
        <v>439</v>
      </c>
      <c r="H367" s="5" t="n">
        <v>29</v>
      </c>
      <c r="I367" s="5" t="inlineStr">
        <is>
          <t>column</t>
        </is>
      </c>
      <c r="J367" s="5" t="inlineStr">
        <is>
          <t>no</t>
        </is>
      </c>
      <c r="K367" s="5" t="n">
        <v>486</v>
      </c>
      <c r="L367" s="5" t="n">
        <v>0.18</v>
      </c>
      <c r="M367" s="5" t="n">
        <v>0.04</v>
      </c>
      <c r="N367" s="5" t="inlineStr">
        <is>
          <t>yes</t>
        </is>
      </c>
    </row>
    <row r="368">
      <c r="A368" s="5" t="n">
        <v>367</v>
      </c>
      <c r="B368" s="5" t="inlineStr">
        <is>
          <t>LG-40x15</t>
        </is>
      </c>
      <c r="C368" s="5" t="inlineStr">
        <is>
          <t>grade_beam</t>
        </is>
      </c>
      <c r="D368" s="5" t="inlineStr">
        <is>
          <t>grade_beam</t>
        </is>
      </c>
      <c r="E368" s="5" t="n">
        <v>3537.5</v>
      </c>
      <c r="F368" s="5" t="n">
        <v>2950</v>
      </c>
      <c r="G368" s="5" t="n">
        <v>286</v>
      </c>
      <c r="H368" s="5" t="n">
        <v>4</v>
      </c>
      <c r="I368" s="5" t="inlineStr">
        <is>
          <t>grade_beam</t>
        </is>
      </c>
      <c r="J368" s="5" t="inlineStr">
        <is>
          <t>yes</t>
        </is>
      </c>
      <c r="K368" s="5" t="n">
        <v>286</v>
      </c>
      <c r="L368" s="5" t="n">
        <v>0.13</v>
      </c>
      <c r="M368" s="5" t="n">
        <v>0.25</v>
      </c>
      <c r="N368" s="5" t="inlineStr">
        <is>
          <t>yes</t>
        </is>
      </c>
    </row>
    <row r="369">
      <c r="A369" s="5" t="n">
        <v>368</v>
      </c>
      <c r="B369" s="5" t="inlineStr">
        <is>
          <t>LG-40x15</t>
        </is>
      </c>
      <c r="C369" s="5" t="inlineStr">
        <is>
          <t>grade_beam</t>
        </is>
      </c>
      <c r="D369" s="5" t="inlineStr">
        <is>
          <t>grade_beam</t>
        </is>
      </c>
      <c r="E369" s="5" t="n">
        <v>3571.9</v>
      </c>
      <c r="F369" s="5" t="n">
        <v>3133.3</v>
      </c>
      <c r="G369" s="5" t="n">
        <v>286</v>
      </c>
      <c r="H369" s="5" t="n">
        <v>4</v>
      </c>
      <c r="I369" s="5" t="inlineStr">
        <is>
          <t>grade_beam</t>
        </is>
      </c>
      <c r="J369" s="5" t="inlineStr">
        <is>
          <t>yes</t>
        </is>
      </c>
      <c r="K369" s="5" t="n">
        <v>286</v>
      </c>
      <c r="L369" s="5" t="n">
        <v>0.12</v>
      </c>
      <c r="M369" s="5" t="n">
        <v>0</v>
      </c>
      <c r="N369" s="5" t="inlineStr">
        <is>
          <t>yes</t>
        </is>
      </c>
    </row>
    <row r="370">
      <c r="A370" s="5" t="n">
        <v>369</v>
      </c>
      <c r="B370" s="5" t="inlineStr">
        <is>
          <t>LG-40x15</t>
        </is>
      </c>
      <c r="C370" s="5" t="inlineStr">
        <is>
          <t>grade_beam</t>
        </is>
      </c>
      <c r="D370" s="5" t="inlineStr">
        <is>
          <t>grade_beam</t>
        </is>
      </c>
      <c r="E370" s="5" t="n">
        <v>3618.8</v>
      </c>
      <c r="F370" s="5" t="n">
        <v>3379.2</v>
      </c>
      <c r="G370" s="5" t="n">
        <v>286</v>
      </c>
      <c r="H370" s="5" t="n">
        <v>4</v>
      </c>
      <c r="I370" s="5" t="inlineStr">
        <is>
          <t>grade_beam</t>
        </is>
      </c>
      <c r="J370" s="5" t="inlineStr">
        <is>
          <t>yes</t>
        </is>
      </c>
      <c r="K370" s="5" t="n">
        <v>286</v>
      </c>
      <c r="L370" s="5" t="n">
        <v>0.15</v>
      </c>
      <c r="M370" s="5" t="n">
        <v>0</v>
      </c>
      <c r="N370" s="5" t="inlineStr">
        <is>
          <t>yes</t>
        </is>
      </c>
    </row>
    <row r="371">
      <c r="A371" s="5" t="n">
        <v>370</v>
      </c>
      <c r="B371" s="5" t="inlineStr">
        <is>
          <t>LG-40x15</t>
        </is>
      </c>
      <c r="C371" s="5" t="inlineStr">
        <is>
          <t>grade_beam</t>
        </is>
      </c>
      <c r="D371" s="5" t="inlineStr">
        <is>
          <t>grade_beam</t>
        </is>
      </c>
      <c r="E371" s="5" t="n">
        <v>3536.5</v>
      </c>
      <c r="F371" s="5" t="n">
        <v>3139.6</v>
      </c>
      <c r="G371" s="5" t="n">
        <v>559</v>
      </c>
      <c r="H371" s="5" t="n">
        <v>4</v>
      </c>
      <c r="I371" s="5" t="inlineStr">
        <is>
          <t>grade_beam</t>
        </is>
      </c>
      <c r="J371" s="5" t="inlineStr">
        <is>
          <t>yes</t>
        </is>
      </c>
      <c r="K371" s="5" t="n">
        <v>559</v>
      </c>
      <c r="L371" s="5" t="n">
        <v>0.18</v>
      </c>
      <c r="M371" s="5" t="n">
        <v>0.2</v>
      </c>
      <c r="N371" s="5" t="inlineStr">
        <is>
          <t>yes</t>
        </is>
      </c>
    </row>
    <row r="372">
      <c r="A372" s="5" t="n">
        <v>371</v>
      </c>
      <c r="B372" s="5" t="inlineStr">
        <is>
          <t>LG-40x15</t>
        </is>
      </c>
      <c r="C372" s="5" t="inlineStr">
        <is>
          <t>grade_beam</t>
        </is>
      </c>
      <c r="D372" s="5" t="inlineStr">
        <is>
          <t>grade_beam</t>
        </is>
      </c>
      <c r="E372" s="5" t="n">
        <v>3582.3</v>
      </c>
      <c r="F372" s="5" t="n">
        <v>3386.5</v>
      </c>
      <c r="G372" s="5" t="n">
        <v>559</v>
      </c>
      <c r="H372" s="5" t="n">
        <v>4</v>
      </c>
      <c r="I372" s="5" t="inlineStr">
        <is>
          <t>grade_beam</t>
        </is>
      </c>
      <c r="J372" s="5" t="inlineStr">
        <is>
          <t>yes</t>
        </is>
      </c>
      <c r="K372" s="5" t="n">
        <v>559</v>
      </c>
      <c r="L372" s="5" t="n">
        <v>0.21</v>
      </c>
      <c r="M372" s="5" t="n">
        <v>0.21</v>
      </c>
      <c r="N372" s="5" t="inlineStr">
        <is>
          <t>yes</t>
        </is>
      </c>
    </row>
    <row r="373">
      <c r="A373" s="5" t="n">
        <v>372</v>
      </c>
      <c r="B373" s="5" t="inlineStr">
        <is>
          <t>LG-40x15</t>
        </is>
      </c>
      <c r="C373" s="5" t="inlineStr">
        <is>
          <t>grade_beam</t>
        </is>
      </c>
      <c r="D373" s="5" t="inlineStr">
        <is>
          <t>grade_beam</t>
        </is>
      </c>
      <c r="E373" s="5" t="n">
        <v>3502.1</v>
      </c>
      <c r="F373" s="5" t="n">
        <v>2957.3</v>
      </c>
      <c r="G373" s="5" t="n">
        <v>559</v>
      </c>
      <c r="H373" s="5" t="n">
        <v>4</v>
      </c>
      <c r="I373" s="5" t="inlineStr">
        <is>
          <t>grade_beam</t>
        </is>
      </c>
      <c r="J373" s="5" t="inlineStr">
        <is>
          <t>yes</t>
        </is>
      </c>
      <c r="K373" s="5" t="n">
        <v>559</v>
      </c>
      <c r="L373" s="5" t="n">
        <v>0.18</v>
      </c>
      <c r="M373" s="5" t="n">
        <v>0</v>
      </c>
      <c r="N373" s="5" t="inlineStr">
        <is>
          <t>yes</t>
        </is>
      </c>
    </row>
    <row r="374">
      <c r="A374" s="5" t="n">
        <v>373</v>
      </c>
      <c r="B374" s="5" t="inlineStr">
        <is>
          <t>LG-40x15</t>
        </is>
      </c>
      <c r="C374" s="5" t="inlineStr">
        <is>
          <t>grade_beam</t>
        </is>
      </c>
      <c r="D374" s="5" t="inlineStr">
        <is>
          <t>grade_beam</t>
        </is>
      </c>
      <c r="E374" s="5" t="n">
        <v>3046.9</v>
      </c>
      <c r="F374" s="5" t="n">
        <v>3232.3</v>
      </c>
      <c r="G374" s="5" t="n">
        <v>627</v>
      </c>
      <c r="H374" s="5" t="n">
        <v>4</v>
      </c>
      <c r="I374" s="5" t="inlineStr">
        <is>
          <t>grade_beam</t>
        </is>
      </c>
      <c r="J374" s="5" t="inlineStr">
        <is>
          <t>yes</t>
        </is>
      </c>
      <c r="K374" s="5" t="n">
        <v>627</v>
      </c>
      <c r="L374" s="5" t="n">
        <v>0.21</v>
      </c>
      <c r="M374" s="5" t="n">
        <v>0.01</v>
      </c>
      <c r="N374" s="5" t="inlineStr">
        <is>
          <t>yes</t>
        </is>
      </c>
    </row>
    <row r="375">
      <c r="A375" s="5" t="n">
        <v>374</v>
      </c>
      <c r="B375" s="5" t="inlineStr">
        <is>
          <t>LG-40x15</t>
        </is>
      </c>
      <c r="C375" s="5" t="inlineStr">
        <is>
          <t>grade_beam</t>
        </is>
      </c>
      <c r="D375" s="5" t="inlineStr">
        <is>
          <t>grade_beam</t>
        </is>
      </c>
      <c r="E375" s="5" t="n">
        <v>3016.7</v>
      </c>
      <c r="F375" s="5" t="n">
        <v>3441.7</v>
      </c>
      <c r="G375" s="5" t="n">
        <v>627</v>
      </c>
      <c r="H375" s="5" t="n">
        <v>4</v>
      </c>
      <c r="I375" s="5" t="inlineStr">
        <is>
          <t>grade_beam</t>
        </is>
      </c>
      <c r="J375" s="5" t="inlineStr">
        <is>
          <t>yes</t>
        </is>
      </c>
      <c r="K375" s="5" t="n">
        <v>627</v>
      </c>
      <c r="L375" s="5" t="n">
        <v>0.15</v>
      </c>
      <c r="M375" s="5" t="n">
        <v>0.01</v>
      </c>
      <c r="N375" s="5" t="inlineStr">
        <is>
          <t>yes</t>
        </is>
      </c>
    </row>
    <row r="376">
      <c r="A376" s="5" t="n">
        <v>375</v>
      </c>
      <c r="B376" s="5" t="inlineStr">
        <is>
          <t>LG-40x15</t>
        </is>
      </c>
      <c r="C376" s="5" t="inlineStr">
        <is>
          <t>grade_beam</t>
        </is>
      </c>
      <c r="D376" s="5" t="inlineStr">
        <is>
          <t>grade_beam</t>
        </is>
      </c>
      <c r="E376" s="5" t="n">
        <v>2678.1</v>
      </c>
      <c r="F376" s="5" t="n">
        <v>2803.1</v>
      </c>
      <c r="G376" s="5" t="n">
        <v>628</v>
      </c>
      <c r="H376" s="5" t="n">
        <v>4</v>
      </c>
      <c r="I376" s="5" t="inlineStr">
        <is>
          <t>grade_beam</t>
        </is>
      </c>
      <c r="J376" s="5" t="inlineStr">
        <is>
          <t>yes</t>
        </is>
      </c>
      <c r="K376" s="5" t="n">
        <v>628</v>
      </c>
      <c r="L376" s="5" t="n">
        <v>0.14</v>
      </c>
      <c r="M376" s="5" t="n">
        <v>0</v>
      </c>
      <c r="N376" s="5" t="inlineStr">
        <is>
          <t>yes</t>
        </is>
      </c>
    </row>
    <row r="377">
      <c r="A377" s="5" t="n">
        <v>376</v>
      </c>
      <c r="B377" s="5" t="inlineStr">
        <is>
          <t>LG-40x15</t>
        </is>
      </c>
      <c r="C377" s="5" t="inlineStr">
        <is>
          <t>grade_beam</t>
        </is>
      </c>
      <c r="D377" s="5" t="inlineStr">
        <is>
          <t>grade_beam</t>
        </is>
      </c>
      <c r="E377" s="5" t="n">
        <v>2628.1</v>
      </c>
      <c r="F377" s="5" t="n">
        <v>3261.5</v>
      </c>
      <c r="G377" s="5" t="n">
        <v>630</v>
      </c>
      <c r="H377" s="5" t="n">
        <v>4</v>
      </c>
      <c r="I377" s="5" t="inlineStr">
        <is>
          <t>grade_beam</t>
        </is>
      </c>
      <c r="J377" s="5" t="inlineStr">
        <is>
          <t>yes</t>
        </is>
      </c>
      <c r="K377" s="5" t="n">
        <v>630</v>
      </c>
      <c r="L377" s="5" t="n">
        <v>0.22</v>
      </c>
      <c r="M377" s="5" t="n">
        <v>0.02</v>
      </c>
      <c r="N377" s="5" t="inlineStr">
        <is>
          <t>yes</t>
        </is>
      </c>
    </row>
    <row r="378">
      <c r="A378" s="5" t="n">
        <v>377</v>
      </c>
      <c r="B378" s="5" t="inlineStr">
        <is>
          <t>LG-40x15</t>
        </is>
      </c>
      <c r="C378" s="5" t="inlineStr">
        <is>
          <t>grade_beam</t>
        </is>
      </c>
      <c r="D378" s="5" t="inlineStr">
        <is>
          <t>grade_beam</t>
        </is>
      </c>
      <c r="E378" s="5" t="n">
        <v>2946.9</v>
      </c>
      <c r="F378" s="5" t="n">
        <v>3309.4</v>
      </c>
      <c r="G378" s="5" t="n">
        <v>629</v>
      </c>
      <c r="H378" s="5" t="n">
        <v>4</v>
      </c>
      <c r="I378" s="5" t="inlineStr">
        <is>
          <t>grade_beam</t>
        </is>
      </c>
      <c r="J378" s="5" t="inlineStr">
        <is>
          <t>yes</t>
        </is>
      </c>
      <c r="K378" s="5" t="n">
        <v>629</v>
      </c>
      <c r="L378" s="5" t="n">
        <v>0.09</v>
      </c>
      <c r="M378" s="5" t="n">
        <v>0</v>
      </c>
      <c r="N378" s="5" t="inlineStr">
        <is>
          <t>yes</t>
        </is>
      </c>
    </row>
    <row r="379">
      <c r="A379" s="5" t="n">
        <v>378</v>
      </c>
      <c r="B379" s="5" t="inlineStr">
        <is>
          <t>LG-40x15</t>
        </is>
      </c>
      <c r="C379" s="5" t="inlineStr">
        <is>
          <t>grade_beam</t>
        </is>
      </c>
      <c r="D379" s="5" t="inlineStr">
        <is>
          <t>grade_beam</t>
        </is>
      </c>
      <c r="E379" s="5" t="n">
        <v>2330.2</v>
      </c>
      <c r="F379" s="5" t="n">
        <v>2839.6</v>
      </c>
      <c r="G379" s="5" t="n">
        <v>718</v>
      </c>
      <c r="H379" s="5" t="n">
        <v>8</v>
      </c>
      <c r="I379" s="5" t="inlineStr">
        <is>
          <t>unnamed</t>
        </is>
      </c>
      <c r="J379" s="5" t="inlineStr">
        <is>
          <t>unnamed</t>
        </is>
      </c>
      <c r="K379" s="5" t="n">
        <v>684</v>
      </c>
      <c r="L379" s="5" t="n">
        <v>0.21</v>
      </c>
      <c r="M379" s="5" t="n">
        <v>0</v>
      </c>
      <c r="N379" s="5" t="inlineStr">
        <is>
          <t>no</t>
        </is>
      </c>
    </row>
    <row r="380">
      <c r="A380" s="5" t="n">
        <v>379</v>
      </c>
      <c r="B380" s="5" t="inlineStr">
        <is>
          <t>LG-40x15</t>
        </is>
      </c>
      <c r="C380" s="5" t="inlineStr">
        <is>
          <t>grade_beam</t>
        </is>
      </c>
      <c r="D380" s="5" t="inlineStr">
        <is>
          <t>grade_beam</t>
        </is>
      </c>
      <c r="E380" s="5" t="n">
        <v>2232.3</v>
      </c>
      <c r="F380" s="5" t="n">
        <v>2570.8</v>
      </c>
      <c r="G380" s="5" t="n">
        <v>717</v>
      </c>
      <c r="H380" s="5" t="n">
        <v>8</v>
      </c>
      <c r="I380" s="5" t="inlineStr">
        <is>
          <t>unnamed</t>
        </is>
      </c>
      <c r="J380" s="5" t="inlineStr">
        <is>
          <t>unnamed</t>
        </is>
      </c>
      <c r="K380" s="5" t="n">
        <v>685</v>
      </c>
      <c r="L380" s="5" t="n">
        <v>0.14</v>
      </c>
      <c r="M380" s="5" t="n">
        <v>0.26</v>
      </c>
      <c r="N380" s="5" t="inlineStr">
        <is>
          <t>yes</t>
        </is>
      </c>
    </row>
    <row r="381">
      <c r="A381" s="5" t="n">
        <v>380</v>
      </c>
      <c r="B381" s="5" t="inlineStr">
        <is>
          <t>LG-40x15</t>
        </is>
      </c>
      <c r="C381" s="5" t="inlineStr">
        <is>
          <t>grade_beam</t>
        </is>
      </c>
      <c r="D381" s="5" t="inlineStr">
        <is>
          <t>grade_beam</t>
        </is>
      </c>
      <c r="E381" s="5" t="n">
        <v>2124</v>
      </c>
      <c r="F381" s="5" t="n">
        <v>2736.5</v>
      </c>
      <c r="G381" s="5" t="n">
        <v>685</v>
      </c>
      <c r="H381" s="5" t="n">
        <v>4</v>
      </c>
      <c r="I381" s="5" t="inlineStr">
        <is>
          <t>grade_beam</t>
        </is>
      </c>
      <c r="J381" s="5" t="inlineStr">
        <is>
          <t>yes</t>
        </is>
      </c>
      <c r="K381" s="5" t="n">
        <v>685</v>
      </c>
      <c r="L381" s="5" t="n">
        <v>0.21</v>
      </c>
      <c r="M381" s="5" t="n">
        <v>0</v>
      </c>
      <c r="N381" s="5" t="inlineStr">
        <is>
          <t>no</t>
        </is>
      </c>
    </row>
    <row r="382">
      <c r="A382" s="5" t="n">
        <v>381</v>
      </c>
      <c r="B382" s="5" t="inlineStr">
        <is>
          <t>LG-40x15</t>
        </is>
      </c>
      <c r="C382" s="5" t="inlineStr">
        <is>
          <t>grade_beam</t>
        </is>
      </c>
      <c r="D382" s="5" t="inlineStr">
        <is>
          <t>grade_beam</t>
        </is>
      </c>
      <c r="E382" s="5" t="n">
        <v>1946.9</v>
      </c>
      <c r="F382" s="5" t="n">
        <v>2803.1</v>
      </c>
      <c r="G382" s="5" t="n">
        <v>680</v>
      </c>
      <c r="H382" s="5" t="n">
        <v>4</v>
      </c>
      <c r="I382" s="5" t="inlineStr">
        <is>
          <t>grade_beam</t>
        </is>
      </c>
      <c r="J382" s="5" t="inlineStr">
        <is>
          <t>yes</t>
        </is>
      </c>
      <c r="K382" s="5" t="n">
        <v>680</v>
      </c>
      <c r="L382" s="5" t="n">
        <v>0.13</v>
      </c>
      <c r="M382" s="5" t="n">
        <v>0</v>
      </c>
      <c r="N382" s="5" t="inlineStr">
        <is>
          <t>yes</t>
        </is>
      </c>
    </row>
    <row r="383">
      <c r="A383" s="5" t="n">
        <v>382</v>
      </c>
      <c r="B383" s="5" t="inlineStr">
        <is>
          <t>LG-40x15</t>
        </is>
      </c>
      <c r="C383" s="5" t="inlineStr">
        <is>
          <t>grade_beam</t>
        </is>
      </c>
      <c r="D383" s="5" t="inlineStr">
        <is>
          <t>grade_beam</t>
        </is>
      </c>
      <c r="E383" s="5" t="n">
        <v>3087.5</v>
      </c>
      <c r="F383" s="5" t="n">
        <v>3500</v>
      </c>
      <c r="G383" s="5" t="n">
        <v>567</v>
      </c>
      <c r="H383" s="5" t="n">
        <v>4</v>
      </c>
      <c r="I383" s="5" t="inlineStr">
        <is>
          <t>grade_beam</t>
        </is>
      </c>
      <c r="J383" s="5" t="inlineStr">
        <is>
          <t>yes</t>
        </is>
      </c>
      <c r="K383" s="5" t="n">
        <v>567</v>
      </c>
      <c r="L383" s="5" t="n">
        <v>0.28</v>
      </c>
      <c r="M383" s="5" t="n">
        <v>0.04</v>
      </c>
      <c r="N383" s="5" t="inlineStr">
        <is>
          <t>yes</t>
        </is>
      </c>
    </row>
    <row r="384">
      <c r="A384" s="5" t="n">
        <v>383</v>
      </c>
      <c r="B384" s="5" t="inlineStr">
        <is>
          <t>LG-40x15</t>
        </is>
      </c>
      <c r="C384" s="5" t="inlineStr">
        <is>
          <t>grade_beam</t>
        </is>
      </c>
      <c r="D384" s="5" t="inlineStr">
        <is>
          <t>grade_beam</t>
        </is>
      </c>
      <c r="E384" s="5" t="n">
        <v>2944.8</v>
      </c>
      <c r="F384" s="5" t="n">
        <v>3481.3</v>
      </c>
      <c r="G384" s="5" t="n">
        <v>566</v>
      </c>
      <c r="H384" s="5" t="n">
        <v>4</v>
      </c>
      <c r="I384" s="5" t="inlineStr">
        <is>
          <t>grade_beam</t>
        </is>
      </c>
      <c r="J384" s="5" t="inlineStr">
        <is>
          <t>yes</t>
        </is>
      </c>
      <c r="K384" s="5" t="n">
        <v>566</v>
      </c>
      <c r="L384" s="5" t="n">
        <v>0.19</v>
      </c>
      <c r="M384" s="5" t="n">
        <v>0.04</v>
      </c>
      <c r="N384" s="5" t="inlineStr">
        <is>
          <t>yes</t>
        </is>
      </c>
    </row>
    <row r="385">
      <c r="A385" s="5" t="n">
        <v>384</v>
      </c>
      <c r="B385" s="5" t="inlineStr">
        <is>
          <t>LG-40x15</t>
        </is>
      </c>
      <c r="C385" s="5" t="inlineStr">
        <is>
          <t>grade_beam</t>
        </is>
      </c>
      <c r="D385" s="5" t="inlineStr">
        <is>
          <t>grade_beam</t>
        </is>
      </c>
      <c r="E385" s="5" t="n">
        <v>1869.8</v>
      </c>
      <c r="F385" s="5" t="n">
        <v>2478.1</v>
      </c>
      <c r="G385" s="5" t="n">
        <v>772</v>
      </c>
      <c r="H385" s="5" t="n">
        <v>4</v>
      </c>
      <c r="I385" s="5" t="inlineStr">
        <is>
          <t>grade_beam</t>
        </is>
      </c>
      <c r="J385" s="5" t="inlineStr">
        <is>
          <t>yes</t>
        </is>
      </c>
      <c r="K385" s="5" t="n">
        <v>772</v>
      </c>
      <c r="L385" s="5" t="n">
        <v>0.15</v>
      </c>
      <c r="M385" s="5" t="n">
        <v>0</v>
      </c>
      <c r="N385" s="5" t="inlineStr">
        <is>
          <t>yes</t>
        </is>
      </c>
    </row>
    <row r="386">
      <c r="A386" s="5" t="n">
        <v>385</v>
      </c>
      <c r="B386" s="5" t="inlineStr">
        <is>
          <t>LG-40x15</t>
        </is>
      </c>
      <c r="C386" s="5" t="inlineStr">
        <is>
          <t>grade_beam</t>
        </is>
      </c>
      <c r="D386" s="5" t="inlineStr">
        <is>
          <t>grade_beam</t>
        </is>
      </c>
      <c r="E386" s="5" t="n">
        <v>1694.8</v>
      </c>
      <c r="F386" s="5" t="n">
        <v>2507.3</v>
      </c>
      <c r="G386" s="5" t="n">
        <v>774</v>
      </c>
      <c r="H386" s="5" t="n">
        <v>4</v>
      </c>
      <c r="I386" s="5" t="inlineStr">
        <is>
          <t>grade_beam</t>
        </is>
      </c>
      <c r="J386" s="5" t="inlineStr">
        <is>
          <t>yes</t>
        </is>
      </c>
      <c r="K386" s="5" t="n">
        <v>774</v>
      </c>
      <c r="L386" s="5" t="n">
        <v>0.3</v>
      </c>
      <c r="M386" s="5" t="n">
        <v>0</v>
      </c>
      <c r="N386" s="5" t="inlineStr">
        <is>
          <t>yes</t>
        </is>
      </c>
    </row>
    <row r="387">
      <c r="A387" s="5" t="n">
        <v>386</v>
      </c>
      <c r="B387" s="5" t="inlineStr">
        <is>
          <t>LG-40x15</t>
        </is>
      </c>
      <c r="C387" s="5" t="inlineStr">
        <is>
          <t>grade_beam</t>
        </is>
      </c>
      <c r="D387" s="5" t="inlineStr">
        <is>
          <t>grade_beam</t>
        </is>
      </c>
      <c r="E387" s="5" t="n">
        <v>1576</v>
      </c>
      <c r="F387" s="5" t="n">
        <v>2615.6</v>
      </c>
      <c r="G387" s="5" t="n">
        <v>775</v>
      </c>
      <c r="H387" s="5" t="n">
        <v>4</v>
      </c>
      <c r="I387" s="5" t="inlineStr">
        <is>
          <t>grade_beam</t>
        </is>
      </c>
      <c r="J387" s="5" t="inlineStr">
        <is>
          <t>yes</t>
        </is>
      </c>
      <c r="K387" s="5" t="n">
        <v>775</v>
      </c>
      <c r="L387" s="5" t="n">
        <v>0.2</v>
      </c>
      <c r="M387" s="5" t="n">
        <v>0</v>
      </c>
      <c r="N387" s="5" t="inlineStr">
        <is>
          <t>yes</t>
        </is>
      </c>
    </row>
    <row r="388">
      <c r="A388" s="5" t="n">
        <v>387</v>
      </c>
      <c r="B388" s="5" t="inlineStr">
        <is>
          <t>LG-40x15</t>
        </is>
      </c>
      <c r="C388" s="5" t="inlineStr">
        <is>
          <t>grade_beam</t>
        </is>
      </c>
      <c r="D388" s="5" t="inlineStr">
        <is>
          <t>grade_beam</t>
        </is>
      </c>
      <c r="E388" s="5" t="n">
        <v>1892.7</v>
      </c>
      <c r="F388" s="5" t="n">
        <v>2624</v>
      </c>
      <c r="G388" s="5" t="n">
        <v>771</v>
      </c>
      <c r="H388" s="5" t="n">
        <v>4</v>
      </c>
      <c r="I388" s="5" t="inlineStr">
        <is>
          <t>grade_beam</t>
        </is>
      </c>
      <c r="J388" s="5" t="inlineStr">
        <is>
          <t>yes</t>
        </is>
      </c>
      <c r="K388" s="5" t="n">
        <v>771</v>
      </c>
      <c r="L388" s="5" t="n">
        <v>0.22</v>
      </c>
      <c r="M388" s="5" t="n">
        <v>0</v>
      </c>
      <c r="N388" s="5" t="inlineStr">
        <is>
          <t>no</t>
        </is>
      </c>
    </row>
    <row r="389">
      <c r="A389" s="5" t="n">
        <v>388</v>
      </c>
      <c r="B389" s="5" t="inlineStr">
        <is>
          <t>LG-40x15</t>
        </is>
      </c>
      <c r="C389" s="5" t="inlineStr">
        <is>
          <t>grade_beam</t>
        </is>
      </c>
      <c r="D389" s="5" t="inlineStr">
        <is>
          <t>grade_beam</t>
        </is>
      </c>
      <c r="E389" s="5" t="n">
        <v>1780.2</v>
      </c>
      <c r="F389" s="5" t="n">
        <v>2842.7</v>
      </c>
      <c r="G389" s="5" t="n">
        <v>771</v>
      </c>
      <c r="H389" s="5" t="n">
        <v>4</v>
      </c>
      <c r="I389" s="5" t="inlineStr">
        <is>
          <t>grade_beam</t>
        </is>
      </c>
      <c r="J389" s="5" t="inlineStr">
        <is>
          <t>yes</t>
        </is>
      </c>
      <c r="K389" s="5" t="n">
        <v>771</v>
      </c>
      <c r="L389" s="5" t="n">
        <v>0.3</v>
      </c>
      <c r="M389" s="5" t="n">
        <v>0.12</v>
      </c>
      <c r="N389" s="5" t="inlineStr">
        <is>
          <t>yes</t>
        </is>
      </c>
    </row>
    <row r="390">
      <c r="A390" s="5" t="n">
        <v>389</v>
      </c>
      <c r="B390" s="5" t="inlineStr">
        <is>
          <t>LG-40x15</t>
        </is>
      </c>
      <c r="C390" s="5" t="inlineStr">
        <is>
          <t>grade_beam</t>
        </is>
      </c>
      <c r="D390" s="5" t="inlineStr">
        <is>
          <t>grade_beam</t>
        </is>
      </c>
      <c r="E390" s="5" t="n">
        <v>1590.6</v>
      </c>
      <c r="F390" s="5" t="n">
        <v>2788.5</v>
      </c>
      <c r="G390" s="5" t="n">
        <v>776</v>
      </c>
      <c r="H390" s="5" t="n">
        <v>4</v>
      </c>
      <c r="I390" s="5" t="inlineStr">
        <is>
          <t>grade_beam</t>
        </is>
      </c>
      <c r="J390" s="5" t="inlineStr">
        <is>
          <t>yes</t>
        </is>
      </c>
      <c r="K390" s="5" t="n">
        <v>776</v>
      </c>
      <c r="L390" s="5" t="n">
        <v>0.24</v>
      </c>
      <c r="M390" s="5" t="n">
        <v>0</v>
      </c>
      <c r="N390" s="5" t="inlineStr">
        <is>
          <t>no</t>
        </is>
      </c>
    </row>
    <row r="391">
      <c r="A391" s="5" t="n">
        <v>390</v>
      </c>
      <c r="B391" s="5" t="inlineStr">
        <is>
          <t>LG-40x15</t>
        </is>
      </c>
      <c r="C391" s="5" t="inlineStr">
        <is>
          <t>grade_beam</t>
        </is>
      </c>
      <c r="D391" s="5" t="inlineStr">
        <is>
          <t>grade_beam</t>
        </is>
      </c>
      <c r="E391" s="5" t="n">
        <v>1985.4</v>
      </c>
      <c r="F391" s="5" t="n">
        <v>2438.5</v>
      </c>
      <c r="G391" s="5" t="n">
        <v>771</v>
      </c>
      <c r="H391" s="5" t="n">
        <v>4</v>
      </c>
      <c r="I391" s="5" t="inlineStr">
        <is>
          <t>grade_beam</t>
        </is>
      </c>
      <c r="J391" s="5" t="inlineStr">
        <is>
          <t>yes</t>
        </is>
      </c>
      <c r="K391" s="5" t="n">
        <v>771</v>
      </c>
      <c r="L391" s="5" t="n">
        <v>0.23</v>
      </c>
      <c r="M391" s="5" t="n">
        <v>0.57</v>
      </c>
      <c r="N391" s="5" t="inlineStr">
        <is>
          <t>yes</t>
        </is>
      </c>
    </row>
    <row r="392">
      <c r="A392" s="5" t="n">
        <v>391</v>
      </c>
      <c r="B392" s="5" t="inlineStr">
        <is>
          <t>LG-40x15</t>
        </is>
      </c>
      <c r="C392" s="5" t="inlineStr">
        <is>
          <t>grade_beam</t>
        </is>
      </c>
      <c r="D392" s="5" t="inlineStr">
        <is>
          <t>grade_beam</t>
        </is>
      </c>
      <c r="E392" s="5" t="n">
        <v>979.2</v>
      </c>
      <c r="F392" s="5" t="n">
        <v>1997.9</v>
      </c>
      <c r="G392" s="5" t="n">
        <v>913</v>
      </c>
      <c r="H392" s="5" t="n">
        <v>4</v>
      </c>
      <c r="I392" s="5" t="inlineStr">
        <is>
          <t>grade_beam</t>
        </is>
      </c>
      <c r="J392" s="5" t="inlineStr">
        <is>
          <t>yes</t>
        </is>
      </c>
      <c r="K392" s="5" t="n">
        <v>913</v>
      </c>
      <c r="L392" s="5" t="n">
        <v>0.22</v>
      </c>
      <c r="M392" s="5" t="n">
        <v>0.02</v>
      </c>
      <c r="N392" s="5" t="inlineStr">
        <is>
          <t>yes</t>
        </is>
      </c>
    </row>
    <row r="393">
      <c r="A393" s="5" t="n">
        <v>392</v>
      </c>
      <c r="B393" s="5" t="inlineStr">
        <is>
          <t>LG-40x15</t>
        </is>
      </c>
      <c r="C393" s="5" t="inlineStr">
        <is>
          <t>grade_beam</t>
        </is>
      </c>
      <c r="D393" s="5" t="inlineStr">
        <is>
          <t>grade_beam</t>
        </is>
      </c>
      <c r="E393" s="5" t="n">
        <v>933.3</v>
      </c>
      <c r="F393" s="5" t="n">
        <v>1804.2</v>
      </c>
      <c r="G393" s="5" t="n">
        <v>1058</v>
      </c>
      <c r="H393" s="5" t="n">
        <v>4</v>
      </c>
      <c r="I393" s="5" t="inlineStr">
        <is>
          <t>grade_beam</t>
        </is>
      </c>
      <c r="J393" s="5" t="inlineStr">
        <is>
          <t>yes</t>
        </is>
      </c>
      <c r="K393" s="5" t="n">
        <v>1058</v>
      </c>
      <c r="L393" s="5" t="n">
        <v>0.19</v>
      </c>
      <c r="M393" s="5" t="n">
        <v>0.12</v>
      </c>
      <c r="N393" s="5" t="inlineStr">
        <is>
          <t>yes</t>
        </is>
      </c>
    </row>
    <row r="394">
      <c r="A394" s="5" t="n">
        <v>393</v>
      </c>
      <c r="B394" s="5" t="inlineStr">
        <is>
          <t>LG-40x15</t>
        </is>
      </c>
      <c r="C394" s="5" t="inlineStr">
        <is>
          <t>grade_beam</t>
        </is>
      </c>
      <c r="D394" s="5" t="inlineStr">
        <is>
          <t>grade_beam</t>
        </is>
      </c>
      <c r="E394" s="5" t="n">
        <v>1153.1</v>
      </c>
      <c r="F394" s="5" t="n">
        <v>1745.8</v>
      </c>
      <c r="G394" s="5" t="n">
        <v>1058</v>
      </c>
      <c r="H394" s="5" t="n">
        <v>4</v>
      </c>
      <c r="I394" s="5" t="inlineStr">
        <is>
          <t>grade_beam</t>
        </is>
      </c>
      <c r="J394" s="5" t="inlineStr">
        <is>
          <t>yes</t>
        </is>
      </c>
      <c r="K394" s="5" t="n">
        <v>1058</v>
      </c>
      <c r="L394" s="5" t="n">
        <v>0.2</v>
      </c>
      <c r="M394" s="5" t="n">
        <v>0.01</v>
      </c>
      <c r="N394" s="5" t="inlineStr">
        <is>
          <t>yes</t>
        </is>
      </c>
    </row>
    <row r="395">
      <c r="A395" s="5" t="n">
        <v>394</v>
      </c>
      <c r="B395" s="5" t="inlineStr">
        <is>
          <t>LG-40x15</t>
        </is>
      </c>
      <c r="C395" s="5" t="inlineStr">
        <is>
          <t>grade_beam</t>
        </is>
      </c>
      <c r="D395" s="5" t="inlineStr">
        <is>
          <t>grade_beam</t>
        </is>
      </c>
      <c r="E395" s="5" t="n">
        <v>1262.5</v>
      </c>
      <c r="F395" s="5" t="n">
        <v>2056.2</v>
      </c>
      <c r="G395" s="5" t="n">
        <v>915</v>
      </c>
      <c r="H395" s="5" t="n">
        <v>4</v>
      </c>
      <c r="I395" s="5" t="inlineStr">
        <is>
          <t>grade_beam</t>
        </is>
      </c>
      <c r="J395" s="5" t="inlineStr">
        <is>
          <t>yes</t>
        </is>
      </c>
      <c r="K395" s="5" t="n">
        <v>915</v>
      </c>
      <c r="L395" s="5" t="n">
        <v>0.28</v>
      </c>
      <c r="M395" s="5" t="n">
        <v>0.02</v>
      </c>
      <c r="N395" s="5" t="inlineStr">
        <is>
          <t>yes</t>
        </is>
      </c>
    </row>
    <row r="396">
      <c r="A396" s="5" t="n">
        <v>395</v>
      </c>
      <c r="B396" s="5" t="inlineStr">
        <is>
          <t>LG-40x15</t>
        </is>
      </c>
      <c r="C396" s="5" t="inlineStr">
        <is>
          <t>grade_beam</t>
        </is>
      </c>
      <c r="D396" s="5" t="inlineStr">
        <is>
          <t>grade_beam</t>
        </is>
      </c>
      <c r="E396" s="5" t="n">
        <v>1445.8</v>
      </c>
      <c r="F396" s="5" t="n">
        <v>2010.4</v>
      </c>
      <c r="G396" s="5" t="n">
        <v>915</v>
      </c>
      <c r="H396" s="5" t="n">
        <v>4</v>
      </c>
      <c r="I396" s="5" t="inlineStr">
        <is>
          <t>grade_beam</t>
        </is>
      </c>
      <c r="J396" s="5" t="inlineStr">
        <is>
          <t>yes</t>
        </is>
      </c>
      <c r="K396" s="5" t="n">
        <v>915</v>
      </c>
      <c r="L396" s="5" t="n">
        <v>0.21</v>
      </c>
      <c r="M396" s="5" t="n">
        <v>0.22</v>
      </c>
      <c r="N396" s="5" t="inlineStr">
        <is>
          <t>yes</t>
        </is>
      </c>
    </row>
    <row r="397">
      <c r="A397" s="5" t="n">
        <v>396</v>
      </c>
      <c r="B397" s="5" t="inlineStr">
        <is>
          <t>LG-40x15</t>
        </is>
      </c>
      <c r="C397" s="5" t="inlineStr">
        <is>
          <t>grade_beam</t>
        </is>
      </c>
      <c r="D397" s="5" t="inlineStr">
        <is>
          <t>grade_beam</t>
        </is>
      </c>
      <c r="E397" s="5" t="n">
        <v>1387.5</v>
      </c>
      <c r="F397" s="5" t="n">
        <v>1814.6</v>
      </c>
      <c r="G397" s="5" t="n">
        <v>917</v>
      </c>
      <c r="H397" s="5" t="n">
        <v>4</v>
      </c>
      <c r="I397" s="5" t="inlineStr">
        <is>
          <t>grade_beam</t>
        </is>
      </c>
      <c r="J397" s="5" t="inlineStr">
        <is>
          <t>yes</t>
        </is>
      </c>
      <c r="K397" s="5" t="n">
        <v>917</v>
      </c>
      <c r="L397" s="5" t="n">
        <v>0.21</v>
      </c>
      <c r="M397" s="5" t="n">
        <v>0.28</v>
      </c>
      <c r="N397" s="5" t="inlineStr">
        <is>
          <t>yes</t>
        </is>
      </c>
    </row>
    <row r="398">
      <c r="A398" s="5" t="n">
        <v>397</v>
      </c>
      <c r="B398" s="5" t="inlineStr">
        <is>
          <t>LG-40x15</t>
        </is>
      </c>
      <c r="C398" s="5" t="inlineStr">
        <is>
          <t>grade_beam</t>
        </is>
      </c>
      <c r="D398" s="5" t="inlineStr">
        <is>
          <t>grade_beam</t>
        </is>
      </c>
      <c r="E398" s="5" t="n">
        <v>1355.2</v>
      </c>
      <c r="F398" s="5" t="n">
        <v>1693.8</v>
      </c>
      <c r="G398" s="5" t="n">
        <v>1058</v>
      </c>
      <c r="H398" s="5" t="n">
        <v>4</v>
      </c>
      <c r="I398" s="5" t="inlineStr">
        <is>
          <t>grade_beam</t>
        </is>
      </c>
      <c r="J398" s="5" t="inlineStr">
        <is>
          <t>yes</t>
        </is>
      </c>
      <c r="K398" s="5" t="n">
        <v>1058</v>
      </c>
      <c r="L398" s="5" t="n">
        <v>0.17</v>
      </c>
      <c r="M398" s="5" t="n">
        <v>0.02</v>
      </c>
      <c r="N398" s="5" t="inlineStr">
        <is>
          <t>yes</t>
        </is>
      </c>
    </row>
    <row r="399">
      <c r="A399" s="5" t="n">
        <v>398</v>
      </c>
      <c r="B399" s="5" t="inlineStr">
        <is>
          <t>LG-40x15</t>
        </is>
      </c>
      <c r="C399" s="5" t="inlineStr">
        <is>
          <t>grade_beam</t>
        </is>
      </c>
      <c r="D399" s="5" t="inlineStr">
        <is>
          <t>grade_beam</t>
        </is>
      </c>
      <c r="E399" s="5" t="n">
        <v>1335.4</v>
      </c>
      <c r="F399" s="5" t="n">
        <v>1943.8</v>
      </c>
      <c r="G399" s="5" t="n">
        <v>912</v>
      </c>
      <c r="H399" s="5" t="n">
        <v>4</v>
      </c>
      <c r="I399" s="5" t="inlineStr">
        <is>
          <t>grade_beam</t>
        </is>
      </c>
      <c r="J399" s="5" t="inlineStr">
        <is>
          <t>yes</t>
        </is>
      </c>
      <c r="K399" s="5" t="n">
        <v>912</v>
      </c>
      <c r="L399" s="5" t="n">
        <v>0.17</v>
      </c>
      <c r="M399" s="5" t="n">
        <v>0</v>
      </c>
      <c r="N399" s="5" t="inlineStr">
        <is>
          <t>yes</t>
        </is>
      </c>
    </row>
    <row r="400">
      <c r="A400" s="5" t="n">
        <v>399</v>
      </c>
      <c r="B400" s="5" t="inlineStr">
        <is>
          <t>LG-40x15</t>
        </is>
      </c>
      <c r="C400" s="5" t="inlineStr">
        <is>
          <t>grade_beam</t>
        </is>
      </c>
      <c r="D400" s="5" t="inlineStr">
        <is>
          <t>grade_beam</t>
        </is>
      </c>
      <c r="E400" s="5" t="n">
        <v>1258.3</v>
      </c>
      <c r="F400" s="5" t="n">
        <v>1621.9</v>
      </c>
      <c r="G400" s="5" t="n">
        <v>1057</v>
      </c>
      <c r="H400" s="5" t="n">
        <v>4</v>
      </c>
      <c r="I400" s="5" t="inlineStr">
        <is>
          <t>grade_beam</t>
        </is>
      </c>
      <c r="J400" s="5" t="inlineStr">
        <is>
          <t>yes</t>
        </is>
      </c>
      <c r="K400" s="5" t="n">
        <v>1057</v>
      </c>
      <c r="L400" s="5" t="n">
        <v>0.24</v>
      </c>
      <c r="M400" s="5" t="n">
        <v>0</v>
      </c>
      <c r="N400" s="5" t="inlineStr">
        <is>
          <t>yes</t>
        </is>
      </c>
    </row>
    <row r="401">
      <c r="A401" s="5" t="n">
        <v>400</v>
      </c>
      <c r="B401" s="5" t="inlineStr">
        <is>
          <t>LG-40x15</t>
        </is>
      </c>
      <c r="C401" s="5" t="inlineStr">
        <is>
          <t>grade_beam</t>
        </is>
      </c>
      <c r="D401" s="5" t="inlineStr">
        <is>
          <t>grade_beam</t>
        </is>
      </c>
      <c r="E401" s="5" t="n">
        <v>1205.2</v>
      </c>
      <c r="F401" s="5" t="n">
        <v>1414.6</v>
      </c>
      <c r="G401" s="5" t="n">
        <v>1057</v>
      </c>
      <c r="H401" s="5" t="n">
        <v>4</v>
      </c>
      <c r="I401" s="5" t="inlineStr">
        <is>
          <t>grade_beam</t>
        </is>
      </c>
      <c r="J401" s="5" t="inlineStr">
        <is>
          <t>yes</t>
        </is>
      </c>
      <c r="K401" s="5" t="n">
        <v>1057</v>
      </c>
      <c r="L401" s="5" t="n">
        <v>0.24</v>
      </c>
      <c r="M401" s="5" t="n">
        <v>0</v>
      </c>
      <c r="N401" s="5" t="inlineStr">
        <is>
          <t>yes</t>
        </is>
      </c>
    </row>
    <row r="402">
      <c r="A402" s="5" t="n">
        <v>401</v>
      </c>
      <c r="B402" s="5" t="inlineStr">
        <is>
          <t>LG-40x15</t>
        </is>
      </c>
      <c r="C402" s="5" t="inlineStr">
        <is>
          <t>grade_beam</t>
        </is>
      </c>
      <c r="D402" s="5" t="inlineStr">
        <is>
          <t>grade_beam</t>
        </is>
      </c>
      <c r="E402" s="5" t="n">
        <v>1145.8</v>
      </c>
      <c r="F402" s="5" t="n">
        <v>1195.8</v>
      </c>
      <c r="G402" s="5" t="n">
        <v>1057</v>
      </c>
      <c r="H402" s="5" t="n">
        <v>4</v>
      </c>
      <c r="I402" s="5" t="inlineStr">
        <is>
          <t>grade_beam</t>
        </is>
      </c>
      <c r="J402" s="5" t="inlineStr">
        <is>
          <t>yes</t>
        </is>
      </c>
      <c r="K402" s="5" t="n">
        <v>1057</v>
      </c>
      <c r="L402" s="5" t="n">
        <v>0.13</v>
      </c>
      <c r="M402" s="5" t="n">
        <v>0.3</v>
      </c>
      <c r="N402" s="5" t="inlineStr">
        <is>
          <t>yes</t>
        </is>
      </c>
    </row>
    <row r="403">
      <c r="A403" s="5" t="n">
        <v>402</v>
      </c>
      <c r="B403" s="5" t="inlineStr">
        <is>
          <t>LG-40x15</t>
        </is>
      </c>
      <c r="C403" s="5" t="inlineStr">
        <is>
          <t>grade_beam</t>
        </is>
      </c>
      <c r="D403" s="5" t="inlineStr">
        <is>
          <t>grade_beam</t>
        </is>
      </c>
      <c r="E403" s="5" t="n">
        <v>932.3</v>
      </c>
      <c r="F403" s="5" t="n">
        <v>1313.5</v>
      </c>
      <c r="G403" s="5" t="n">
        <v>1059</v>
      </c>
      <c r="H403" s="5" t="n">
        <v>4</v>
      </c>
      <c r="I403" s="5" t="inlineStr">
        <is>
          <t>grade_beam</t>
        </is>
      </c>
      <c r="J403" s="5" t="inlineStr">
        <is>
          <t>yes</t>
        </is>
      </c>
      <c r="K403" s="5" t="n">
        <v>1059</v>
      </c>
      <c r="L403" s="5" t="n">
        <v>0.14</v>
      </c>
      <c r="M403" s="5" t="n">
        <v>0.01</v>
      </c>
      <c r="N403" s="5" t="inlineStr">
        <is>
          <t>yes</t>
        </is>
      </c>
    </row>
    <row r="404">
      <c r="A404" s="5" t="n">
        <v>403</v>
      </c>
      <c r="B404" s="5" t="inlineStr">
        <is>
          <t>LG-40x15</t>
        </is>
      </c>
      <c r="C404" s="5" t="inlineStr">
        <is>
          <t>grade_beam</t>
        </is>
      </c>
      <c r="D404" s="5" t="inlineStr">
        <is>
          <t>grade_beam</t>
        </is>
      </c>
      <c r="E404" s="5" t="n">
        <v>1036.5</v>
      </c>
      <c r="F404" s="5" t="n">
        <v>1702.1</v>
      </c>
      <c r="G404" s="5" t="n">
        <v>1059</v>
      </c>
      <c r="H404" s="5" t="n">
        <v>4</v>
      </c>
      <c r="I404" s="5" t="inlineStr">
        <is>
          <t>grade_beam</t>
        </is>
      </c>
      <c r="J404" s="5" t="inlineStr">
        <is>
          <t>yes</t>
        </is>
      </c>
      <c r="K404" s="5" t="n">
        <v>1059</v>
      </c>
      <c r="L404" s="5" t="n">
        <v>0.17</v>
      </c>
      <c r="M404" s="5" t="n">
        <v>0</v>
      </c>
      <c r="N404" s="5" t="inlineStr">
        <is>
          <t>yes</t>
        </is>
      </c>
    </row>
    <row r="405">
      <c r="A405" s="5" t="n">
        <v>404</v>
      </c>
      <c r="B405" s="5" t="inlineStr">
        <is>
          <t>LG-40x15</t>
        </is>
      </c>
      <c r="C405" s="5" t="inlineStr">
        <is>
          <t>grade_beam</t>
        </is>
      </c>
      <c r="D405" s="5" t="inlineStr">
        <is>
          <t>grade_beam</t>
        </is>
      </c>
      <c r="E405" s="5" t="n">
        <v>1122.9</v>
      </c>
      <c r="F405" s="5" t="n">
        <v>2076</v>
      </c>
      <c r="G405" s="5" t="n">
        <v>916</v>
      </c>
      <c r="H405" s="5" t="n">
        <v>4</v>
      </c>
      <c r="I405" s="5" t="inlineStr">
        <is>
          <t>grade_beam</t>
        </is>
      </c>
      <c r="J405" s="5" t="inlineStr">
        <is>
          <t>yes</t>
        </is>
      </c>
      <c r="K405" s="5" t="n">
        <v>916</v>
      </c>
      <c r="L405" s="5" t="n">
        <v>0.18</v>
      </c>
      <c r="M405" s="5" t="n">
        <v>0.05</v>
      </c>
      <c r="N405" s="5" t="inlineStr">
        <is>
          <t>yes</t>
        </is>
      </c>
    </row>
    <row r="406">
      <c r="A406" s="5" t="n">
        <v>405</v>
      </c>
      <c r="B406" s="5" t="inlineStr">
        <is>
          <t>LG-40x15</t>
        </is>
      </c>
      <c r="C406" s="5" t="inlineStr">
        <is>
          <t>grade_beam</t>
        </is>
      </c>
      <c r="D406" s="5" t="inlineStr">
        <is>
          <t>grade_beam</t>
        </is>
      </c>
      <c r="E406" s="5" t="n">
        <v>985.4</v>
      </c>
      <c r="F406" s="5" t="n">
        <v>1512.5</v>
      </c>
      <c r="G406" s="5" t="n">
        <v>1059</v>
      </c>
      <c r="H406" s="5" t="n">
        <v>4</v>
      </c>
      <c r="I406" s="5" t="inlineStr">
        <is>
          <t>grade_beam</t>
        </is>
      </c>
      <c r="J406" s="5" t="inlineStr">
        <is>
          <t>yes</t>
        </is>
      </c>
      <c r="K406" s="5" t="n">
        <v>1059</v>
      </c>
      <c r="L406" s="5" t="n">
        <v>0.15</v>
      </c>
      <c r="M406" s="5" t="n">
        <v>0</v>
      </c>
      <c r="N406" s="5" t="inlineStr">
        <is>
          <t>yes</t>
        </is>
      </c>
    </row>
    <row r="407">
      <c r="A407" s="5" t="n">
        <v>406</v>
      </c>
      <c r="B407" s="5" t="inlineStr">
        <is>
          <t>LG-40x15</t>
        </is>
      </c>
      <c r="C407" s="5" t="inlineStr">
        <is>
          <t>grade_beam</t>
        </is>
      </c>
      <c r="D407" s="5" t="inlineStr">
        <is>
          <t>grade_beam</t>
        </is>
      </c>
      <c r="E407" s="5" t="n">
        <v>1163.5</v>
      </c>
      <c r="F407" s="5" t="n">
        <v>1783.3</v>
      </c>
      <c r="G407" s="5" t="n">
        <v>911</v>
      </c>
      <c r="H407" s="5" t="n">
        <v>4</v>
      </c>
      <c r="I407" s="5" t="inlineStr">
        <is>
          <t>grade_beam</t>
        </is>
      </c>
      <c r="J407" s="5" t="inlineStr">
        <is>
          <t>yes</t>
        </is>
      </c>
      <c r="K407" s="5" t="n">
        <v>911</v>
      </c>
      <c r="L407" s="5" t="n">
        <v>0.2</v>
      </c>
      <c r="M407" s="5" t="n">
        <v>0.1</v>
      </c>
      <c r="N407" s="5" t="inlineStr">
        <is>
          <t>yes</t>
        </is>
      </c>
    </row>
    <row r="408">
      <c r="A408" s="5" t="n">
        <v>407</v>
      </c>
      <c r="B408" s="5" t="inlineStr">
        <is>
          <t>LG-40x15</t>
        </is>
      </c>
      <c r="C408" s="5" t="inlineStr">
        <is>
          <t>grade_beam</t>
        </is>
      </c>
      <c r="D408" s="5" t="inlineStr">
        <is>
          <t>grade_beam</t>
        </is>
      </c>
      <c r="E408" s="5" t="n">
        <v>1050</v>
      </c>
      <c r="F408" s="5" t="n">
        <v>1312.5</v>
      </c>
      <c r="G408" s="5" t="n">
        <v>1060</v>
      </c>
      <c r="H408" s="5" t="n">
        <v>4</v>
      </c>
      <c r="I408" s="5" t="inlineStr">
        <is>
          <t>grade_beam</t>
        </is>
      </c>
      <c r="J408" s="5" t="inlineStr">
        <is>
          <t>yes</t>
        </is>
      </c>
      <c r="K408" s="5" t="n">
        <v>1060</v>
      </c>
      <c r="L408" s="5" t="n">
        <v>0.18</v>
      </c>
      <c r="M408" s="5" t="n">
        <v>0.14</v>
      </c>
      <c r="N408" s="5" t="inlineStr">
        <is>
          <t>yes</t>
        </is>
      </c>
    </row>
    <row r="409">
      <c r="A409" s="5" t="n">
        <v>408</v>
      </c>
      <c r="B409" s="5" t="inlineStr">
        <is>
          <t>LG-40x15</t>
        </is>
      </c>
      <c r="C409" s="5" t="inlineStr">
        <is>
          <t>grade_beam</t>
        </is>
      </c>
      <c r="D409" s="5" t="inlineStr">
        <is>
          <t>grade_beam</t>
        </is>
      </c>
      <c r="E409" s="5" t="n">
        <v>881.3</v>
      </c>
      <c r="F409" s="5" t="n">
        <v>1619.8</v>
      </c>
      <c r="G409" s="5" t="n">
        <v>1062</v>
      </c>
      <c r="H409" s="5" t="n">
        <v>4</v>
      </c>
      <c r="I409" s="5" t="inlineStr">
        <is>
          <t>grade_beam</t>
        </is>
      </c>
      <c r="J409" s="5" t="inlineStr">
        <is>
          <t>yes</t>
        </is>
      </c>
      <c r="K409" s="5" t="n">
        <v>1062</v>
      </c>
      <c r="L409" s="5" t="n">
        <v>0.17</v>
      </c>
      <c r="M409" s="5" t="n">
        <v>0.24</v>
      </c>
      <c r="N409" s="5" t="inlineStr">
        <is>
          <t>yes</t>
        </is>
      </c>
    </row>
    <row r="410">
      <c r="A410" s="5" t="n">
        <v>409</v>
      </c>
      <c r="B410" s="5" t="inlineStr">
        <is>
          <t>LG-40x15</t>
        </is>
      </c>
      <c r="C410" s="5" t="inlineStr">
        <is>
          <t>grade_beam</t>
        </is>
      </c>
      <c r="D410" s="5" t="inlineStr">
        <is>
          <t>grade_beam</t>
        </is>
      </c>
      <c r="E410" s="5" t="n">
        <v>1395.8</v>
      </c>
      <c r="F410" s="5" t="n">
        <v>2176</v>
      </c>
      <c r="G410" s="5" t="n">
        <v>912</v>
      </c>
      <c r="H410" s="5" t="n">
        <v>4</v>
      </c>
      <c r="I410" s="5" t="inlineStr">
        <is>
          <t>grade_beam</t>
        </is>
      </c>
      <c r="J410" s="5" t="inlineStr">
        <is>
          <t>yes</t>
        </is>
      </c>
      <c r="K410" s="5" t="n">
        <v>912</v>
      </c>
      <c r="L410" s="5" t="n">
        <v>0.18</v>
      </c>
      <c r="M410" s="5" t="n">
        <v>0.02</v>
      </c>
      <c r="N410" s="5" t="inlineStr">
        <is>
          <t>yes</t>
        </is>
      </c>
    </row>
    <row r="411">
      <c r="A411" s="5" t="n">
        <v>410</v>
      </c>
      <c r="B411" s="5" t="inlineStr">
        <is>
          <t>LG-40x15</t>
        </is>
      </c>
      <c r="C411" s="5" t="inlineStr">
        <is>
          <t>grade_beam</t>
        </is>
      </c>
      <c r="D411" s="5" t="inlineStr">
        <is>
          <t>grade_beam</t>
        </is>
      </c>
      <c r="E411" s="5" t="n">
        <v>1502.1</v>
      </c>
      <c r="F411" s="5" t="n">
        <v>2182.3</v>
      </c>
      <c r="G411" s="5" t="n">
        <v>914</v>
      </c>
      <c r="H411" s="5" t="n">
        <v>4</v>
      </c>
      <c r="I411" s="5" t="inlineStr">
        <is>
          <t>grade_beam</t>
        </is>
      </c>
      <c r="J411" s="5" t="inlineStr">
        <is>
          <t>yes</t>
        </is>
      </c>
      <c r="K411" s="5" t="n">
        <v>914</v>
      </c>
      <c r="L411" s="5" t="n">
        <v>0.15</v>
      </c>
      <c r="M411" s="5" t="n">
        <v>0</v>
      </c>
      <c r="N411" s="5" t="inlineStr">
        <is>
          <t>no</t>
        </is>
      </c>
    </row>
    <row r="412">
      <c r="A412" s="5" t="n">
        <v>411</v>
      </c>
      <c r="B412" s="5" t="inlineStr">
        <is>
          <t>LG-40x15</t>
        </is>
      </c>
      <c r="C412" s="5" t="inlineStr">
        <is>
          <t>grade_beam</t>
        </is>
      </c>
      <c r="D412" s="5" t="inlineStr">
        <is>
          <t>grade_beam</t>
        </is>
      </c>
      <c r="E412" s="5" t="n">
        <v>1519.8</v>
      </c>
      <c r="F412" s="5" t="n">
        <v>2215.6</v>
      </c>
      <c r="G412" s="5" t="n">
        <v>773</v>
      </c>
      <c r="H412" s="5" t="n">
        <v>4</v>
      </c>
      <c r="I412" s="5" t="inlineStr">
        <is>
          <t>grade_beam</t>
        </is>
      </c>
      <c r="J412" s="5" t="inlineStr">
        <is>
          <t>yes</t>
        </is>
      </c>
      <c r="K412" s="5" t="n">
        <v>773</v>
      </c>
      <c r="L412" s="5" t="n">
        <v>0.19</v>
      </c>
      <c r="M412" s="5" t="n">
        <v>0</v>
      </c>
      <c r="N412" s="5" t="inlineStr">
        <is>
          <t>no</t>
        </is>
      </c>
    </row>
    <row r="413">
      <c r="A413" s="5" t="n">
        <v>412</v>
      </c>
      <c r="B413" s="5" t="inlineStr">
        <is>
          <t>LG 25x40</t>
        </is>
      </c>
      <c r="C413" s="5" t="inlineStr">
        <is>
          <t>grade_beam</t>
        </is>
      </c>
      <c r="D413" s="5" t="inlineStr">
        <is>
          <t>grade_beam</t>
        </is>
      </c>
      <c r="E413" s="5" t="n">
        <v>1286.5</v>
      </c>
      <c r="F413" s="5" t="n">
        <v>2475</v>
      </c>
      <c r="G413" s="5" t="n">
        <v>770</v>
      </c>
      <c r="H413" s="5" t="n">
        <v>2</v>
      </c>
      <c r="I413" s="5" t="inlineStr">
        <is>
          <t>grade_beam</t>
        </is>
      </c>
      <c r="J413" s="5" t="inlineStr">
        <is>
          <t>yes</t>
        </is>
      </c>
      <c r="K413" s="5" t="n">
        <v>770</v>
      </c>
      <c r="L413" s="5" t="n">
        <v>0.19</v>
      </c>
      <c r="M413" s="5" t="n">
        <v>0</v>
      </c>
      <c r="N413" s="5" t="inlineStr">
        <is>
          <t>no</t>
        </is>
      </c>
    </row>
    <row r="414">
      <c r="A414" s="5" t="n">
        <v>413</v>
      </c>
      <c r="B414" s="5" t="inlineStr">
        <is>
          <t>LG 25x40</t>
        </is>
      </c>
      <c r="C414" s="5" t="inlineStr">
        <is>
          <t>grade_beam</t>
        </is>
      </c>
      <c r="D414" s="5" t="inlineStr">
        <is>
          <t>grade_beam</t>
        </is>
      </c>
      <c r="E414" s="5" t="n">
        <v>1207.3</v>
      </c>
      <c r="F414" s="5" t="n">
        <v>2381.2</v>
      </c>
      <c r="G414" s="5" t="n">
        <v>910</v>
      </c>
      <c r="H414" s="5" t="n">
        <v>2</v>
      </c>
      <c r="I414" s="5" t="inlineStr">
        <is>
          <t>grade_beam</t>
        </is>
      </c>
      <c r="J414" s="5" t="inlineStr">
        <is>
          <t>yes</t>
        </is>
      </c>
      <c r="K414" s="5" t="n">
        <v>910</v>
      </c>
      <c r="L414" s="5" t="n">
        <v>0.11</v>
      </c>
      <c r="M414" s="5" t="n">
        <v>0</v>
      </c>
      <c r="N414" s="5" t="inlineStr">
        <is>
          <t>no</t>
        </is>
      </c>
    </row>
    <row r="415">
      <c r="A415" s="5" t="n">
        <v>414</v>
      </c>
      <c r="B415" s="5" t="inlineStr">
        <is>
          <t>LG-40x15</t>
        </is>
      </c>
      <c r="C415" s="5" t="inlineStr">
        <is>
          <t>grade_beam</t>
        </is>
      </c>
      <c r="D415" s="5" t="inlineStr">
        <is>
          <t>grade_beam</t>
        </is>
      </c>
      <c r="E415" s="5" t="n">
        <v>1356.2</v>
      </c>
      <c r="F415" s="5" t="n">
        <v>1731.3</v>
      </c>
      <c r="G415" s="5" t="n">
        <v>911</v>
      </c>
      <c r="H415" s="5" t="n">
        <v>4</v>
      </c>
      <c r="I415" s="5" t="inlineStr">
        <is>
          <t>grade_beam</t>
        </is>
      </c>
      <c r="J415" s="5" t="inlineStr">
        <is>
          <t>yes</t>
        </is>
      </c>
      <c r="K415" s="5" t="n">
        <v>911</v>
      </c>
      <c r="L415" s="5" t="n">
        <v>0.16</v>
      </c>
      <c r="M415" s="5" t="n">
        <v>0.35</v>
      </c>
      <c r="N415" s="5" t="inlineStr">
        <is>
          <t>yes</t>
        </is>
      </c>
    </row>
    <row r="416">
      <c r="A416" s="5" t="n">
        <v>415</v>
      </c>
      <c r="B416" s="5" t="inlineStr">
        <is>
          <t>LG 25X40</t>
        </is>
      </c>
      <c r="C416" s="5" t="inlineStr">
        <is>
          <t>grade_beam</t>
        </is>
      </c>
      <c r="D416" s="5" t="inlineStr">
        <is>
          <t>grade_beam</t>
        </is>
      </c>
      <c r="E416" s="5" t="n">
        <v>853.1</v>
      </c>
      <c r="F416" s="5" t="n">
        <v>2560.4</v>
      </c>
      <c r="G416" s="5" t="n">
        <v>909</v>
      </c>
      <c r="H416" s="5" t="n">
        <v>2</v>
      </c>
      <c r="I416" s="5" t="inlineStr">
        <is>
          <t>grade_beam</t>
        </is>
      </c>
      <c r="J416" s="5" t="inlineStr">
        <is>
          <t>yes</t>
        </is>
      </c>
      <c r="K416" s="5" t="n">
        <v>909</v>
      </c>
      <c r="L416" s="5" t="n">
        <v>0.15</v>
      </c>
      <c r="M416" s="5" t="n">
        <v>0.33</v>
      </c>
      <c r="N416" s="5" t="inlineStr">
        <is>
          <t>yes</t>
        </is>
      </c>
    </row>
    <row r="417">
      <c r="A417" s="5" t="n">
        <v>416</v>
      </c>
      <c r="B417" s="5" t="inlineStr">
        <is>
          <t>LG 25X40</t>
        </is>
      </c>
      <c r="C417" s="5" t="inlineStr">
        <is>
          <t>grade_beam</t>
        </is>
      </c>
      <c r="D417" s="5" t="inlineStr">
        <is>
          <t>grade_beam</t>
        </is>
      </c>
      <c r="E417" s="5" t="n">
        <v>1006.3</v>
      </c>
      <c r="F417" s="5" t="n">
        <v>2777.1</v>
      </c>
      <c r="G417" s="5" t="n">
        <v>769</v>
      </c>
      <c r="H417" s="5" t="n">
        <v>2</v>
      </c>
      <c r="I417" s="5" t="inlineStr">
        <is>
          <t>grade_beam</t>
        </is>
      </c>
      <c r="J417" s="5" t="inlineStr">
        <is>
          <t>yes</t>
        </is>
      </c>
      <c r="K417" s="5" t="n">
        <v>769</v>
      </c>
      <c r="L417" s="5" t="n">
        <v>0.15</v>
      </c>
      <c r="M417" s="5" t="n">
        <v>0.02</v>
      </c>
      <c r="N417" s="5" t="inlineStr">
        <is>
          <t>yes</t>
        </is>
      </c>
    </row>
    <row r="418">
      <c r="A418" s="5" t="n">
        <v>417</v>
      </c>
      <c r="B418" s="5" t="inlineStr">
        <is>
          <t>LG-40x15</t>
        </is>
      </c>
      <c r="C418" s="5" t="inlineStr">
        <is>
          <t>grade_beam</t>
        </is>
      </c>
      <c r="D418" s="5" t="inlineStr">
        <is>
          <t>grade_beam</t>
        </is>
      </c>
      <c r="E418" s="5" t="n">
        <v>1349</v>
      </c>
      <c r="F418" s="5" t="n">
        <v>2353.1</v>
      </c>
      <c r="G418" s="5" t="n">
        <v>773</v>
      </c>
      <c r="H418" s="5" t="n">
        <v>4</v>
      </c>
      <c r="I418" s="5" t="inlineStr">
        <is>
          <t>grade_beam</t>
        </is>
      </c>
      <c r="J418" s="5" t="inlineStr">
        <is>
          <t>yes</t>
        </is>
      </c>
      <c r="K418" s="5" t="n">
        <v>773</v>
      </c>
      <c r="L418" s="5" t="n">
        <v>0.16</v>
      </c>
      <c r="M418" s="5" t="n">
        <v>0</v>
      </c>
      <c r="N418" s="5" t="inlineStr">
        <is>
          <t>no</t>
        </is>
      </c>
    </row>
    <row r="419">
      <c r="A419" s="5" t="n">
        <v>418</v>
      </c>
      <c r="B419" s="5" t="inlineStr">
        <is>
          <t>LG-40x15</t>
        </is>
      </c>
      <c r="C419" s="5" t="inlineStr">
        <is>
          <t>grade_beam</t>
        </is>
      </c>
      <c r="D419" s="5" t="inlineStr">
        <is>
          <t>grade_beam</t>
        </is>
      </c>
      <c r="E419" s="5" t="n">
        <v>1322.9</v>
      </c>
      <c r="F419" s="5" t="n">
        <v>2327.1</v>
      </c>
      <c r="G419" s="5" t="n">
        <v>914</v>
      </c>
      <c r="H419" s="5" t="n">
        <v>4</v>
      </c>
      <c r="I419" s="5" t="inlineStr">
        <is>
          <t>grade_beam</t>
        </is>
      </c>
      <c r="J419" s="5" t="inlineStr">
        <is>
          <t>yes</t>
        </is>
      </c>
      <c r="K419" s="5" t="n">
        <v>914</v>
      </c>
      <c r="L419" s="5" t="n">
        <v>0.17</v>
      </c>
      <c r="M419" s="5" t="n">
        <v>0</v>
      </c>
      <c r="N419" s="5" t="inlineStr">
        <is>
          <t>no</t>
        </is>
      </c>
    </row>
    <row r="420">
      <c r="A420" s="5" t="n">
        <v>419</v>
      </c>
      <c r="B420" s="5" t="inlineStr">
        <is>
          <t>LG-40x15</t>
        </is>
      </c>
      <c r="C420" s="5" t="inlineStr">
        <is>
          <t>grade_beam</t>
        </is>
      </c>
      <c r="D420" s="5" t="inlineStr">
        <is>
          <t>grade_beam</t>
        </is>
      </c>
      <c r="E420" s="5" t="n">
        <v>1077.1</v>
      </c>
      <c r="F420" s="5" t="n">
        <v>1904.2</v>
      </c>
      <c r="G420" s="5" t="n">
        <v>916</v>
      </c>
      <c r="H420" s="5" t="n">
        <v>4</v>
      </c>
      <c r="I420" s="5" t="inlineStr">
        <is>
          <t>grade_beam</t>
        </is>
      </c>
      <c r="J420" s="5" t="inlineStr">
        <is>
          <t>yes</t>
        </is>
      </c>
      <c r="K420" s="5" t="n">
        <v>916</v>
      </c>
      <c r="L420" s="5" t="n">
        <v>0.17</v>
      </c>
      <c r="M420" s="5" t="n">
        <v>0</v>
      </c>
      <c r="N420" s="5" t="inlineStr">
        <is>
          <t>yes</t>
        </is>
      </c>
    </row>
    <row r="421">
      <c r="A421" s="5" t="n">
        <v>420</v>
      </c>
      <c r="B421" s="5" t="inlineStr">
        <is>
          <t>LG-40x15</t>
        </is>
      </c>
      <c r="C421" s="5" t="inlineStr">
        <is>
          <t>grade_beam</t>
        </is>
      </c>
      <c r="D421" s="5" t="inlineStr">
        <is>
          <t>grade_beam</t>
        </is>
      </c>
      <c r="E421" s="5" t="n">
        <v>1227.1</v>
      </c>
      <c r="F421" s="5" t="n">
        <v>1933.3</v>
      </c>
      <c r="G421" s="5" t="n">
        <v>913</v>
      </c>
      <c r="H421" s="5" t="n">
        <v>4</v>
      </c>
      <c r="I421" s="5" t="inlineStr">
        <is>
          <t>grade_beam</t>
        </is>
      </c>
      <c r="J421" s="5" t="inlineStr">
        <is>
          <t>yes</t>
        </is>
      </c>
      <c r="K421" s="5" t="n">
        <v>913</v>
      </c>
      <c r="L421" s="5" t="n">
        <v>0.21</v>
      </c>
      <c r="M421" s="5" t="n">
        <v>0.02</v>
      </c>
      <c r="N421" s="5" t="inlineStr">
        <is>
          <t>yes</t>
        </is>
      </c>
    </row>
    <row r="422">
      <c r="A422" s="5" t="n">
        <v>421</v>
      </c>
      <c r="B422" s="5" t="inlineStr">
        <is>
          <t>LG-40x15</t>
        </is>
      </c>
      <c r="C422" s="5" t="inlineStr">
        <is>
          <t>grade_beam</t>
        </is>
      </c>
      <c r="D422" s="5" t="inlineStr">
        <is>
          <t>grade_beam</t>
        </is>
      </c>
      <c r="E422" s="5" t="n">
        <v>945.8</v>
      </c>
      <c r="F422" s="5" t="n">
        <v>1839.6</v>
      </c>
      <c r="G422" s="5" t="n">
        <v>911</v>
      </c>
      <c r="H422" s="5" t="n">
        <v>4</v>
      </c>
      <c r="I422" s="5" t="inlineStr">
        <is>
          <t>grade_beam</t>
        </is>
      </c>
      <c r="J422" s="5" t="inlineStr">
        <is>
          <t>yes</t>
        </is>
      </c>
      <c r="K422" s="5" t="n">
        <v>911</v>
      </c>
      <c r="L422" s="5" t="n">
        <v>0.17</v>
      </c>
      <c r="M422" s="5" t="n">
        <v>0.02</v>
      </c>
      <c r="N422" s="5" t="inlineStr">
        <is>
          <t>yes</t>
        </is>
      </c>
    </row>
    <row r="423">
      <c r="A423" s="5" t="n">
        <v>422</v>
      </c>
      <c r="B423" s="5" t="inlineStr">
        <is>
          <t>LG-40x15</t>
        </is>
      </c>
      <c r="C423" s="5" t="inlineStr">
        <is>
          <t>grade_beam</t>
        </is>
      </c>
      <c r="D423" s="5" t="inlineStr">
        <is>
          <t>grade_beam</t>
        </is>
      </c>
      <c r="E423" s="5" t="n">
        <v>1247.9</v>
      </c>
      <c r="F423" s="5" t="n">
        <v>1258.3</v>
      </c>
      <c r="G423" s="5" t="n">
        <v>1060</v>
      </c>
      <c r="H423" s="5" t="n">
        <v>4</v>
      </c>
      <c r="I423" s="5" t="inlineStr">
        <is>
          <t>grade_beam</t>
        </is>
      </c>
      <c r="J423" s="5" t="inlineStr">
        <is>
          <t>yes</t>
        </is>
      </c>
      <c r="K423" s="5" t="n">
        <v>1060</v>
      </c>
      <c r="L423" s="5" t="n">
        <v>0.25</v>
      </c>
      <c r="M423" s="5" t="n">
        <v>0.2</v>
      </c>
      <c r="N423" s="5" t="inlineStr">
        <is>
          <t>yes</t>
        </is>
      </c>
    </row>
    <row r="424">
      <c r="A424" s="5" t="n">
        <v>423</v>
      </c>
      <c r="B424" s="5" t="inlineStr">
        <is>
          <t>LG-40x15</t>
        </is>
      </c>
      <c r="C424" s="5" t="inlineStr">
        <is>
          <t>grade_beam</t>
        </is>
      </c>
      <c r="D424" s="5" t="inlineStr">
        <is>
          <t>grade_beam</t>
        </is>
      </c>
      <c r="E424" s="5" t="n">
        <v>1103.1</v>
      </c>
      <c r="F424" s="5" t="n">
        <v>1535.4</v>
      </c>
      <c r="G424" s="5" t="n">
        <v>1061</v>
      </c>
      <c r="H424" s="5" t="n">
        <v>4</v>
      </c>
      <c r="I424" s="5" t="inlineStr">
        <is>
          <t>grade_beam</t>
        </is>
      </c>
      <c r="J424" s="5" t="inlineStr">
        <is>
          <t>yes</t>
        </is>
      </c>
      <c r="K424" s="5" t="n">
        <v>1061</v>
      </c>
      <c r="L424" s="5" t="n">
        <v>0.18</v>
      </c>
      <c r="M424" s="5" t="n">
        <v>0.01</v>
      </c>
      <c r="N424" s="5" t="inlineStr">
        <is>
          <t>yes</t>
        </is>
      </c>
    </row>
    <row r="425">
      <c r="A425" s="5" t="n">
        <v>424</v>
      </c>
      <c r="B425" s="5" t="inlineStr">
        <is>
          <t>LG-40x15</t>
        </is>
      </c>
      <c r="C425" s="5" t="inlineStr">
        <is>
          <t>grade_beam</t>
        </is>
      </c>
      <c r="D425" s="5" t="inlineStr">
        <is>
          <t>grade_beam</t>
        </is>
      </c>
      <c r="E425" s="5" t="n">
        <v>1308.3</v>
      </c>
      <c r="F425" s="5" t="n">
        <v>1504.2</v>
      </c>
      <c r="G425" s="5" t="n">
        <v>1061</v>
      </c>
      <c r="H425" s="5" t="n">
        <v>4</v>
      </c>
      <c r="I425" s="5" t="inlineStr">
        <is>
          <t>grade_beam</t>
        </is>
      </c>
      <c r="J425" s="5" t="inlineStr">
        <is>
          <t>yes</t>
        </is>
      </c>
      <c r="K425" s="5" t="n">
        <v>1061</v>
      </c>
      <c r="L425" s="5" t="n">
        <v>0.16</v>
      </c>
      <c r="M425" s="5" t="n">
        <v>0.08</v>
      </c>
      <c r="N425" s="5" t="inlineStr">
        <is>
          <t>yes</t>
        </is>
      </c>
    </row>
    <row r="426">
      <c r="A426" s="5" t="n">
        <v>425</v>
      </c>
      <c r="B426" s="5" t="inlineStr">
        <is>
          <t>LG-40x15</t>
        </is>
      </c>
      <c r="C426" s="5" t="inlineStr">
        <is>
          <t>grade_beam</t>
        </is>
      </c>
      <c r="D426" s="5" t="inlineStr">
        <is>
          <t>grade_beam</t>
        </is>
      </c>
      <c r="E426" s="5" t="n">
        <v>1667.7</v>
      </c>
      <c r="F426" s="5" t="n">
        <v>2375</v>
      </c>
      <c r="G426" s="5" t="n">
        <v>772</v>
      </c>
      <c r="H426" s="5" t="n">
        <v>4</v>
      </c>
      <c r="I426" s="5" t="inlineStr">
        <is>
          <t>grade_beam</t>
        </is>
      </c>
      <c r="J426" s="5" t="inlineStr">
        <is>
          <t>yes</t>
        </is>
      </c>
      <c r="K426" s="5" t="n">
        <v>772</v>
      </c>
      <c r="L426" s="5" t="n">
        <v>0.21</v>
      </c>
      <c r="M426" s="5" t="n">
        <v>0</v>
      </c>
      <c r="N426" s="5" t="inlineStr">
        <is>
          <t>yes</t>
        </is>
      </c>
    </row>
    <row r="427">
      <c r="A427" s="5" t="n">
        <v>426</v>
      </c>
      <c r="B427" s="5" t="inlineStr">
        <is>
          <t>LG-40x15</t>
        </is>
      </c>
      <c r="C427" s="5" t="inlineStr">
        <is>
          <t>grade_beam</t>
        </is>
      </c>
      <c r="D427" s="5" t="inlineStr">
        <is>
          <t>grade_beam</t>
        </is>
      </c>
      <c r="E427" s="5" t="n">
        <v>1521.9</v>
      </c>
      <c r="F427" s="5" t="n">
        <v>2303.1</v>
      </c>
      <c r="G427" s="5" t="n">
        <v>772</v>
      </c>
      <c r="H427" s="5" t="n">
        <v>4</v>
      </c>
      <c r="I427" s="5" t="inlineStr">
        <is>
          <t>grade_beam</t>
        </is>
      </c>
      <c r="J427" s="5" t="inlineStr">
        <is>
          <t>yes</t>
        </is>
      </c>
      <c r="K427" s="5" t="n">
        <v>772</v>
      </c>
      <c r="L427" s="5" t="n">
        <v>0.17</v>
      </c>
      <c r="M427" s="5" t="n">
        <v>0</v>
      </c>
      <c r="N427" s="5" t="inlineStr">
        <is>
          <t>yes</t>
        </is>
      </c>
    </row>
    <row r="428">
      <c r="A428" s="5" t="n">
        <v>427</v>
      </c>
      <c r="B428" s="5" t="inlineStr">
        <is>
          <t>LG-40x15</t>
        </is>
      </c>
      <c r="C428" s="5" t="inlineStr">
        <is>
          <t>grade_beam</t>
        </is>
      </c>
      <c r="D428" s="5" t="inlineStr">
        <is>
          <t>grade_beam</t>
        </is>
      </c>
      <c r="E428" s="5" t="n">
        <v>1928.1</v>
      </c>
      <c r="F428" s="5" t="n">
        <v>2642.7</v>
      </c>
      <c r="G428" s="5" t="n">
        <v>682</v>
      </c>
      <c r="H428" s="5" t="n">
        <v>4</v>
      </c>
      <c r="I428" s="5" t="inlineStr">
        <is>
          <t>grade_beam</t>
        </is>
      </c>
      <c r="J428" s="5" t="inlineStr">
        <is>
          <t>yes</t>
        </is>
      </c>
      <c r="K428" s="5" t="n">
        <v>682</v>
      </c>
      <c r="L428" s="5" t="n">
        <v>0.23</v>
      </c>
      <c r="M428" s="5" t="n">
        <v>0</v>
      </c>
      <c r="N428" s="5" t="inlineStr">
        <is>
          <t>yes</t>
        </is>
      </c>
    </row>
    <row r="429">
      <c r="A429" s="5" t="n">
        <v>428</v>
      </c>
      <c r="B429" s="5" t="inlineStr">
        <is>
          <t>LG-40x15</t>
        </is>
      </c>
      <c r="C429" s="5" t="inlineStr">
        <is>
          <t>grade_beam</t>
        </is>
      </c>
      <c r="D429" s="5" t="inlineStr">
        <is>
          <t>grade_beam</t>
        </is>
      </c>
      <c r="E429" s="5" t="n">
        <v>4309.4</v>
      </c>
      <c r="F429" s="5" t="n">
        <v>760.4</v>
      </c>
      <c r="G429" s="5" t="n">
        <v>51</v>
      </c>
      <c r="H429" s="5" t="n">
        <v>4</v>
      </c>
      <c r="I429" s="5" t="inlineStr">
        <is>
          <t>grade_beam</t>
        </is>
      </c>
      <c r="J429" s="5" t="inlineStr">
        <is>
          <t>yes</t>
        </is>
      </c>
      <c r="K429" s="5" t="n">
        <v>51</v>
      </c>
      <c r="L429" s="5" t="n">
        <v>0.12</v>
      </c>
      <c r="M429" s="5" t="n">
        <v>0</v>
      </c>
      <c r="N429" s="5" t="inlineStr">
        <is>
          <t>yes</t>
        </is>
      </c>
    </row>
    <row r="430">
      <c r="A430" s="5" t="n">
        <v>429</v>
      </c>
      <c r="B430" s="5" t="inlineStr">
        <is>
          <t>LG-40x15</t>
        </is>
      </c>
      <c r="C430" s="5" t="inlineStr">
        <is>
          <t>grade_beam</t>
        </is>
      </c>
      <c r="D430" s="5" t="inlineStr">
        <is>
          <t>grade_beam</t>
        </is>
      </c>
      <c r="E430" s="5" t="n">
        <v>4408.3</v>
      </c>
      <c r="F430" s="5" t="n">
        <v>819.8</v>
      </c>
      <c r="G430" s="5" t="n">
        <v>58</v>
      </c>
      <c r="H430" s="5" t="n">
        <v>4</v>
      </c>
      <c r="I430" s="5" t="inlineStr">
        <is>
          <t>grade_beam</t>
        </is>
      </c>
      <c r="J430" s="5" t="inlineStr">
        <is>
          <t>yes</t>
        </is>
      </c>
      <c r="K430" s="5" t="n">
        <v>58</v>
      </c>
      <c r="L430" s="5" t="n">
        <v>0.15</v>
      </c>
      <c r="M430" s="5" t="n">
        <v>0</v>
      </c>
      <c r="N430" s="5" t="inlineStr">
        <is>
          <t>yes</t>
        </is>
      </c>
    </row>
    <row r="431">
      <c r="A431" s="5" t="n">
        <v>430</v>
      </c>
      <c r="B431" s="5" t="inlineStr">
        <is>
          <t>LG-40x15</t>
        </is>
      </c>
      <c r="C431" s="5" t="inlineStr">
        <is>
          <t>grade_beam</t>
        </is>
      </c>
      <c r="D431" s="5" t="inlineStr">
        <is>
          <t>grade_beam</t>
        </is>
      </c>
      <c r="E431" s="5" t="n">
        <v>4560.4</v>
      </c>
      <c r="F431" s="5" t="n">
        <v>1252.1</v>
      </c>
      <c r="G431" s="5" t="n">
        <v>52</v>
      </c>
      <c r="H431" s="5" t="n">
        <v>4</v>
      </c>
      <c r="I431" s="5" t="inlineStr">
        <is>
          <t>grade_beam</t>
        </is>
      </c>
      <c r="J431" s="5" t="inlineStr">
        <is>
          <t>yes</t>
        </is>
      </c>
      <c r="K431" s="5" t="n">
        <v>52</v>
      </c>
      <c r="L431" s="5" t="n">
        <v>0.23</v>
      </c>
      <c r="M431" s="5" t="n">
        <v>0</v>
      </c>
      <c r="N431" s="5" t="inlineStr">
        <is>
          <t>yes</t>
        </is>
      </c>
    </row>
    <row r="432">
      <c r="A432" s="5" t="n">
        <v>431</v>
      </c>
      <c r="B432" s="5" t="inlineStr">
        <is>
          <t>LG-40x15</t>
        </is>
      </c>
      <c r="C432" s="5" t="inlineStr">
        <is>
          <t>grade_beam</t>
        </is>
      </c>
      <c r="D432" s="5" t="inlineStr">
        <is>
          <t>grade_beam</t>
        </is>
      </c>
      <c r="E432" s="5" t="n">
        <v>4558.3</v>
      </c>
      <c r="F432" s="5" t="n">
        <v>1074</v>
      </c>
      <c r="G432" s="5" t="n">
        <v>52</v>
      </c>
      <c r="H432" s="5" t="n">
        <v>4</v>
      </c>
      <c r="I432" s="5" t="inlineStr">
        <is>
          <t>grade_beam</t>
        </is>
      </c>
      <c r="J432" s="5" t="inlineStr">
        <is>
          <t>yes</t>
        </is>
      </c>
      <c r="K432" s="5" t="n">
        <v>52</v>
      </c>
      <c r="L432" s="5" t="n">
        <v>0.17</v>
      </c>
      <c r="M432" s="5" t="n">
        <v>0</v>
      </c>
      <c r="N432" s="5" t="inlineStr">
        <is>
          <t>yes</t>
        </is>
      </c>
    </row>
    <row r="433">
      <c r="A433" s="5" t="n">
        <v>432</v>
      </c>
      <c r="B433" s="5" t="inlineStr">
        <is>
          <t>LG-40x15</t>
        </is>
      </c>
      <c r="C433" s="5" t="inlineStr">
        <is>
          <t>grade_beam</t>
        </is>
      </c>
      <c r="D433" s="5" t="inlineStr">
        <is>
          <t>grade_beam</t>
        </is>
      </c>
      <c r="E433" s="5" t="n">
        <v>4558.3</v>
      </c>
      <c r="F433" s="5" t="n">
        <v>915.6</v>
      </c>
      <c r="G433" s="5" t="n">
        <v>52</v>
      </c>
      <c r="H433" s="5" t="n">
        <v>4</v>
      </c>
      <c r="I433" s="5" t="inlineStr">
        <is>
          <t>grade_beam</t>
        </is>
      </c>
      <c r="J433" s="5" t="inlineStr">
        <is>
          <t>yes</t>
        </is>
      </c>
      <c r="K433" s="5" t="n">
        <v>52</v>
      </c>
      <c r="L433" s="5" t="n">
        <v>0.18</v>
      </c>
      <c r="M433" s="5" t="n">
        <v>0</v>
      </c>
      <c r="N433" s="5" t="inlineStr">
        <is>
          <t>yes</t>
        </is>
      </c>
    </row>
    <row r="434">
      <c r="A434" s="5" t="n">
        <v>433</v>
      </c>
      <c r="B434" s="5" t="inlineStr">
        <is>
          <t>LG-40x15</t>
        </is>
      </c>
      <c r="C434" s="5" t="inlineStr">
        <is>
          <t>grade_beam</t>
        </is>
      </c>
      <c r="D434" s="5" t="inlineStr">
        <is>
          <t>grade_beam</t>
        </is>
      </c>
      <c r="E434" s="5" t="n">
        <v>4558.3</v>
      </c>
      <c r="F434" s="5" t="n">
        <v>771.9</v>
      </c>
      <c r="G434" s="5" t="n">
        <v>52</v>
      </c>
      <c r="H434" s="5" t="n">
        <v>4</v>
      </c>
      <c r="I434" s="5" t="inlineStr">
        <is>
          <t>grade_beam</t>
        </is>
      </c>
      <c r="J434" s="5" t="inlineStr">
        <is>
          <t>yes</t>
        </is>
      </c>
      <c r="K434" s="5" t="n">
        <v>52</v>
      </c>
      <c r="L434" s="5" t="n">
        <v>0.19</v>
      </c>
      <c r="M434" s="5" t="n">
        <v>0</v>
      </c>
      <c r="N434" s="5" t="inlineStr">
        <is>
          <t>yes</t>
        </is>
      </c>
    </row>
    <row r="435">
      <c r="A435" s="5" t="n">
        <v>434</v>
      </c>
      <c r="B435" s="5" t="inlineStr">
        <is>
          <t>LG-40x15</t>
        </is>
      </c>
      <c r="C435" s="5" t="inlineStr">
        <is>
          <t>grade_beam</t>
        </is>
      </c>
      <c r="D435" s="5" t="inlineStr">
        <is>
          <t>grade_beam</t>
        </is>
      </c>
      <c r="E435" s="5" t="n">
        <v>4558.3</v>
      </c>
      <c r="F435" s="5" t="n">
        <v>628.1</v>
      </c>
      <c r="G435" s="5" t="n">
        <v>52</v>
      </c>
      <c r="H435" s="5" t="n">
        <v>4</v>
      </c>
      <c r="I435" s="5" t="inlineStr">
        <is>
          <t>grade_beam</t>
        </is>
      </c>
      <c r="J435" s="5" t="inlineStr">
        <is>
          <t>yes</t>
        </is>
      </c>
      <c r="K435" s="5" t="n">
        <v>52</v>
      </c>
      <c r="L435" s="5" t="n">
        <v>0.2</v>
      </c>
      <c r="M435" s="5" t="n">
        <v>0</v>
      </c>
      <c r="N435" s="5" t="inlineStr">
        <is>
          <t>yes</t>
        </is>
      </c>
    </row>
    <row r="436">
      <c r="A436" s="5" t="n">
        <v>435</v>
      </c>
      <c r="B436" s="5" t="inlineStr">
        <is>
          <t>LG-40x15</t>
        </is>
      </c>
      <c r="C436" s="5" t="inlineStr">
        <is>
          <t>grade_beam</t>
        </is>
      </c>
      <c r="D436" s="5" t="inlineStr">
        <is>
          <t>grade_beam</t>
        </is>
      </c>
      <c r="E436" s="5" t="n">
        <v>4312.5</v>
      </c>
      <c r="F436" s="5" t="n">
        <v>1022.9</v>
      </c>
      <c r="G436" s="5" t="n">
        <v>51</v>
      </c>
      <c r="H436" s="5" t="n">
        <v>4</v>
      </c>
      <c r="I436" s="5" t="inlineStr">
        <is>
          <t>grade_beam</t>
        </is>
      </c>
      <c r="J436" s="5" t="inlineStr">
        <is>
          <t>yes</t>
        </is>
      </c>
      <c r="K436" s="5" t="n">
        <v>51</v>
      </c>
      <c r="L436" s="5" t="n">
        <v>0.23</v>
      </c>
      <c r="M436" s="5" t="n">
        <v>0</v>
      </c>
      <c r="N436" s="5" t="inlineStr">
        <is>
          <t>yes</t>
        </is>
      </c>
    </row>
    <row r="437">
      <c r="A437" s="5" t="n">
        <v>436</v>
      </c>
      <c r="B437" s="5" t="inlineStr">
        <is>
          <t>LG-40x15</t>
        </is>
      </c>
      <c r="C437" s="5" t="inlineStr">
        <is>
          <t>grade_beam</t>
        </is>
      </c>
      <c r="D437" s="5" t="inlineStr">
        <is>
          <t>grade_beam</t>
        </is>
      </c>
      <c r="E437" s="5" t="n">
        <v>4310.4</v>
      </c>
      <c r="F437" s="5" t="n">
        <v>582.3</v>
      </c>
      <c r="G437" s="5" t="n">
        <v>51</v>
      </c>
      <c r="H437" s="5" t="n">
        <v>4</v>
      </c>
      <c r="I437" s="5" t="inlineStr">
        <is>
          <t>grade_beam</t>
        </is>
      </c>
      <c r="J437" s="5" t="inlineStr">
        <is>
          <t>yes</t>
        </is>
      </c>
      <c r="K437" s="5" t="n">
        <v>51</v>
      </c>
      <c r="L437" s="5" t="n">
        <v>0.15</v>
      </c>
      <c r="M437" s="5" t="n">
        <v>0</v>
      </c>
      <c r="N437" s="5" t="inlineStr">
        <is>
          <t>yes</t>
        </is>
      </c>
    </row>
    <row r="438">
      <c r="A438" s="5" t="n">
        <v>437</v>
      </c>
      <c r="B438" s="5" t="inlineStr">
        <is>
          <t>LG-40x15</t>
        </is>
      </c>
      <c r="C438" s="5" t="inlineStr">
        <is>
          <t>grade_beam</t>
        </is>
      </c>
      <c r="D438" s="5" t="inlineStr">
        <is>
          <t>grade_beam</t>
        </is>
      </c>
      <c r="E438" s="5" t="n">
        <v>4313.5</v>
      </c>
      <c r="F438" s="5" t="n">
        <v>1216.7</v>
      </c>
      <c r="G438" s="5" t="n">
        <v>51</v>
      </c>
      <c r="H438" s="5" t="n">
        <v>4</v>
      </c>
      <c r="I438" s="5" t="inlineStr">
        <is>
          <t>grade_beam</t>
        </is>
      </c>
      <c r="J438" s="5" t="inlineStr">
        <is>
          <t>yes</t>
        </is>
      </c>
      <c r="K438" s="5" t="n">
        <v>51</v>
      </c>
      <c r="L438" s="5" t="n">
        <v>0.27</v>
      </c>
      <c r="M438" s="5" t="n">
        <v>0</v>
      </c>
      <c r="N438" s="5" t="inlineStr">
        <is>
          <t>yes</t>
        </is>
      </c>
    </row>
    <row r="439">
      <c r="A439" s="5" t="n">
        <v>438</v>
      </c>
      <c r="B439" s="5" t="inlineStr">
        <is>
          <t>LG-40x15</t>
        </is>
      </c>
      <c r="C439" s="5" t="inlineStr">
        <is>
          <t>grade_beam</t>
        </is>
      </c>
      <c r="D439" s="5" t="inlineStr">
        <is>
          <t>grade_beam</t>
        </is>
      </c>
      <c r="E439" s="5" t="n">
        <v>4434.4</v>
      </c>
      <c r="F439" s="5" t="n">
        <v>627.1</v>
      </c>
      <c r="G439" s="5" t="n">
        <v>57</v>
      </c>
      <c r="H439" s="5" t="n">
        <v>4</v>
      </c>
      <c r="I439" s="5" t="inlineStr">
        <is>
          <t>grade_beam</t>
        </is>
      </c>
      <c r="J439" s="5" t="inlineStr">
        <is>
          <t>yes</t>
        </is>
      </c>
      <c r="K439" s="5" t="n">
        <v>57</v>
      </c>
      <c r="L439" s="5" t="n">
        <v>0.18</v>
      </c>
      <c r="M439" s="5" t="n">
        <v>0.01</v>
      </c>
      <c r="N439" s="5" t="inlineStr">
        <is>
          <t>yes</t>
        </is>
      </c>
    </row>
    <row r="440">
      <c r="A440" s="5" t="n">
        <v>439</v>
      </c>
      <c r="B440" s="5" t="inlineStr">
        <is>
          <t>LG-40x15</t>
        </is>
      </c>
      <c r="C440" s="5" t="inlineStr">
        <is>
          <t>grade_beam</t>
        </is>
      </c>
      <c r="D440" s="5" t="inlineStr">
        <is>
          <t>grade_beam</t>
        </is>
      </c>
      <c r="E440" s="5" t="n">
        <v>4687.5</v>
      </c>
      <c r="F440" s="5" t="n">
        <v>674</v>
      </c>
      <c r="G440" s="5" t="n">
        <v>59</v>
      </c>
      <c r="H440" s="5" t="n">
        <v>4</v>
      </c>
      <c r="I440" s="5" t="inlineStr">
        <is>
          <t>grade_beam</t>
        </is>
      </c>
      <c r="J440" s="5" t="inlineStr">
        <is>
          <t>yes</t>
        </is>
      </c>
      <c r="K440" s="5" t="n">
        <v>59</v>
      </c>
      <c r="L440" s="5" t="n">
        <v>0.17</v>
      </c>
      <c r="M440" s="5" t="n">
        <v>0</v>
      </c>
      <c r="N440" s="5" t="inlineStr">
        <is>
          <t>yes</t>
        </is>
      </c>
    </row>
    <row r="441">
      <c r="A441" s="5" t="n">
        <v>440</v>
      </c>
      <c r="B441" s="5" t="inlineStr">
        <is>
          <t>LG-40x15</t>
        </is>
      </c>
      <c r="C441" s="5" t="inlineStr">
        <is>
          <t>grade_beam</t>
        </is>
      </c>
      <c r="D441" s="5" t="inlineStr">
        <is>
          <t>grade_beam</t>
        </is>
      </c>
      <c r="E441" s="5" t="n">
        <v>4432.3</v>
      </c>
      <c r="F441" s="5" t="n">
        <v>533.3</v>
      </c>
      <c r="G441" s="5" t="n">
        <v>55</v>
      </c>
      <c r="H441" s="5" t="n">
        <v>4</v>
      </c>
      <c r="I441" s="5" t="inlineStr">
        <is>
          <t>grade_beam</t>
        </is>
      </c>
      <c r="J441" s="5" t="inlineStr">
        <is>
          <t>yes</t>
        </is>
      </c>
      <c r="K441" s="5" t="n">
        <v>55</v>
      </c>
      <c r="L441" s="5" t="n">
        <v>0.2</v>
      </c>
      <c r="M441" s="5" t="n">
        <v>0</v>
      </c>
      <c r="N441" s="5" t="inlineStr">
        <is>
          <t>yes</t>
        </is>
      </c>
    </row>
    <row r="442">
      <c r="A442" s="5" t="n">
        <v>441</v>
      </c>
      <c r="B442" s="5" t="inlineStr">
        <is>
          <t>LG-40x15</t>
        </is>
      </c>
      <c r="C442" s="5" t="inlineStr">
        <is>
          <t>grade_beam</t>
        </is>
      </c>
      <c r="D442" s="5" t="inlineStr">
        <is>
          <t>grade_beam</t>
        </is>
      </c>
      <c r="E442" s="5" t="n">
        <v>4422.9</v>
      </c>
      <c r="F442" s="5" t="n">
        <v>966.7</v>
      </c>
      <c r="G442" s="5" t="n">
        <v>54</v>
      </c>
      <c r="H442" s="5" t="n">
        <v>4</v>
      </c>
      <c r="I442" s="5" t="inlineStr">
        <is>
          <t>grade_beam</t>
        </is>
      </c>
      <c r="J442" s="5" t="inlineStr">
        <is>
          <t>yes</t>
        </is>
      </c>
      <c r="K442" s="5" t="n">
        <v>54</v>
      </c>
      <c r="L442" s="5" t="n">
        <v>0.18</v>
      </c>
      <c r="M442" s="5" t="n">
        <v>0</v>
      </c>
      <c r="N442" s="5" t="inlineStr">
        <is>
          <t>yes</t>
        </is>
      </c>
    </row>
    <row r="443">
      <c r="A443" s="5" t="n">
        <v>442</v>
      </c>
      <c r="B443" s="5" t="inlineStr">
        <is>
          <t>LG-40x15</t>
        </is>
      </c>
      <c r="C443" s="5" t="inlineStr">
        <is>
          <t>grade_beam</t>
        </is>
      </c>
      <c r="D443" s="5" t="inlineStr">
        <is>
          <t>grade_beam</t>
        </is>
      </c>
      <c r="E443" s="5" t="n">
        <v>4686.5</v>
      </c>
      <c r="F443" s="5" t="n">
        <v>968.8</v>
      </c>
      <c r="G443" s="5" t="n">
        <v>54</v>
      </c>
      <c r="H443" s="5" t="n">
        <v>4</v>
      </c>
      <c r="I443" s="5" t="inlineStr">
        <is>
          <t>grade_beam</t>
        </is>
      </c>
      <c r="J443" s="5" t="inlineStr">
        <is>
          <t>yes</t>
        </is>
      </c>
      <c r="K443" s="5" t="n">
        <v>54</v>
      </c>
      <c r="L443" s="5" t="n">
        <v>0.11</v>
      </c>
      <c r="M443" s="5" t="n">
        <v>0.04</v>
      </c>
      <c r="N443" s="5" t="inlineStr">
        <is>
          <t>yes</t>
        </is>
      </c>
    </row>
    <row r="444">
      <c r="A444" s="5" t="n">
        <v>443</v>
      </c>
      <c r="B444" s="5" t="inlineStr">
        <is>
          <t>LG-40x15</t>
        </is>
      </c>
      <c r="C444" s="5" t="inlineStr">
        <is>
          <t>grade_beam</t>
        </is>
      </c>
      <c r="D444" s="5" t="inlineStr">
        <is>
          <t>grade_beam</t>
        </is>
      </c>
      <c r="E444" s="5" t="n">
        <v>4674</v>
      </c>
      <c r="F444" s="5" t="n">
        <v>1131.2</v>
      </c>
      <c r="G444" s="5" t="n">
        <v>60</v>
      </c>
      <c r="H444" s="5" t="n">
        <v>4</v>
      </c>
      <c r="I444" s="5" t="inlineStr">
        <is>
          <t>grade_beam</t>
        </is>
      </c>
      <c r="J444" s="5" t="inlineStr">
        <is>
          <t>yes</t>
        </is>
      </c>
      <c r="K444" s="5" t="n">
        <v>60</v>
      </c>
      <c r="L444" s="5" t="n">
        <v>0.24</v>
      </c>
      <c r="M444" s="5" t="n">
        <v>0</v>
      </c>
      <c r="N444" s="5" t="inlineStr">
        <is>
          <t>yes</t>
        </is>
      </c>
    </row>
    <row r="445">
      <c r="A445" s="5" t="n">
        <v>444</v>
      </c>
      <c r="B445" s="5" t="inlineStr">
        <is>
          <t>LG-40x15</t>
        </is>
      </c>
      <c r="C445" s="5" t="inlineStr">
        <is>
          <t>grade_beam</t>
        </is>
      </c>
      <c r="D445" s="5" t="inlineStr">
        <is>
          <t>grade_beam</t>
        </is>
      </c>
      <c r="E445" s="5" t="n">
        <v>4436.5</v>
      </c>
      <c r="F445" s="5" t="n">
        <v>1088.5</v>
      </c>
      <c r="G445" s="5" t="n">
        <v>56</v>
      </c>
      <c r="H445" s="5" t="n">
        <v>4</v>
      </c>
      <c r="I445" s="5" t="inlineStr">
        <is>
          <t>grade_beam</t>
        </is>
      </c>
      <c r="J445" s="5" t="inlineStr">
        <is>
          <t>yes</t>
        </is>
      </c>
      <c r="K445" s="5" t="n">
        <v>56</v>
      </c>
      <c r="L445" s="5" t="n">
        <v>0.12</v>
      </c>
      <c r="M445" s="5" t="n">
        <v>0</v>
      </c>
      <c r="N445" s="5" t="inlineStr">
        <is>
          <t>yes</t>
        </is>
      </c>
    </row>
    <row r="446">
      <c r="A446" s="5" t="n">
        <v>445</v>
      </c>
      <c r="B446" s="5" t="inlineStr">
        <is>
          <t>LG-40x15</t>
        </is>
      </c>
      <c r="C446" s="5" t="inlineStr">
        <is>
          <t>grade_beam</t>
        </is>
      </c>
      <c r="D446" s="5" t="inlineStr">
        <is>
          <t>grade_beam</t>
        </is>
      </c>
      <c r="E446" s="5" t="n">
        <v>4428.1</v>
      </c>
      <c r="F446" s="5" t="n">
        <v>1312.5</v>
      </c>
      <c r="G446" s="5" t="n">
        <v>53</v>
      </c>
      <c r="H446" s="5" t="n">
        <v>4</v>
      </c>
      <c r="I446" s="5" t="inlineStr">
        <is>
          <t>grade_beam</t>
        </is>
      </c>
      <c r="J446" s="5" t="inlineStr">
        <is>
          <t>yes</t>
        </is>
      </c>
      <c r="K446" s="5" t="n">
        <v>53</v>
      </c>
      <c r="L446" s="5" t="n">
        <v>0.21</v>
      </c>
      <c r="M446" s="5" t="n">
        <v>0</v>
      </c>
      <c r="N446" s="5" t="inlineStr">
        <is>
          <t>yes</t>
        </is>
      </c>
    </row>
    <row r="447">
      <c r="A447" s="5" t="n">
        <v>446</v>
      </c>
      <c r="B447" s="5" t="inlineStr">
        <is>
          <t>LG-40x15</t>
        </is>
      </c>
      <c r="C447" s="5" t="inlineStr">
        <is>
          <t>grade_beam</t>
        </is>
      </c>
      <c r="D447" s="5" t="inlineStr">
        <is>
          <t>grade_beam</t>
        </is>
      </c>
      <c r="E447" s="5" t="n">
        <v>4666.7</v>
      </c>
      <c r="F447" s="5" t="n">
        <v>1311.5</v>
      </c>
      <c r="G447" s="5" t="n">
        <v>53</v>
      </c>
      <c r="H447" s="5" t="n">
        <v>4</v>
      </c>
      <c r="I447" s="5" t="inlineStr">
        <is>
          <t>grade_beam</t>
        </is>
      </c>
      <c r="J447" s="5" t="inlineStr">
        <is>
          <t>yes</t>
        </is>
      </c>
      <c r="K447" s="5" t="n">
        <v>53</v>
      </c>
      <c r="L447" s="5" t="n">
        <v>0.24</v>
      </c>
      <c r="M447" s="5" t="n">
        <v>0</v>
      </c>
      <c r="N447" s="5" t="inlineStr">
        <is>
          <t>yes</t>
        </is>
      </c>
    </row>
    <row r="448">
      <c r="A448" s="5" t="n">
        <v>447</v>
      </c>
      <c r="B448" s="5" t="inlineStr">
        <is>
          <t>LG-40x15</t>
        </is>
      </c>
      <c r="C448" s="5" t="inlineStr">
        <is>
          <t>grade_beam</t>
        </is>
      </c>
      <c r="D448" s="5" t="inlineStr">
        <is>
          <t>grade_beam</t>
        </is>
      </c>
      <c r="E448" s="5" t="n">
        <v>4250</v>
      </c>
      <c r="F448" s="5" t="n">
        <v>628.1</v>
      </c>
      <c r="G448" s="5" t="n">
        <v>57</v>
      </c>
      <c r="H448" s="5" t="n">
        <v>4</v>
      </c>
      <c r="I448" s="5" t="inlineStr">
        <is>
          <t>grade_beam</t>
        </is>
      </c>
      <c r="J448" s="5" t="inlineStr">
        <is>
          <t>yes</t>
        </is>
      </c>
      <c r="K448" s="5" t="n">
        <v>57</v>
      </c>
      <c r="L448" s="5" t="n">
        <v>0.19</v>
      </c>
      <c r="M448" s="5" t="n">
        <v>0.09</v>
      </c>
      <c r="N448" s="5" t="inlineStr">
        <is>
          <t>yes</t>
        </is>
      </c>
    </row>
    <row r="449">
      <c r="A449" s="5" t="n">
        <v>448</v>
      </c>
      <c r="B449" s="5" t="inlineStr">
        <is>
          <t>LG-40x15</t>
        </is>
      </c>
      <c r="C449" s="5" t="inlineStr">
        <is>
          <t>grade_beam</t>
        </is>
      </c>
      <c r="D449" s="5" t="inlineStr">
        <is>
          <t>grade_beam</t>
        </is>
      </c>
      <c r="E449" s="5" t="n">
        <v>4682.3</v>
      </c>
      <c r="F449" s="5" t="n">
        <v>533.3</v>
      </c>
      <c r="G449" s="5" t="n">
        <v>98</v>
      </c>
      <c r="H449" s="5" t="n">
        <v>12</v>
      </c>
      <c r="I449" s="5" t="inlineStr">
        <is>
          <t>unnamed</t>
        </is>
      </c>
      <c r="J449" s="5" t="inlineStr">
        <is>
          <t>unnamed</t>
        </is>
      </c>
      <c r="K449" s="5" t="n">
        <v>55</v>
      </c>
      <c r="L449" s="5" t="n">
        <v>0.22</v>
      </c>
      <c r="M449" s="5" t="n">
        <v>0.02</v>
      </c>
      <c r="N449" s="5" t="inlineStr">
        <is>
          <t>yes</t>
        </is>
      </c>
    </row>
    <row r="450">
      <c r="A450" s="5" t="n">
        <v>449</v>
      </c>
      <c r="B450" s="5" t="inlineStr">
        <is>
          <t>LG-40x15</t>
        </is>
      </c>
      <c r="C450" s="5" t="inlineStr">
        <is>
          <t>grade_beam</t>
        </is>
      </c>
      <c r="D450" s="5" t="inlineStr">
        <is>
          <t>grade_beam</t>
        </is>
      </c>
      <c r="E450" s="5" t="n">
        <v>4237.5</v>
      </c>
      <c r="F450" s="5" t="n">
        <v>1314.6</v>
      </c>
      <c r="G450" s="5" t="n">
        <v>53</v>
      </c>
      <c r="H450" s="5" t="n">
        <v>4</v>
      </c>
      <c r="I450" s="5" t="inlineStr">
        <is>
          <t>grade_beam</t>
        </is>
      </c>
      <c r="J450" s="5" t="inlineStr">
        <is>
          <t>yes</t>
        </is>
      </c>
      <c r="K450" s="5" t="n">
        <v>53</v>
      </c>
      <c r="L450" s="5" t="n">
        <v>0.14</v>
      </c>
      <c r="M450" s="5" t="n">
        <v>0.04</v>
      </c>
      <c r="N450" s="5" t="inlineStr">
        <is>
          <t>yes</t>
        </is>
      </c>
    </row>
    <row r="451">
      <c r="A451" s="5" t="n">
        <v>450</v>
      </c>
      <c r="B451" s="5" t="inlineStr">
        <is>
          <t>LG-40x15</t>
        </is>
      </c>
      <c r="C451" s="5" t="inlineStr">
        <is>
          <t>grade_beam</t>
        </is>
      </c>
      <c r="D451" s="5" t="inlineStr">
        <is>
          <t>grade_beam</t>
        </is>
      </c>
      <c r="E451" s="5" t="n">
        <v>4247.9</v>
      </c>
      <c r="F451" s="5" t="n">
        <v>1087.5</v>
      </c>
      <c r="G451" s="5" t="n">
        <v>56</v>
      </c>
      <c r="H451" s="5" t="n">
        <v>4</v>
      </c>
      <c r="I451" s="5" t="inlineStr">
        <is>
          <t>grade_beam</t>
        </is>
      </c>
      <c r="J451" s="5" t="inlineStr">
        <is>
          <t>yes</t>
        </is>
      </c>
      <c r="K451" s="5" t="n">
        <v>56</v>
      </c>
      <c r="L451" s="5" t="n">
        <v>0.15</v>
      </c>
      <c r="M451" s="5" t="n">
        <v>0.06</v>
      </c>
      <c r="N451" s="5" t="inlineStr">
        <is>
          <t>yes</t>
        </is>
      </c>
    </row>
    <row r="452">
      <c r="A452" s="5" t="n">
        <v>451</v>
      </c>
      <c r="B452" s="5" t="inlineStr">
        <is>
          <t>LG-40x15</t>
        </is>
      </c>
      <c r="C452" s="5" t="inlineStr">
        <is>
          <t>grade_beam</t>
        </is>
      </c>
      <c r="D452" s="5" t="inlineStr">
        <is>
          <t>grade_beam</t>
        </is>
      </c>
      <c r="E452" s="5" t="n">
        <v>4241.7</v>
      </c>
      <c r="F452" s="5" t="n">
        <v>856.3</v>
      </c>
      <c r="G452" s="5" t="n">
        <v>61</v>
      </c>
      <c r="H452" s="5" t="n">
        <v>4</v>
      </c>
      <c r="I452" s="5" t="inlineStr">
        <is>
          <t>grade_beam</t>
        </is>
      </c>
      <c r="J452" s="5" t="inlineStr">
        <is>
          <t>yes</t>
        </is>
      </c>
      <c r="K452" s="5" t="n">
        <v>61</v>
      </c>
      <c r="L452" s="5" t="n">
        <v>0.21</v>
      </c>
      <c r="M452" s="5" t="n">
        <v>0</v>
      </c>
      <c r="N452" s="5" t="inlineStr">
        <is>
          <t>yes</t>
        </is>
      </c>
    </row>
    <row r="453">
      <c r="A453" s="5" t="n">
        <v>452</v>
      </c>
      <c r="B453" s="5" t="inlineStr">
        <is>
          <t>LG-40x15</t>
        </is>
      </c>
      <c r="C453" s="5" t="inlineStr">
        <is>
          <t>grade_beam</t>
        </is>
      </c>
      <c r="D453" s="5" t="inlineStr">
        <is>
          <t>grade_beam</t>
        </is>
      </c>
      <c r="E453" s="5" t="n">
        <v>4310.4</v>
      </c>
      <c r="F453" s="5" t="n">
        <v>1469.8</v>
      </c>
      <c r="G453" s="5" t="n">
        <v>148</v>
      </c>
      <c r="H453" s="5" t="n">
        <v>4</v>
      </c>
      <c r="I453" s="5" t="inlineStr">
        <is>
          <t>grade_beam</t>
        </is>
      </c>
      <c r="J453" s="5" t="inlineStr">
        <is>
          <t>yes</t>
        </is>
      </c>
      <c r="K453" s="5" t="n">
        <v>148</v>
      </c>
      <c r="L453" s="5" t="n">
        <v>0.19</v>
      </c>
      <c r="M453" s="5" t="n">
        <v>0</v>
      </c>
      <c r="N453" s="5" t="inlineStr">
        <is>
          <t>yes</t>
        </is>
      </c>
    </row>
    <row r="454">
      <c r="A454" s="5" t="n">
        <v>453</v>
      </c>
      <c r="B454" s="5" t="inlineStr">
        <is>
          <t>LG-40x15</t>
        </is>
      </c>
      <c r="C454" s="5" t="inlineStr">
        <is>
          <t>grade_beam</t>
        </is>
      </c>
      <c r="D454" s="5" t="inlineStr">
        <is>
          <t>grade_beam</t>
        </is>
      </c>
      <c r="E454" s="5" t="n">
        <v>4558.3</v>
      </c>
      <c r="F454" s="5" t="n">
        <v>1458.3</v>
      </c>
      <c r="G454" s="5" t="inlineStr">
        <is>
          <t>unmatched</t>
        </is>
      </c>
      <c r="H454" s="5" t="inlineStr"/>
      <c r="I454" s="5" t="inlineStr"/>
      <c r="J454" s="5" t="inlineStr"/>
      <c r="K454" s="5" t="inlineStr">
        <is>
          <t>unmatched</t>
        </is>
      </c>
      <c r="L454" s="5" t="n"/>
      <c r="M454" s="5" t="n"/>
      <c r="N454" s="5" t="inlineStr">
        <is>
          <t>yes</t>
        </is>
      </c>
    </row>
    <row r="455">
      <c r="A455" s="5" t="n">
        <v>454</v>
      </c>
      <c r="B455" s="5" t="inlineStr">
        <is>
          <t>LG-40x15</t>
        </is>
      </c>
      <c r="C455" s="5" t="inlineStr">
        <is>
          <t>grade_beam</t>
        </is>
      </c>
      <c r="D455" s="5" t="inlineStr">
        <is>
          <t>grade_beam</t>
        </is>
      </c>
      <c r="E455" s="5" t="n">
        <v>4620.8</v>
      </c>
      <c r="F455" s="5" t="n">
        <v>1455.2</v>
      </c>
      <c r="G455" s="5" t="n">
        <v>150</v>
      </c>
      <c r="H455" s="5" t="n">
        <v>4</v>
      </c>
      <c r="I455" s="5" t="inlineStr">
        <is>
          <t>grade_beam</t>
        </is>
      </c>
      <c r="J455" s="5" t="inlineStr">
        <is>
          <t>yes</t>
        </is>
      </c>
      <c r="K455" s="5" t="n">
        <v>150</v>
      </c>
      <c r="L455" s="5" t="n">
        <v>0.18</v>
      </c>
      <c r="M455" s="5" t="n">
        <v>0</v>
      </c>
      <c r="N455" s="5" t="inlineStr">
        <is>
          <t>yes</t>
        </is>
      </c>
    </row>
    <row r="456">
      <c r="A456" s="5" t="n">
        <v>455</v>
      </c>
      <c r="B456" s="5" t="inlineStr">
        <is>
          <t>LG-40x15</t>
        </is>
      </c>
      <c r="C456" s="5" t="inlineStr">
        <is>
          <t>grade_beam</t>
        </is>
      </c>
      <c r="D456" s="5" t="inlineStr">
        <is>
          <t>grade_beam</t>
        </is>
      </c>
      <c r="E456" s="5" t="n">
        <v>4310.4</v>
      </c>
      <c r="F456" s="5" t="n">
        <v>1710.4</v>
      </c>
      <c r="G456" s="5" t="n">
        <v>148</v>
      </c>
      <c r="H456" s="5" t="n">
        <v>4</v>
      </c>
      <c r="I456" s="5" t="inlineStr">
        <is>
          <t>grade_beam</t>
        </is>
      </c>
      <c r="J456" s="5" t="inlineStr">
        <is>
          <t>yes</t>
        </is>
      </c>
      <c r="K456" s="5" t="n">
        <v>148</v>
      </c>
      <c r="L456" s="5" t="n">
        <v>0.18</v>
      </c>
      <c r="M456" s="5" t="n">
        <v>0</v>
      </c>
      <c r="N456" s="5" t="inlineStr">
        <is>
          <t>yes</t>
        </is>
      </c>
    </row>
    <row r="457">
      <c r="A457" s="5" t="n">
        <v>456</v>
      </c>
      <c r="B457" s="5" t="inlineStr">
        <is>
          <t>LG-40x15</t>
        </is>
      </c>
      <c r="C457" s="5" t="inlineStr">
        <is>
          <t>grade_beam</t>
        </is>
      </c>
      <c r="D457" s="5" t="inlineStr">
        <is>
          <t>grade_beam</t>
        </is>
      </c>
      <c r="E457" s="5" t="n">
        <v>4310.4</v>
      </c>
      <c r="F457" s="5" t="n">
        <v>1915.6</v>
      </c>
      <c r="G457" s="5" t="n">
        <v>148</v>
      </c>
      <c r="H457" s="5" t="n">
        <v>4</v>
      </c>
      <c r="I457" s="5" t="inlineStr">
        <is>
          <t>grade_beam</t>
        </is>
      </c>
      <c r="J457" s="5" t="inlineStr">
        <is>
          <t>yes</t>
        </is>
      </c>
      <c r="K457" s="5" t="n">
        <v>148</v>
      </c>
      <c r="L457" s="5" t="n">
        <v>0.18</v>
      </c>
      <c r="M457" s="5" t="n">
        <v>0</v>
      </c>
      <c r="N457" s="5" t="inlineStr">
        <is>
          <t>yes</t>
        </is>
      </c>
    </row>
    <row r="458">
      <c r="A458" s="5" t="n">
        <v>457</v>
      </c>
      <c r="B458" s="5" t="inlineStr">
        <is>
          <t>LG-40x15</t>
        </is>
      </c>
      <c r="C458" s="5" t="inlineStr">
        <is>
          <t>grade_beam</t>
        </is>
      </c>
      <c r="D458" s="5" t="inlineStr">
        <is>
          <t>grade_beam</t>
        </is>
      </c>
      <c r="E458" s="5" t="n">
        <v>4556.2</v>
      </c>
      <c r="F458" s="5" t="n">
        <v>1871.9</v>
      </c>
      <c r="G458" s="5" t="n">
        <v>37</v>
      </c>
      <c r="H458" s="5" t="n">
        <v>16</v>
      </c>
      <c r="I458" s="5" t="inlineStr">
        <is>
          <t>isolated_footing</t>
        </is>
      </c>
      <c r="J458" s="5" t="inlineStr">
        <is>
          <t>no</t>
        </is>
      </c>
      <c r="K458" s="5" t="inlineStr">
        <is>
          <t>unmatched</t>
        </is>
      </c>
      <c r="L458" s="5" t="n"/>
      <c r="M458" s="5" t="n"/>
      <c r="N458" s="5" t="inlineStr">
        <is>
          <t>yes</t>
        </is>
      </c>
    </row>
    <row r="459">
      <c r="A459" s="5" t="n">
        <v>458</v>
      </c>
      <c r="B459" s="5" t="inlineStr">
        <is>
          <t>LG-40x15</t>
        </is>
      </c>
      <c r="C459" s="5" t="inlineStr">
        <is>
          <t>grade_beam</t>
        </is>
      </c>
      <c r="D459" s="5" t="inlineStr">
        <is>
          <t>grade_beam</t>
        </is>
      </c>
      <c r="E459" s="5" t="n">
        <v>4674</v>
      </c>
      <c r="F459" s="5" t="n">
        <v>1764.6</v>
      </c>
      <c r="G459" s="5" t="n">
        <v>156</v>
      </c>
      <c r="H459" s="5" t="n">
        <v>4</v>
      </c>
      <c r="I459" s="5" t="inlineStr">
        <is>
          <t>grade_beam</t>
        </is>
      </c>
      <c r="J459" s="5" t="inlineStr">
        <is>
          <t>yes</t>
        </is>
      </c>
      <c r="K459" s="5" t="n">
        <v>156</v>
      </c>
      <c r="L459" s="5" t="n">
        <v>0.19</v>
      </c>
      <c r="M459" s="5" t="n">
        <v>0</v>
      </c>
      <c r="N459" s="5" t="inlineStr">
        <is>
          <t>yes</t>
        </is>
      </c>
    </row>
    <row r="460">
      <c r="A460" s="5" t="n">
        <v>459</v>
      </c>
      <c r="B460" s="5" t="inlineStr">
        <is>
          <t>LG-25x40</t>
        </is>
      </c>
      <c r="C460" s="5" t="inlineStr">
        <is>
          <t>grade_beam</t>
        </is>
      </c>
      <c r="D460" s="5" t="inlineStr">
        <is>
          <t>grade_beam</t>
        </is>
      </c>
      <c r="E460" s="5" t="n">
        <v>4415.6</v>
      </c>
      <c r="F460" s="5" t="n">
        <v>2124</v>
      </c>
      <c r="G460" s="5" t="n">
        <v>146</v>
      </c>
      <c r="H460" s="5" t="n">
        <v>2</v>
      </c>
      <c r="I460" s="5" t="inlineStr">
        <is>
          <t>grade_beam</t>
        </is>
      </c>
      <c r="J460" s="5" t="inlineStr">
        <is>
          <t>yes</t>
        </is>
      </c>
      <c r="K460" s="5" t="n">
        <v>146</v>
      </c>
      <c r="L460" s="5" t="n">
        <v>0.15</v>
      </c>
      <c r="M460" s="5" t="n">
        <v>0</v>
      </c>
      <c r="N460" s="5" t="inlineStr">
        <is>
          <t>yes</t>
        </is>
      </c>
    </row>
    <row r="461">
      <c r="A461" s="5" t="n">
        <v>460</v>
      </c>
      <c r="B461" s="5" t="inlineStr">
        <is>
          <t>LG-25x40</t>
        </is>
      </c>
      <c r="C461" s="5" t="inlineStr">
        <is>
          <t>grade_beam</t>
        </is>
      </c>
      <c r="D461" s="5" t="inlineStr">
        <is>
          <t>grade_beam</t>
        </is>
      </c>
      <c r="E461" s="5" t="n">
        <v>4234.4</v>
      </c>
      <c r="F461" s="5" t="n">
        <v>2125</v>
      </c>
      <c r="G461" s="5" t="n">
        <v>146</v>
      </c>
      <c r="H461" s="5" t="n">
        <v>2</v>
      </c>
      <c r="I461" s="5" t="inlineStr">
        <is>
          <t>grade_beam</t>
        </is>
      </c>
      <c r="J461" s="5" t="inlineStr">
        <is>
          <t>yes</t>
        </is>
      </c>
      <c r="K461" s="5" t="n">
        <v>146</v>
      </c>
      <c r="L461" s="5" t="n">
        <v>0.13</v>
      </c>
      <c r="M461" s="5" t="n">
        <v>0</v>
      </c>
      <c r="N461" s="5" t="inlineStr">
        <is>
          <t>yes</t>
        </is>
      </c>
    </row>
    <row r="462">
      <c r="A462" s="5" t="n">
        <v>461</v>
      </c>
      <c r="B462" s="5" t="inlineStr">
        <is>
          <t>LG-40x15</t>
        </is>
      </c>
      <c r="C462" s="5" t="inlineStr">
        <is>
          <t>grade_beam</t>
        </is>
      </c>
      <c r="D462" s="5" t="inlineStr">
        <is>
          <t>grade_beam</t>
        </is>
      </c>
      <c r="E462" s="5" t="n">
        <v>4243.8</v>
      </c>
      <c r="F462" s="5" t="n">
        <v>2012.5</v>
      </c>
      <c r="G462" s="5" t="n">
        <v>152</v>
      </c>
      <c r="H462" s="5" t="n">
        <v>4</v>
      </c>
      <c r="I462" s="5" t="inlineStr">
        <is>
          <t>grade_beam</t>
        </is>
      </c>
      <c r="J462" s="5" t="inlineStr">
        <is>
          <t>yes</t>
        </is>
      </c>
      <c r="K462" s="5" t="n">
        <v>152</v>
      </c>
      <c r="L462" s="5" t="n">
        <v>0.14</v>
      </c>
      <c r="M462" s="5" t="n">
        <v>0.01</v>
      </c>
      <c r="N462" s="5" t="inlineStr">
        <is>
          <t>yes</t>
        </is>
      </c>
    </row>
    <row r="463">
      <c r="A463" s="5" t="n">
        <v>462</v>
      </c>
      <c r="B463" s="5" t="inlineStr">
        <is>
          <t>LG-40x15</t>
        </is>
      </c>
      <c r="C463" s="5" t="inlineStr">
        <is>
          <t>grade_beam</t>
        </is>
      </c>
      <c r="D463" s="5" t="inlineStr">
        <is>
          <t>grade_beam</t>
        </is>
      </c>
      <c r="E463" s="5" t="n">
        <v>4432.3</v>
      </c>
      <c r="F463" s="5" t="n">
        <v>2012.5</v>
      </c>
      <c r="G463" s="5" t="n">
        <v>152</v>
      </c>
      <c r="H463" s="5" t="n">
        <v>4</v>
      </c>
      <c r="I463" s="5" t="inlineStr">
        <is>
          <t>grade_beam</t>
        </is>
      </c>
      <c r="J463" s="5" t="inlineStr">
        <is>
          <t>yes</t>
        </is>
      </c>
      <c r="K463" s="5" t="n">
        <v>152</v>
      </c>
      <c r="L463" s="5" t="n">
        <v>0.15</v>
      </c>
      <c r="M463" s="5" t="n">
        <v>0</v>
      </c>
      <c r="N463" s="5" t="inlineStr">
        <is>
          <t>yes</t>
        </is>
      </c>
    </row>
    <row r="464">
      <c r="A464" s="5" t="n">
        <v>463</v>
      </c>
      <c r="B464" s="5" t="inlineStr">
        <is>
          <t>LG-40x15</t>
        </is>
      </c>
      <c r="C464" s="5" t="inlineStr">
        <is>
          <t>grade_beam</t>
        </is>
      </c>
      <c r="D464" s="5" t="inlineStr">
        <is>
          <t>grade_beam</t>
        </is>
      </c>
      <c r="E464" s="5" t="n">
        <v>4249</v>
      </c>
      <c r="F464" s="5" t="n">
        <v>1783.3</v>
      </c>
      <c r="G464" s="5" t="n">
        <v>151</v>
      </c>
      <c r="H464" s="5" t="n">
        <v>4</v>
      </c>
      <c r="I464" s="5" t="inlineStr">
        <is>
          <t>grade_beam</t>
        </is>
      </c>
      <c r="J464" s="5" t="inlineStr">
        <is>
          <t>yes</t>
        </is>
      </c>
      <c r="K464" s="5" t="n">
        <v>151</v>
      </c>
      <c r="L464" s="5" t="n">
        <v>0.17</v>
      </c>
      <c r="M464" s="5" t="n">
        <v>0</v>
      </c>
      <c r="N464" s="5" t="inlineStr">
        <is>
          <t>yes</t>
        </is>
      </c>
    </row>
    <row r="465">
      <c r="A465" s="5" t="n">
        <v>464</v>
      </c>
      <c r="B465" s="5" t="inlineStr">
        <is>
          <t>LG-40x15</t>
        </is>
      </c>
      <c r="C465" s="5" t="inlineStr">
        <is>
          <t>grade_beam</t>
        </is>
      </c>
      <c r="D465" s="5" t="inlineStr">
        <is>
          <t>grade_beam</t>
        </is>
      </c>
      <c r="E465" s="5" t="n">
        <v>4456.2</v>
      </c>
      <c r="F465" s="5" t="n">
        <v>1783.3</v>
      </c>
      <c r="G465" s="5" t="n">
        <v>151</v>
      </c>
      <c r="H465" s="5" t="n">
        <v>4</v>
      </c>
      <c r="I465" s="5" t="inlineStr">
        <is>
          <t>grade_beam</t>
        </is>
      </c>
      <c r="J465" s="5" t="inlineStr">
        <is>
          <t>yes</t>
        </is>
      </c>
      <c r="K465" s="5" t="n">
        <v>151</v>
      </c>
      <c r="L465" s="5" t="n">
        <v>0.18</v>
      </c>
      <c r="M465" s="5" t="n">
        <v>0</v>
      </c>
      <c r="N465" s="5" t="inlineStr">
        <is>
          <t>yes</t>
        </is>
      </c>
    </row>
    <row r="466">
      <c r="A466" s="5" t="n">
        <v>465</v>
      </c>
      <c r="B466" s="5" t="inlineStr">
        <is>
          <t>LG-40x15</t>
        </is>
      </c>
      <c r="C466" s="5" t="inlineStr">
        <is>
          <t>grade_beam</t>
        </is>
      </c>
      <c r="D466" s="5" t="inlineStr">
        <is>
          <t>grade_beam</t>
        </is>
      </c>
      <c r="E466" s="5" t="n">
        <v>4429.2</v>
      </c>
      <c r="F466" s="5" t="n">
        <v>1645.8</v>
      </c>
      <c r="G466" s="5" t="n">
        <v>154</v>
      </c>
      <c r="H466" s="5" t="n">
        <v>4</v>
      </c>
      <c r="I466" s="5" t="inlineStr">
        <is>
          <t>grade_beam</t>
        </is>
      </c>
      <c r="J466" s="5" t="inlineStr">
        <is>
          <t>yes</t>
        </is>
      </c>
      <c r="K466" s="5" t="n">
        <v>154</v>
      </c>
      <c r="L466" s="5" t="n">
        <v>0.26</v>
      </c>
      <c r="M466" s="5" t="n">
        <v>0</v>
      </c>
      <c r="N466" s="5" t="inlineStr">
        <is>
          <t>yes</t>
        </is>
      </c>
    </row>
    <row r="467">
      <c r="A467" s="5" t="n">
        <v>466</v>
      </c>
      <c r="B467" s="5" t="inlineStr">
        <is>
          <t>LG-40x15</t>
        </is>
      </c>
      <c r="C467" s="5" t="inlineStr">
        <is>
          <t>grade_beam</t>
        </is>
      </c>
      <c r="D467" s="5" t="inlineStr">
        <is>
          <t>grade_beam</t>
        </is>
      </c>
      <c r="E467" s="5" t="n">
        <v>4240.6</v>
      </c>
      <c r="F467" s="5" t="n">
        <v>1554.2</v>
      </c>
      <c r="G467" s="5" t="n">
        <v>153</v>
      </c>
      <c r="H467" s="5" t="n">
        <v>4</v>
      </c>
      <c r="I467" s="5" t="inlineStr">
        <is>
          <t>grade_beam</t>
        </is>
      </c>
      <c r="J467" s="5" t="inlineStr">
        <is>
          <t>yes</t>
        </is>
      </c>
      <c r="K467" s="5" t="n">
        <v>153</v>
      </c>
      <c r="L467" s="5" t="n">
        <v>0.15</v>
      </c>
      <c r="M467" s="5" t="n">
        <v>0</v>
      </c>
      <c r="N467" s="5" t="inlineStr">
        <is>
          <t>yes</t>
        </is>
      </c>
    </row>
    <row r="468">
      <c r="A468" s="5" t="n">
        <v>467</v>
      </c>
      <c r="B468" s="5" t="inlineStr">
        <is>
          <t>LG-40x15</t>
        </is>
      </c>
      <c r="C468" s="5" t="inlineStr">
        <is>
          <t>grade_beam</t>
        </is>
      </c>
      <c r="D468" s="5" t="inlineStr">
        <is>
          <t>grade_beam</t>
        </is>
      </c>
      <c r="E468" s="5" t="n">
        <v>4452.1</v>
      </c>
      <c r="F468" s="5" t="n">
        <v>1555.2</v>
      </c>
      <c r="G468" s="5" t="n">
        <v>153</v>
      </c>
      <c r="H468" s="5" t="n">
        <v>4</v>
      </c>
      <c r="I468" s="5" t="inlineStr">
        <is>
          <t>grade_beam</t>
        </is>
      </c>
      <c r="J468" s="5" t="inlineStr">
        <is>
          <t>yes</t>
        </is>
      </c>
      <c r="K468" s="5" t="n">
        <v>153</v>
      </c>
      <c r="L468" s="5" t="n">
        <v>0.12</v>
      </c>
      <c r="M468" s="5" t="n">
        <v>0</v>
      </c>
      <c r="N468" s="5" t="inlineStr">
        <is>
          <t>yes</t>
        </is>
      </c>
    </row>
    <row r="469">
      <c r="A469" s="5" t="n">
        <v>468</v>
      </c>
      <c r="B469" s="5" t="inlineStr">
        <is>
          <t>LG-40x15</t>
        </is>
      </c>
      <c r="C469" s="5" t="inlineStr">
        <is>
          <t>grade_beam</t>
        </is>
      </c>
      <c r="D469" s="5" t="inlineStr">
        <is>
          <t>grade_beam</t>
        </is>
      </c>
      <c r="E469" s="5" t="n">
        <v>4420.8</v>
      </c>
      <c r="F469" s="5" t="n">
        <v>1353.1</v>
      </c>
      <c r="G469" s="5" t="n">
        <v>149</v>
      </c>
      <c r="H469" s="5" t="n">
        <v>4</v>
      </c>
      <c r="I469" s="5" t="inlineStr">
        <is>
          <t>grade_beam</t>
        </is>
      </c>
      <c r="J469" s="5" t="inlineStr">
        <is>
          <t>yes</t>
        </is>
      </c>
      <c r="K469" s="5" t="n">
        <v>149</v>
      </c>
      <c r="L469" s="5" t="n">
        <v>0.26</v>
      </c>
      <c r="M469" s="5" t="n">
        <v>0</v>
      </c>
      <c r="N469" s="5" t="inlineStr">
        <is>
          <t>yes</t>
        </is>
      </c>
    </row>
    <row r="470">
      <c r="A470" s="5" t="n">
        <v>469</v>
      </c>
      <c r="B470" s="5" t="inlineStr">
        <is>
          <t>LG-40x15</t>
        </is>
      </c>
      <c r="C470" s="5" t="inlineStr">
        <is>
          <t>grade_beam</t>
        </is>
      </c>
      <c r="D470" s="5" t="inlineStr">
        <is>
          <t>grade_beam</t>
        </is>
      </c>
      <c r="E470" s="5" t="n">
        <v>4237.5</v>
      </c>
      <c r="F470" s="5" t="n">
        <v>1352.1</v>
      </c>
      <c r="G470" s="5" t="n">
        <v>149</v>
      </c>
      <c r="H470" s="5" t="n">
        <v>4</v>
      </c>
      <c r="I470" s="5" t="inlineStr">
        <is>
          <t>grade_beam</t>
        </is>
      </c>
      <c r="J470" s="5" t="inlineStr">
        <is>
          <t>yes</t>
        </is>
      </c>
      <c r="K470" s="5" t="n">
        <v>149</v>
      </c>
      <c r="L470" s="5" t="n">
        <v>0.22</v>
      </c>
      <c r="M470" s="5" t="n">
        <v>0</v>
      </c>
      <c r="N470" s="5" t="inlineStr">
        <is>
          <t>yes</t>
        </is>
      </c>
    </row>
    <row r="471">
      <c r="A471" s="5" t="n">
        <v>470</v>
      </c>
      <c r="B471" s="5" t="inlineStr">
        <is>
          <t>LG-40x15</t>
        </is>
      </c>
      <c r="C471" s="5" t="inlineStr">
        <is>
          <t>grade_beam</t>
        </is>
      </c>
      <c r="D471" s="5" t="inlineStr">
        <is>
          <t>grade_beam</t>
        </is>
      </c>
      <c r="E471" s="5" t="n">
        <v>4674</v>
      </c>
      <c r="F471" s="5" t="n">
        <v>1354.2</v>
      </c>
      <c r="G471" s="5" t="n">
        <v>149</v>
      </c>
      <c r="H471" s="5" t="n">
        <v>4</v>
      </c>
      <c r="I471" s="5" t="inlineStr">
        <is>
          <t>grade_beam</t>
        </is>
      </c>
      <c r="J471" s="5" t="inlineStr">
        <is>
          <t>yes</t>
        </is>
      </c>
      <c r="K471" s="5" t="n">
        <v>149</v>
      </c>
      <c r="L471" s="5" t="n">
        <v>0.29</v>
      </c>
      <c r="M471" s="5" t="n">
        <v>0</v>
      </c>
      <c r="N471" s="5" t="inlineStr">
        <is>
          <t>yes</t>
        </is>
      </c>
    </row>
    <row r="472">
      <c r="A472" s="5" t="n">
        <v>471</v>
      </c>
      <c r="B472" s="5" t="inlineStr">
        <is>
          <t>LG-40x15</t>
        </is>
      </c>
      <c r="C472" s="5" t="inlineStr">
        <is>
          <t>grade_beam</t>
        </is>
      </c>
      <c r="D472" s="5" t="inlineStr">
        <is>
          <t>grade_beam</t>
        </is>
      </c>
      <c r="E472" s="5" t="n">
        <v>4665.6</v>
      </c>
      <c r="F472" s="5" t="n">
        <v>1518.8</v>
      </c>
      <c r="G472" s="5" t="n">
        <v>157</v>
      </c>
      <c r="H472" s="5" t="n">
        <v>4</v>
      </c>
      <c r="I472" s="5" t="inlineStr">
        <is>
          <t>grade_beam</t>
        </is>
      </c>
      <c r="J472" s="5" t="inlineStr">
        <is>
          <t>yes</t>
        </is>
      </c>
      <c r="K472" s="5" t="n">
        <v>157</v>
      </c>
      <c r="L472" s="5" t="n">
        <v>0.16</v>
      </c>
      <c r="M472" s="5" t="n">
        <v>0</v>
      </c>
      <c r="N472" s="5" t="inlineStr">
        <is>
          <t>yes</t>
        </is>
      </c>
    </row>
    <row r="473">
      <c r="A473" s="5" t="n">
        <v>472</v>
      </c>
      <c r="B473" s="5" t="inlineStr">
        <is>
          <t>LG-40x15</t>
        </is>
      </c>
      <c r="C473" s="5" t="inlineStr">
        <is>
          <t>grade_beam</t>
        </is>
      </c>
      <c r="D473" s="5" t="inlineStr">
        <is>
          <t>grade_beam</t>
        </is>
      </c>
      <c r="E473" s="5" t="n">
        <v>4671.9</v>
      </c>
      <c r="F473" s="5" t="n">
        <v>1933.3</v>
      </c>
      <c r="G473" s="5" t="n">
        <v>155</v>
      </c>
      <c r="H473" s="5" t="n">
        <v>4</v>
      </c>
      <c r="I473" s="5" t="inlineStr">
        <is>
          <t>grade_beam</t>
        </is>
      </c>
      <c r="J473" s="5" t="inlineStr">
        <is>
          <t>yes</t>
        </is>
      </c>
      <c r="K473" s="5" t="n">
        <v>155</v>
      </c>
      <c r="L473" s="5" t="n">
        <v>0.17</v>
      </c>
      <c r="M473" s="5" t="n">
        <v>0</v>
      </c>
      <c r="N473" s="5" t="inlineStr">
        <is>
          <t>yes</t>
        </is>
      </c>
    </row>
    <row r="474">
      <c r="A474" s="5" t="n">
        <v>473</v>
      </c>
      <c r="B474" s="5" t="inlineStr">
        <is>
          <t>LG-40x15</t>
        </is>
      </c>
      <c r="C474" s="5" t="inlineStr">
        <is>
          <t>grade_beam</t>
        </is>
      </c>
      <c r="D474" s="5" t="inlineStr">
        <is>
          <t>grade_beam</t>
        </is>
      </c>
      <c r="E474" s="5" t="n">
        <v>4674</v>
      </c>
      <c r="F474" s="5" t="n">
        <v>1606.3</v>
      </c>
      <c r="G474" s="5" t="n">
        <v>158</v>
      </c>
      <c r="H474" s="5" t="n">
        <v>4</v>
      </c>
      <c r="I474" s="5" t="inlineStr">
        <is>
          <t>grade_beam</t>
        </is>
      </c>
      <c r="J474" s="5" t="inlineStr">
        <is>
          <t>yes</t>
        </is>
      </c>
      <c r="K474" s="5" t="n">
        <v>158</v>
      </c>
      <c r="L474" s="5" t="n">
        <v>0.14</v>
      </c>
      <c r="M474" s="5" t="n">
        <v>0.07000000000000001</v>
      </c>
      <c r="N474" s="5" t="inlineStr">
        <is>
          <t>yes</t>
        </is>
      </c>
    </row>
    <row r="475">
      <c r="A475" s="5" t="n">
        <v>474</v>
      </c>
      <c r="B475" s="5" t="inlineStr">
        <is>
          <t>LG-40x15</t>
        </is>
      </c>
      <c r="C475" s="5" t="inlineStr">
        <is>
          <t>grade_beam</t>
        </is>
      </c>
      <c r="D475" s="5" t="inlineStr">
        <is>
          <t>grade_beam</t>
        </is>
      </c>
      <c r="E475" s="5" t="n">
        <v>4557.3</v>
      </c>
      <c r="F475" s="5" t="n">
        <v>2008.3</v>
      </c>
      <c r="G475" s="5" t="n">
        <v>141</v>
      </c>
      <c r="H475" s="5" t="n">
        <v>6</v>
      </c>
      <c r="I475" s="5" t="inlineStr">
        <is>
          <t>strip_footing</t>
        </is>
      </c>
      <c r="J475" s="5" t="inlineStr">
        <is>
          <t>no</t>
        </is>
      </c>
      <c r="K475" s="5" t="n">
        <v>152</v>
      </c>
      <c r="L475" s="5" t="n">
        <v>0.66</v>
      </c>
      <c r="M475" s="5" t="n">
        <v>1</v>
      </c>
      <c r="N475" s="5" t="inlineStr">
        <is>
          <t>yes</t>
        </is>
      </c>
    </row>
    <row r="476">
      <c r="A476" s="5" t="n">
        <v>475</v>
      </c>
      <c r="B476" s="5" t="inlineStr">
        <is>
          <t>LG-25x40</t>
        </is>
      </c>
      <c r="C476" s="5" t="inlineStr">
        <is>
          <t>grade_beam</t>
        </is>
      </c>
      <c r="D476" s="5" t="inlineStr">
        <is>
          <t>grade_beam</t>
        </is>
      </c>
      <c r="E476" s="5" t="n">
        <v>4307.3</v>
      </c>
      <c r="F476" s="5" t="n">
        <v>3477.1</v>
      </c>
      <c r="G476" s="5" t="n">
        <v>506</v>
      </c>
      <c r="H476" s="5" t="n">
        <v>3</v>
      </c>
      <c r="I476" s="5" t="inlineStr">
        <is>
          <t>unnamed</t>
        </is>
      </c>
      <c r="J476" s="5" t="inlineStr">
        <is>
          <t>unnamed</t>
        </is>
      </c>
      <c r="K476" s="5" t="inlineStr">
        <is>
          <t>unmatched</t>
        </is>
      </c>
      <c r="L476" s="5" t="n"/>
      <c r="M476" s="5" t="n"/>
      <c r="N476" s="5" t="inlineStr">
        <is>
          <t>yes</t>
        </is>
      </c>
    </row>
    <row r="477">
      <c r="A477" s="5" t="n">
        <v>476</v>
      </c>
      <c r="B477" s="5" t="inlineStr">
        <is>
          <t>LG-40x15</t>
        </is>
      </c>
      <c r="C477" s="5" t="inlineStr">
        <is>
          <t>grade_beam</t>
        </is>
      </c>
      <c r="D477" s="5" t="inlineStr">
        <is>
          <t>grade_beam</t>
        </is>
      </c>
      <c r="E477" s="5" t="n">
        <v>4014.6</v>
      </c>
      <c r="F477" s="5" t="n">
        <v>3291.7</v>
      </c>
      <c r="G477" s="5" t="n">
        <v>490</v>
      </c>
      <c r="H477" s="5" t="n">
        <v>4</v>
      </c>
      <c r="I477" s="5" t="inlineStr">
        <is>
          <t>grade_beam</t>
        </is>
      </c>
      <c r="J477" s="5" t="inlineStr">
        <is>
          <t>yes</t>
        </is>
      </c>
      <c r="K477" s="5" t="n">
        <v>490</v>
      </c>
      <c r="L477" s="5" t="n">
        <v>0.17</v>
      </c>
      <c r="M477" s="5" t="n">
        <v>0.22</v>
      </c>
      <c r="N477" s="5" t="inlineStr">
        <is>
          <t>yes</t>
        </is>
      </c>
    </row>
    <row r="478">
      <c r="A478" s="5" t="n">
        <v>477</v>
      </c>
      <c r="B478" s="5" t="inlineStr">
        <is>
          <t>LG-40x15</t>
        </is>
      </c>
      <c r="C478" s="5" t="inlineStr">
        <is>
          <t>grade_beam</t>
        </is>
      </c>
      <c r="D478" s="5" t="inlineStr">
        <is>
          <t>grade_beam</t>
        </is>
      </c>
      <c r="E478" s="5" t="n">
        <v>4099</v>
      </c>
      <c r="F478" s="5" t="n">
        <v>3276</v>
      </c>
      <c r="G478" s="5" t="n">
        <v>489</v>
      </c>
      <c r="H478" s="5" t="n">
        <v>4</v>
      </c>
      <c r="I478" s="5" t="inlineStr">
        <is>
          <t>grade_beam</t>
        </is>
      </c>
      <c r="J478" s="5" t="inlineStr">
        <is>
          <t>yes</t>
        </is>
      </c>
      <c r="K478" s="5" t="n">
        <v>489</v>
      </c>
      <c r="L478" s="5" t="n">
        <v>0.18</v>
      </c>
      <c r="M478" s="5" t="n">
        <v>0.16</v>
      </c>
      <c r="N478" s="5" t="inlineStr">
        <is>
          <t>yes</t>
        </is>
      </c>
    </row>
    <row r="479">
      <c r="A479" s="5" t="n">
        <v>478</v>
      </c>
      <c r="B479" s="5" t="inlineStr">
        <is>
          <t>LG-40x15</t>
        </is>
      </c>
      <c r="C479" s="5" t="inlineStr">
        <is>
          <t>grade_beam</t>
        </is>
      </c>
      <c r="D479" s="5" t="inlineStr">
        <is>
          <t>grade_beam</t>
        </is>
      </c>
      <c r="E479" s="5" t="n">
        <v>1900</v>
      </c>
      <c r="F479" s="5" t="n">
        <v>2884.4</v>
      </c>
      <c r="G479" s="5" t="n">
        <v>687</v>
      </c>
      <c r="H479" s="5" t="n">
        <v>4</v>
      </c>
      <c r="I479" s="5" t="inlineStr">
        <is>
          <t>grade_beam</t>
        </is>
      </c>
      <c r="J479" s="5" t="inlineStr">
        <is>
          <t>yes</t>
        </is>
      </c>
      <c r="K479" s="5" t="n">
        <v>687</v>
      </c>
      <c r="L479" s="5" t="n">
        <v>0.19</v>
      </c>
      <c r="M479" s="5" t="n">
        <v>0</v>
      </c>
      <c r="N479" s="5" t="inlineStr">
        <is>
          <t>no</t>
        </is>
      </c>
    </row>
    <row r="480">
      <c r="A480" s="5" t="n">
        <v>479</v>
      </c>
      <c r="B480" s="5" t="inlineStr">
        <is>
          <t>LG-40x15</t>
        </is>
      </c>
      <c r="C480" s="5" t="inlineStr">
        <is>
          <t>grade_beam</t>
        </is>
      </c>
      <c r="D480" s="5" t="inlineStr">
        <is>
          <t>grade_beam</t>
        </is>
      </c>
      <c r="E480" s="5" t="n">
        <v>2405.2</v>
      </c>
      <c r="F480" s="5" t="n">
        <v>3032.3</v>
      </c>
      <c r="G480" s="5" t="n">
        <v>680</v>
      </c>
      <c r="H480" s="5" t="n">
        <v>4</v>
      </c>
      <c r="I480" s="5" t="inlineStr">
        <is>
          <t>grade_beam</t>
        </is>
      </c>
      <c r="J480" s="5" t="inlineStr">
        <is>
          <t>yes</t>
        </is>
      </c>
      <c r="K480" s="5" t="n">
        <v>680</v>
      </c>
      <c r="L480" s="5" t="n">
        <v>0.15</v>
      </c>
      <c r="M480" s="5" t="n">
        <v>0</v>
      </c>
      <c r="N480" s="5" t="inlineStr">
        <is>
          <t>yes</t>
        </is>
      </c>
    </row>
    <row r="481">
      <c r="A481" s="5" t="n">
        <v>480</v>
      </c>
      <c r="B481" s="5" t="inlineStr">
        <is>
          <t>LG-40x15</t>
        </is>
      </c>
      <c r="C481" s="5" t="inlineStr">
        <is>
          <t>grade_beam</t>
        </is>
      </c>
      <c r="D481" s="5" t="inlineStr">
        <is>
          <t>grade_beam</t>
        </is>
      </c>
      <c r="E481" s="5" t="n">
        <v>2571.9</v>
      </c>
      <c r="F481" s="5" t="n">
        <v>2851</v>
      </c>
      <c r="G481" s="5" t="n">
        <v>681</v>
      </c>
      <c r="H481" s="5" t="n">
        <v>4</v>
      </c>
      <c r="I481" s="5" t="inlineStr">
        <is>
          <t>grade_beam</t>
        </is>
      </c>
      <c r="J481" s="5" t="inlineStr">
        <is>
          <t>yes</t>
        </is>
      </c>
      <c r="K481" s="5" t="n">
        <v>681</v>
      </c>
      <c r="L481" s="5" t="n">
        <v>0.17</v>
      </c>
      <c r="M481" s="5" t="n">
        <v>0.13</v>
      </c>
      <c r="N481" s="5" t="inlineStr">
        <is>
          <t>yes</t>
        </is>
      </c>
    </row>
    <row r="482">
      <c r="A482" s="5" t="n">
        <v>481</v>
      </c>
      <c r="B482" s="5" t="inlineStr">
        <is>
          <t>LG-40x15</t>
        </is>
      </c>
      <c r="C482" s="5" t="inlineStr">
        <is>
          <t>grade_beam</t>
        </is>
      </c>
      <c r="D482" s="5" t="inlineStr">
        <is>
          <t>grade_beam</t>
        </is>
      </c>
      <c r="E482" s="5" t="n">
        <v>2240.6</v>
      </c>
      <c r="F482" s="5" t="n">
        <v>2684.4</v>
      </c>
      <c r="G482" s="5" t="n">
        <v>681</v>
      </c>
      <c r="H482" s="5" t="n">
        <v>4</v>
      </c>
      <c r="I482" s="5" t="inlineStr">
        <is>
          <t>grade_beam</t>
        </is>
      </c>
      <c r="J482" s="5" t="inlineStr">
        <is>
          <t>yes</t>
        </is>
      </c>
      <c r="K482" s="5" t="n">
        <v>681</v>
      </c>
      <c r="L482" s="5" t="n">
        <v>0.15</v>
      </c>
      <c r="M482" s="5" t="n">
        <v>0</v>
      </c>
      <c r="N482" s="5" t="inlineStr">
        <is>
          <t>yes</t>
        </is>
      </c>
    </row>
    <row r="483">
      <c r="A483" s="5" t="n">
        <v>482</v>
      </c>
      <c r="B483" s="5" t="inlineStr">
        <is>
          <t>LG-40x15</t>
        </is>
      </c>
      <c r="C483" s="5" t="inlineStr">
        <is>
          <t>grade_beam</t>
        </is>
      </c>
      <c r="D483" s="5" t="inlineStr">
        <is>
          <t>grade_beam</t>
        </is>
      </c>
      <c r="E483" s="5" t="n">
        <v>2349</v>
      </c>
      <c r="F483" s="5" t="n">
        <v>2740.6</v>
      </c>
      <c r="G483" s="5" t="n">
        <v>664</v>
      </c>
      <c r="H483" s="5" t="n">
        <v>25</v>
      </c>
      <c r="I483" s="5" t="inlineStr">
        <is>
          <t>isolated_footing</t>
        </is>
      </c>
      <c r="J483" s="5" t="inlineStr">
        <is>
          <t>no</t>
        </is>
      </c>
      <c r="K483" s="5" t="n">
        <v>681</v>
      </c>
      <c r="L483" s="5" t="n">
        <v>0.21</v>
      </c>
      <c r="M483" s="5" t="n">
        <v>0.05</v>
      </c>
      <c r="N483" s="5" t="inlineStr">
        <is>
          <t>yes</t>
        </is>
      </c>
    </row>
    <row r="484">
      <c r="A484" s="5" t="n">
        <v>483</v>
      </c>
      <c r="B484" s="5" t="inlineStr">
        <is>
          <t>LG-40x15</t>
        </is>
      </c>
      <c r="C484" s="5" t="inlineStr">
        <is>
          <t>grade_beam</t>
        </is>
      </c>
      <c r="D484" s="5" t="inlineStr">
        <is>
          <t>grade_beam</t>
        </is>
      </c>
      <c r="E484" s="5" t="n">
        <v>2026</v>
      </c>
      <c r="F484" s="5" t="n">
        <v>2578.1</v>
      </c>
      <c r="G484" s="5" t="n">
        <v>681</v>
      </c>
      <c r="H484" s="5" t="n">
        <v>4</v>
      </c>
      <c r="I484" s="5" t="inlineStr">
        <is>
          <t>grade_beam</t>
        </is>
      </c>
      <c r="J484" s="5" t="inlineStr">
        <is>
          <t>yes</t>
        </is>
      </c>
      <c r="K484" s="5" t="n">
        <v>691</v>
      </c>
      <c r="L484" s="5" t="n">
        <v>1.01</v>
      </c>
      <c r="M484" s="5" t="n">
        <v>0</v>
      </c>
      <c r="N484" s="5" t="inlineStr">
        <is>
          <t>yes</t>
        </is>
      </c>
    </row>
    <row r="485">
      <c r="A485" s="5" t="n">
        <v>484</v>
      </c>
      <c r="B485" s="5" t="inlineStr">
        <is>
          <t>LG-40x15</t>
        </is>
      </c>
      <c r="C485" s="5" t="inlineStr">
        <is>
          <t>grade_beam</t>
        </is>
      </c>
      <c r="D485" s="5" t="inlineStr">
        <is>
          <t>grade_beam</t>
        </is>
      </c>
      <c r="E485" s="5" t="n">
        <v>2134.4</v>
      </c>
      <c r="F485" s="5" t="n">
        <v>2632.3</v>
      </c>
      <c r="G485" s="5" t="n">
        <v>681</v>
      </c>
      <c r="H485" s="5" t="n">
        <v>4</v>
      </c>
      <c r="I485" s="5" t="inlineStr">
        <is>
          <t>grade_beam</t>
        </is>
      </c>
      <c r="J485" s="5" t="inlineStr">
        <is>
          <t>yes</t>
        </is>
      </c>
      <c r="K485" s="5" t="n">
        <v>681</v>
      </c>
      <c r="L485" s="5" t="n">
        <v>0.19</v>
      </c>
      <c r="M485" s="5" t="n">
        <v>0</v>
      </c>
      <c r="N485" s="5" t="inlineStr">
        <is>
          <t>yes</t>
        </is>
      </c>
    </row>
    <row r="486">
      <c r="A486" s="5" t="n">
        <v>485</v>
      </c>
      <c r="B486" s="5" t="inlineStr">
        <is>
          <t>LG-25x40</t>
        </is>
      </c>
      <c r="C486" s="5" t="inlineStr">
        <is>
          <t>grade_beam</t>
        </is>
      </c>
      <c r="D486" s="5" t="inlineStr">
        <is>
          <t>grade_beam</t>
        </is>
      </c>
      <c r="E486" s="5" t="n">
        <v>4439.6</v>
      </c>
      <c r="F486" s="5" t="n">
        <v>2154.2</v>
      </c>
      <c r="G486" s="5" t="n">
        <v>147</v>
      </c>
      <c r="H486" s="5" t="n">
        <v>2</v>
      </c>
      <c r="I486" s="5" t="inlineStr">
        <is>
          <t>grade_beam</t>
        </is>
      </c>
      <c r="J486" s="5" t="inlineStr">
        <is>
          <t>yes</t>
        </is>
      </c>
      <c r="K486" s="5" t="n">
        <v>147</v>
      </c>
      <c r="L486" s="5" t="n">
        <v>0.25</v>
      </c>
      <c r="M486" s="5" t="n">
        <v>0</v>
      </c>
      <c r="N486" s="5" t="inlineStr">
        <is>
          <t>yes</t>
        </is>
      </c>
    </row>
    <row r="487">
      <c r="A487" s="5" t="n">
        <v>486</v>
      </c>
      <c r="B487" s="5" t="inlineStr">
        <is>
          <t>LG-25x40</t>
        </is>
      </c>
      <c r="C487" s="5" t="inlineStr">
        <is>
          <t>grade_beam</t>
        </is>
      </c>
      <c r="D487" s="5" t="inlineStr">
        <is>
          <t>grade_beam</t>
        </is>
      </c>
      <c r="E487" s="5" t="n">
        <v>4254.2</v>
      </c>
      <c r="F487" s="5" t="n">
        <v>2154.2</v>
      </c>
      <c r="G487" s="5" t="n">
        <v>138</v>
      </c>
      <c r="H487" s="5" t="n">
        <v>15</v>
      </c>
      <c r="I487" s="5" t="inlineStr">
        <is>
          <t>combined_footing</t>
        </is>
      </c>
      <c r="J487" s="5" t="inlineStr">
        <is>
          <t>no</t>
        </is>
      </c>
      <c r="K487" s="5" t="n">
        <v>147</v>
      </c>
      <c r="L487" s="5" t="n">
        <v>0.23</v>
      </c>
      <c r="M487" s="5" t="n">
        <v>0</v>
      </c>
      <c r="N487" s="5" t="inlineStr">
        <is>
          <t>yes</t>
        </is>
      </c>
    </row>
    <row r="488">
      <c r="A488" s="5" t="n">
        <v>487</v>
      </c>
      <c r="B488" s="5" t="inlineStr">
        <is>
          <t>LG-40x15</t>
        </is>
      </c>
      <c r="C488" s="5" t="inlineStr">
        <is>
          <t>grade_beam</t>
        </is>
      </c>
      <c r="D488" s="5" t="inlineStr">
        <is>
          <t>grade_beam</t>
        </is>
      </c>
      <c r="E488" s="5" t="n">
        <v>733.3</v>
      </c>
      <c r="F488" s="5" t="n">
        <v>1303.1</v>
      </c>
      <c r="G488" s="5" t="n">
        <v>1044</v>
      </c>
      <c r="H488" s="5" t="n">
        <v>26</v>
      </c>
      <c r="I488" s="5" t="inlineStr">
        <is>
          <t>isolated_footing</t>
        </is>
      </c>
      <c r="J488" s="5" t="inlineStr">
        <is>
          <t>no</t>
        </is>
      </c>
      <c r="K488" s="5" t="n">
        <v>1063</v>
      </c>
      <c r="L488" s="5" t="n">
        <v>0.19</v>
      </c>
      <c r="M488" s="5" t="n">
        <v>0</v>
      </c>
      <c r="N488" s="5" t="inlineStr">
        <is>
          <t>no</t>
        </is>
      </c>
    </row>
    <row r="489">
      <c r="A489" s="5" t="n">
        <v>488</v>
      </c>
      <c r="B489" s="5" t="inlineStr">
        <is>
          <t>LG-40x15</t>
        </is>
      </c>
      <c r="C489" s="5" t="inlineStr">
        <is>
          <t>grade_beam</t>
        </is>
      </c>
      <c r="D489" s="5" t="inlineStr">
        <is>
          <t>grade_beam</t>
        </is>
      </c>
      <c r="E489" s="5" t="n">
        <v>679.2</v>
      </c>
      <c r="F489" s="5" t="n">
        <v>1282.3</v>
      </c>
      <c r="G489" s="5" t="n">
        <v>1064</v>
      </c>
      <c r="H489" s="5" t="n">
        <v>4</v>
      </c>
      <c r="I489" s="5" t="inlineStr">
        <is>
          <t>grade_beam</t>
        </is>
      </c>
      <c r="J489" s="5" t="inlineStr">
        <is>
          <t>yes</t>
        </is>
      </c>
      <c r="K489" s="5" t="n">
        <v>1064</v>
      </c>
      <c r="L489" s="5" t="n">
        <v>0.16</v>
      </c>
      <c r="M489" s="5" t="n">
        <v>0.35</v>
      </c>
      <c r="N489" s="5" t="inlineStr">
        <is>
          <t>yes</t>
        </is>
      </c>
    </row>
    <row r="490">
      <c r="A490" s="5" t="n">
        <v>489</v>
      </c>
      <c r="B490" s="5" t="inlineStr">
        <is>
          <t>SF1 80x25</t>
        </is>
      </c>
      <c r="C490" s="5" t="inlineStr">
        <is>
          <t>strip_footing</t>
        </is>
      </c>
      <c r="D490" s="5" t="inlineStr">
        <is>
          <t>strip_footing</t>
        </is>
      </c>
      <c r="E490" s="5" t="n">
        <v>917.7</v>
      </c>
      <c r="F490" s="5" t="n">
        <v>2526</v>
      </c>
      <c r="G490" s="5" t="n">
        <v>906</v>
      </c>
      <c r="H490" s="5" t="n">
        <v>6</v>
      </c>
      <c r="I490" s="5" t="inlineStr">
        <is>
          <t>strip_footing</t>
        </is>
      </c>
      <c r="J490" s="5" t="inlineStr">
        <is>
          <t>yes</t>
        </is>
      </c>
      <c r="K490" s="5" t="n">
        <v>906</v>
      </c>
      <c r="L490" s="5" t="n">
        <v>0</v>
      </c>
      <c r="M490" s="5" t="n">
        <v>0.17</v>
      </c>
      <c r="N490" s="5" t="inlineStr">
        <is>
          <t>yes</t>
        </is>
      </c>
    </row>
    <row r="491">
      <c r="A491" s="5" t="n">
        <v>490</v>
      </c>
      <c r="B491" s="5" t="inlineStr">
        <is>
          <t>SF1-80x25</t>
        </is>
      </c>
      <c r="C491" s="5" t="inlineStr">
        <is>
          <t>strip_footing</t>
        </is>
      </c>
      <c r="D491" s="5" t="inlineStr">
        <is>
          <t>strip_footing</t>
        </is>
      </c>
      <c r="E491" s="5" t="n">
        <v>921.9</v>
      </c>
      <c r="F491" s="5" t="n">
        <v>1178.1</v>
      </c>
      <c r="G491" s="5" t="n">
        <v>1055</v>
      </c>
      <c r="H491" s="5" t="n">
        <v>6</v>
      </c>
      <c r="I491" s="5" t="inlineStr">
        <is>
          <t>strip_footing</t>
        </is>
      </c>
      <c r="J491" s="5" t="inlineStr">
        <is>
          <t>yes</t>
        </is>
      </c>
      <c r="K491" s="5" t="n">
        <v>1055</v>
      </c>
      <c r="L491" s="5" t="n">
        <v>0.26</v>
      </c>
      <c r="M491" s="5" t="n">
        <v>0.33</v>
      </c>
      <c r="N491" s="5" t="inlineStr">
        <is>
          <t>yes</t>
        </is>
      </c>
    </row>
    <row r="492">
      <c r="A492" s="5" t="n">
        <v>491</v>
      </c>
      <c r="B492" s="5" t="inlineStr">
        <is>
          <t>SF1 80x25</t>
        </is>
      </c>
      <c r="C492" s="5" t="inlineStr">
        <is>
          <t>strip_footing</t>
        </is>
      </c>
      <c r="D492" s="5" t="inlineStr">
        <is>
          <t>strip_footing</t>
        </is>
      </c>
      <c r="E492" s="5" t="n">
        <v>1088.5</v>
      </c>
      <c r="F492" s="5" t="n">
        <v>2727.1</v>
      </c>
      <c r="G492" s="5" t="n">
        <v>768</v>
      </c>
      <c r="H492" s="5" t="n">
        <v>6</v>
      </c>
      <c r="I492" s="5" t="inlineStr">
        <is>
          <t>strip_footing</t>
        </is>
      </c>
      <c r="J492" s="5" t="inlineStr">
        <is>
          <t>yes</t>
        </is>
      </c>
      <c r="K492" s="5" t="n">
        <v>768</v>
      </c>
      <c r="L492" s="5" t="n">
        <v>0.74</v>
      </c>
      <c r="M492" s="5" t="n">
        <v>0</v>
      </c>
      <c r="N492" s="5" t="inlineStr">
        <is>
          <t>no</t>
        </is>
      </c>
    </row>
    <row r="493">
      <c r="A493" s="5" t="n">
        <v>492</v>
      </c>
      <c r="B493" s="5" t="inlineStr">
        <is>
          <t>SF1 80x25</t>
        </is>
      </c>
      <c r="C493" s="5" t="inlineStr">
        <is>
          <t>strip_footing</t>
        </is>
      </c>
      <c r="D493" s="5" t="inlineStr">
        <is>
          <t>strip_footing</t>
        </is>
      </c>
      <c r="E493" s="5" t="n">
        <v>4782.3</v>
      </c>
      <c r="F493" s="5" t="n">
        <v>706.2</v>
      </c>
      <c r="G493" s="5" t="n">
        <v>49</v>
      </c>
      <c r="H493" s="5" t="n">
        <v>6</v>
      </c>
      <c r="I493" s="5" t="inlineStr">
        <is>
          <t>strip_footing</t>
        </is>
      </c>
      <c r="J493" s="5" t="inlineStr">
        <is>
          <t>yes</t>
        </is>
      </c>
      <c r="K493" s="5" t="n">
        <v>49</v>
      </c>
      <c r="L493" s="5" t="n">
        <v>0.08</v>
      </c>
      <c r="M493" s="5" t="n">
        <v>0.14</v>
      </c>
      <c r="N493" s="5" t="inlineStr">
        <is>
          <t>yes</t>
        </is>
      </c>
    </row>
    <row r="494">
      <c r="A494" s="5" t="n">
        <v>493</v>
      </c>
      <c r="B494" s="5" t="inlineStr">
        <is>
          <t>SF1 80x25</t>
        </is>
      </c>
      <c r="C494" s="5" t="inlineStr">
        <is>
          <t>strip_footing</t>
        </is>
      </c>
      <c r="D494" s="5" t="inlineStr">
        <is>
          <t>strip_footing</t>
        </is>
      </c>
      <c r="E494" s="5" t="n">
        <v>4650</v>
      </c>
      <c r="F494" s="5" t="n">
        <v>2028.1</v>
      </c>
      <c r="G494" s="5" t="n">
        <v>141</v>
      </c>
      <c r="H494" s="5" t="n">
        <v>6</v>
      </c>
      <c r="I494" s="5" t="inlineStr">
        <is>
          <t>strip_footing</t>
        </is>
      </c>
      <c r="J494" s="5" t="inlineStr">
        <is>
          <t>yes</t>
        </is>
      </c>
      <c r="K494" s="5" t="n">
        <v>141</v>
      </c>
      <c r="L494" s="5" t="n">
        <v>0</v>
      </c>
      <c r="M494" s="5" t="n">
        <v>0</v>
      </c>
      <c r="N494" s="5" t="inlineStr">
        <is>
          <t>no</t>
        </is>
      </c>
    </row>
    <row r="495">
      <c r="A495" s="5" t="n">
        <v>494</v>
      </c>
      <c r="B495" s="5" t="inlineStr">
        <is>
          <t>SF1 80x25</t>
        </is>
      </c>
      <c r="C495" s="5" t="inlineStr">
        <is>
          <t>strip_footing</t>
        </is>
      </c>
      <c r="D495" s="5" t="inlineStr">
        <is>
          <t>strip_footing</t>
        </is>
      </c>
      <c r="E495" s="5" t="n">
        <v>4867.7</v>
      </c>
      <c r="F495" s="5" t="n">
        <v>1766.7</v>
      </c>
      <c r="G495" s="5" t="n">
        <v>142</v>
      </c>
      <c r="H495" s="5" t="n">
        <v>6</v>
      </c>
      <c r="I495" s="5" t="inlineStr">
        <is>
          <t>strip_footing</t>
        </is>
      </c>
      <c r="J495" s="5" t="inlineStr">
        <is>
          <t>yes</t>
        </is>
      </c>
      <c r="K495" s="5" t="n">
        <v>142</v>
      </c>
      <c r="L495" s="5" t="n">
        <v>0</v>
      </c>
      <c r="M495" s="5" t="n">
        <v>0.02</v>
      </c>
      <c r="N495" s="5" t="inlineStr">
        <is>
          <t>yes</t>
        </is>
      </c>
    </row>
    <row r="496">
      <c r="A496" s="5" t="n">
        <v>495</v>
      </c>
      <c r="B496" s="5" t="inlineStr">
        <is>
          <t>SF1 80x25</t>
        </is>
      </c>
      <c r="C496" s="5" t="inlineStr">
        <is>
          <t>strip_footing</t>
        </is>
      </c>
      <c r="D496" s="5" t="inlineStr">
        <is>
          <t>strip_footing</t>
        </is>
      </c>
      <c r="E496" s="5" t="n">
        <v>4780.2</v>
      </c>
      <c r="F496" s="5" t="n">
        <v>1862.5</v>
      </c>
      <c r="G496" s="5" t="n">
        <v>162</v>
      </c>
      <c r="H496" s="5" t="n">
        <v>20</v>
      </c>
      <c r="I496" s="5" t="inlineStr">
        <is>
          <t>sump_pit</t>
        </is>
      </c>
      <c r="J496" s="5" t="inlineStr">
        <is>
          <t>no</t>
        </is>
      </c>
      <c r="K496" s="5" t="n">
        <v>221</v>
      </c>
      <c r="L496" s="5" t="n">
        <v>1.07</v>
      </c>
      <c r="M496" s="5" t="n">
        <v>0</v>
      </c>
      <c r="N496" s="5" t="inlineStr">
        <is>
          <t>yes</t>
        </is>
      </c>
    </row>
    <row r="497">
      <c r="A497" s="5" t="n">
        <v>496</v>
      </c>
      <c r="B497" s="5" t="inlineStr">
        <is>
          <t>SF1 80x25</t>
        </is>
      </c>
      <c r="C497" s="5" t="inlineStr">
        <is>
          <t>strip_footing</t>
        </is>
      </c>
      <c r="D497" s="5" t="inlineStr">
        <is>
          <t>strip_footing</t>
        </is>
      </c>
      <c r="E497" s="5" t="n">
        <v>4246.9</v>
      </c>
      <c r="F497" s="5" t="n">
        <v>504.2</v>
      </c>
      <c r="G497" s="5" t="n">
        <v>47</v>
      </c>
      <c r="H497" s="5" t="n">
        <v>6</v>
      </c>
      <c r="I497" s="5" t="inlineStr">
        <is>
          <t>strip_footing</t>
        </is>
      </c>
      <c r="J497" s="5" t="inlineStr">
        <is>
          <t>yes</t>
        </is>
      </c>
      <c r="K497" s="5" t="n">
        <v>47</v>
      </c>
      <c r="L497" s="5" t="n">
        <v>0.65</v>
      </c>
      <c r="M497" s="5" t="n">
        <v>0.13</v>
      </c>
      <c r="N497" s="5" t="inlineStr">
        <is>
          <t>yes</t>
        </is>
      </c>
    </row>
    <row r="498">
      <c r="A498" s="5" t="n">
        <v>497</v>
      </c>
      <c r="B498" s="5" t="inlineStr">
        <is>
          <t>SF1 80x25</t>
        </is>
      </c>
      <c r="C498" s="5" t="inlineStr">
        <is>
          <t>strip_footing</t>
        </is>
      </c>
      <c r="D498" s="5" t="inlineStr">
        <is>
          <t>strip_footing</t>
        </is>
      </c>
      <c r="E498" s="5" t="n">
        <v>4782.3</v>
      </c>
      <c r="F498" s="5" t="n">
        <v>2072.9</v>
      </c>
      <c r="G498" s="5" t="n">
        <v>145</v>
      </c>
      <c r="H498" s="5" t="n">
        <v>6</v>
      </c>
      <c r="I498" s="5" t="inlineStr">
        <is>
          <t>strip_footing</t>
        </is>
      </c>
      <c r="J498" s="5" t="inlineStr">
        <is>
          <t>yes</t>
        </is>
      </c>
      <c r="K498" s="5" t="n">
        <v>145</v>
      </c>
      <c r="L498" s="5" t="n">
        <v>0</v>
      </c>
      <c r="M498" s="5" t="n">
        <v>0</v>
      </c>
      <c r="N498" s="5" t="inlineStr">
        <is>
          <t>no</t>
        </is>
      </c>
    </row>
    <row r="499">
      <c r="A499" s="5" t="n">
        <v>498</v>
      </c>
      <c r="B499" s="5" t="inlineStr">
        <is>
          <t>SF1-80x25</t>
        </is>
      </c>
      <c r="C499" s="5" t="inlineStr">
        <is>
          <t>strip_footing</t>
        </is>
      </c>
      <c r="D499" s="5" t="inlineStr">
        <is>
          <t>strip_footing</t>
        </is>
      </c>
      <c r="E499" s="5" t="n">
        <v>4180.2</v>
      </c>
      <c r="F499" s="5" t="n">
        <v>1240.6</v>
      </c>
      <c r="G499" s="5" t="n">
        <v>46</v>
      </c>
      <c r="H499" s="5" t="n">
        <v>6</v>
      </c>
      <c r="I499" s="5" t="inlineStr">
        <is>
          <t>strip_footing</t>
        </is>
      </c>
      <c r="J499" s="5" t="inlineStr">
        <is>
          <t>yes</t>
        </is>
      </c>
      <c r="K499" s="5" t="n">
        <v>46</v>
      </c>
      <c r="L499" s="5" t="n">
        <v>0.22</v>
      </c>
      <c r="M499" s="5" t="n">
        <v>0.01</v>
      </c>
      <c r="N499" s="5" t="inlineStr">
        <is>
          <t>yes</t>
        </is>
      </c>
    </row>
    <row r="500">
      <c r="A500" s="5" t="n">
        <v>499</v>
      </c>
      <c r="B500" s="5" t="inlineStr">
        <is>
          <t>SF1-80x25</t>
        </is>
      </c>
      <c r="C500" s="5" t="inlineStr">
        <is>
          <t>strip_footing</t>
        </is>
      </c>
      <c r="D500" s="5" t="inlineStr">
        <is>
          <t>strip_footing</t>
        </is>
      </c>
      <c r="E500" s="5" t="n">
        <v>4180.2</v>
      </c>
      <c r="F500" s="5" t="n">
        <v>1014.6</v>
      </c>
      <c r="G500" s="5" t="n">
        <v>46</v>
      </c>
      <c r="H500" s="5" t="n">
        <v>6</v>
      </c>
      <c r="I500" s="5" t="inlineStr">
        <is>
          <t>strip_footing</t>
        </is>
      </c>
      <c r="J500" s="5" t="inlineStr">
        <is>
          <t>yes</t>
        </is>
      </c>
      <c r="K500" s="5" t="n">
        <v>46</v>
      </c>
      <c r="L500" s="5" t="n">
        <v>0.21</v>
      </c>
      <c r="M500" s="5" t="n">
        <v>0.01</v>
      </c>
      <c r="N500" s="5" t="inlineStr">
        <is>
          <t>yes</t>
        </is>
      </c>
    </row>
    <row r="501">
      <c r="A501" s="5" t="n">
        <v>500</v>
      </c>
      <c r="B501" s="5" t="inlineStr">
        <is>
          <t>SF1-80x25</t>
        </is>
      </c>
      <c r="C501" s="5" t="inlineStr">
        <is>
          <t>strip_footing</t>
        </is>
      </c>
      <c r="D501" s="5" t="inlineStr">
        <is>
          <t>strip_footing</t>
        </is>
      </c>
      <c r="E501" s="5" t="n">
        <v>4182.3</v>
      </c>
      <c r="F501" s="5" t="n">
        <v>780.2</v>
      </c>
      <c r="G501" s="5" t="n">
        <v>46</v>
      </c>
      <c r="H501" s="5" t="n">
        <v>6</v>
      </c>
      <c r="I501" s="5" t="inlineStr">
        <is>
          <t>strip_footing</t>
        </is>
      </c>
      <c r="J501" s="5" t="inlineStr">
        <is>
          <t>yes</t>
        </is>
      </c>
      <c r="K501" s="5" t="n">
        <v>46</v>
      </c>
      <c r="L501" s="5" t="n">
        <v>0.27</v>
      </c>
      <c r="M501" s="5" t="n">
        <v>0.01</v>
      </c>
      <c r="N501" s="5" t="inlineStr">
        <is>
          <t>yes</t>
        </is>
      </c>
    </row>
    <row r="502">
      <c r="A502" s="5" t="n">
        <v>501</v>
      </c>
      <c r="B502" s="5" t="inlineStr">
        <is>
          <t>SF1-80x25</t>
        </is>
      </c>
      <c r="C502" s="5" t="inlineStr">
        <is>
          <t>strip_footing</t>
        </is>
      </c>
      <c r="D502" s="5" t="inlineStr">
        <is>
          <t>strip_footing</t>
        </is>
      </c>
      <c r="E502" s="5" t="n">
        <v>4182.3</v>
      </c>
      <c r="F502" s="5" t="n">
        <v>600</v>
      </c>
      <c r="G502" s="5" t="n">
        <v>46</v>
      </c>
      <c r="H502" s="5" t="n">
        <v>6</v>
      </c>
      <c r="I502" s="5" t="inlineStr">
        <is>
          <t>strip_footing</t>
        </is>
      </c>
      <c r="J502" s="5" t="inlineStr">
        <is>
          <t>yes</t>
        </is>
      </c>
      <c r="K502" s="5" t="n">
        <v>46</v>
      </c>
      <c r="L502" s="5" t="n">
        <v>0.27</v>
      </c>
      <c r="M502" s="5" t="n">
        <v>0.01</v>
      </c>
      <c r="N502" s="5" t="inlineStr">
        <is>
          <t>yes</t>
        </is>
      </c>
    </row>
    <row r="503">
      <c r="A503" s="5" t="n">
        <v>502</v>
      </c>
      <c r="B503" s="5" t="inlineStr">
        <is>
          <t>SF1-80x25</t>
        </is>
      </c>
      <c r="C503" s="5" t="inlineStr">
        <is>
          <t>strip_footing</t>
        </is>
      </c>
      <c r="D503" s="5" t="inlineStr">
        <is>
          <t>strip_footing</t>
        </is>
      </c>
      <c r="E503" s="5" t="n">
        <v>4180.2</v>
      </c>
      <c r="F503" s="5" t="n">
        <v>1709.4</v>
      </c>
      <c r="G503" s="5" t="n">
        <v>140</v>
      </c>
      <c r="H503" s="5" t="n">
        <v>6</v>
      </c>
      <c r="I503" s="5" t="inlineStr">
        <is>
          <t>strip_footing</t>
        </is>
      </c>
      <c r="J503" s="5" t="inlineStr">
        <is>
          <t>yes</t>
        </is>
      </c>
      <c r="K503" s="5" t="n">
        <v>140</v>
      </c>
      <c r="L503" s="5" t="n">
        <v>0.23</v>
      </c>
      <c r="M503" s="5" t="n">
        <v>0.01</v>
      </c>
      <c r="N503" s="5" t="inlineStr">
        <is>
          <t>yes</t>
        </is>
      </c>
    </row>
    <row r="504">
      <c r="A504" s="5" t="n">
        <v>503</v>
      </c>
      <c r="B504" s="5" t="inlineStr">
        <is>
          <t>SF1-80x25</t>
        </is>
      </c>
      <c r="C504" s="5" t="inlineStr">
        <is>
          <t>strip_footing</t>
        </is>
      </c>
      <c r="D504" s="5" t="inlineStr">
        <is>
          <t>strip_footing</t>
        </is>
      </c>
      <c r="E504" s="5" t="n">
        <v>4181.2</v>
      </c>
      <c r="F504" s="5" t="n">
        <v>1950</v>
      </c>
      <c r="G504" s="5" t="n">
        <v>140</v>
      </c>
      <c r="H504" s="5" t="n">
        <v>6</v>
      </c>
      <c r="I504" s="5" t="inlineStr">
        <is>
          <t>strip_footing</t>
        </is>
      </c>
      <c r="J504" s="5" t="inlineStr">
        <is>
          <t>yes</t>
        </is>
      </c>
      <c r="K504" s="5" t="n">
        <v>140</v>
      </c>
      <c r="L504" s="5" t="n">
        <v>0.27</v>
      </c>
      <c r="M504" s="5" t="n">
        <v>0.01</v>
      </c>
      <c r="N504" s="5" t="inlineStr">
        <is>
          <t>yes</t>
        </is>
      </c>
    </row>
    <row r="505">
      <c r="A505" s="5" t="n">
        <v>504</v>
      </c>
      <c r="B505" s="5" t="inlineStr">
        <is>
          <t>SF1-80x25</t>
        </is>
      </c>
      <c r="C505" s="5" t="inlineStr">
        <is>
          <t>strip_footing</t>
        </is>
      </c>
      <c r="D505" s="5" t="inlineStr">
        <is>
          <t>strip_footing</t>
        </is>
      </c>
      <c r="E505" s="5" t="n">
        <v>4180.2</v>
      </c>
      <c r="F505" s="5" t="n">
        <v>2102.1</v>
      </c>
      <c r="G505" s="5" t="n">
        <v>140</v>
      </c>
      <c r="H505" s="5" t="n">
        <v>6</v>
      </c>
      <c r="I505" s="5" t="inlineStr">
        <is>
          <t>strip_footing</t>
        </is>
      </c>
      <c r="J505" s="5" t="inlineStr">
        <is>
          <t>yes</t>
        </is>
      </c>
      <c r="K505" s="5" t="n">
        <v>140</v>
      </c>
      <c r="L505" s="5" t="n">
        <v>0.23</v>
      </c>
      <c r="M505" s="5" t="n">
        <v>0.01</v>
      </c>
      <c r="N505" s="5" t="inlineStr">
        <is>
          <t>yes</t>
        </is>
      </c>
    </row>
    <row r="506">
      <c r="A506" s="5" t="n">
        <v>505</v>
      </c>
      <c r="B506" s="5" t="inlineStr">
        <is>
          <t>SF1 80x25</t>
        </is>
      </c>
      <c r="C506" s="5" t="inlineStr">
        <is>
          <t>strip_footing</t>
        </is>
      </c>
      <c r="D506" s="5" t="inlineStr">
        <is>
          <t>strip_footing</t>
        </is>
      </c>
      <c r="E506" s="5" t="n">
        <v>4987.5</v>
      </c>
      <c r="F506" s="5" t="n">
        <v>1695.8</v>
      </c>
      <c r="G506" s="5" t="n">
        <v>144</v>
      </c>
      <c r="H506" s="5" t="n">
        <v>6</v>
      </c>
      <c r="I506" s="5" t="inlineStr">
        <is>
          <t>strip_footing</t>
        </is>
      </c>
      <c r="J506" s="5" t="inlineStr">
        <is>
          <t>yes</t>
        </is>
      </c>
      <c r="K506" s="5" t="n">
        <v>144</v>
      </c>
      <c r="L506" s="5" t="n">
        <v>0.57</v>
      </c>
      <c r="M506" s="5" t="n">
        <v>0</v>
      </c>
      <c r="N506" s="5" t="inlineStr">
        <is>
          <t>yes</t>
        </is>
      </c>
    </row>
    <row r="507">
      <c r="A507" s="5" t="n">
        <v>506</v>
      </c>
      <c r="B507" s="5" t="inlineStr">
        <is>
          <t>SF1 80x25</t>
        </is>
      </c>
      <c r="C507" s="5" t="inlineStr">
        <is>
          <t>strip_footing</t>
        </is>
      </c>
      <c r="D507" s="5" t="inlineStr">
        <is>
          <t>strip_footing</t>
        </is>
      </c>
      <c r="E507" s="5" t="n">
        <v>4739.6</v>
      </c>
      <c r="F507" s="5" t="n">
        <v>1432.3</v>
      </c>
      <c r="G507" s="5" t="n">
        <v>143</v>
      </c>
      <c r="H507" s="5" t="n">
        <v>6</v>
      </c>
      <c r="I507" s="5" t="inlineStr">
        <is>
          <t>strip_footing</t>
        </is>
      </c>
      <c r="J507" s="5" t="inlineStr">
        <is>
          <t>yes</t>
        </is>
      </c>
      <c r="K507" s="5" t="n">
        <v>143</v>
      </c>
      <c r="L507" s="5" t="n">
        <v>0.58</v>
      </c>
      <c r="M507" s="5" t="n">
        <v>0</v>
      </c>
      <c r="N507" s="5" t="inlineStr">
        <is>
          <t>yes</t>
        </is>
      </c>
    </row>
    <row r="508">
      <c r="A508" s="5" t="n">
        <v>507</v>
      </c>
      <c r="B508" s="5" t="inlineStr">
        <is>
          <t>SF1 80x25</t>
        </is>
      </c>
      <c r="C508" s="5" t="inlineStr">
        <is>
          <t>strip_footing</t>
        </is>
      </c>
      <c r="D508" s="5" t="inlineStr">
        <is>
          <t>strip_footing</t>
        </is>
      </c>
      <c r="E508" s="5" t="n">
        <v>4740.6</v>
      </c>
      <c r="F508" s="5" t="n">
        <v>1222.9</v>
      </c>
      <c r="G508" s="5" t="n">
        <v>48</v>
      </c>
      <c r="H508" s="5" t="n">
        <v>6</v>
      </c>
      <c r="I508" s="5" t="inlineStr">
        <is>
          <t>strip_footing</t>
        </is>
      </c>
      <c r="J508" s="5" t="inlineStr">
        <is>
          <t>yes</t>
        </is>
      </c>
      <c r="K508" s="5" t="n">
        <v>48</v>
      </c>
      <c r="L508" s="5" t="n">
        <v>0.54</v>
      </c>
      <c r="M508" s="5" t="n">
        <v>0</v>
      </c>
      <c r="N508" s="5" t="inlineStr">
        <is>
          <t>yes</t>
        </is>
      </c>
    </row>
    <row r="509">
      <c r="A509" s="5" t="n">
        <v>508</v>
      </c>
      <c r="B509" s="5" t="inlineStr">
        <is>
          <t>SF1 80x25</t>
        </is>
      </c>
      <c r="C509" s="5" t="inlineStr">
        <is>
          <t>strip_footing</t>
        </is>
      </c>
      <c r="D509" s="5" t="inlineStr">
        <is>
          <t>strip_footing</t>
        </is>
      </c>
      <c r="E509" s="5" t="n">
        <v>4793.8</v>
      </c>
      <c r="F509" s="5" t="n">
        <v>935.4</v>
      </c>
      <c r="G509" s="5" t="n">
        <v>50</v>
      </c>
      <c r="H509" s="5" t="n">
        <v>6</v>
      </c>
      <c r="I509" s="5" t="inlineStr">
        <is>
          <t>strip_footing</t>
        </is>
      </c>
      <c r="J509" s="5" t="inlineStr">
        <is>
          <t>yes</t>
        </is>
      </c>
      <c r="K509" s="5" t="n">
        <v>50</v>
      </c>
      <c r="L509" s="5" t="n">
        <v>0.53</v>
      </c>
      <c r="M509" s="5" t="n">
        <v>0</v>
      </c>
      <c r="N509" s="5" t="inlineStr">
        <is>
          <t>yes</t>
        </is>
      </c>
    </row>
    <row r="510">
      <c r="A510" s="5" t="n">
        <v>509</v>
      </c>
      <c r="B510" s="5" t="inlineStr">
        <is>
          <t>SF1 80x25</t>
        </is>
      </c>
      <c r="C510" s="5" t="inlineStr">
        <is>
          <t>strip_footing</t>
        </is>
      </c>
      <c r="D510" s="5" t="inlineStr">
        <is>
          <t>strip_footing</t>
        </is>
      </c>
      <c r="E510" s="5" t="n">
        <v>4421.9</v>
      </c>
      <c r="F510" s="5" t="n">
        <v>480.2</v>
      </c>
      <c r="G510" s="5" t="n">
        <v>47</v>
      </c>
      <c r="H510" s="5" t="n">
        <v>6</v>
      </c>
      <c r="I510" s="5" t="inlineStr">
        <is>
          <t>strip_footing</t>
        </is>
      </c>
      <c r="J510" s="5" t="inlineStr">
        <is>
          <t>yes</t>
        </is>
      </c>
      <c r="K510" s="5" t="n">
        <v>47</v>
      </c>
      <c r="L510" s="5" t="n">
        <v>0.6</v>
      </c>
      <c r="M510" s="5" t="n">
        <v>0.02</v>
      </c>
      <c r="N510" s="5" t="inlineStr">
        <is>
          <t>yes</t>
        </is>
      </c>
    </row>
    <row r="511">
      <c r="A511" s="5" t="n">
        <v>510</v>
      </c>
      <c r="B511" s="5" t="inlineStr">
        <is>
          <t>SF1 80x25</t>
        </is>
      </c>
      <c r="C511" s="5" t="inlineStr">
        <is>
          <t>strip_footing</t>
        </is>
      </c>
      <c r="D511" s="5" t="inlineStr">
        <is>
          <t>strip_footing</t>
        </is>
      </c>
      <c r="E511" s="5" t="n">
        <v>4652.1</v>
      </c>
      <c r="F511" s="5" t="n">
        <v>2229.2</v>
      </c>
      <c r="G511" s="5" t="n">
        <v>343</v>
      </c>
      <c r="H511" s="5" t="n">
        <v>3</v>
      </c>
      <c r="I511" s="5" t="inlineStr">
        <is>
          <t>unnamed</t>
        </is>
      </c>
      <c r="J511" s="5" t="inlineStr">
        <is>
          <t>unnamed</t>
        </is>
      </c>
      <c r="K511" s="5" t="n">
        <v>280</v>
      </c>
      <c r="L511" s="5" t="n">
        <v>0</v>
      </c>
      <c r="M511" s="5" t="n">
        <v>0.02</v>
      </c>
      <c r="N511" s="5" t="inlineStr">
        <is>
          <t>yes</t>
        </is>
      </c>
    </row>
    <row r="512">
      <c r="A512" s="5" t="n">
        <v>511</v>
      </c>
      <c r="B512" s="5" t="inlineStr">
        <is>
          <t>SF4- 120x25</t>
        </is>
      </c>
      <c r="C512" s="5" t="inlineStr">
        <is>
          <t>strip_footing</t>
        </is>
      </c>
      <c r="D512" s="5" t="inlineStr">
        <is>
          <t>strip_footing</t>
        </is>
      </c>
      <c r="E512" s="5" t="n">
        <v>4658.3</v>
      </c>
      <c r="F512" s="5" t="n">
        <v>2132.3</v>
      </c>
      <c r="G512" s="5" t="n">
        <v>254</v>
      </c>
      <c r="H512" s="5" t="n">
        <v>28</v>
      </c>
      <c r="I512" s="5" t="inlineStr">
        <is>
          <t>retaining_wall</t>
        </is>
      </c>
      <c r="J512" s="5" t="inlineStr">
        <is>
          <t>no</t>
        </is>
      </c>
      <c r="K512" s="5" t="n">
        <v>367</v>
      </c>
      <c r="L512" s="5" t="n">
        <v>0</v>
      </c>
      <c r="M512" s="5" t="n">
        <v>0.02</v>
      </c>
      <c r="N512" s="5" t="inlineStr">
        <is>
          <t>yes</t>
        </is>
      </c>
    </row>
    <row r="513">
      <c r="A513" s="5" t="n">
        <v>512</v>
      </c>
      <c r="B513" s="5" t="inlineStr">
        <is>
          <t>SF4- 120x25</t>
        </is>
      </c>
      <c r="C513" s="5" t="inlineStr">
        <is>
          <t>strip_footing</t>
        </is>
      </c>
      <c r="D513" s="5" t="inlineStr">
        <is>
          <t>strip_footing</t>
        </is>
      </c>
      <c r="E513" s="5" t="n">
        <v>1109.4</v>
      </c>
      <c r="F513" s="5" t="n">
        <v>2508.3</v>
      </c>
      <c r="G513" s="5" t="n">
        <v>941</v>
      </c>
      <c r="H513" s="5" t="n">
        <v>3</v>
      </c>
      <c r="I513" s="5" t="inlineStr">
        <is>
          <t>unnamed</t>
        </is>
      </c>
      <c r="J513" s="5" t="inlineStr">
        <is>
          <t>unnamed</t>
        </is>
      </c>
      <c r="K513" s="5" t="inlineStr">
        <is>
          <t>unmatched</t>
        </is>
      </c>
      <c r="L513" s="5" t="n"/>
      <c r="M513" s="5" t="n"/>
      <c r="N513" s="5" t="inlineStr">
        <is>
          <t>yes</t>
        </is>
      </c>
    </row>
    <row r="514">
      <c r="A514" s="5" t="n">
        <v>513</v>
      </c>
      <c r="B514" s="5" t="inlineStr">
        <is>
          <t>SF4- 120x25</t>
        </is>
      </c>
      <c r="C514" s="5" t="inlineStr">
        <is>
          <t>strip_footing</t>
        </is>
      </c>
      <c r="D514" s="5" t="inlineStr">
        <is>
          <t>strip_footing</t>
        </is>
      </c>
      <c r="E514" s="5" t="n">
        <v>919.8</v>
      </c>
      <c r="F514" s="5" t="n">
        <v>2661.5</v>
      </c>
      <c r="G514" s="5" t="n">
        <v>1010</v>
      </c>
      <c r="H514" s="5" t="n">
        <v>10</v>
      </c>
      <c r="I514" s="5" t="inlineStr">
        <is>
          <t>unnamed</t>
        </is>
      </c>
      <c r="J514" s="5" t="inlineStr">
        <is>
          <t>unnamed</t>
        </is>
      </c>
      <c r="K514" s="5" t="n">
        <v>1010</v>
      </c>
      <c r="L514" s="5" t="n">
        <v>0</v>
      </c>
      <c r="M514" s="5" t="n">
        <v>0.18</v>
      </c>
      <c r="N514" s="5" t="inlineStr">
        <is>
          <t>yes</t>
        </is>
      </c>
    </row>
    <row r="515">
      <c r="A515" s="5" t="n">
        <v>514</v>
      </c>
      <c r="B515" s="5" t="inlineStr">
        <is>
          <t>Radier</t>
        </is>
      </c>
      <c r="C515" s="5" t="inlineStr">
        <is>
          <t>raft</t>
        </is>
      </c>
      <c r="D515" s="5" t="inlineStr">
        <is>
          <t>raft</t>
        </is>
      </c>
      <c r="E515" s="5" t="n">
        <v>4853.1</v>
      </c>
      <c r="F515" s="5" t="n">
        <v>2710.4</v>
      </c>
      <c r="G515" s="5" t="n">
        <v>307</v>
      </c>
      <c r="H515" s="5" t="n">
        <v>39</v>
      </c>
      <c r="I515" s="5" t="inlineStr">
        <is>
          <t>raft</t>
        </is>
      </c>
      <c r="J515" s="5" t="inlineStr">
        <is>
          <t>yes</t>
        </is>
      </c>
      <c r="K515" s="5" t="n">
        <v>307</v>
      </c>
      <c r="L515" s="5" t="n">
        <v>0.21</v>
      </c>
      <c r="M515" s="5" t="n">
        <v>0</v>
      </c>
      <c r="N515" s="5" t="inlineStr">
        <is>
          <t>no</t>
        </is>
      </c>
    </row>
    <row r="516">
      <c r="A516" s="5" t="n">
        <v>515</v>
      </c>
      <c r="B516" s="5" t="inlineStr">
        <is>
          <t>Radier</t>
        </is>
      </c>
      <c r="C516" s="5" t="inlineStr">
        <is>
          <t>raft</t>
        </is>
      </c>
      <c r="D516" s="5" t="inlineStr">
        <is>
          <t>raft</t>
        </is>
      </c>
      <c r="E516" s="5" t="n">
        <v>4737.5</v>
      </c>
      <c r="F516" s="5" t="n">
        <v>3137.5</v>
      </c>
      <c r="G516" s="5" t="n">
        <v>419</v>
      </c>
      <c r="H516" s="5" t="n">
        <v>39</v>
      </c>
      <c r="I516" s="5" t="inlineStr">
        <is>
          <t>raft</t>
        </is>
      </c>
      <c r="J516" s="5" t="inlineStr">
        <is>
          <t>yes</t>
        </is>
      </c>
      <c r="K516" s="5" t="n">
        <v>419</v>
      </c>
      <c r="L516" s="5" t="n">
        <v>0.24</v>
      </c>
      <c r="M516" s="5" t="n">
        <v>0</v>
      </c>
      <c r="N516" s="5" t="inlineStr">
        <is>
          <t>no</t>
        </is>
      </c>
    </row>
    <row r="517">
      <c r="A517" s="5" t="n">
        <v>516</v>
      </c>
      <c r="B517" s="5" t="inlineStr">
        <is>
          <t>Radier</t>
        </is>
      </c>
      <c r="C517" s="5" t="inlineStr">
        <is>
          <t>raft</t>
        </is>
      </c>
      <c r="D517" s="5" t="inlineStr">
        <is>
          <t>raft</t>
        </is>
      </c>
      <c r="E517" s="5" t="n">
        <v>4045.8</v>
      </c>
      <c r="F517" s="5" t="n">
        <v>3431.3</v>
      </c>
      <c r="G517" s="5" t="n">
        <v>511</v>
      </c>
      <c r="H517" s="5" t="n">
        <v>9</v>
      </c>
      <c r="I517" s="5" t="inlineStr">
        <is>
          <t>unnamed</t>
        </is>
      </c>
      <c r="J517" s="5" t="inlineStr">
        <is>
          <t>unnamed</t>
        </is>
      </c>
      <c r="K517" s="5" t="n">
        <v>491</v>
      </c>
      <c r="L517" s="5" t="n">
        <v>0.23</v>
      </c>
      <c r="M517" s="5" t="n">
        <v>0</v>
      </c>
      <c r="N517" s="5" t="inlineStr">
        <is>
          <t>no</t>
        </is>
      </c>
    </row>
    <row r="518">
      <c r="A518" s="5" t="n">
        <v>517</v>
      </c>
      <c r="B518" s="5" t="inlineStr">
        <is>
          <t>Radier</t>
        </is>
      </c>
      <c r="C518" s="5" t="inlineStr">
        <is>
          <t>raft</t>
        </is>
      </c>
      <c r="D518" s="5" t="inlineStr">
        <is>
          <t>raft</t>
        </is>
      </c>
      <c r="E518" s="5" t="n">
        <v>3229.2</v>
      </c>
      <c r="F518" s="5" t="n">
        <v>3562.5</v>
      </c>
      <c r="G518" s="5" t="n">
        <v>569</v>
      </c>
      <c r="H518" s="5" t="n">
        <v>39</v>
      </c>
      <c r="I518" s="5" t="inlineStr">
        <is>
          <t>raft</t>
        </is>
      </c>
      <c r="J518" s="5" t="inlineStr">
        <is>
          <t>yes</t>
        </is>
      </c>
      <c r="K518" s="5" t="n">
        <v>569</v>
      </c>
      <c r="L518" s="5" t="n">
        <v>0.22</v>
      </c>
      <c r="M518" s="5" t="n">
        <v>0</v>
      </c>
      <c r="N518" s="5" t="inlineStr">
        <is>
          <t>no</t>
        </is>
      </c>
    </row>
    <row r="519">
      <c r="A519" s="5" t="n">
        <v>518</v>
      </c>
      <c r="B519" s="5" t="inlineStr">
        <is>
          <t>Radier</t>
        </is>
      </c>
      <c r="C519" s="5" t="inlineStr">
        <is>
          <t>raft</t>
        </is>
      </c>
      <c r="D519" s="5" t="inlineStr">
        <is>
          <t>raft</t>
        </is>
      </c>
      <c r="E519" s="5" t="n">
        <v>2768.8</v>
      </c>
      <c r="F519" s="5" t="n">
        <v>3500</v>
      </c>
      <c r="G519" s="5" t="n">
        <v>570</v>
      </c>
      <c r="H519" s="5" t="n">
        <v>39</v>
      </c>
      <c r="I519" s="5" t="inlineStr">
        <is>
          <t>raft</t>
        </is>
      </c>
      <c r="J519" s="5" t="inlineStr">
        <is>
          <t>yes</t>
        </is>
      </c>
      <c r="K519" s="5" t="n">
        <v>570</v>
      </c>
      <c r="L519" s="5" t="n">
        <v>0.21</v>
      </c>
      <c r="M519" s="5" t="n">
        <v>0</v>
      </c>
      <c r="N519" s="5" t="inlineStr">
        <is>
          <t>no</t>
        </is>
      </c>
    </row>
    <row r="520">
      <c r="A520" s="5" t="n">
        <v>519</v>
      </c>
      <c r="B520" s="5" t="inlineStr">
        <is>
          <t>Radier</t>
        </is>
      </c>
      <c r="C520" s="5" t="inlineStr">
        <is>
          <t>raft</t>
        </is>
      </c>
      <c r="D520" s="5" t="inlineStr">
        <is>
          <t>raft</t>
        </is>
      </c>
      <c r="E520" s="5" t="n">
        <v>2145.8</v>
      </c>
      <c r="F520" s="5" t="n">
        <v>3207.3</v>
      </c>
      <c r="G520" s="5" t="n">
        <v>690</v>
      </c>
      <c r="H520" s="5" t="n">
        <v>39</v>
      </c>
      <c r="I520" s="5" t="inlineStr">
        <is>
          <t>raft</t>
        </is>
      </c>
      <c r="J520" s="5" t="inlineStr">
        <is>
          <t>yes</t>
        </is>
      </c>
      <c r="K520" s="5" t="n">
        <v>690</v>
      </c>
      <c r="L520" s="5" t="n">
        <v>0.23</v>
      </c>
      <c r="M520" s="5" t="n">
        <v>0</v>
      </c>
      <c r="N520" s="5" t="inlineStr">
        <is>
          <t>no</t>
        </is>
      </c>
    </row>
    <row r="521">
      <c r="A521" s="5" t="n">
        <v>520</v>
      </c>
      <c r="B521" s="5" t="inlineStr">
        <is>
          <t>Radier</t>
        </is>
      </c>
      <c r="C521" s="5" t="inlineStr">
        <is>
          <t>raft</t>
        </is>
      </c>
      <c r="D521" s="5" t="inlineStr">
        <is>
          <t>raft</t>
        </is>
      </c>
      <c r="E521" s="5" t="n">
        <v>1275</v>
      </c>
      <c r="F521" s="5" t="n">
        <v>2747.9</v>
      </c>
      <c r="G521" s="5" t="n">
        <v>778</v>
      </c>
      <c r="H521" s="5" t="n">
        <v>39</v>
      </c>
      <c r="I521" s="5" t="inlineStr">
        <is>
          <t>raft</t>
        </is>
      </c>
      <c r="J521" s="5" t="inlineStr">
        <is>
          <t>yes</t>
        </is>
      </c>
      <c r="K521" s="5" t="n">
        <v>778</v>
      </c>
      <c r="L521" s="5" t="n">
        <v>0.21</v>
      </c>
      <c r="M521" s="5" t="n">
        <v>0</v>
      </c>
      <c r="N521" s="5" t="inlineStr">
        <is>
          <t>no</t>
        </is>
      </c>
    </row>
    <row r="522">
      <c r="A522" s="5" t="n">
        <v>521</v>
      </c>
      <c r="B522" s="5" t="inlineStr">
        <is>
          <t>Radier</t>
        </is>
      </c>
      <c r="C522" s="5" t="inlineStr">
        <is>
          <t>raft</t>
        </is>
      </c>
      <c r="D522" s="5" t="inlineStr">
        <is>
          <t>raft</t>
        </is>
      </c>
      <c r="E522" s="5" t="n">
        <v>914.6</v>
      </c>
      <c r="F522" s="5" t="n">
        <v>2250</v>
      </c>
      <c r="G522" s="5" t="n">
        <v>918</v>
      </c>
      <c r="H522" s="5" t="n">
        <v>39</v>
      </c>
      <c r="I522" s="5" t="inlineStr">
        <is>
          <t>raft</t>
        </is>
      </c>
      <c r="J522" s="5" t="inlineStr">
        <is>
          <t>yes</t>
        </is>
      </c>
      <c r="K522" s="5" t="n">
        <v>918</v>
      </c>
      <c r="L522" s="5" t="n">
        <v>0.24</v>
      </c>
      <c r="M522" s="5" t="n">
        <v>0</v>
      </c>
      <c r="N522" s="5" t="inlineStr">
        <is>
          <t>no</t>
        </is>
      </c>
    </row>
    <row r="523">
      <c r="A523" s="5" t="n">
        <v>522</v>
      </c>
      <c r="B523" s="5" t="inlineStr">
        <is>
          <t>Radier</t>
        </is>
      </c>
      <c r="C523" s="5" t="inlineStr">
        <is>
          <t>raft</t>
        </is>
      </c>
      <c r="D523" s="5" t="inlineStr">
        <is>
          <t>raft</t>
        </is>
      </c>
      <c r="E523" s="5" t="n">
        <v>696.9</v>
      </c>
      <c r="F523" s="5" t="n">
        <v>1437.5</v>
      </c>
      <c r="G523" s="5" t="n">
        <v>1065</v>
      </c>
      <c r="H523" s="5" t="n">
        <v>39</v>
      </c>
      <c r="I523" s="5" t="inlineStr">
        <is>
          <t>raft</t>
        </is>
      </c>
      <c r="J523" s="5" t="inlineStr">
        <is>
          <t>yes</t>
        </is>
      </c>
      <c r="K523" s="5" t="n">
        <v>1065</v>
      </c>
      <c r="L523" s="5" t="n">
        <v>0.24</v>
      </c>
      <c r="M523" s="5" t="n">
        <v>0</v>
      </c>
      <c r="N523" s="5" t="inlineStr">
        <is>
          <t>no</t>
        </is>
      </c>
    </row>
    <row r="524">
      <c r="A524" s="5" t="n">
        <v>523</v>
      </c>
      <c r="B524" s="5" t="inlineStr">
        <is>
          <t>Radier</t>
        </is>
      </c>
      <c r="C524" s="5" t="inlineStr">
        <is>
          <t>raft</t>
        </is>
      </c>
      <c r="D524" s="5" t="inlineStr">
        <is>
          <t>raft</t>
        </is>
      </c>
      <c r="E524" s="5" t="n">
        <v>4581.2</v>
      </c>
      <c r="F524" s="5" t="n">
        <v>487.5</v>
      </c>
      <c r="G524" s="5" t="n">
        <v>62</v>
      </c>
      <c r="H524" s="5" t="n">
        <v>39</v>
      </c>
      <c r="I524" s="5" t="inlineStr">
        <is>
          <t>raft</t>
        </is>
      </c>
      <c r="J524" s="5" t="inlineStr">
        <is>
          <t>yes</t>
        </is>
      </c>
      <c r="K524" s="5" t="n">
        <v>62</v>
      </c>
      <c r="L524" s="5" t="n">
        <v>0.22</v>
      </c>
      <c r="M524" s="5" t="n">
        <v>0</v>
      </c>
      <c r="N524" s="5" t="inlineStr">
        <is>
          <t>no</t>
        </is>
      </c>
    </row>
    <row r="525">
      <c r="A525" s="5" t="n">
        <v>524</v>
      </c>
      <c r="B525" s="5" t="inlineStr">
        <is>
          <t>Radier</t>
        </is>
      </c>
      <c r="C525" s="5" t="inlineStr">
        <is>
          <t>raft</t>
        </is>
      </c>
      <c r="D525" s="5" t="inlineStr">
        <is>
          <t>raft</t>
        </is>
      </c>
      <c r="E525" s="5" t="n">
        <v>4688.5</v>
      </c>
      <c r="F525" s="5" t="n">
        <v>818.8</v>
      </c>
      <c r="G525" s="5" t="n">
        <v>63</v>
      </c>
      <c r="H525" s="5" t="n">
        <v>39</v>
      </c>
      <c r="I525" s="5" t="inlineStr">
        <is>
          <t>raft</t>
        </is>
      </c>
      <c r="J525" s="5" t="inlineStr">
        <is>
          <t>yes</t>
        </is>
      </c>
      <c r="K525" s="5" t="n">
        <v>63</v>
      </c>
      <c r="L525" s="5" t="n">
        <v>0.23</v>
      </c>
      <c r="M525" s="5" t="n">
        <v>0</v>
      </c>
      <c r="N525" s="5" t="inlineStr">
        <is>
          <t>no</t>
        </is>
      </c>
    </row>
    <row r="526">
      <c r="A526" s="5" t="n">
        <v>525</v>
      </c>
      <c r="B526" s="5" t="inlineStr">
        <is>
          <t>Radier</t>
        </is>
      </c>
      <c r="C526" s="5" t="inlineStr">
        <is>
          <t>raft</t>
        </is>
      </c>
      <c r="D526" s="5" t="inlineStr">
        <is>
          <t>raft</t>
        </is>
      </c>
      <c r="E526" s="5" t="n">
        <v>4849</v>
      </c>
      <c r="F526" s="5" t="n">
        <v>1550</v>
      </c>
      <c r="G526" s="5" t="n">
        <v>161</v>
      </c>
      <c r="H526" s="5" t="n">
        <v>39</v>
      </c>
      <c r="I526" s="5" t="inlineStr">
        <is>
          <t>raft</t>
        </is>
      </c>
      <c r="J526" s="5" t="inlineStr">
        <is>
          <t>yes</t>
        </is>
      </c>
      <c r="K526" s="5" t="n">
        <v>161</v>
      </c>
      <c r="L526" s="5" t="n">
        <v>0.19</v>
      </c>
      <c r="M526" s="5" t="n">
        <v>0</v>
      </c>
      <c r="N526" s="5" t="inlineStr">
        <is>
          <t>no</t>
        </is>
      </c>
    </row>
    <row r="527">
      <c r="A527" s="5" t="n">
        <v>526</v>
      </c>
      <c r="B527" s="5" t="inlineStr">
        <is>
          <t>Radier</t>
        </is>
      </c>
      <c r="C527" s="5" t="inlineStr">
        <is>
          <t>raft</t>
        </is>
      </c>
      <c r="D527" s="5" t="inlineStr">
        <is>
          <t>raft</t>
        </is>
      </c>
      <c r="E527" s="5" t="n">
        <v>4251</v>
      </c>
      <c r="F527" s="5" t="n">
        <v>1458.3</v>
      </c>
      <c r="G527" s="5" t="n">
        <v>160</v>
      </c>
      <c r="H527" s="5" t="n">
        <v>39</v>
      </c>
      <c r="I527" s="5" t="inlineStr">
        <is>
          <t>raft</t>
        </is>
      </c>
      <c r="J527" s="5" t="inlineStr">
        <is>
          <t>yes</t>
        </is>
      </c>
      <c r="K527" s="5" t="n">
        <v>160</v>
      </c>
      <c r="L527" s="5" t="n">
        <v>0.2</v>
      </c>
      <c r="M527" s="5" t="n">
        <v>0</v>
      </c>
      <c r="N527" s="5" t="inlineStr">
        <is>
          <t>no</t>
        </is>
      </c>
    </row>
    <row r="528">
      <c r="A528" s="5" t="n">
        <v>527</v>
      </c>
      <c r="B528" s="5" t="inlineStr">
        <is>
          <t>FOSSE DE RELEVAGE2.00x1.50x1.50</t>
        </is>
      </c>
      <c r="C528" s="5" t="inlineStr">
        <is>
          <t>pit</t>
        </is>
      </c>
      <c r="D528" s="5" t="inlineStr">
        <is>
          <t>sump_pit</t>
        </is>
      </c>
      <c r="E528" s="5" t="n">
        <v>4681.2</v>
      </c>
      <c r="F528" s="5" t="n">
        <v>1870.8</v>
      </c>
      <c r="G528" s="5" t="n">
        <v>164</v>
      </c>
      <c r="H528" s="5" t="n">
        <v>38</v>
      </c>
      <c r="I528" s="5" t="inlineStr">
        <is>
          <t>unnamed</t>
        </is>
      </c>
      <c r="J528" s="5" t="inlineStr">
        <is>
          <t>unnamed</t>
        </is>
      </c>
      <c r="K528" s="5" t="n">
        <v>162</v>
      </c>
      <c r="L528" s="5" t="n">
        <v>0.9399999999999999</v>
      </c>
      <c r="M528" s="5" t="n">
        <v>0</v>
      </c>
      <c r="N528" s="5" t="inlineStr">
        <is>
          <t>yes</t>
        </is>
      </c>
    </row>
    <row r="529">
      <c r="A529" s="5" t="n">
        <v>528</v>
      </c>
      <c r="B529" s="5" t="inlineStr">
        <is>
          <t>RADIER</t>
        </is>
      </c>
      <c r="C529" s="5" t="inlineStr">
        <is>
          <t>raft</t>
        </is>
      </c>
      <c r="D529" s="5" t="inlineStr">
        <is>
          <t>raft</t>
        </is>
      </c>
      <c r="E529" s="5" t="n">
        <v>4747.9</v>
      </c>
      <c r="F529" s="5" t="n">
        <v>1854.2</v>
      </c>
      <c r="G529" s="5" t="n">
        <v>129</v>
      </c>
      <c r="H529" s="5" t="n">
        <v>18</v>
      </c>
      <c r="I529" s="5" t="inlineStr">
        <is>
          <t>isolated_footing</t>
        </is>
      </c>
      <c r="J529" s="5" t="inlineStr">
        <is>
          <t>no</t>
        </is>
      </c>
      <c r="K529" s="5" t="n">
        <v>220</v>
      </c>
      <c r="L529" s="5" t="n">
        <v>0.87</v>
      </c>
      <c r="M529" s="5" t="n">
        <v>0</v>
      </c>
      <c r="N529" s="5" t="inlineStr">
        <is>
          <t>no</t>
        </is>
      </c>
    </row>
    <row r="530">
      <c r="A530" s="5" t="n">
        <v>529</v>
      </c>
      <c r="B530" s="5" t="inlineStr">
        <is>
          <t>FOSSE DE RELEVAGE2.00x1.50x1.50</t>
        </is>
      </c>
      <c r="C530" s="5" t="inlineStr">
        <is>
          <t>pit</t>
        </is>
      </c>
      <c r="D530" s="5" t="inlineStr">
        <is>
          <t>sump_pit</t>
        </is>
      </c>
      <c r="E530" s="5" t="n">
        <v>4917.7</v>
      </c>
      <c r="F530" s="5" t="n">
        <v>3254.2</v>
      </c>
      <c r="G530" s="5" t="n">
        <v>420</v>
      </c>
      <c r="H530" s="5" t="n">
        <v>20</v>
      </c>
      <c r="I530" s="5" t="inlineStr">
        <is>
          <t>sump_pit</t>
        </is>
      </c>
      <c r="J530" s="5" t="inlineStr">
        <is>
          <t>yes</t>
        </is>
      </c>
      <c r="K530" s="5" t="n">
        <v>420</v>
      </c>
      <c r="L530" s="5" t="n">
        <v>0.86</v>
      </c>
      <c r="M530" s="5" t="n">
        <v>0</v>
      </c>
      <c r="N530" s="5" t="inlineStr">
        <is>
          <t>yes</t>
        </is>
      </c>
    </row>
    <row r="531">
      <c r="A531" s="5" t="n">
        <v>530</v>
      </c>
      <c r="B531" s="5" t="inlineStr">
        <is>
          <t>RADIER</t>
        </is>
      </c>
      <c r="C531" s="5" t="inlineStr">
        <is>
          <t>raft</t>
        </is>
      </c>
      <c r="D531" s="5" t="inlineStr">
        <is>
          <t>raft</t>
        </is>
      </c>
      <c r="E531" s="5" t="n">
        <v>4989.6</v>
      </c>
      <c r="F531" s="5" t="n">
        <v>3245.8</v>
      </c>
      <c r="G531" s="5" t="n">
        <v>437</v>
      </c>
      <c r="H531" s="5" t="n">
        <v>34</v>
      </c>
      <c r="I531" s="5" t="inlineStr">
        <is>
          <t>unnamed</t>
        </is>
      </c>
      <c r="J531" s="5" t="inlineStr">
        <is>
          <t>unnamed</t>
        </is>
      </c>
      <c r="K531" s="5" t="n">
        <v>437</v>
      </c>
      <c r="L531" s="5" t="n">
        <v>0.52</v>
      </c>
      <c r="M531" s="5" t="n">
        <v>0</v>
      </c>
      <c r="N531" s="5" t="inlineStr">
        <is>
          <t>no</t>
        </is>
      </c>
    </row>
    <row r="532">
      <c r="A532" s="5" t="n">
        <v>531</v>
      </c>
      <c r="B532" s="5" t="inlineStr">
        <is>
          <t>FOSSE DE RELEVAGE2.00x1.50x1.50</t>
        </is>
      </c>
      <c r="C532" s="5" t="inlineStr">
        <is>
          <t>pit</t>
        </is>
      </c>
      <c r="D532" s="5" t="inlineStr">
        <is>
          <t>sump_pit</t>
        </is>
      </c>
      <c r="E532" s="5" t="n">
        <v>2663.5</v>
      </c>
      <c r="F532" s="5" t="n">
        <v>3360.4</v>
      </c>
      <c r="G532" s="5" t="n">
        <v>618</v>
      </c>
      <c r="H532" s="5" t="n">
        <v>18</v>
      </c>
      <c r="I532" s="5" t="inlineStr">
        <is>
          <t>isolated_footing</t>
        </is>
      </c>
      <c r="J532" s="5" t="inlineStr">
        <is>
          <t>no</t>
        </is>
      </c>
      <c r="K532" s="5" t="n">
        <v>571</v>
      </c>
      <c r="L532" s="5" t="n">
        <v>0.75</v>
      </c>
      <c r="M532" s="5" t="n">
        <v>0</v>
      </c>
      <c r="N532" s="5" t="inlineStr">
        <is>
          <t>no</t>
        </is>
      </c>
    </row>
    <row r="533">
      <c r="A533" s="5" t="n">
        <v>532</v>
      </c>
      <c r="B533" s="5" t="inlineStr">
        <is>
          <t>RADIER</t>
        </is>
      </c>
      <c r="C533" s="5" t="inlineStr">
        <is>
          <t>raft</t>
        </is>
      </c>
      <c r="D533" s="5" t="inlineStr">
        <is>
          <t>raft</t>
        </is>
      </c>
      <c r="E533" s="5" t="n">
        <v>2641.7</v>
      </c>
      <c r="F533" s="5" t="n">
        <v>3382.3</v>
      </c>
      <c r="G533" s="5" t="n">
        <v>619</v>
      </c>
      <c r="H533" s="5" t="n">
        <v>18</v>
      </c>
      <c r="I533" s="5" t="inlineStr">
        <is>
          <t>isolated_footing</t>
        </is>
      </c>
      <c r="J533" s="5" t="inlineStr">
        <is>
          <t>no</t>
        </is>
      </c>
      <c r="K533" s="5" t="inlineStr">
        <is>
          <t>unmatched</t>
        </is>
      </c>
      <c r="L533" s="5" t="n"/>
      <c r="M533" s="5" t="n"/>
      <c r="N533" s="5" t="inlineStr">
        <is>
          <t>no</t>
        </is>
      </c>
    </row>
    <row r="534">
      <c r="A534" s="5" t="n">
        <v>533</v>
      </c>
      <c r="B534" s="5" t="inlineStr">
        <is>
          <t>FOSSE DE RELEVAGE2.00x1.50x1.50</t>
        </is>
      </c>
      <c r="C534" s="5" t="inlineStr">
        <is>
          <t>pit</t>
        </is>
      </c>
      <c r="D534" s="5" t="inlineStr">
        <is>
          <t>sump_pit</t>
        </is>
      </c>
      <c r="E534" s="5" t="n">
        <v>1518.8</v>
      </c>
      <c r="F534" s="5" t="n">
        <v>2786.5</v>
      </c>
      <c r="G534" s="5" t="n">
        <v>761</v>
      </c>
      <c r="H534" s="5" t="n">
        <v>18</v>
      </c>
      <c r="I534" s="5" t="inlineStr">
        <is>
          <t>isolated_footing</t>
        </is>
      </c>
      <c r="J534" s="5" t="inlineStr">
        <is>
          <t>no</t>
        </is>
      </c>
      <c r="K534" s="5" t="inlineStr">
        <is>
          <t>unmatched</t>
        </is>
      </c>
      <c r="L534" s="5" t="n"/>
      <c r="M534" s="5" t="n"/>
      <c r="N534" s="5" t="inlineStr">
        <is>
          <t>no</t>
        </is>
      </c>
    </row>
    <row r="535">
      <c r="A535" s="5" t="n">
        <v>534</v>
      </c>
      <c r="B535" s="5" t="inlineStr">
        <is>
          <t>RADIER</t>
        </is>
      </c>
      <c r="C535" s="5" t="inlineStr">
        <is>
          <t>raft</t>
        </is>
      </c>
      <c r="D535" s="5" t="inlineStr">
        <is>
          <t>raft</t>
        </is>
      </c>
      <c r="E535" s="5" t="n">
        <v>1497.9</v>
      </c>
      <c r="F535" s="5" t="n">
        <v>2808.3</v>
      </c>
      <c r="G535" s="5" t="n">
        <v>751</v>
      </c>
      <c r="H535" s="5" t="n">
        <v>28</v>
      </c>
      <c r="I535" s="5" t="inlineStr">
        <is>
          <t>retaining_wall</t>
        </is>
      </c>
      <c r="J535" s="5" t="inlineStr">
        <is>
          <t>no</t>
        </is>
      </c>
      <c r="K535" s="5" t="inlineStr">
        <is>
          <t>unmatched</t>
        </is>
      </c>
      <c r="L535" s="5" t="n"/>
      <c r="M535" s="5" t="n"/>
      <c r="N535" s="5" t="inlineStr">
        <is>
          <t>no</t>
        </is>
      </c>
    </row>
    <row r="536">
      <c r="A536" s="5" t="n">
        <v>535</v>
      </c>
      <c r="B536" s="5" t="inlineStr">
        <is>
          <t>Radier1</t>
        </is>
      </c>
      <c r="C536" s="5" t="inlineStr">
        <is>
          <t>raft</t>
        </is>
      </c>
      <c r="D536" s="5" t="inlineStr">
        <is>
          <t>raft</t>
        </is>
      </c>
      <c r="E536" s="5" t="n">
        <v>1757.3</v>
      </c>
      <c r="F536" s="5" t="n">
        <v>2705.2</v>
      </c>
      <c r="G536" s="5" t="n">
        <v>779</v>
      </c>
      <c r="H536" s="5" t="n">
        <v>39</v>
      </c>
      <c r="I536" s="5" t="inlineStr">
        <is>
          <t>raft</t>
        </is>
      </c>
      <c r="J536" s="5" t="inlineStr">
        <is>
          <t>yes</t>
        </is>
      </c>
      <c r="K536" s="5" t="n">
        <v>779</v>
      </c>
      <c r="L536" s="5" t="n">
        <v>0.2</v>
      </c>
      <c r="M536" s="5" t="n">
        <v>0</v>
      </c>
      <c r="N536" s="5" t="inlineStr">
        <is>
          <t>no</t>
        </is>
      </c>
    </row>
    <row r="537">
      <c r="A537" s="5" t="n">
        <v>536</v>
      </c>
      <c r="B537" s="5" t="inlineStr">
        <is>
          <t>FOSSE DE RELEVAGE2.00x1.50x1.50</t>
        </is>
      </c>
      <c r="C537" s="5" t="inlineStr">
        <is>
          <t>pit</t>
        </is>
      </c>
      <c r="D537" s="5" t="inlineStr">
        <is>
          <t>sump_pit</t>
        </is>
      </c>
      <c r="E537" s="5" t="n">
        <v>969.8</v>
      </c>
      <c r="F537" s="5" t="n">
        <v>1158.3</v>
      </c>
      <c r="G537" s="5" t="n">
        <v>1066</v>
      </c>
      <c r="H537" s="5" t="n">
        <v>20</v>
      </c>
      <c r="I537" s="5" t="inlineStr">
        <is>
          <t>sump_pit</t>
        </is>
      </c>
      <c r="J537" s="5" t="inlineStr">
        <is>
          <t>yes</t>
        </is>
      </c>
      <c r="K537" s="5" t="n">
        <v>1066</v>
      </c>
      <c r="L537" s="5" t="n">
        <v>0.85</v>
      </c>
      <c r="M537" s="5" t="n">
        <v>0</v>
      </c>
      <c r="N537" s="5" t="inlineStr">
        <is>
          <t>no</t>
        </is>
      </c>
    </row>
    <row r="538">
      <c r="A538" s="5" t="n">
        <v>537</v>
      </c>
      <c r="B538" s="5" t="inlineStr">
        <is>
          <t>RADIER</t>
        </is>
      </c>
      <c r="C538" s="5" t="inlineStr">
        <is>
          <t>raft</t>
        </is>
      </c>
      <c r="D538" s="5" t="inlineStr">
        <is>
          <t>raft</t>
        </is>
      </c>
      <c r="E538" s="5" t="n">
        <v>962.5</v>
      </c>
      <c r="F538" s="5" t="n">
        <v>1096.9</v>
      </c>
      <c r="G538" s="5" t="n">
        <v>1088</v>
      </c>
      <c r="H538" s="5" t="n">
        <v>8</v>
      </c>
      <c r="I538" s="5" t="inlineStr">
        <is>
          <t>unnamed</t>
        </is>
      </c>
      <c r="J538" s="5" t="inlineStr">
        <is>
          <t>unnamed</t>
        </is>
      </c>
      <c r="K538" s="5" t="n">
        <v>1088</v>
      </c>
      <c r="L538" s="5" t="n">
        <v>0.52</v>
      </c>
      <c r="M538" s="5" t="n">
        <v>0</v>
      </c>
      <c r="N538" s="5" t="inlineStr">
        <is>
          <t>no</t>
        </is>
      </c>
    </row>
    <row r="539">
      <c r="A539" s="5" t="n">
        <v>538</v>
      </c>
      <c r="B539" s="5" t="inlineStr">
        <is>
          <t>RADIER 190CM</t>
        </is>
      </c>
      <c r="C539" s="5" t="inlineStr">
        <is>
          <t>raft</t>
        </is>
      </c>
      <c r="D539" s="5" t="inlineStr">
        <is>
          <t>raft</t>
        </is>
      </c>
      <c r="E539" s="5" t="n">
        <v>1040.6</v>
      </c>
      <c r="F539" s="5" t="n">
        <v>1269.8</v>
      </c>
      <c r="G539" s="5" t="inlineStr">
        <is>
          <t>unmatched</t>
        </is>
      </c>
      <c r="H539" s="5" t="inlineStr"/>
      <c r="I539" s="5" t="inlineStr"/>
      <c r="J539" s="5" t="inlineStr"/>
      <c r="K539" s="5" t="inlineStr">
        <is>
          <t>unmatched</t>
        </is>
      </c>
      <c r="L539" s="5" t="n"/>
      <c r="M539" s="5" t="n"/>
      <c r="N539" s="5" t="inlineStr">
        <is>
          <t>no</t>
        </is>
      </c>
    </row>
    <row r="540">
      <c r="A540" s="5" t="n">
        <v>539</v>
      </c>
      <c r="B540" s="5" t="inlineStr">
        <is>
          <t>VP20/SF1 80x25</t>
        </is>
      </c>
      <c r="C540" s="5" t="inlineStr">
        <is>
          <t>retaining_wall+strip_footing</t>
        </is>
      </c>
      <c r="D540" s="5" t="inlineStr">
        <is>
          <t>retaining_wall / strip_footing</t>
        </is>
      </c>
      <c r="E540" s="5" t="n">
        <v>4861.5</v>
      </c>
      <c r="F540" s="5" t="n">
        <v>2495.8</v>
      </c>
      <c r="G540" s="5" t="n">
        <v>257</v>
      </c>
      <c r="H540" s="5" t="n">
        <v>28</v>
      </c>
      <c r="I540" s="5" t="inlineStr">
        <is>
          <t>retaining_wall</t>
        </is>
      </c>
      <c r="J540" s="5" t="inlineStr">
        <is>
          <t>yes</t>
        </is>
      </c>
      <c r="K540" s="5" t="n">
        <v>257</v>
      </c>
      <c r="L540" s="5" t="n">
        <v>0</v>
      </c>
      <c r="M540" s="5" t="n">
        <v>0.03</v>
      </c>
      <c r="N540" s="5" t="inlineStr">
        <is>
          <t>yes</t>
        </is>
      </c>
    </row>
    <row r="541">
      <c r="A541" s="5" t="n">
        <v>540</v>
      </c>
      <c r="B541" s="5" t="inlineStr">
        <is>
          <t>VP20/SF1 80x25</t>
        </is>
      </c>
      <c r="C541" s="5" t="inlineStr">
        <is>
          <t>retaining_wall+strip_footing</t>
        </is>
      </c>
      <c r="D541" s="5" t="inlineStr">
        <is>
          <t>retaining_wall / strip_footing</t>
        </is>
      </c>
      <c r="E541" s="5" t="n">
        <v>4781.2</v>
      </c>
      <c r="F541" s="5" t="n">
        <v>2420.8</v>
      </c>
      <c r="G541" s="5" t="n">
        <v>281</v>
      </c>
      <c r="H541" s="5" t="n">
        <v>6</v>
      </c>
      <c r="I541" s="5" t="inlineStr">
        <is>
          <t>strip_footing</t>
        </is>
      </c>
      <c r="J541" s="5" t="inlineStr">
        <is>
          <t>yes</t>
        </is>
      </c>
      <c r="K541" s="5" t="n">
        <v>281</v>
      </c>
      <c r="L541" s="5" t="n">
        <v>0</v>
      </c>
      <c r="M541" s="5" t="n">
        <v>0</v>
      </c>
      <c r="N541" s="5" t="inlineStr">
        <is>
          <t>yes</t>
        </is>
      </c>
    </row>
    <row r="542">
      <c r="A542" s="5" t="n">
        <v>541</v>
      </c>
      <c r="B542" s="5" t="inlineStr">
        <is>
          <t>VP25/SF1-80x25</t>
        </is>
      </c>
      <c r="C542" s="5" t="inlineStr">
        <is>
          <t>retaining_wall+strip_footing</t>
        </is>
      </c>
      <c r="D542" s="5" t="inlineStr">
        <is>
          <t>retaining_wall / strip_footing</t>
        </is>
      </c>
      <c r="E542" s="5" t="n">
        <v>4178.1</v>
      </c>
      <c r="F542" s="5" t="n">
        <v>2422.9</v>
      </c>
      <c r="G542" s="5" t="n">
        <v>140</v>
      </c>
      <c r="H542" s="5" t="n">
        <v>6</v>
      </c>
      <c r="I542" s="5" t="inlineStr">
        <is>
          <t>strip_footing</t>
        </is>
      </c>
      <c r="J542" s="5" t="inlineStr">
        <is>
          <t>yes</t>
        </is>
      </c>
      <c r="K542" s="5" t="n">
        <v>140</v>
      </c>
      <c r="L542" s="5" t="n">
        <v>0.17</v>
      </c>
      <c r="M542" s="5" t="n">
        <v>0.03</v>
      </c>
      <c r="N542" s="5" t="inlineStr">
        <is>
          <t>yes</t>
        </is>
      </c>
    </row>
    <row r="543">
      <c r="A543" s="5" t="n">
        <v>542</v>
      </c>
      <c r="B543" s="5" t="inlineStr">
        <is>
          <t>VP25/SF1 80x25</t>
        </is>
      </c>
      <c r="C543" s="5" t="inlineStr">
        <is>
          <t>retaining_wall+strip_footing</t>
        </is>
      </c>
      <c r="D543" s="5" t="inlineStr">
        <is>
          <t>retaining_wall / strip_footing</t>
        </is>
      </c>
      <c r="E543" s="5" t="n">
        <v>4431.2</v>
      </c>
      <c r="F543" s="5" t="n">
        <v>3552.1</v>
      </c>
      <c r="G543" s="5" t="n">
        <v>403</v>
      </c>
      <c r="H543" s="5" t="n">
        <v>6</v>
      </c>
      <c r="I543" s="5" t="inlineStr">
        <is>
          <t>strip_footing</t>
        </is>
      </c>
      <c r="J543" s="5" t="inlineStr">
        <is>
          <t>yes</t>
        </is>
      </c>
      <c r="K543" s="5" t="n">
        <v>403</v>
      </c>
      <c r="L543" s="5" t="n">
        <v>0</v>
      </c>
      <c r="M543" s="5" t="n">
        <v>0</v>
      </c>
      <c r="N543" s="5" t="inlineStr">
        <is>
          <t>yes</t>
        </is>
      </c>
    </row>
    <row r="544">
      <c r="A544" s="5" t="n">
        <v>543</v>
      </c>
      <c r="B544" s="5" t="inlineStr">
        <is>
          <t>VP25/SF1 80x25</t>
        </is>
      </c>
      <c r="C544" s="5" t="inlineStr">
        <is>
          <t>retaining_wall+strip_footing</t>
        </is>
      </c>
      <c r="D544" s="5" t="inlineStr">
        <is>
          <t>retaining_wall / strip_footing</t>
        </is>
      </c>
      <c r="E544" s="5" t="n">
        <v>4989.6</v>
      </c>
      <c r="F544" s="5" t="n">
        <v>3055.2</v>
      </c>
      <c r="G544" s="5" t="n">
        <v>404</v>
      </c>
      <c r="H544" s="5" t="n">
        <v>6</v>
      </c>
      <c r="I544" s="5" t="inlineStr">
        <is>
          <t>strip_footing</t>
        </is>
      </c>
      <c r="J544" s="5" t="inlineStr">
        <is>
          <t>yes</t>
        </is>
      </c>
      <c r="K544" s="5" t="n">
        <v>404</v>
      </c>
      <c r="L544" s="5" t="n">
        <v>0.58</v>
      </c>
      <c r="M544" s="5" t="n">
        <v>0</v>
      </c>
      <c r="N544" s="5" t="inlineStr">
        <is>
          <t>yes</t>
        </is>
      </c>
    </row>
    <row r="545">
      <c r="A545" s="5" t="n">
        <v>544</v>
      </c>
      <c r="B545" s="5" t="inlineStr">
        <is>
          <t>VP25/SF1- 80x25</t>
        </is>
      </c>
      <c r="C545" s="5" t="inlineStr">
        <is>
          <t>retaining_wall+strip_footing</t>
        </is>
      </c>
      <c r="D545" s="5" t="inlineStr">
        <is>
          <t>retaining_wall / strip_footing</t>
        </is>
      </c>
      <c r="E545" s="5" t="n">
        <v>4049</v>
      </c>
      <c r="F545" s="5" t="n">
        <v>2788.5</v>
      </c>
      <c r="G545" s="5" t="n">
        <v>279</v>
      </c>
      <c r="H545" s="5" t="n">
        <v>6</v>
      </c>
      <c r="I545" s="5" t="inlineStr">
        <is>
          <t>strip_footing</t>
        </is>
      </c>
      <c r="J545" s="5" t="inlineStr">
        <is>
          <t>yes</t>
        </is>
      </c>
      <c r="K545" s="5" t="n">
        <v>279</v>
      </c>
      <c r="L545" s="5" t="n">
        <v>0.58</v>
      </c>
      <c r="M545" s="5" t="n">
        <v>0.26</v>
      </c>
      <c r="N545" s="5" t="inlineStr">
        <is>
          <t>yes</t>
        </is>
      </c>
    </row>
    <row r="546">
      <c r="A546" s="5" t="n">
        <v>545</v>
      </c>
      <c r="B546" s="5" t="inlineStr">
        <is>
          <t>VP20/SF1-80x25</t>
        </is>
      </c>
      <c r="C546" s="5" t="inlineStr">
        <is>
          <t>retaining_wall+strip_footing</t>
        </is>
      </c>
      <c r="D546" s="5" t="inlineStr">
        <is>
          <t>retaining_wall / strip_footing</t>
        </is>
      </c>
      <c r="E546" s="5" t="n">
        <v>3009.4</v>
      </c>
      <c r="F546" s="5" t="n">
        <v>2930.2</v>
      </c>
      <c r="G546" s="5" t="n">
        <v>678</v>
      </c>
      <c r="H546" s="5" t="n">
        <v>6</v>
      </c>
      <c r="I546" s="5" t="inlineStr">
        <is>
          <t>strip_footing</t>
        </is>
      </c>
      <c r="J546" s="5" t="inlineStr">
        <is>
          <t>yes</t>
        </is>
      </c>
      <c r="K546" s="5" t="n">
        <v>678</v>
      </c>
      <c r="L546" s="5" t="n">
        <v>0.2</v>
      </c>
      <c r="M546" s="5" t="n">
        <v>0</v>
      </c>
      <c r="N546" s="5" t="inlineStr">
        <is>
          <t>no</t>
        </is>
      </c>
    </row>
    <row r="547">
      <c r="A547" s="5" t="n">
        <v>546</v>
      </c>
      <c r="B547" s="5" t="inlineStr">
        <is>
          <t>VP20-SF1 80x25</t>
        </is>
      </c>
      <c r="C547" s="5" t="inlineStr">
        <is>
          <t>retaining_wall+strip_footing</t>
        </is>
      </c>
      <c r="D547" s="5" t="inlineStr">
        <is>
          <t>retaining_wall / strip_footing</t>
        </is>
      </c>
      <c r="E547" s="5" t="n">
        <v>2332.3</v>
      </c>
      <c r="F547" s="5" t="n">
        <v>3236.5</v>
      </c>
      <c r="G547" s="5" t="n">
        <v>679</v>
      </c>
      <c r="H547" s="5" t="n">
        <v>6</v>
      </c>
      <c r="I547" s="5" t="inlineStr">
        <is>
          <t>strip_footing</t>
        </is>
      </c>
      <c r="J547" s="5" t="inlineStr">
        <is>
          <t>yes</t>
        </is>
      </c>
      <c r="K547" s="5" t="n">
        <v>679</v>
      </c>
      <c r="L547" s="5" t="n">
        <v>0.18</v>
      </c>
      <c r="M547" s="5" t="n">
        <v>0.35</v>
      </c>
      <c r="N547" s="5" t="inlineStr">
        <is>
          <t>yes</t>
        </is>
      </c>
    </row>
    <row r="548">
      <c r="A548" s="5" t="n">
        <v>547</v>
      </c>
      <c r="B548" s="5" t="inlineStr">
        <is>
          <t>VP20-SF1-80x25</t>
        </is>
      </c>
      <c r="C548" s="5" t="inlineStr">
        <is>
          <t>retaining_wall+strip_footing</t>
        </is>
      </c>
      <c r="D548" s="5" t="inlineStr">
        <is>
          <t>retaining_wall / strip_footing</t>
        </is>
      </c>
      <c r="E548" s="5" t="n">
        <v>1703.1</v>
      </c>
      <c r="F548" s="5" t="n">
        <v>2276</v>
      </c>
      <c r="G548" s="5" t="n">
        <v>678</v>
      </c>
      <c r="H548" s="5" t="n">
        <v>6</v>
      </c>
      <c r="I548" s="5" t="inlineStr">
        <is>
          <t>strip_footing</t>
        </is>
      </c>
      <c r="J548" s="5" t="inlineStr">
        <is>
          <t>yes</t>
        </is>
      </c>
      <c r="K548" s="5" t="n">
        <v>678</v>
      </c>
      <c r="L548" s="5" t="n">
        <v>0.18</v>
      </c>
      <c r="M548" s="5" t="n">
        <v>0</v>
      </c>
      <c r="N548" s="5" t="inlineStr">
        <is>
          <t>no</t>
        </is>
      </c>
    </row>
    <row r="549">
      <c r="A549" s="5" t="n">
        <v>548</v>
      </c>
      <c r="B549" s="5" t="inlineStr">
        <is>
          <t>VP25/SF1-80x25</t>
        </is>
      </c>
      <c r="C549" s="5" t="inlineStr">
        <is>
          <t>retaining_wall+strip_footing</t>
        </is>
      </c>
      <c r="D549" s="5" t="inlineStr">
        <is>
          <t>retaining_wall / strip_footing</t>
        </is>
      </c>
      <c r="E549" s="5" t="n">
        <v>4343.8</v>
      </c>
      <c r="F549" s="5" t="n">
        <v>3477.1</v>
      </c>
      <c r="G549" s="5" t="n">
        <v>468</v>
      </c>
      <c r="H549" s="5" t="n">
        <v>28</v>
      </c>
      <c r="I549" s="5" t="inlineStr">
        <is>
          <t>retaining_wall</t>
        </is>
      </c>
      <c r="J549" s="5" t="inlineStr">
        <is>
          <t>yes</t>
        </is>
      </c>
      <c r="K549" s="5" t="n">
        <v>468</v>
      </c>
      <c r="L549" s="5" t="n">
        <v>0.47</v>
      </c>
      <c r="M549" s="5" t="n">
        <v>0.23</v>
      </c>
      <c r="N549" s="5" t="inlineStr">
        <is>
          <t>yes</t>
        </is>
      </c>
    </row>
    <row r="550">
      <c r="A550" s="5" t="n">
        <v>549</v>
      </c>
      <c r="B550" s="5" t="inlineStr">
        <is>
          <t>VP25/SF1-80x25</t>
        </is>
      </c>
      <c r="C550" s="5" t="inlineStr">
        <is>
          <t>retaining_wall+strip_footing</t>
        </is>
      </c>
      <c r="D550" s="5" t="inlineStr">
        <is>
          <t>retaining_wall / strip_footing</t>
        </is>
      </c>
      <c r="E550" s="5" t="n">
        <v>4180.2</v>
      </c>
      <c r="F550" s="5" t="n">
        <v>2243.8</v>
      </c>
      <c r="G550" s="5" t="n">
        <v>140</v>
      </c>
      <c r="H550" s="5" t="n">
        <v>6</v>
      </c>
      <c r="I550" s="5" t="inlineStr">
        <is>
          <t>strip_footing</t>
        </is>
      </c>
      <c r="J550" s="5" t="inlineStr">
        <is>
          <t>yes</t>
        </is>
      </c>
      <c r="K550" s="5" t="n">
        <v>140</v>
      </c>
      <c r="L550" s="5" t="n">
        <v>0.24</v>
      </c>
      <c r="M550" s="5" t="n">
        <v>0.03</v>
      </c>
      <c r="N550" s="5" t="inlineStr">
        <is>
          <t>yes</t>
        </is>
      </c>
    </row>
    <row r="551">
      <c r="A551" s="5" t="n">
        <v>550</v>
      </c>
      <c r="B551" s="5" t="inlineStr">
        <is>
          <t>VP25/SF1-80x25</t>
        </is>
      </c>
      <c r="C551" s="5" t="inlineStr">
        <is>
          <t>retaining_wall+strip_footing</t>
        </is>
      </c>
      <c r="D551" s="5" t="inlineStr">
        <is>
          <t>retaining_wall / strip_footing</t>
        </is>
      </c>
      <c r="E551" s="5" t="n">
        <v>4178.1</v>
      </c>
      <c r="F551" s="5" t="n">
        <v>2644.8</v>
      </c>
      <c r="G551" s="5" t="n">
        <v>140</v>
      </c>
      <c r="H551" s="5" t="n">
        <v>6</v>
      </c>
      <c r="I551" s="5" t="inlineStr">
        <is>
          <t>strip_footing</t>
        </is>
      </c>
      <c r="J551" s="5" t="inlineStr">
        <is>
          <t>yes</t>
        </is>
      </c>
      <c r="K551" s="5" t="n">
        <v>140</v>
      </c>
      <c r="L551" s="5" t="n">
        <v>0.18</v>
      </c>
      <c r="M551" s="5" t="n">
        <v>0.03</v>
      </c>
      <c r="N551" s="5" t="inlineStr">
        <is>
          <t>yes</t>
        </is>
      </c>
    </row>
    <row r="552">
      <c r="A552" s="5" t="n">
        <v>551</v>
      </c>
      <c r="B552" s="5" t="inlineStr">
        <is>
          <t>VP25/SF1- 80x25</t>
        </is>
      </c>
      <c r="C552" s="5" t="inlineStr">
        <is>
          <t>retaining_wall+strip_footing</t>
        </is>
      </c>
      <c r="D552" s="5" t="inlineStr">
        <is>
          <t>retaining_wall / strip_footing</t>
        </is>
      </c>
      <c r="E552" s="5" t="n">
        <v>3853.1</v>
      </c>
      <c r="F552" s="5" t="n">
        <v>2824</v>
      </c>
      <c r="G552" s="5" t="n">
        <v>279</v>
      </c>
      <c r="H552" s="5" t="n">
        <v>6</v>
      </c>
      <c r="I552" s="5" t="inlineStr">
        <is>
          <t>strip_footing</t>
        </is>
      </c>
      <c r="J552" s="5" t="inlineStr">
        <is>
          <t>yes</t>
        </is>
      </c>
      <c r="K552" s="5" t="n">
        <v>279</v>
      </c>
      <c r="L552" s="5" t="n">
        <v>0.54</v>
      </c>
      <c r="M552" s="5" t="n">
        <v>0.25</v>
      </c>
      <c r="N552" s="5" t="inlineStr">
        <is>
          <t>yes</t>
        </is>
      </c>
    </row>
    <row r="553">
      <c r="A553" s="5" t="n">
        <v>552</v>
      </c>
      <c r="B553" s="5" t="inlineStr">
        <is>
          <t>VP25/SF1- 80x25</t>
        </is>
      </c>
      <c r="C553" s="5" t="inlineStr">
        <is>
          <t>retaining_wall+strip_footing</t>
        </is>
      </c>
      <c r="D553" s="5" t="inlineStr">
        <is>
          <t>retaining_wall / strip_footing</t>
        </is>
      </c>
      <c r="E553" s="5" t="n">
        <v>3621.9</v>
      </c>
      <c r="F553" s="5" t="n">
        <v>2867.7</v>
      </c>
      <c r="G553" s="5" t="n">
        <v>279</v>
      </c>
      <c r="H553" s="5" t="n">
        <v>6</v>
      </c>
      <c r="I553" s="5" t="inlineStr">
        <is>
          <t>strip_footing</t>
        </is>
      </c>
      <c r="J553" s="5" t="inlineStr">
        <is>
          <t>yes</t>
        </is>
      </c>
      <c r="K553" s="5" t="n">
        <v>279</v>
      </c>
      <c r="L553" s="5" t="n">
        <v>0.55</v>
      </c>
      <c r="M553" s="5" t="n">
        <v>0.14</v>
      </c>
      <c r="N553" s="5" t="inlineStr">
        <is>
          <t>yes</t>
        </is>
      </c>
    </row>
    <row r="554">
      <c r="A554" s="5" t="n">
        <v>553</v>
      </c>
      <c r="B554" s="5" t="inlineStr">
        <is>
          <t>VP20/SF1- 80x25</t>
        </is>
      </c>
      <c r="C554" s="5" t="inlineStr">
        <is>
          <t>retaining_wall+strip_footing</t>
        </is>
      </c>
      <c r="D554" s="5" t="inlineStr">
        <is>
          <t>retaining_wall / strip_footing</t>
        </is>
      </c>
      <c r="E554" s="5" t="n">
        <v>3384.4</v>
      </c>
      <c r="F554" s="5" t="n">
        <v>2911.5</v>
      </c>
      <c r="G554" s="5" t="n">
        <v>279</v>
      </c>
      <c r="H554" s="5" t="n">
        <v>6</v>
      </c>
      <c r="I554" s="5" t="inlineStr">
        <is>
          <t>strip_footing</t>
        </is>
      </c>
      <c r="J554" s="5" t="inlineStr">
        <is>
          <t>yes</t>
        </is>
      </c>
      <c r="K554" s="5" t="n">
        <v>279</v>
      </c>
      <c r="L554" s="5" t="n">
        <v>0.53</v>
      </c>
      <c r="M554" s="5" t="n">
        <v>0.01</v>
      </c>
      <c r="N554" s="5" t="inlineStr">
        <is>
          <t>yes</t>
        </is>
      </c>
    </row>
    <row r="555">
      <c r="A555" s="5" t="n">
        <v>554</v>
      </c>
      <c r="B555" s="5" t="inlineStr">
        <is>
          <t>VP20/SF1- 80x25</t>
        </is>
      </c>
      <c r="C555" s="5" t="inlineStr">
        <is>
          <t>retaining_wall+strip_footing</t>
        </is>
      </c>
      <c r="D555" s="5" t="inlineStr">
        <is>
          <t>retaining_wall / strip_footing</t>
        </is>
      </c>
      <c r="E555" s="5" t="n">
        <v>3180.2</v>
      </c>
      <c r="F555" s="5" t="n">
        <v>2951</v>
      </c>
      <c r="G555" s="5" t="n">
        <v>279</v>
      </c>
      <c r="H555" s="5" t="n">
        <v>6</v>
      </c>
      <c r="I555" s="5" t="inlineStr">
        <is>
          <t>strip_footing</t>
        </is>
      </c>
      <c r="J555" s="5" t="inlineStr">
        <is>
          <t>yes</t>
        </is>
      </c>
      <c r="K555" s="5" t="n">
        <v>279</v>
      </c>
      <c r="L555" s="5" t="n">
        <v>0.58</v>
      </c>
      <c r="M555" s="5" t="n">
        <v>0.22</v>
      </c>
      <c r="N555" s="5" t="inlineStr">
        <is>
          <t>yes</t>
        </is>
      </c>
    </row>
    <row r="556">
      <c r="A556" s="5" t="n">
        <v>555</v>
      </c>
      <c r="B556" s="5" t="inlineStr">
        <is>
          <t>VP20/SF1-80x25</t>
        </is>
      </c>
      <c r="C556" s="5" t="inlineStr">
        <is>
          <t>retaining_wall+strip_footing</t>
        </is>
      </c>
      <c r="D556" s="5" t="inlineStr">
        <is>
          <t>retaining_wall / strip_footing</t>
        </is>
      </c>
      <c r="E556" s="5" t="n">
        <v>2807.3</v>
      </c>
      <c r="F556" s="5" t="n">
        <v>2830.2</v>
      </c>
      <c r="G556" s="5" t="n">
        <v>678</v>
      </c>
      <c r="H556" s="5" t="n">
        <v>6</v>
      </c>
      <c r="I556" s="5" t="inlineStr">
        <is>
          <t>strip_footing</t>
        </is>
      </c>
      <c r="J556" s="5" t="inlineStr">
        <is>
          <t>yes</t>
        </is>
      </c>
      <c r="K556" s="5" t="n">
        <v>678</v>
      </c>
      <c r="L556" s="5" t="n">
        <v>0.23</v>
      </c>
      <c r="M556" s="5" t="n">
        <v>0.02</v>
      </c>
      <c r="N556" s="5" t="inlineStr">
        <is>
          <t>yes</t>
        </is>
      </c>
    </row>
    <row r="557">
      <c r="A557" s="5" t="n">
        <v>556</v>
      </c>
      <c r="B557" s="5" t="inlineStr">
        <is>
          <t>VP25/SF1- 80x25</t>
        </is>
      </c>
      <c r="C557" s="5" t="inlineStr">
        <is>
          <t>retaining_wall+strip_footing</t>
        </is>
      </c>
      <c r="D557" s="5" t="inlineStr">
        <is>
          <t>retaining_wall / strip_footing</t>
        </is>
      </c>
      <c r="E557" s="5" t="n">
        <v>3957.3</v>
      </c>
      <c r="F557" s="5" t="n">
        <v>3642.7</v>
      </c>
      <c r="G557" s="5" t="n">
        <v>480</v>
      </c>
      <c r="H557" s="5" t="n">
        <v>6</v>
      </c>
      <c r="I557" s="5" t="inlineStr">
        <is>
          <t>strip_footing</t>
        </is>
      </c>
      <c r="J557" s="5" t="inlineStr">
        <is>
          <t>yes</t>
        </is>
      </c>
      <c r="K557" s="5" t="n">
        <v>480</v>
      </c>
      <c r="L557" s="5" t="n">
        <v>0</v>
      </c>
      <c r="M557" s="5" t="n">
        <v>0.05</v>
      </c>
      <c r="N557" s="5" t="inlineStr">
        <is>
          <t>yes</t>
        </is>
      </c>
    </row>
    <row r="558">
      <c r="A558" s="5" t="n">
        <v>557</v>
      </c>
      <c r="B558" s="5" t="inlineStr">
        <is>
          <t>VP25/SF1- 80x25</t>
        </is>
      </c>
      <c r="C558" s="5" t="inlineStr">
        <is>
          <t>retaining_wall+strip_footing</t>
        </is>
      </c>
      <c r="D558" s="5" t="inlineStr">
        <is>
          <t>retaining_wall / strip_footing</t>
        </is>
      </c>
      <c r="E558" s="5" t="n">
        <v>3759.4</v>
      </c>
      <c r="F558" s="5" t="n">
        <v>3680.2</v>
      </c>
      <c r="G558" s="5" t="n">
        <v>481</v>
      </c>
      <c r="H558" s="5" t="n">
        <v>6</v>
      </c>
      <c r="I558" s="5" t="inlineStr">
        <is>
          <t>strip_footing</t>
        </is>
      </c>
      <c r="J558" s="5" t="inlineStr">
        <is>
          <t>yes</t>
        </is>
      </c>
      <c r="K558" s="5" t="n">
        <v>481</v>
      </c>
      <c r="L558" s="5" t="n">
        <v>0</v>
      </c>
      <c r="M558" s="5" t="n">
        <v>0</v>
      </c>
      <c r="N558" s="5" t="inlineStr">
        <is>
          <t>yes</t>
        </is>
      </c>
    </row>
    <row r="559">
      <c r="A559" s="5" t="n">
        <v>558</v>
      </c>
      <c r="B559" s="5" t="inlineStr">
        <is>
          <t>VP25/SF1- 80x25</t>
        </is>
      </c>
      <c r="C559" s="5" t="inlineStr">
        <is>
          <t>retaining_wall+strip_footing</t>
        </is>
      </c>
      <c r="D559" s="5" t="inlineStr">
        <is>
          <t>retaining_wall / strip_footing</t>
        </is>
      </c>
      <c r="E559" s="5" t="n">
        <v>4171.9</v>
      </c>
      <c r="F559" s="5" t="n">
        <v>3392.7</v>
      </c>
      <c r="G559" s="5" t="n">
        <v>467</v>
      </c>
      <c r="H559" s="5" t="n">
        <v>28</v>
      </c>
      <c r="I559" s="5" t="inlineStr">
        <is>
          <t>retaining_wall</t>
        </is>
      </c>
      <c r="J559" s="5" t="inlineStr">
        <is>
          <t>yes</t>
        </is>
      </c>
      <c r="K559" s="5" t="n">
        <v>467</v>
      </c>
      <c r="L559" s="5" t="n">
        <v>1.01</v>
      </c>
      <c r="M559" s="5" t="n">
        <v>0.26</v>
      </c>
      <c r="N559" s="5" t="inlineStr">
        <is>
          <t>yes</t>
        </is>
      </c>
    </row>
    <row r="560">
      <c r="A560" s="5" t="n">
        <v>559</v>
      </c>
      <c r="B560" s="5" t="inlineStr">
        <is>
          <t>VP25/SF1 80x25</t>
        </is>
      </c>
      <c r="C560" s="5" t="inlineStr">
        <is>
          <t>retaining_wall+strip_footing</t>
        </is>
      </c>
      <c r="D560" s="5" t="inlineStr">
        <is>
          <t>retaining_wall / strip_footing</t>
        </is>
      </c>
      <c r="E560" s="5" t="n">
        <v>4621.9</v>
      </c>
      <c r="F560" s="5" t="n">
        <v>3517.7</v>
      </c>
      <c r="G560" s="5" t="n">
        <v>405</v>
      </c>
      <c r="H560" s="5" t="n">
        <v>6</v>
      </c>
      <c r="I560" s="5" t="inlineStr">
        <is>
          <t>strip_footing</t>
        </is>
      </c>
      <c r="J560" s="5" t="inlineStr">
        <is>
          <t>yes</t>
        </is>
      </c>
      <c r="K560" s="5" t="n">
        <v>405</v>
      </c>
      <c r="L560" s="5" t="n">
        <v>0</v>
      </c>
      <c r="M560" s="5" t="n">
        <v>0.04</v>
      </c>
      <c r="N560" s="5" t="inlineStr">
        <is>
          <t>yes</t>
        </is>
      </c>
    </row>
    <row r="561">
      <c r="A561" s="5" t="n">
        <v>560</v>
      </c>
      <c r="B561" s="5" t="inlineStr">
        <is>
          <t>VP25/SF1 80x25</t>
        </is>
      </c>
      <c r="C561" s="5" t="inlineStr">
        <is>
          <t>retaining_wall+strip_footing</t>
        </is>
      </c>
      <c r="D561" s="5" t="inlineStr">
        <is>
          <t>retaining_wall / strip_footing</t>
        </is>
      </c>
      <c r="E561" s="5" t="n">
        <v>4810.4</v>
      </c>
      <c r="F561" s="5" t="n">
        <v>3481.3</v>
      </c>
      <c r="G561" s="5" t="n">
        <v>406</v>
      </c>
      <c r="H561" s="5" t="n">
        <v>6</v>
      </c>
      <c r="I561" s="5" t="inlineStr">
        <is>
          <t>strip_footing</t>
        </is>
      </c>
      <c r="J561" s="5" t="inlineStr">
        <is>
          <t>yes</t>
        </is>
      </c>
      <c r="K561" s="5" t="n">
        <v>406</v>
      </c>
      <c r="L561" s="5" t="n">
        <v>0</v>
      </c>
      <c r="M561" s="5" t="n">
        <v>0</v>
      </c>
      <c r="N561" s="5" t="inlineStr">
        <is>
          <t>yes</t>
        </is>
      </c>
    </row>
    <row r="562">
      <c r="A562" s="5" t="n">
        <v>561</v>
      </c>
      <c r="B562" s="5" t="inlineStr">
        <is>
          <t>VP25/SF1 80x25</t>
        </is>
      </c>
      <c r="C562" s="5" t="inlineStr">
        <is>
          <t>retaining_wall+strip_footing</t>
        </is>
      </c>
      <c r="D562" s="5" t="inlineStr">
        <is>
          <t>retaining_wall / strip_footing</t>
        </is>
      </c>
      <c r="E562" s="5" t="n">
        <v>4987.5</v>
      </c>
      <c r="F562" s="5" t="n">
        <v>2842.7</v>
      </c>
      <c r="G562" s="5" t="n">
        <v>282</v>
      </c>
      <c r="H562" s="5" t="n">
        <v>6</v>
      </c>
      <c r="I562" s="5" t="inlineStr">
        <is>
          <t>strip_footing</t>
        </is>
      </c>
      <c r="J562" s="5" t="inlineStr">
        <is>
          <t>yes</t>
        </is>
      </c>
      <c r="K562" s="5" t="n">
        <v>282</v>
      </c>
      <c r="L562" s="5" t="n">
        <v>0.61</v>
      </c>
      <c r="M562" s="5" t="n">
        <v>0.02</v>
      </c>
      <c r="N562" s="5" t="inlineStr">
        <is>
          <t>yes</t>
        </is>
      </c>
    </row>
    <row r="563">
      <c r="A563" s="5" t="n">
        <v>562</v>
      </c>
      <c r="B563" s="5" t="inlineStr">
        <is>
          <t>VP25/SF1 80x25</t>
        </is>
      </c>
      <c r="C563" s="5" t="inlineStr">
        <is>
          <t>retaining_wall+strip_footing</t>
        </is>
      </c>
      <c r="D563" s="5" t="inlineStr">
        <is>
          <t>retaining_wall / strip_footing</t>
        </is>
      </c>
      <c r="E563" s="5" t="n">
        <v>4989.6</v>
      </c>
      <c r="F563" s="5" t="n">
        <v>2582.3</v>
      </c>
      <c r="G563" s="5" t="n">
        <v>283</v>
      </c>
      <c r="H563" s="5" t="n">
        <v>6</v>
      </c>
      <c r="I563" s="5" t="inlineStr">
        <is>
          <t>strip_footing</t>
        </is>
      </c>
      <c r="J563" s="5" t="inlineStr">
        <is>
          <t>yes</t>
        </is>
      </c>
      <c r="K563" s="5" t="n">
        <v>283</v>
      </c>
      <c r="L563" s="5" t="n">
        <v>0.54</v>
      </c>
      <c r="M563" s="5" t="n">
        <v>0</v>
      </c>
      <c r="N563" s="5" t="inlineStr">
        <is>
          <t>yes</t>
        </is>
      </c>
    </row>
    <row r="564">
      <c r="A564" s="5" t="n">
        <v>563</v>
      </c>
      <c r="B564" s="5" t="inlineStr">
        <is>
          <t>VP25/SF1 80x25</t>
        </is>
      </c>
      <c r="C564" s="5" t="inlineStr">
        <is>
          <t>retaining_wall+strip_footing</t>
        </is>
      </c>
      <c r="D564" s="5" t="inlineStr">
        <is>
          <t>retaining_wall / strip_footing</t>
        </is>
      </c>
      <c r="E564" s="5" t="n">
        <v>5004.2</v>
      </c>
      <c r="F564" s="5" t="n">
        <v>3427.1</v>
      </c>
      <c r="G564" s="5" t="n">
        <v>407</v>
      </c>
      <c r="H564" s="5" t="n">
        <v>6</v>
      </c>
      <c r="I564" s="5" t="inlineStr">
        <is>
          <t>strip_footing</t>
        </is>
      </c>
      <c r="J564" s="5" t="inlineStr">
        <is>
          <t>yes</t>
        </is>
      </c>
      <c r="K564" s="5" t="n">
        <v>407</v>
      </c>
      <c r="L564" s="5" t="n">
        <v>0.08</v>
      </c>
      <c r="M564" s="5" t="n">
        <v>0</v>
      </c>
      <c r="N564" s="5" t="inlineStr">
        <is>
          <t>yes</t>
        </is>
      </c>
    </row>
    <row r="565">
      <c r="A565" s="5" t="n">
        <v>564</v>
      </c>
      <c r="B565" s="5" t="inlineStr">
        <is>
          <t>VP20-SF1 80x25</t>
        </is>
      </c>
      <c r="C565" s="5" t="inlineStr">
        <is>
          <t>retaining_wall+strip_footing</t>
        </is>
      </c>
      <c r="D565" s="5" t="inlineStr">
        <is>
          <t>retaining_wall / strip_footing</t>
        </is>
      </c>
      <c r="E565" s="5" t="n">
        <v>2477.1</v>
      </c>
      <c r="F565" s="5" t="n">
        <v>3309.4</v>
      </c>
      <c r="G565" s="5" t="n">
        <v>626</v>
      </c>
      <c r="H565" s="5" t="n">
        <v>6</v>
      </c>
      <c r="I565" s="5" t="inlineStr">
        <is>
          <t>strip_footing</t>
        </is>
      </c>
      <c r="J565" s="5" t="inlineStr">
        <is>
          <t>yes</t>
        </is>
      </c>
      <c r="K565" s="5" t="n">
        <v>626</v>
      </c>
      <c r="L565" s="5" t="n">
        <v>0.17</v>
      </c>
      <c r="M565" s="5" t="n">
        <v>0</v>
      </c>
      <c r="N565" s="5" t="inlineStr">
        <is>
          <t>no</t>
        </is>
      </c>
    </row>
    <row r="566">
      <c r="A566" s="5" t="n">
        <v>565</v>
      </c>
      <c r="B566" s="5" t="inlineStr">
        <is>
          <t>VP20-SF1 80x25</t>
        </is>
      </c>
      <c r="C566" s="5" t="inlineStr">
        <is>
          <t>retaining_wall+strip_footing</t>
        </is>
      </c>
      <c r="D566" s="5" t="inlineStr">
        <is>
          <t>retaining_wall / strip_footing</t>
        </is>
      </c>
      <c r="E566" s="5" t="n">
        <v>2712.5</v>
      </c>
      <c r="F566" s="5" t="n">
        <v>3465.6</v>
      </c>
      <c r="G566" s="5" t="n">
        <v>604</v>
      </c>
      <c r="H566" s="5" t="n">
        <v>34</v>
      </c>
      <c r="I566" s="5" t="inlineStr">
        <is>
          <t>unnamed</t>
        </is>
      </c>
      <c r="J566" s="5" t="inlineStr">
        <is>
          <t>unnamed</t>
        </is>
      </c>
      <c r="K566" s="5" t="n">
        <v>604</v>
      </c>
      <c r="L566" s="5" t="n">
        <v>0.4</v>
      </c>
      <c r="M566" s="5" t="n">
        <v>0</v>
      </c>
      <c r="N566" s="5" t="inlineStr">
        <is>
          <t>no</t>
        </is>
      </c>
    </row>
    <row r="567">
      <c r="A567" s="5" t="n">
        <v>566</v>
      </c>
      <c r="B567" s="5" t="inlineStr">
        <is>
          <t>VP20-SF1 80x25</t>
        </is>
      </c>
      <c r="C567" s="5" t="inlineStr">
        <is>
          <t>retaining_wall+strip_footing</t>
        </is>
      </c>
      <c r="D567" s="5" t="inlineStr">
        <is>
          <t>retaining_wall / strip_footing</t>
        </is>
      </c>
      <c r="E567" s="5" t="n">
        <v>2920.8</v>
      </c>
      <c r="F567" s="5" t="n">
        <v>3533.3</v>
      </c>
      <c r="G567" s="5" t="n">
        <v>546</v>
      </c>
      <c r="H567" s="5" t="n">
        <v>28</v>
      </c>
      <c r="I567" s="5" t="inlineStr">
        <is>
          <t>retaining_wall</t>
        </is>
      </c>
      <c r="J567" s="5" t="inlineStr">
        <is>
          <t>yes</t>
        </is>
      </c>
      <c r="K567" s="5" t="n">
        <v>546</v>
      </c>
      <c r="L567" s="5" t="n">
        <v>0.42</v>
      </c>
      <c r="M567" s="5" t="n">
        <v>0</v>
      </c>
      <c r="N567" s="5" t="inlineStr">
        <is>
          <t>no</t>
        </is>
      </c>
    </row>
    <row r="568">
      <c r="A568" s="5" t="n">
        <v>567</v>
      </c>
      <c r="B568" s="5" t="inlineStr">
        <is>
          <t>VP20-SF1 80x25</t>
        </is>
      </c>
      <c r="C568" s="5" t="inlineStr">
        <is>
          <t>retaining_wall+strip_footing</t>
        </is>
      </c>
      <c r="D568" s="5" t="inlineStr">
        <is>
          <t>retaining_wall / strip_footing</t>
        </is>
      </c>
      <c r="E568" s="5" t="n">
        <v>3065.6</v>
      </c>
      <c r="F568" s="5" t="n">
        <v>3569.8</v>
      </c>
      <c r="G568" s="5" t="n">
        <v>605</v>
      </c>
      <c r="H568" s="5" t="n">
        <v>34</v>
      </c>
      <c r="I568" s="5" t="inlineStr">
        <is>
          <t>unnamed</t>
        </is>
      </c>
      <c r="J568" s="5" t="inlineStr">
        <is>
          <t>unnamed</t>
        </is>
      </c>
      <c r="K568" s="5" t="n">
        <v>605</v>
      </c>
      <c r="L568" s="5" t="n">
        <v>0.06</v>
      </c>
      <c r="M568" s="5" t="n">
        <v>0</v>
      </c>
      <c r="N568" s="5" t="inlineStr">
        <is>
          <t>yes</t>
        </is>
      </c>
    </row>
    <row r="569">
      <c r="A569" s="5" t="n">
        <v>568</v>
      </c>
      <c r="B569" s="5" t="inlineStr">
        <is>
          <t>VP20-SF1 80x25</t>
        </is>
      </c>
      <c r="C569" s="5" t="inlineStr">
        <is>
          <t>retaining_wall+strip_footing</t>
        </is>
      </c>
      <c r="D569" s="5" t="inlineStr">
        <is>
          <t>retaining_wall / strip_footing</t>
        </is>
      </c>
      <c r="E569" s="5" t="n">
        <v>3357.3</v>
      </c>
      <c r="F569" s="5" t="n">
        <v>3504.2</v>
      </c>
      <c r="G569" s="5" t="n">
        <v>558</v>
      </c>
      <c r="H569" s="5" t="n">
        <v>6</v>
      </c>
      <c r="I569" s="5" t="inlineStr">
        <is>
          <t>strip_footing</t>
        </is>
      </c>
      <c r="J569" s="5" t="inlineStr">
        <is>
          <t>yes</t>
        </is>
      </c>
      <c r="K569" s="5" t="n">
        <v>558</v>
      </c>
      <c r="L569" s="5" t="n">
        <v>0</v>
      </c>
      <c r="M569" s="5" t="n">
        <v>0</v>
      </c>
      <c r="N569" s="5" t="inlineStr">
        <is>
          <t>yes</t>
        </is>
      </c>
    </row>
    <row r="570">
      <c r="A570" s="5" t="n">
        <v>569</v>
      </c>
      <c r="B570" s="5" t="inlineStr">
        <is>
          <t>VP20-SF1 80x25</t>
        </is>
      </c>
      <c r="C570" s="5" t="inlineStr">
        <is>
          <t>retaining_wall+strip_footing</t>
        </is>
      </c>
      <c r="D570" s="5" t="inlineStr">
        <is>
          <t>retaining_wall / strip_footing</t>
        </is>
      </c>
      <c r="E570" s="5" t="n">
        <v>3553.1</v>
      </c>
      <c r="F570" s="5" t="n">
        <v>3468.8</v>
      </c>
      <c r="G570" s="5" t="n">
        <v>544</v>
      </c>
      <c r="H570" s="5" t="n">
        <v>28</v>
      </c>
      <c r="I570" s="5" t="inlineStr">
        <is>
          <t>retaining_wall</t>
        </is>
      </c>
      <c r="J570" s="5" t="inlineStr">
        <is>
          <t>yes</t>
        </is>
      </c>
      <c r="K570" s="5" t="n">
        <v>544</v>
      </c>
      <c r="L570" s="5" t="n">
        <v>0.19</v>
      </c>
      <c r="M570" s="5" t="n">
        <v>0.22</v>
      </c>
      <c r="N570" s="5" t="inlineStr">
        <is>
          <t>yes</t>
        </is>
      </c>
    </row>
    <row r="571">
      <c r="A571" s="5" t="n">
        <v>570</v>
      </c>
      <c r="B571" s="5" t="inlineStr">
        <is>
          <t>VP20-SF1 80x25</t>
        </is>
      </c>
      <c r="C571" s="5" t="inlineStr">
        <is>
          <t>retaining_wall+strip_footing</t>
        </is>
      </c>
      <c r="D571" s="5" t="inlineStr">
        <is>
          <t>retaining_wall / strip_footing</t>
        </is>
      </c>
      <c r="E571" s="5" t="n">
        <v>3656.3</v>
      </c>
      <c r="F571" s="5" t="n">
        <v>3580.2</v>
      </c>
      <c r="G571" s="5" t="n">
        <v>482</v>
      </c>
      <c r="H571" s="5" t="n">
        <v>6</v>
      </c>
      <c r="I571" s="5" t="inlineStr">
        <is>
          <t>strip_footing</t>
        </is>
      </c>
      <c r="J571" s="5" t="inlineStr">
        <is>
          <t>yes</t>
        </is>
      </c>
      <c r="K571" s="5" t="n">
        <v>482</v>
      </c>
      <c r="L571" s="5" t="n">
        <v>0.04</v>
      </c>
      <c r="M571" s="5" t="n">
        <v>0</v>
      </c>
      <c r="N571" s="5" t="inlineStr">
        <is>
          <t>yes</t>
        </is>
      </c>
    </row>
    <row r="572">
      <c r="A572" s="5" t="n">
        <v>571</v>
      </c>
      <c r="B572" s="5" t="inlineStr">
        <is>
          <t>VP20-SF1 80x25</t>
        </is>
      </c>
      <c r="C572" s="5" t="inlineStr">
        <is>
          <t>retaining_wall+strip_footing</t>
        </is>
      </c>
      <c r="D572" s="5" t="inlineStr">
        <is>
          <t>retaining_wall / strip_footing</t>
        </is>
      </c>
      <c r="E572" s="5" t="n">
        <v>1986.5</v>
      </c>
      <c r="F572" s="5" t="n">
        <v>3062.5</v>
      </c>
      <c r="G572" s="5" t="n">
        <v>661</v>
      </c>
      <c r="H572" s="5" t="n">
        <v>28</v>
      </c>
      <c r="I572" s="5" t="inlineStr">
        <is>
          <t>retaining_wall</t>
        </is>
      </c>
      <c r="J572" s="5" t="inlineStr">
        <is>
          <t>yes</t>
        </is>
      </c>
      <c r="K572" s="5" t="n">
        <v>661</v>
      </c>
      <c r="L572" s="5" t="n">
        <v>0.51</v>
      </c>
      <c r="M572" s="5" t="n">
        <v>0.44</v>
      </c>
      <c r="N572" s="5" t="inlineStr">
        <is>
          <t>yes</t>
        </is>
      </c>
    </row>
    <row r="573">
      <c r="A573" s="5" t="n">
        <v>572</v>
      </c>
      <c r="B573" s="5" t="inlineStr">
        <is>
          <t>VP20-SF1 80x25</t>
        </is>
      </c>
      <c r="C573" s="5" t="inlineStr">
        <is>
          <t>retaining_wall+strip_footing</t>
        </is>
      </c>
      <c r="D573" s="5" t="inlineStr">
        <is>
          <t>retaining_wall / strip_footing</t>
        </is>
      </c>
      <c r="E573" s="5" t="n">
        <v>1810.4</v>
      </c>
      <c r="F573" s="5" t="n">
        <v>2976</v>
      </c>
      <c r="G573" s="5" t="n">
        <v>661</v>
      </c>
      <c r="H573" s="5" t="n">
        <v>28</v>
      </c>
      <c r="I573" s="5" t="inlineStr">
        <is>
          <t>retaining_wall</t>
        </is>
      </c>
      <c r="J573" s="5" t="inlineStr">
        <is>
          <t>yes</t>
        </is>
      </c>
      <c r="K573" s="5" t="n">
        <v>661</v>
      </c>
      <c r="L573" s="5" t="n">
        <v>0.45</v>
      </c>
      <c r="M573" s="5" t="n">
        <v>0</v>
      </c>
      <c r="N573" s="5" t="inlineStr">
        <is>
          <t>no</t>
        </is>
      </c>
    </row>
    <row r="574">
      <c r="A574" s="5" t="n">
        <v>573</v>
      </c>
      <c r="B574" s="5" t="inlineStr">
        <is>
          <t>VP20-SF1 80x25</t>
        </is>
      </c>
      <c r="C574" s="5" t="inlineStr">
        <is>
          <t>retaining_wall+strip_footing</t>
        </is>
      </c>
      <c r="D574" s="5" t="inlineStr">
        <is>
          <t>retaining_wall / strip_footing</t>
        </is>
      </c>
      <c r="E574" s="5" t="n">
        <v>1688.5</v>
      </c>
      <c r="F574" s="5" t="n">
        <v>2913.5</v>
      </c>
      <c r="G574" s="5" t="n">
        <v>751</v>
      </c>
      <c r="H574" s="5" t="n">
        <v>28</v>
      </c>
      <c r="I574" s="5" t="inlineStr">
        <is>
          <t>retaining_wall</t>
        </is>
      </c>
      <c r="J574" s="5" t="inlineStr">
        <is>
          <t>yes</t>
        </is>
      </c>
      <c r="K574" s="5" t="n">
        <v>751</v>
      </c>
      <c r="L574" s="5" t="n">
        <v>0.49</v>
      </c>
      <c r="M574" s="5" t="n">
        <v>0</v>
      </c>
      <c r="N574" s="5" t="inlineStr">
        <is>
          <t>no</t>
        </is>
      </c>
    </row>
    <row r="575">
      <c r="A575" s="5" t="n">
        <v>574</v>
      </c>
      <c r="B575" s="5" t="inlineStr">
        <is>
          <t>VP20-SF1 80x25</t>
        </is>
      </c>
      <c r="C575" s="5" t="inlineStr">
        <is>
          <t>retaining_wall+strip_footing</t>
        </is>
      </c>
      <c r="D575" s="5" t="inlineStr">
        <is>
          <t>retaining_wall / strip_footing</t>
        </is>
      </c>
      <c r="E575" s="5" t="n">
        <v>1203.1</v>
      </c>
      <c r="F575" s="5" t="n">
        <v>2669.8</v>
      </c>
      <c r="G575" s="5" t="n">
        <v>868</v>
      </c>
      <c r="H575" s="5" t="n">
        <v>11</v>
      </c>
      <c r="I575" s="5" t="inlineStr">
        <is>
          <t>unnamed</t>
        </is>
      </c>
      <c r="J575" s="5" t="inlineStr">
        <is>
          <t>unnamed</t>
        </is>
      </c>
      <c r="K575" s="5" t="n">
        <v>754</v>
      </c>
      <c r="L575" s="5" t="n">
        <v>0.49</v>
      </c>
      <c r="M575" s="5" t="n">
        <v>0</v>
      </c>
      <c r="N575" s="5" t="inlineStr">
        <is>
          <t>no</t>
        </is>
      </c>
    </row>
    <row r="576">
      <c r="A576" s="5" t="n">
        <v>575</v>
      </c>
      <c r="B576" s="5" t="inlineStr">
        <is>
          <t>VP20-SF1 80x25</t>
        </is>
      </c>
      <c r="C576" s="5" t="inlineStr">
        <is>
          <t>retaining_wall+strip_footing</t>
        </is>
      </c>
      <c r="D576" s="5" t="inlineStr">
        <is>
          <t>retaining_wall / strip_footing</t>
        </is>
      </c>
      <c r="E576" s="5" t="n">
        <v>980.2</v>
      </c>
      <c r="F576" s="5" t="n">
        <v>2410.4</v>
      </c>
      <c r="G576" s="5" t="n">
        <v>907</v>
      </c>
      <c r="H576" s="5" t="n">
        <v>6</v>
      </c>
      <c r="I576" s="5" t="inlineStr">
        <is>
          <t>strip_footing</t>
        </is>
      </c>
      <c r="J576" s="5" t="inlineStr">
        <is>
          <t>yes</t>
        </is>
      </c>
      <c r="K576" s="5" t="n">
        <v>907</v>
      </c>
      <c r="L576" s="5" t="n">
        <v>0</v>
      </c>
      <c r="M576" s="5" t="n">
        <v>0</v>
      </c>
      <c r="N576" s="5" t="inlineStr">
        <is>
          <t>yes</t>
        </is>
      </c>
    </row>
    <row r="577">
      <c r="A577" s="5" t="n">
        <v>576</v>
      </c>
      <c r="B577" s="5" t="inlineStr">
        <is>
          <t>VP20-SF1 80x25</t>
        </is>
      </c>
      <c r="C577" s="5" t="inlineStr">
        <is>
          <t>retaining_wall+strip_footing</t>
        </is>
      </c>
      <c r="D577" s="5" t="inlineStr">
        <is>
          <t>retaining_wall / strip_footing</t>
        </is>
      </c>
      <c r="E577" s="5" t="n">
        <v>906.3</v>
      </c>
      <c r="F577" s="5" t="n">
        <v>2122.9</v>
      </c>
      <c r="G577" s="5" t="n">
        <v>908</v>
      </c>
      <c r="H577" s="5" t="n">
        <v>6</v>
      </c>
      <c r="I577" s="5" t="inlineStr">
        <is>
          <t>strip_footing</t>
        </is>
      </c>
      <c r="J577" s="5" t="inlineStr">
        <is>
          <t>yes</t>
        </is>
      </c>
      <c r="K577" s="5" t="n">
        <v>908</v>
      </c>
      <c r="L577" s="5" t="n">
        <v>0</v>
      </c>
      <c r="M577" s="5" t="n">
        <v>0</v>
      </c>
      <c r="N577" s="5" t="inlineStr">
        <is>
          <t>yes</t>
        </is>
      </c>
    </row>
    <row r="578">
      <c r="A578" s="5" t="n">
        <v>577</v>
      </c>
      <c r="B578" s="5" t="inlineStr">
        <is>
          <t>VP20-SF1 80x25</t>
        </is>
      </c>
      <c r="C578" s="5" t="inlineStr">
        <is>
          <t>retaining_wall+strip_footing</t>
        </is>
      </c>
      <c r="D578" s="5" t="inlineStr">
        <is>
          <t>retaining_wall / strip_footing</t>
        </is>
      </c>
      <c r="E578" s="5" t="n">
        <v>817.7</v>
      </c>
      <c r="F578" s="5" t="n">
        <v>1787.5</v>
      </c>
      <c r="G578" s="5" t="n">
        <v>1031</v>
      </c>
      <c r="H578" s="5" t="n">
        <v>28</v>
      </c>
      <c r="I578" s="5" t="inlineStr">
        <is>
          <t>retaining_wall</t>
        </is>
      </c>
      <c r="J578" s="5" t="inlineStr">
        <is>
          <t>yes</t>
        </is>
      </c>
      <c r="K578" s="5" t="n">
        <v>1031</v>
      </c>
      <c r="L578" s="5" t="n">
        <v>0.28</v>
      </c>
      <c r="M578" s="5" t="n">
        <v>0</v>
      </c>
      <c r="N578" s="5" t="inlineStr">
        <is>
          <t>no</t>
        </is>
      </c>
    </row>
    <row r="579">
      <c r="A579" s="5" t="n">
        <v>578</v>
      </c>
      <c r="B579" s="5" t="inlineStr">
        <is>
          <t>VP20-SF1 80x25</t>
        </is>
      </c>
      <c r="C579" s="5" t="inlineStr">
        <is>
          <t>retaining_wall+strip_footing</t>
        </is>
      </c>
      <c r="D579" s="5" t="inlineStr">
        <is>
          <t>retaining_wall / strip_footing</t>
        </is>
      </c>
      <c r="E579" s="5" t="n">
        <v>764.6</v>
      </c>
      <c r="F579" s="5" t="n">
        <v>1587.5</v>
      </c>
      <c r="G579" s="5" t="n">
        <v>1056</v>
      </c>
      <c r="H579" s="5" t="n">
        <v>6</v>
      </c>
      <c r="I579" s="5" t="inlineStr">
        <is>
          <t>strip_footing</t>
        </is>
      </c>
      <c r="J579" s="5" t="inlineStr">
        <is>
          <t>yes</t>
        </is>
      </c>
      <c r="K579" s="5" t="n">
        <v>1056</v>
      </c>
      <c r="L579" s="5" t="n">
        <v>0</v>
      </c>
      <c r="M579" s="5" t="n">
        <v>0</v>
      </c>
      <c r="N579" s="5" t="inlineStr">
        <is>
          <t>yes</t>
        </is>
      </c>
    </row>
    <row r="580">
      <c r="A580" s="5" t="n">
        <v>579</v>
      </c>
      <c r="B580" s="5" t="inlineStr">
        <is>
          <t>VP20-SF1 80x25</t>
        </is>
      </c>
      <c r="C580" s="5" t="inlineStr">
        <is>
          <t>retaining_wall+strip_footing</t>
        </is>
      </c>
      <c r="D580" s="5" t="inlineStr">
        <is>
          <t>retaining_wall / strip_footing</t>
        </is>
      </c>
      <c r="E580" s="5" t="n">
        <v>777.1</v>
      </c>
      <c r="F580" s="5" t="n">
        <v>1214.6</v>
      </c>
      <c r="G580" s="5" t="n">
        <v>1054</v>
      </c>
      <c r="H580" s="5" t="n">
        <v>6</v>
      </c>
      <c r="I580" s="5" t="inlineStr">
        <is>
          <t>strip_footing</t>
        </is>
      </c>
      <c r="J580" s="5" t="inlineStr">
        <is>
          <t>yes</t>
        </is>
      </c>
      <c r="K580" s="5" t="n">
        <v>1054</v>
      </c>
      <c r="L580" s="5" t="n">
        <v>0</v>
      </c>
      <c r="M580" s="5" t="n">
        <v>0.01</v>
      </c>
      <c r="N580" s="5" t="inlineStr">
        <is>
          <t>yes</t>
        </is>
      </c>
    </row>
    <row r="581">
      <c r="A581" s="5" t="n">
        <v>580</v>
      </c>
      <c r="B581" s="5" t="inlineStr">
        <is>
          <t>VP20-SF1 80x25</t>
        </is>
      </c>
      <c r="C581" s="5" t="inlineStr">
        <is>
          <t>retaining_wall+strip_footing</t>
        </is>
      </c>
      <c r="D581" s="5" t="inlineStr">
        <is>
          <t>retaining_wall / strip_footing</t>
        </is>
      </c>
      <c r="E581" s="5" t="n">
        <v>1177.1</v>
      </c>
      <c r="F581" s="5" t="n">
        <v>1118.8</v>
      </c>
      <c r="G581" s="5" t="n">
        <v>1053</v>
      </c>
      <c r="H581" s="5" t="n">
        <v>6</v>
      </c>
      <c r="I581" s="5" t="inlineStr">
        <is>
          <t>strip_footing</t>
        </is>
      </c>
      <c r="J581" s="5" t="inlineStr">
        <is>
          <t>yes</t>
        </is>
      </c>
      <c r="K581" s="5" t="n">
        <v>1053</v>
      </c>
      <c r="L581" s="5" t="n">
        <v>0.47</v>
      </c>
      <c r="M581" s="5" t="n">
        <v>0.01</v>
      </c>
      <c r="N581" s="5" t="inlineStr">
        <is>
          <t>yes</t>
        </is>
      </c>
    </row>
    <row r="582">
      <c r="A582" s="5" t="n">
        <v>581</v>
      </c>
      <c r="B582" s="5" t="inlineStr">
        <is>
          <t>VP20-SF1 80x25</t>
        </is>
      </c>
      <c r="C582" s="5" t="inlineStr">
        <is>
          <t>retaining_wall+strip_footing</t>
        </is>
      </c>
      <c r="D582" s="5" t="inlineStr">
        <is>
          <t>retaining_wall / strip_footing</t>
        </is>
      </c>
      <c r="E582" s="5" t="n">
        <v>1242.7</v>
      </c>
      <c r="F582" s="5" t="n">
        <v>1180.2</v>
      </c>
      <c r="G582" s="5" t="n">
        <v>1052</v>
      </c>
      <c r="H582" s="5" t="n">
        <v>6</v>
      </c>
      <c r="I582" s="5" t="inlineStr">
        <is>
          <t>strip_footing</t>
        </is>
      </c>
      <c r="J582" s="5" t="inlineStr">
        <is>
          <t>yes</t>
        </is>
      </c>
      <c r="K582" s="5" t="n">
        <v>1052</v>
      </c>
      <c r="L582" s="5" t="n">
        <v>0.55</v>
      </c>
      <c r="M582" s="5" t="n">
        <v>0</v>
      </c>
      <c r="N582" s="5" t="inlineStr">
        <is>
          <t>no</t>
        </is>
      </c>
    </row>
    <row r="583">
      <c r="A583" s="5" t="n">
        <v>582</v>
      </c>
      <c r="B583" s="5" t="inlineStr">
        <is>
          <t>VP20-SF1 80x25</t>
        </is>
      </c>
      <c r="C583" s="5" t="inlineStr">
        <is>
          <t>retaining_wall+strip_footing</t>
        </is>
      </c>
      <c r="D583" s="5" t="inlineStr">
        <is>
          <t>retaining_wall / strip_footing</t>
        </is>
      </c>
      <c r="E583" s="5" t="n">
        <v>1291.7</v>
      </c>
      <c r="F583" s="5" t="n">
        <v>1381.2</v>
      </c>
      <c r="G583" s="5" t="n">
        <v>1052</v>
      </c>
      <c r="H583" s="5" t="n">
        <v>6</v>
      </c>
      <c r="I583" s="5" t="inlineStr">
        <is>
          <t>strip_footing</t>
        </is>
      </c>
      <c r="J583" s="5" t="inlineStr">
        <is>
          <t>yes</t>
        </is>
      </c>
      <c r="K583" s="5" t="n">
        <v>1052</v>
      </c>
      <c r="L583" s="5" t="n">
        <v>0.68</v>
      </c>
      <c r="M583" s="5" t="n">
        <v>0</v>
      </c>
      <c r="N583" s="5" t="inlineStr">
        <is>
          <t>no</t>
        </is>
      </c>
    </row>
    <row r="584">
      <c r="A584" s="5" t="n">
        <v>583</v>
      </c>
      <c r="B584" s="5" t="inlineStr">
        <is>
          <t>VP20-SF1 80x25</t>
        </is>
      </c>
      <c r="C584" s="5" t="inlineStr">
        <is>
          <t>retaining_wall+strip_footing</t>
        </is>
      </c>
      <c r="D584" s="5" t="inlineStr">
        <is>
          <t>retaining_wall / strip_footing</t>
        </is>
      </c>
      <c r="E584" s="5" t="n">
        <v>1352.1</v>
      </c>
      <c r="F584" s="5" t="n">
        <v>1593.8</v>
      </c>
      <c r="G584" s="5" t="n">
        <v>1052</v>
      </c>
      <c r="H584" s="5" t="n">
        <v>6</v>
      </c>
      <c r="I584" s="5" t="inlineStr">
        <is>
          <t>strip_footing</t>
        </is>
      </c>
      <c r="J584" s="5" t="inlineStr">
        <is>
          <t>yes</t>
        </is>
      </c>
      <c r="K584" s="5" t="n">
        <v>1052</v>
      </c>
      <c r="L584" s="5" t="n">
        <v>0.53</v>
      </c>
      <c r="M584" s="5" t="n">
        <v>0.01</v>
      </c>
      <c r="N584" s="5" t="inlineStr">
        <is>
          <t>yes</t>
        </is>
      </c>
    </row>
    <row r="585">
      <c r="A585" s="5" t="n">
        <v>584</v>
      </c>
      <c r="B585" s="5" t="inlineStr">
        <is>
          <t>VP20-SF1 80x25</t>
        </is>
      </c>
      <c r="C585" s="5" t="inlineStr">
        <is>
          <t>retaining_wall+strip_footing</t>
        </is>
      </c>
      <c r="D585" s="5" t="inlineStr">
        <is>
          <t>retaining_wall / strip_footing</t>
        </is>
      </c>
      <c r="E585" s="5" t="n">
        <v>1395.8</v>
      </c>
      <c r="F585" s="5" t="n">
        <v>1755.2</v>
      </c>
      <c r="G585" s="5" t="n">
        <v>1052</v>
      </c>
      <c r="H585" s="5" t="n">
        <v>6</v>
      </c>
      <c r="I585" s="5" t="inlineStr">
        <is>
          <t>strip_footing</t>
        </is>
      </c>
      <c r="J585" s="5" t="inlineStr">
        <is>
          <t>yes</t>
        </is>
      </c>
      <c r="K585" s="5" t="n">
        <v>1052</v>
      </c>
      <c r="L585" s="5" t="n">
        <v>0.5</v>
      </c>
      <c r="M585" s="5" t="n">
        <v>0.26</v>
      </c>
      <c r="N585" s="5" t="inlineStr">
        <is>
          <t>yes</t>
        </is>
      </c>
    </row>
    <row r="586">
      <c r="A586" s="5" t="n">
        <v>585</v>
      </c>
      <c r="B586" s="5" t="inlineStr">
        <is>
          <t>VP20-SF1 80x25</t>
        </is>
      </c>
      <c r="C586" s="5" t="inlineStr">
        <is>
          <t>retaining_wall+strip_footing</t>
        </is>
      </c>
      <c r="D586" s="5" t="inlineStr">
        <is>
          <t>retaining_wall / strip_footing</t>
        </is>
      </c>
      <c r="E586" s="5" t="n">
        <v>1439.6</v>
      </c>
      <c r="F586" s="5" t="n">
        <v>1920.8</v>
      </c>
      <c r="G586" s="5" t="n">
        <v>1052</v>
      </c>
      <c r="H586" s="5" t="n">
        <v>6</v>
      </c>
      <c r="I586" s="5" t="inlineStr">
        <is>
          <t>strip_footing</t>
        </is>
      </c>
      <c r="J586" s="5" t="inlineStr">
        <is>
          <t>yes</t>
        </is>
      </c>
      <c r="K586" s="5" t="n">
        <v>1052</v>
      </c>
      <c r="L586" s="5" t="n">
        <v>0.49</v>
      </c>
      <c r="M586" s="5" t="n">
        <v>0.01</v>
      </c>
      <c r="N586" s="5" t="inlineStr">
        <is>
          <t>yes</t>
        </is>
      </c>
    </row>
    <row r="587">
      <c r="A587" s="5" t="n">
        <v>586</v>
      </c>
      <c r="B587" s="5" t="inlineStr">
        <is>
          <t>VP20-SF1 80x25</t>
        </is>
      </c>
      <c r="C587" s="5" t="inlineStr">
        <is>
          <t>retaining_wall+strip_footing</t>
        </is>
      </c>
      <c r="D587" s="5" t="inlineStr">
        <is>
          <t>retaining_wall / strip_footing</t>
        </is>
      </c>
      <c r="E587" s="5" t="n">
        <v>1484.4</v>
      </c>
      <c r="F587" s="5" t="n">
        <v>2103.1</v>
      </c>
      <c r="G587" s="5" t="n">
        <v>1052</v>
      </c>
      <c r="H587" s="5" t="n">
        <v>6</v>
      </c>
      <c r="I587" s="5" t="inlineStr">
        <is>
          <t>strip_footing</t>
        </is>
      </c>
      <c r="J587" s="5" t="inlineStr">
        <is>
          <t>yes</t>
        </is>
      </c>
      <c r="K587" s="5" t="n">
        <v>1052</v>
      </c>
      <c r="L587" s="5" t="n">
        <v>0.6</v>
      </c>
      <c r="M587" s="5" t="n">
        <v>0</v>
      </c>
      <c r="N587" s="5" t="inlineStr">
        <is>
          <t>no</t>
        </is>
      </c>
    </row>
    <row r="588">
      <c r="A588" s="5" t="n">
        <v>587</v>
      </c>
      <c r="B588" s="5" t="inlineStr">
        <is>
          <t>VP20-SF1-80x25</t>
        </is>
      </c>
      <c r="C588" s="5" t="inlineStr">
        <is>
          <t>retaining_wall+strip_footing</t>
        </is>
      </c>
      <c r="D588" s="5" t="inlineStr">
        <is>
          <t>retaining_wall / strip_footing</t>
        </is>
      </c>
      <c r="E588" s="5" t="n">
        <v>1958.3</v>
      </c>
      <c r="F588" s="5" t="n">
        <v>2404.2</v>
      </c>
      <c r="G588" s="5" t="n">
        <v>678</v>
      </c>
      <c r="H588" s="5" t="n">
        <v>6</v>
      </c>
      <c r="I588" s="5" t="inlineStr">
        <is>
          <t>strip_footing</t>
        </is>
      </c>
      <c r="J588" s="5" t="inlineStr">
        <is>
          <t>yes</t>
        </is>
      </c>
      <c r="K588" s="5" t="n">
        <v>678</v>
      </c>
      <c r="L588" s="5" t="n">
        <v>0.19</v>
      </c>
      <c r="M588" s="5" t="n">
        <v>0.35</v>
      </c>
      <c r="N588" s="5" t="inlineStr">
        <is>
          <t>yes</t>
        </is>
      </c>
    </row>
    <row r="589">
      <c r="A589" s="5" t="n">
        <v>588</v>
      </c>
      <c r="B589" s="5" t="inlineStr">
        <is>
          <t>VP20-SF1-80x25</t>
        </is>
      </c>
      <c r="C589" s="5" t="inlineStr">
        <is>
          <t>retaining_wall+strip_footing</t>
        </is>
      </c>
      <c r="D589" s="5" t="inlineStr">
        <is>
          <t>retaining_wall / strip_footing</t>
        </is>
      </c>
      <c r="E589" s="5" t="n">
        <v>2168.8</v>
      </c>
      <c r="F589" s="5" t="n">
        <v>2509.4</v>
      </c>
      <c r="G589" s="5" t="n">
        <v>678</v>
      </c>
      <c r="H589" s="5" t="n">
        <v>6</v>
      </c>
      <c r="I589" s="5" t="inlineStr">
        <is>
          <t>strip_footing</t>
        </is>
      </c>
      <c r="J589" s="5" t="inlineStr">
        <is>
          <t>yes</t>
        </is>
      </c>
      <c r="K589" s="5" t="n">
        <v>678</v>
      </c>
      <c r="L589" s="5" t="n">
        <v>0.19</v>
      </c>
      <c r="M589" s="5" t="n">
        <v>0.41</v>
      </c>
      <c r="N589" s="5" t="inlineStr">
        <is>
          <t>yes</t>
        </is>
      </c>
    </row>
    <row r="590">
      <c r="A590" s="5" t="n">
        <v>589</v>
      </c>
      <c r="B590" s="5" t="inlineStr">
        <is>
          <t>VP20-SF1-80x25</t>
        </is>
      </c>
      <c r="C590" s="5" t="inlineStr">
        <is>
          <t>retaining_wall+strip_footing</t>
        </is>
      </c>
      <c r="D590" s="5" t="inlineStr">
        <is>
          <t>retaining_wall / strip_footing</t>
        </is>
      </c>
      <c r="E590" s="5" t="n">
        <v>2377.1</v>
      </c>
      <c r="F590" s="5" t="n">
        <v>2613.5</v>
      </c>
      <c r="G590" s="5" t="n">
        <v>678</v>
      </c>
      <c r="H590" s="5" t="n">
        <v>6</v>
      </c>
      <c r="I590" s="5" t="inlineStr">
        <is>
          <t>strip_footing</t>
        </is>
      </c>
      <c r="J590" s="5" t="inlineStr">
        <is>
          <t>yes</t>
        </is>
      </c>
      <c r="K590" s="5" t="n">
        <v>678</v>
      </c>
      <c r="L590" s="5" t="n">
        <v>0.19</v>
      </c>
      <c r="M590" s="5" t="n">
        <v>0.37</v>
      </c>
      <c r="N590" s="5" t="inlineStr">
        <is>
          <t>yes</t>
        </is>
      </c>
    </row>
    <row r="591">
      <c r="A591" s="5" t="n">
        <v>590</v>
      </c>
      <c r="B591" s="5" t="inlineStr">
        <is>
          <t>VP20-SF1-80x25</t>
        </is>
      </c>
      <c r="C591" s="5" t="inlineStr">
        <is>
          <t>retaining_wall+strip_footing</t>
        </is>
      </c>
      <c r="D591" s="5" t="inlineStr">
        <is>
          <t>retaining_wall / strip_footing</t>
        </is>
      </c>
      <c r="E591" s="5" t="n">
        <v>2592.7</v>
      </c>
      <c r="F591" s="5" t="n">
        <v>2721.9</v>
      </c>
      <c r="G591" s="5" t="n">
        <v>678</v>
      </c>
      <c r="H591" s="5" t="n">
        <v>6</v>
      </c>
      <c r="I591" s="5" t="inlineStr">
        <is>
          <t>strip_footing</t>
        </is>
      </c>
      <c r="J591" s="5" t="inlineStr">
        <is>
          <t>yes</t>
        </is>
      </c>
      <c r="K591" s="5" t="n">
        <v>678</v>
      </c>
      <c r="L591" s="5" t="n">
        <v>0.2</v>
      </c>
      <c r="M591" s="5" t="n">
        <v>0.06</v>
      </c>
      <c r="N591" s="5" t="inlineStr">
        <is>
          <t>yes</t>
        </is>
      </c>
    </row>
  </sheetData>
  <autoFilter ref="A1:N5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8" customWidth="1" min="4" max="4"/>
    <col width="8" customWidth="1" min="5" max="5"/>
    <col width="44" customWidth="1" min="6" max="6"/>
    <col width="10" customWidth="1" min="7" max="7"/>
    <col width="17" customWidth="1" min="8" max="8"/>
    <col width="16" customWidth="1" min="9" max="9"/>
  </cols>
  <sheetData>
    <row r="1" ht="30" customHeight="1">
      <c r="A1" s="4" t="inlineStr">
        <is>
          <t>Label</t>
        </is>
      </c>
      <c r="B1" s="4" t="inlineStr">
        <is>
          <t>Text</t>
        </is>
      </c>
      <c r="C1" s="4" t="inlineStr">
        <is>
          <t>Names class</t>
        </is>
      </c>
      <c r="D1" s="4" t="inlineStr">
        <is>
          <t>x (px)</t>
        </is>
      </c>
      <c r="E1" s="4" t="inlineStr">
        <is>
          <t>y (px)</t>
        </is>
      </c>
      <c r="F1" s="4" t="inlineStr">
        <is>
          <t>Issue</t>
        </is>
      </c>
      <c r="G1" s="4" t="inlineStr">
        <is>
          <t>Object it sits by (pass 1)</t>
        </is>
      </c>
      <c r="H1" s="4" t="inlineStr">
        <is>
          <t>That object's class</t>
        </is>
      </c>
      <c r="I1" s="4" t="inlineStr">
        <is>
          <t>Pass 2 result</t>
        </is>
      </c>
    </row>
    <row r="2">
      <c r="A2" s="5" t="n">
        <v>1</v>
      </c>
      <c r="B2" s="5" t="inlineStr">
        <is>
          <t>S1-120120</t>
        </is>
      </c>
      <c r="C2" s="5" t="inlineStr">
        <is>
          <t>isolated_footing</t>
        </is>
      </c>
      <c r="D2" s="5" t="n">
        <v>4752.1</v>
      </c>
      <c r="E2" s="5" t="n">
        <v>493.8</v>
      </c>
      <c r="F2" s="5" t="inlineStr">
        <is>
          <t>first, neutral pass put it on an object of another class</t>
        </is>
      </c>
      <c r="G2" s="5" t="n">
        <v>42</v>
      </c>
      <c r="H2" s="5" t="inlineStr">
        <is>
          <t>strip_footing</t>
        </is>
      </c>
      <c r="I2" s="5" t="n">
        <v>31</v>
      </c>
    </row>
    <row r="3">
      <c r="A3" s="5" t="n">
        <v>15</v>
      </c>
      <c r="B3" s="5" t="inlineStr">
        <is>
          <t>S6-120120</t>
        </is>
      </c>
      <c r="C3" s="5" t="inlineStr">
        <is>
          <t>isolated_footing</t>
        </is>
      </c>
      <c r="D3" s="5" t="n">
        <v>4507.3</v>
      </c>
      <c r="E3" s="5" t="n">
        <v>2005.2</v>
      </c>
      <c r="F3" s="5" t="inlineStr">
        <is>
          <t>first, neutral pass put it on an object of another class</t>
        </is>
      </c>
      <c r="G3" s="5" t="n">
        <v>152</v>
      </c>
      <c r="H3" s="5" t="inlineStr">
        <is>
          <t>grade_beam</t>
        </is>
      </c>
      <c r="I3" s="5" t="n">
        <v>37</v>
      </c>
    </row>
    <row r="4">
      <c r="A4" s="5" t="n">
        <v>71</v>
      </c>
      <c r="B4" s="5" t="inlineStr">
        <is>
          <t>SC2-</t>
        </is>
      </c>
      <c r="C4" s="5" t="inlineStr">
        <is>
          <t>combined_footing</t>
        </is>
      </c>
      <c r="D4" s="5" t="n">
        <v>2586.5</v>
      </c>
      <c r="E4" s="5" t="n">
        <v>2914.6</v>
      </c>
      <c r="F4" s="5" t="inlineStr">
        <is>
          <t>first, neutral pass put it on an object of another class</t>
        </is>
      </c>
      <c r="G4" s="5" t="n">
        <v>683</v>
      </c>
      <c r="H4" s="5" t="inlineStr">
        <is>
          <t>grade_beam</t>
        </is>
      </c>
      <c r="I4" s="5" t="n">
        <v>625</v>
      </c>
    </row>
    <row r="5">
      <c r="A5" s="5" t="n">
        <v>74</v>
      </c>
      <c r="B5" s="5" t="inlineStr">
        <is>
          <t>SC2-</t>
        </is>
      </c>
      <c r="C5" s="5" t="inlineStr">
        <is>
          <t>combined_footing</t>
        </is>
      </c>
      <c r="D5" s="5" t="n">
        <v>1920.8</v>
      </c>
      <c r="E5" s="5" t="n">
        <v>2579.2</v>
      </c>
      <c r="F5" s="5" t="inlineStr">
        <is>
          <t>first, neutral pass put it on an object of another class</t>
        </is>
      </c>
      <c r="G5" s="5" t="n">
        <v>771</v>
      </c>
      <c r="H5" s="5" t="inlineStr">
        <is>
          <t>grade_beam</t>
        </is>
      </c>
      <c r="I5" s="5" t="n">
        <v>675</v>
      </c>
    </row>
    <row r="6">
      <c r="A6" s="5" t="n">
        <v>78</v>
      </c>
      <c r="B6" s="5" t="inlineStr">
        <is>
          <t>S2-128128</t>
        </is>
      </c>
      <c r="C6" s="5" t="inlineStr">
        <is>
          <t>isolated_footing</t>
        </is>
      </c>
      <c r="D6" s="5" t="n">
        <v>1769.8</v>
      </c>
      <c r="E6" s="5" t="n">
        <v>2376</v>
      </c>
      <c r="F6" s="5" t="inlineStr">
        <is>
          <t>first, neutral pass put it on an object of another class</t>
        </is>
      </c>
      <c r="G6" s="5" t="n">
        <v>774</v>
      </c>
      <c r="H6" s="5" t="inlineStr">
        <is>
          <t>grade_beam</t>
        </is>
      </c>
      <c r="I6" s="5" t="n">
        <v>763</v>
      </c>
    </row>
    <row r="7">
      <c r="A7" s="5" t="n">
        <v>83</v>
      </c>
      <c r="B7" s="5" t="inlineStr">
        <is>
          <t>S2-127</t>
        </is>
      </c>
      <c r="C7" s="5" t="inlineStr">
        <is>
          <t>isolated_footing</t>
        </is>
      </c>
      <c r="D7" s="5" t="n">
        <v>2360.4</v>
      </c>
      <c r="E7" s="5" t="n">
        <v>3028.1</v>
      </c>
      <c r="F7" s="5" t="inlineStr">
        <is>
          <t>first, neutral pass put it on an object of another class</t>
        </is>
      </c>
      <c r="G7" s="5" t="n">
        <v>680</v>
      </c>
      <c r="H7" s="5" t="inlineStr">
        <is>
          <t>grade_beam</t>
        </is>
      </c>
      <c r="I7" s="5" t="n">
        <v>673</v>
      </c>
    </row>
    <row r="8">
      <c r="A8" s="5" t="n">
        <v>86</v>
      </c>
      <c r="B8" s="5" t="inlineStr">
        <is>
          <t>S2-130130</t>
        </is>
      </c>
      <c r="C8" s="5" t="inlineStr">
        <is>
          <t>isolated_footing</t>
        </is>
      </c>
      <c r="D8" s="5" t="n">
        <v>706.2</v>
      </c>
      <c r="E8" s="5" t="n">
        <v>1261.5</v>
      </c>
      <c r="F8" s="5" t="inlineStr">
        <is>
          <t>first, neutral pass put it on an object of another class</t>
        </is>
      </c>
      <c r="G8" s="5" t="n">
        <v>1013</v>
      </c>
      <c r="H8" s="5" t="inlineStr">
        <is>
          <t>column</t>
        </is>
      </c>
      <c r="I8" s="5" t="n">
        <v>1041</v>
      </c>
    </row>
    <row r="9">
      <c r="A9" s="5" t="n">
        <v>88</v>
      </c>
      <c r="B9" s="5" t="inlineStr">
        <is>
          <t>S18-130130</t>
        </is>
      </c>
      <c r="C9" s="5" t="inlineStr">
        <is>
          <t>isolated_footing</t>
        </is>
      </c>
      <c r="D9" s="5" t="n">
        <v>860.4</v>
      </c>
      <c r="E9" s="5" t="n">
        <v>1764.6</v>
      </c>
      <c r="F9" s="5" t="inlineStr">
        <is>
          <t>first, neutral pass put it on an object of another class; no object of its class within reach in the second pass</t>
        </is>
      </c>
      <c r="G9" s="5" t="n">
        <v>1046</v>
      </c>
      <c r="H9" s="5" t="inlineStr">
        <is>
          <t>combined_footing</t>
        </is>
      </c>
      <c r="I9" s="5" t="inlineStr">
        <is>
          <t>unmatched</t>
        </is>
      </c>
    </row>
    <row r="10">
      <c r="A10" s="5" t="n">
        <v>90</v>
      </c>
      <c r="B10" s="5" t="inlineStr">
        <is>
          <t>S2-130130</t>
        </is>
      </c>
      <c r="C10" s="5" t="inlineStr">
        <is>
          <t>isolated_footing</t>
        </is>
      </c>
      <c r="D10" s="5" t="n">
        <v>1213.5</v>
      </c>
      <c r="E10" s="5" t="n">
        <v>1275</v>
      </c>
      <c r="F10" s="5" t="inlineStr">
        <is>
          <t>first, neutral pass put it on an object of another class; no object of its class within reach in the second pass</t>
        </is>
      </c>
      <c r="G10" s="5" t="n">
        <v>1060</v>
      </c>
      <c r="H10" s="5" t="inlineStr">
        <is>
          <t>grade_beam</t>
        </is>
      </c>
      <c r="I10" s="5" t="inlineStr">
        <is>
          <t>unmatched</t>
        </is>
      </c>
    </row>
    <row r="11">
      <c r="A11" s="5" t="n">
        <v>94</v>
      </c>
      <c r="B11" s="5" t="inlineStr">
        <is>
          <t>S2-129129</t>
        </is>
      </c>
      <c r="C11" s="5" t="inlineStr">
        <is>
          <t>isolated_footing</t>
        </is>
      </c>
      <c r="D11" s="5" t="n">
        <v>1411.5</v>
      </c>
      <c r="E11" s="5" t="n">
        <v>2026</v>
      </c>
      <c r="F11" s="5" t="inlineStr">
        <is>
          <t>first, neutral pass put it on an object of another class</t>
        </is>
      </c>
      <c r="G11" s="5" t="n">
        <v>915</v>
      </c>
      <c r="H11" s="5" t="inlineStr">
        <is>
          <t>grade_beam</t>
        </is>
      </c>
      <c r="I11" s="5" t="n">
        <v>900</v>
      </c>
    </row>
    <row r="12">
      <c r="A12" s="5" t="n">
        <v>103</v>
      </c>
      <c r="B12" s="5" t="inlineStr">
        <is>
          <t>V1/120/120</t>
        </is>
      </c>
      <c r="C12" s="5" t="inlineStr">
        <is>
          <t>shear_wall</t>
        </is>
      </c>
      <c r="D12" s="5" t="n">
        <v>4535.4</v>
      </c>
      <c r="E12" s="5" t="n">
        <v>822.9</v>
      </c>
      <c r="F12" s="5" t="inlineStr">
        <is>
          <t>first, neutral pass put it on an object of another class</t>
        </is>
      </c>
      <c r="G12" s="5" t="n">
        <v>58</v>
      </c>
      <c r="H12" s="5" t="inlineStr">
        <is>
          <t>grade_beam</t>
        </is>
      </c>
      <c r="I12" s="5" t="n">
        <v>13</v>
      </c>
    </row>
    <row r="13">
      <c r="A13" s="5" t="n">
        <v>104</v>
      </c>
      <c r="B13" s="5" t="inlineStr">
        <is>
          <t>V1/120/120</t>
        </is>
      </c>
      <c r="C13" s="5" t="inlineStr">
        <is>
          <t>shear_wall</t>
        </is>
      </c>
      <c r="D13" s="5" t="n">
        <v>4538.5</v>
      </c>
      <c r="E13" s="5" t="n">
        <v>967.7</v>
      </c>
      <c r="F13" s="5" t="inlineStr">
        <is>
          <t>first, neutral pass put it on an object of another class</t>
        </is>
      </c>
      <c r="G13" s="5" t="n">
        <v>54</v>
      </c>
      <c r="H13" s="5" t="inlineStr">
        <is>
          <t>grade_beam</t>
        </is>
      </c>
      <c r="I13" s="5" t="n">
        <v>15</v>
      </c>
    </row>
    <row r="14">
      <c r="A14" s="5" t="n">
        <v>106</v>
      </c>
      <c r="B14" s="5" t="inlineStr">
        <is>
          <t>V4/120/120</t>
        </is>
      </c>
      <c r="C14" s="5" t="inlineStr">
        <is>
          <t>shear_wall</t>
        </is>
      </c>
      <c r="D14" s="5" t="n">
        <v>4671.9</v>
      </c>
      <c r="E14" s="5" t="n">
        <v>482.3</v>
      </c>
      <c r="F14" s="5" t="inlineStr">
        <is>
          <t>first, neutral pass put it on an object of another class</t>
        </is>
      </c>
      <c r="G14" s="5" t="n">
        <v>55</v>
      </c>
      <c r="H14" s="5" t="inlineStr">
        <is>
          <t>grade_beam</t>
        </is>
      </c>
      <c r="I14" s="5" t="n">
        <v>23</v>
      </c>
    </row>
    <row r="15">
      <c r="A15" s="5" t="n">
        <v>107</v>
      </c>
      <c r="B15" s="5" t="inlineStr">
        <is>
          <t>V4/120/120</t>
        </is>
      </c>
      <c r="C15" s="5" t="inlineStr">
        <is>
          <t>shear_wall</t>
        </is>
      </c>
      <c r="D15" s="5" t="n">
        <v>4792.7</v>
      </c>
      <c r="E15" s="5" t="n">
        <v>472.9</v>
      </c>
      <c r="F15" s="5" t="inlineStr">
        <is>
          <t>first, neutral pass put it on an object of another class</t>
        </is>
      </c>
      <c r="G15" s="5" t="n">
        <v>31</v>
      </c>
      <c r="H15" s="5" t="inlineStr">
        <is>
          <t>isolated_footing</t>
        </is>
      </c>
      <c r="I15" s="5" t="n">
        <v>22</v>
      </c>
    </row>
    <row r="16">
      <c r="A16" s="5" t="n">
        <v>108</v>
      </c>
      <c r="B16" s="5" t="inlineStr">
        <is>
          <t>V8/120/120</t>
        </is>
      </c>
      <c r="C16" s="5" t="inlineStr">
        <is>
          <t>shear_wall</t>
        </is>
      </c>
      <c r="D16" s="5" t="n">
        <v>4792.7</v>
      </c>
      <c r="E16" s="5" t="n">
        <v>634.4</v>
      </c>
      <c r="F16" s="5" t="inlineStr">
        <is>
          <t>first, neutral pass put it on an object of another class</t>
        </is>
      </c>
      <c r="G16" s="5" t="n">
        <v>35</v>
      </c>
      <c r="H16" s="5" t="inlineStr">
        <is>
          <t>isolated_footing</t>
        </is>
      </c>
      <c r="I16" s="5" t="n">
        <v>25</v>
      </c>
    </row>
    <row r="17">
      <c r="A17" s="5" t="n">
        <v>110</v>
      </c>
      <c r="B17" s="5" t="inlineStr">
        <is>
          <t>V2/120/120</t>
        </is>
      </c>
      <c r="C17" s="5" t="inlineStr">
        <is>
          <t>shear_wall</t>
        </is>
      </c>
      <c r="D17" s="5" t="n">
        <v>4759.4</v>
      </c>
      <c r="E17" s="5" t="n">
        <v>1319.8</v>
      </c>
      <c r="F17" s="5" t="inlineStr">
        <is>
          <t>first, neutral pass put it on an object of another class</t>
        </is>
      </c>
      <c r="G17" s="5" t="n">
        <v>53</v>
      </c>
      <c r="H17" s="5" t="inlineStr">
        <is>
          <t>grade_beam</t>
        </is>
      </c>
      <c r="I17" s="5" t="n">
        <v>17</v>
      </c>
    </row>
    <row r="18">
      <c r="A18" s="5" t="n">
        <v>112</v>
      </c>
      <c r="B18" s="5" t="inlineStr">
        <is>
          <t>V3/120120</t>
        </is>
      </c>
      <c r="C18" s="5" t="inlineStr">
        <is>
          <t>shear_wall</t>
        </is>
      </c>
      <c r="D18" s="5" t="n">
        <v>4328.1</v>
      </c>
      <c r="E18" s="5" t="n">
        <v>632.3</v>
      </c>
      <c r="F18" s="5" t="inlineStr">
        <is>
          <t>first, neutral pass put it on an object of another class</t>
        </is>
      </c>
      <c r="G18" s="5" t="n">
        <v>57</v>
      </c>
      <c r="H18" s="5" t="inlineStr">
        <is>
          <t>grade_beam</t>
        </is>
      </c>
      <c r="I18" s="5" t="n">
        <v>21</v>
      </c>
    </row>
    <row r="19">
      <c r="A19" s="5" t="n">
        <v>114</v>
      </c>
      <c r="B19" s="5" t="inlineStr">
        <is>
          <t>V3/120/120</t>
        </is>
      </c>
      <c r="C19" s="5" t="inlineStr">
        <is>
          <t>shear_wall</t>
        </is>
      </c>
      <c r="D19" s="5" t="n">
        <v>4326</v>
      </c>
      <c r="E19" s="5" t="n">
        <v>1090.6</v>
      </c>
      <c r="F19" s="5" t="inlineStr">
        <is>
          <t>first, neutral pass put it on an object of another class</t>
        </is>
      </c>
      <c r="G19" s="5" t="n">
        <v>56</v>
      </c>
      <c r="H19" s="5" t="inlineStr">
        <is>
          <t>grade_beam</t>
        </is>
      </c>
      <c r="I19" s="5" t="n">
        <v>20</v>
      </c>
    </row>
    <row r="20">
      <c r="A20" s="5" t="n">
        <v>116</v>
      </c>
      <c r="B20" s="5" t="inlineStr">
        <is>
          <t>V1/121/121</t>
        </is>
      </c>
      <c r="C20" s="5" t="inlineStr">
        <is>
          <t>shear_wall</t>
        </is>
      </c>
      <c r="D20" s="5" t="n">
        <v>4537.5</v>
      </c>
      <c r="E20" s="5" t="n">
        <v>1346.9</v>
      </c>
      <c r="F20" s="5" t="inlineStr">
        <is>
          <t>first, neutral pass put it on an object of another class</t>
        </is>
      </c>
      <c r="G20" s="5" t="n">
        <v>149</v>
      </c>
      <c r="H20" s="5" t="inlineStr">
        <is>
          <t>grade_beam</t>
        </is>
      </c>
      <c r="I20" s="5" t="n">
        <v>112</v>
      </c>
    </row>
    <row r="21">
      <c r="A21" s="5" t="n">
        <v>117</v>
      </c>
      <c r="B21" s="5" t="inlineStr">
        <is>
          <t>V1/121/121</t>
        </is>
      </c>
      <c r="C21" s="5" t="inlineStr">
        <is>
          <t>shear_wall</t>
        </is>
      </c>
      <c r="D21" s="5" t="n">
        <v>4535.4</v>
      </c>
      <c r="E21" s="5" t="n">
        <v>1653.1</v>
      </c>
      <c r="F21" s="5" t="inlineStr">
        <is>
          <t>first, neutral pass put it on an object of another class</t>
        </is>
      </c>
      <c r="G21" s="5" t="n">
        <v>154</v>
      </c>
      <c r="H21" s="5" t="inlineStr">
        <is>
          <t>grade_beam</t>
        </is>
      </c>
      <c r="I21" s="5" t="n">
        <v>111</v>
      </c>
    </row>
    <row r="22">
      <c r="A22" s="5" t="n">
        <v>123</v>
      </c>
      <c r="B22" s="5" t="inlineStr">
        <is>
          <t>V8/121/121</t>
        </is>
      </c>
      <c r="C22" s="5" t="inlineStr">
        <is>
          <t>shear_wall</t>
        </is>
      </c>
      <c r="D22" s="5" t="n">
        <v>4590.6</v>
      </c>
      <c r="E22" s="5" t="n">
        <v>1936.5</v>
      </c>
      <c r="F22" s="5" t="inlineStr">
        <is>
          <t>first, neutral pass put it on an object of another class</t>
        </is>
      </c>
      <c r="G22" s="5" t="n">
        <v>155</v>
      </c>
      <c r="H22" s="5" t="inlineStr">
        <is>
          <t>grade_beam</t>
        </is>
      </c>
      <c r="I22" s="5" t="n">
        <v>122</v>
      </c>
    </row>
    <row r="23">
      <c r="A23" s="5" t="n">
        <v>124</v>
      </c>
      <c r="B23" s="5" t="inlineStr">
        <is>
          <t>V3/121/121</t>
        </is>
      </c>
      <c r="C23" s="5" t="inlineStr">
        <is>
          <t>shear_wall</t>
        </is>
      </c>
      <c r="D23" s="5" t="n">
        <v>4317.7</v>
      </c>
      <c r="E23" s="5" t="n">
        <v>1574</v>
      </c>
      <c r="F23" s="5" t="inlineStr">
        <is>
          <t>first, neutral pass put it on an object of another class</t>
        </is>
      </c>
      <c r="G23" s="5" t="n">
        <v>153</v>
      </c>
      <c r="H23" s="5" t="inlineStr">
        <is>
          <t>grade_beam</t>
        </is>
      </c>
      <c r="I23" s="5" t="n">
        <v>118</v>
      </c>
    </row>
    <row r="24">
      <c r="A24" s="5" t="n">
        <v>125</v>
      </c>
      <c r="B24" s="5" t="inlineStr">
        <is>
          <t>V3/121/121</t>
        </is>
      </c>
      <c r="C24" s="5" t="inlineStr">
        <is>
          <t>shear_wall</t>
        </is>
      </c>
      <c r="D24" s="5" t="n">
        <v>4324</v>
      </c>
      <c r="E24" s="5" t="n">
        <v>1805.2</v>
      </c>
      <c r="F24" s="5" t="inlineStr">
        <is>
          <t>first, neutral pass put it on an object of another class</t>
        </is>
      </c>
      <c r="G24" s="5" t="n">
        <v>151</v>
      </c>
      <c r="H24" s="5" t="inlineStr">
        <is>
          <t>grade_beam</t>
        </is>
      </c>
      <c r="I24" s="5" t="n">
        <v>120</v>
      </c>
    </row>
    <row r="25">
      <c r="A25" s="5" t="n">
        <v>127</v>
      </c>
      <c r="B25" s="5" t="inlineStr">
        <is>
          <t>V9/121/121</t>
        </is>
      </c>
      <c r="C25" s="5" t="inlineStr">
        <is>
          <t>shear_wall</t>
        </is>
      </c>
      <c r="D25" s="5" t="n">
        <v>4974</v>
      </c>
      <c r="E25" s="5" t="n">
        <v>1786.5</v>
      </c>
      <c r="F25" s="5" t="inlineStr">
        <is>
          <t>first, neutral pass put it on an object of another class</t>
        </is>
      </c>
      <c r="G25" s="5" t="n">
        <v>127</v>
      </c>
      <c r="H25" s="5" t="inlineStr">
        <is>
          <t>retaining_wall</t>
        </is>
      </c>
      <c r="I25" s="5" t="n">
        <v>123</v>
      </c>
    </row>
    <row r="26">
      <c r="A26" s="5" t="n">
        <v>134</v>
      </c>
      <c r="B26" s="5" t="inlineStr">
        <is>
          <t>V3/122/122</t>
        </is>
      </c>
      <c r="C26" s="5" t="inlineStr">
        <is>
          <t>shear_wall</t>
        </is>
      </c>
      <c r="D26" s="5" t="n">
        <v>4538.5</v>
      </c>
      <c r="E26" s="5" t="n">
        <v>2490.6</v>
      </c>
      <c r="F26" s="5" t="inlineStr">
        <is>
          <t>first, neutral pass put it on an object of another class</t>
        </is>
      </c>
      <c r="G26" s="5" t="n">
        <v>291</v>
      </c>
      <c r="H26" s="5" t="inlineStr">
        <is>
          <t>grade_beam</t>
        </is>
      </c>
      <c r="I26" s="5" t="n">
        <v>241</v>
      </c>
    </row>
    <row r="27">
      <c r="A27" s="5" t="n">
        <v>135</v>
      </c>
      <c r="B27" s="5" t="inlineStr">
        <is>
          <t>V4/122/122</t>
        </is>
      </c>
      <c r="C27" s="5" t="inlineStr">
        <is>
          <t>shear_wall</t>
        </is>
      </c>
      <c r="D27" s="5" t="n">
        <v>4538.5</v>
      </c>
      <c r="E27" s="5" t="n">
        <v>2607.3</v>
      </c>
      <c r="F27" s="5" t="inlineStr">
        <is>
          <t>first, neutral pass put it on an object of another class</t>
        </is>
      </c>
      <c r="G27" s="5" t="n">
        <v>295</v>
      </c>
      <c r="H27" s="5" t="inlineStr">
        <is>
          <t>grade_beam</t>
        </is>
      </c>
      <c r="I27" s="5" t="n">
        <v>244</v>
      </c>
    </row>
    <row r="28">
      <c r="A28" s="5" t="n">
        <v>138</v>
      </c>
      <c r="B28" s="5" t="inlineStr">
        <is>
          <t>V5/122/122</t>
        </is>
      </c>
      <c r="C28" s="5" t="inlineStr">
        <is>
          <t>shear_wall</t>
        </is>
      </c>
      <c r="D28" s="5" t="n">
        <v>4761.5</v>
      </c>
      <c r="E28" s="5" t="n">
        <v>2574</v>
      </c>
      <c r="F28" s="5" t="inlineStr">
        <is>
          <t>first, neutral pass put it on an object of another class</t>
        </is>
      </c>
      <c r="G28" s="5" t="n">
        <v>261</v>
      </c>
      <c r="H28" s="5" t="inlineStr">
        <is>
          <t>isolated_footing</t>
        </is>
      </c>
      <c r="I28" s="5" t="n">
        <v>245</v>
      </c>
    </row>
    <row r="29">
      <c r="A29" s="5" t="n">
        <v>139</v>
      </c>
      <c r="B29" s="5" t="inlineStr">
        <is>
          <t>V5/122/122</t>
        </is>
      </c>
      <c r="C29" s="5" t="inlineStr">
        <is>
          <t>shear_wall</t>
        </is>
      </c>
      <c r="D29" s="5" t="n">
        <v>4761.5</v>
      </c>
      <c r="E29" s="5" t="n">
        <v>2331.2</v>
      </c>
      <c r="F29" s="5" t="inlineStr">
        <is>
          <t>first, neutral pass put it on an object of another class</t>
        </is>
      </c>
      <c r="G29" s="5" t="n">
        <v>290</v>
      </c>
      <c r="H29" s="5" t="inlineStr">
        <is>
          <t>grade_beam</t>
        </is>
      </c>
      <c r="I29" s="5" t="n">
        <v>246</v>
      </c>
    </row>
    <row r="30">
      <c r="A30" s="5" t="n">
        <v>140</v>
      </c>
      <c r="B30" s="5" t="inlineStr">
        <is>
          <t>V6/122/122</t>
        </is>
      </c>
      <c r="C30" s="5" t="inlineStr">
        <is>
          <t>shear_wall</t>
        </is>
      </c>
      <c r="D30" s="5" t="n">
        <v>4349</v>
      </c>
      <c r="E30" s="5" t="n">
        <v>2154.2</v>
      </c>
      <c r="F30" s="5" t="inlineStr">
        <is>
          <t>first, neutral pass put it on an object of another class</t>
        </is>
      </c>
      <c r="G30" s="5" t="n">
        <v>147</v>
      </c>
      <c r="H30" s="5" t="inlineStr">
        <is>
          <t>grade_beam</t>
        </is>
      </c>
      <c r="I30" s="5" t="n">
        <v>251</v>
      </c>
    </row>
    <row r="31">
      <c r="A31" s="5" t="n">
        <v>142</v>
      </c>
      <c r="B31" s="5" t="inlineStr">
        <is>
          <t>V6/122/122</t>
        </is>
      </c>
      <c r="C31" s="5" t="inlineStr">
        <is>
          <t>shear_wall</t>
        </is>
      </c>
      <c r="D31" s="5" t="n">
        <v>4346.9</v>
      </c>
      <c r="E31" s="5" t="n">
        <v>2502.1</v>
      </c>
      <c r="F31" s="5" t="inlineStr">
        <is>
          <t>first, neutral pass put it on an object of another class</t>
        </is>
      </c>
      <c r="G31" s="5" t="n">
        <v>291</v>
      </c>
      <c r="H31" s="5" t="inlineStr">
        <is>
          <t>grade_beam</t>
        </is>
      </c>
      <c r="I31" s="5" t="n">
        <v>248</v>
      </c>
    </row>
    <row r="32">
      <c r="A32" s="5" t="n">
        <v>143</v>
      </c>
      <c r="B32" s="5" t="inlineStr">
        <is>
          <t>V6/122/122</t>
        </is>
      </c>
      <c r="C32" s="5" t="inlineStr">
        <is>
          <t>shear_wall</t>
        </is>
      </c>
      <c r="D32" s="5" t="n">
        <v>4346.9</v>
      </c>
      <c r="E32" s="5" t="n">
        <v>2730.2</v>
      </c>
      <c r="F32" s="5" t="inlineStr">
        <is>
          <t>first, neutral pass put it on an object of another class</t>
        </is>
      </c>
      <c r="G32" s="5" t="n">
        <v>293</v>
      </c>
      <c r="H32" s="5" t="inlineStr">
        <is>
          <t>grade_beam</t>
        </is>
      </c>
      <c r="I32" s="5" t="n">
        <v>250</v>
      </c>
    </row>
    <row r="33">
      <c r="A33" s="5" t="n">
        <v>145</v>
      </c>
      <c r="B33" s="5" t="inlineStr">
        <is>
          <t>V6/122/122</t>
        </is>
      </c>
      <c r="C33" s="5" t="inlineStr">
        <is>
          <t>shear_wall</t>
        </is>
      </c>
      <c r="D33" s="5" t="n">
        <v>4240.6</v>
      </c>
      <c r="E33" s="5" t="n">
        <v>2879.2</v>
      </c>
      <c r="F33" s="5" t="inlineStr">
        <is>
          <t>first, neutral pass put it on an object of another class</t>
        </is>
      </c>
      <c r="G33" s="5" t="n">
        <v>275</v>
      </c>
      <c r="H33" s="5" t="inlineStr">
        <is>
          <t>combined_footing</t>
        </is>
      </c>
      <c r="I33" s="5" t="n">
        <v>247</v>
      </c>
    </row>
    <row r="34">
      <c r="A34" s="5" t="n">
        <v>148</v>
      </c>
      <c r="B34" s="5" t="inlineStr">
        <is>
          <t>V2/123/123</t>
        </is>
      </c>
      <c r="C34" s="5" t="inlineStr">
        <is>
          <t>shear_wall</t>
        </is>
      </c>
      <c r="D34" s="5" t="n">
        <v>4553.1</v>
      </c>
      <c r="E34" s="5" t="n">
        <v>3488.5</v>
      </c>
      <c r="F34" s="5" t="inlineStr">
        <is>
          <t>first, neutral pass put it on an object of another class</t>
        </is>
      </c>
      <c r="G34" s="5" t="n">
        <v>415</v>
      </c>
      <c r="H34" s="5" t="inlineStr">
        <is>
          <t>grade_beam</t>
        </is>
      </c>
      <c r="I34" s="5" t="n">
        <v>379</v>
      </c>
    </row>
    <row r="35">
      <c r="A35" s="5" t="n">
        <v>149</v>
      </c>
      <c r="B35" s="5" t="inlineStr">
        <is>
          <t>V2/123/123</t>
        </is>
      </c>
      <c r="C35" s="5" t="inlineStr">
        <is>
          <t>shear_wall</t>
        </is>
      </c>
      <c r="D35" s="5" t="n">
        <v>4734.4</v>
      </c>
      <c r="E35" s="5" t="n">
        <v>3431.3</v>
      </c>
      <c r="F35" s="5" t="inlineStr">
        <is>
          <t>first, neutral pass put it on an object of another class</t>
        </is>
      </c>
      <c r="G35" s="5" t="n">
        <v>414</v>
      </c>
      <c r="H35" s="5" t="inlineStr">
        <is>
          <t>grade_beam</t>
        </is>
      </c>
      <c r="I35" s="5" t="n">
        <v>377</v>
      </c>
    </row>
    <row r="36">
      <c r="A36" s="5" t="n">
        <v>150</v>
      </c>
      <c r="B36" s="5" t="inlineStr">
        <is>
          <t>V2/123/123</t>
        </is>
      </c>
      <c r="C36" s="5" t="inlineStr">
        <is>
          <t>shear_wall</t>
        </is>
      </c>
      <c r="D36" s="5" t="n">
        <v>4453.1</v>
      </c>
      <c r="E36" s="5" t="n">
        <v>3110.4</v>
      </c>
      <c r="F36" s="5" t="inlineStr">
        <is>
          <t>first, neutral pass put it on an object of another class</t>
        </is>
      </c>
      <c r="G36" s="5" t="n">
        <v>402</v>
      </c>
      <c r="H36" s="5" t="inlineStr">
        <is>
          <t>strip_footing</t>
        </is>
      </c>
      <c r="I36" s="5" t="n">
        <v>378</v>
      </c>
    </row>
    <row r="37">
      <c r="A37" s="5" t="n">
        <v>151</v>
      </c>
      <c r="B37" s="5" t="inlineStr">
        <is>
          <t>V3/123/123</t>
        </is>
      </c>
      <c r="C37" s="5" t="inlineStr">
        <is>
          <t>shear_wall</t>
        </is>
      </c>
      <c r="D37" s="5" t="n">
        <v>4330.2</v>
      </c>
      <c r="E37" s="5" t="n">
        <v>3360.4</v>
      </c>
      <c r="F37" s="5" t="inlineStr">
        <is>
          <t>first, neutral pass put it on an object of another class</t>
        </is>
      </c>
      <c r="G37" s="5" t="n">
        <v>468</v>
      </c>
      <c r="H37" s="5" t="inlineStr">
        <is>
          <t>retaining_wall</t>
        </is>
      </c>
      <c r="I37" s="5" t="n">
        <v>384</v>
      </c>
    </row>
    <row r="38">
      <c r="A38" s="5" t="n">
        <v>157</v>
      </c>
      <c r="B38" s="5" t="inlineStr">
        <is>
          <t>V4/123/123</t>
        </is>
      </c>
      <c r="C38" s="5" t="inlineStr">
        <is>
          <t>shear_wall</t>
        </is>
      </c>
      <c r="D38" s="5" t="n">
        <v>4921.9</v>
      </c>
      <c r="E38" s="5" t="n">
        <v>3418.8</v>
      </c>
      <c r="F38" s="5" t="inlineStr">
        <is>
          <t>first, neutral pass put it on an object of another class</t>
        </is>
      </c>
      <c r="G38" s="5" t="n">
        <v>413</v>
      </c>
      <c r="H38" s="5" t="inlineStr">
        <is>
          <t>grade_beam</t>
        </is>
      </c>
      <c r="I38" s="5" t="n">
        <v>385</v>
      </c>
    </row>
    <row r="39">
      <c r="A39" s="5" t="n">
        <v>162</v>
      </c>
      <c r="B39" s="5" t="inlineStr">
        <is>
          <t>V7/124/124</t>
        </is>
      </c>
      <c r="C39" s="5" t="inlineStr">
        <is>
          <t>shear_wall</t>
        </is>
      </c>
      <c r="D39" s="5" t="n">
        <v>3851</v>
      </c>
      <c r="E39" s="5" t="n">
        <v>3594.8</v>
      </c>
      <c r="F39" s="5" t="inlineStr">
        <is>
          <t>first, neutral pass put it on an object of another class</t>
        </is>
      </c>
      <c r="G39" s="5" t="n">
        <v>484</v>
      </c>
      <c r="H39" s="5" t="inlineStr">
        <is>
          <t>grade_beam</t>
        </is>
      </c>
      <c r="I39" s="5" t="n">
        <v>461</v>
      </c>
    </row>
    <row r="40">
      <c r="A40" s="5" t="n">
        <v>164</v>
      </c>
      <c r="B40" s="5" t="inlineStr">
        <is>
          <t>V3/124/124</t>
        </is>
      </c>
      <c r="C40" s="5" t="inlineStr">
        <is>
          <t>shear_wall</t>
        </is>
      </c>
      <c r="D40" s="5" t="n">
        <v>4235.4</v>
      </c>
      <c r="E40" s="5" t="n">
        <v>3096.9</v>
      </c>
      <c r="F40" s="5" t="inlineStr">
        <is>
          <t>first, neutral pass put it on an object of another class</t>
        </is>
      </c>
      <c r="G40" s="5" t="n">
        <v>227</v>
      </c>
      <c r="H40" s="5" t="inlineStr">
        <is>
          <t>column</t>
        </is>
      </c>
      <c r="I40" s="5" t="n">
        <v>453</v>
      </c>
    </row>
    <row r="41">
      <c r="A41" s="5" t="n">
        <v>165</v>
      </c>
      <c r="B41" s="5" t="inlineStr">
        <is>
          <t>V7/124/124</t>
        </is>
      </c>
      <c r="C41" s="5" t="inlineStr">
        <is>
          <t>shear_wall</t>
        </is>
      </c>
      <c r="D41" s="5" t="n">
        <v>3740.6</v>
      </c>
      <c r="E41" s="5" t="n">
        <v>3196.9</v>
      </c>
      <c r="F41" s="5" t="inlineStr">
        <is>
          <t>first, neutral pass put it on an object of another class</t>
        </is>
      </c>
      <c r="G41" s="5" t="n">
        <v>483</v>
      </c>
      <c r="H41" s="5" t="inlineStr">
        <is>
          <t>grade_beam</t>
        </is>
      </c>
      <c r="I41" s="5" t="n">
        <v>460</v>
      </c>
    </row>
    <row r="42">
      <c r="A42" s="5" t="n">
        <v>166</v>
      </c>
      <c r="B42" s="5" t="inlineStr">
        <is>
          <t>V4/124/124</t>
        </is>
      </c>
      <c r="C42" s="5" t="inlineStr">
        <is>
          <t>shear_wall</t>
        </is>
      </c>
      <c r="D42" s="5" t="n">
        <v>3924</v>
      </c>
      <c r="E42" s="5" t="n">
        <v>3155.2</v>
      </c>
      <c r="F42" s="5" t="inlineStr">
        <is>
          <t>first, neutral pass put it on an object of another class</t>
        </is>
      </c>
      <c r="G42" s="5" t="n">
        <v>292</v>
      </c>
      <c r="H42" s="5" t="inlineStr">
        <is>
          <t>grade_beam</t>
        </is>
      </c>
      <c r="I42" s="5" t="n">
        <v>454</v>
      </c>
    </row>
    <row r="43">
      <c r="A43" s="5" t="n">
        <v>168</v>
      </c>
      <c r="B43" s="5" t="inlineStr">
        <is>
          <t>V6/124/124</t>
        </is>
      </c>
      <c r="C43" s="5" t="inlineStr">
        <is>
          <t>shear_wall</t>
        </is>
      </c>
      <c r="D43" s="5" t="n">
        <v>3561.5</v>
      </c>
      <c r="E43" s="5" t="n">
        <v>3001</v>
      </c>
      <c r="F43" s="5" t="inlineStr">
        <is>
          <t>first, neutral pass put it on an object of another class</t>
        </is>
      </c>
      <c r="G43" s="5" t="n">
        <v>296</v>
      </c>
      <c r="H43" s="5" t="inlineStr">
        <is>
          <t>grade_beam</t>
        </is>
      </c>
      <c r="I43" s="5" t="n">
        <v>457</v>
      </c>
    </row>
    <row r="44">
      <c r="A44" s="5" t="n">
        <v>169</v>
      </c>
      <c r="B44" s="5" t="inlineStr">
        <is>
          <t>V6/124/124</t>
        </is>
      </c>
      <c r="C44" s="5" t="inlineStr">
        <is>
          <t>shear_wall</t>
        </is>
      </c>
      <c r="D44" s="5" t="n">
        <v>3786.5</v>
      </c>
      <c r="E44" s="5" t="n">
        <v>2944.8</v>
      </c>
      <c r="F44" s="5" t="inlineStr">
        <is>
          <t>first, neutral pass put it on an object of another class</t>
        </is>
      </c>
      <c r="G44" s="5" t="n">
        <v>289</v>
      </c>
      <c r="H44" s="5" t="inlineStr">
        <is>
          <t>grade_beam</t>
        </is>
      </c>
      <c r="I44" s="5" t="n">
        <v>459</v>
      </c>
    </row>
    <row r="45">
      <c r="A45" s="5" t="n">
        <v>173</v>
      </c>
      <c r="B45" s="5" t="inlineStr">
        <is>
          <t>V1/126/126</t>
        </is>
      </c>
      <c r="C45" s="5" t="inlineStr">
        <is>
          <t>shear_wall</t>
        </is>
      </c>
      <c r="D45" s="5" t="n">
        <v>2430.2</v>
      </c>
      <c r="E45" s="5" t="n">
        <v>3333.3</v>
      </c>
      <c r="F45" s="5" t="inlineStr">
        <is>
          <t>first, neutral pass put it on an object of another class</t>
        </is>
      </c>
      <c r="G45" s="5" t="n">
        <v>615</v>
      </c>
      <c r="H45" s="5" t="inlineStr">
        <is>
          <t>retaining_wall</t>
        </is>
      </c>
      <c r="I45" s="5" t="n">
        <v>609</v>
      </c>
    </row>
    <row r="46">
      <c r="A46" s="5" t="n">
        <v>174</v>
      </c>
      <c r="B46" s="5" t="inlineStr">
        <is>
          <t>V1/126/126</t>
        </is>
      </c>
      <c r="C46" s="5" t="inlineStr">
        <is>
          <t>shear_wall</t>
        </is>
      </c>
      <c r="D46" s="5" t="n">
        <v>2549</v>
      </c>
      <c r="E46" s="5" t="n">
        <v>3091.7</v>
      </c>
      <c r="F46" s="5" t="inlineStr">
        <is>
          <t>first, neutral pass put it on an object of another class</t>
        </is>
      </c>
      <c r="G46" s="5" t="n">
        <v>628</v>
      </c>
      <c r="H46" s="5" t="inlineStr">
        <is>
          <t>grade_beam</t>
        </is>
      </c>
      <c r="I46" s="5" t="n">
        <v>608</v>
      </c>
    </row>
    <row r="47">
      <c r="A47" s="5" t="n">
        <v>178</v>
      </c>
      <c r="B47" s="5" t="inlineStr">
        <is>
          <t>V3/125/125</t>
        </is>
      </c>
      <c r="C47" s="5" t="inlineStr">
        <is>
          <t>shear_wall</t>
        </is>
      </c>
      <c r="D47" s="5" t="n">
        <v>3421.9</v>
      </c>
      <c r="E47" s="5" t="n">
        <v>3310.4</v>
      </c>
      <c r="F47" s="5" t="inlineStr">
        <is>
          <t>first, neutral pass put it on an object of another class</t>
        </is>
      </c>
      <c r="G47" s="5" t="n">
        <v>561</v>
      </c>
      <c r="H47" s="5" t="inlineStr">
        <is>
          <t>grade_beam</t>
        </is>
      </c>
      <c r="I47" s="5" t="n">
        <v>535</v>
      </c>
    </row>
    <row r="48">
      <c r="A48" s="5" t="n">
        <v>179</v>
      </c>
      <c r="B48" s="5" t="inlineStr">
        <is>
          <t>V3/126/126</t>
        </is>
      </c>
      <c r="C48" s="5" t="inlineStr">
        <is>
          <t>shear_wall</t>
        </is>
      </c>
      <c r="D48" s="5" t="n">
        <v>2691.7</v>
      </c>
      <c r="E48" s="5" t="n">
        <v>3222.9</v>
      </c>
      <c r="F48" s="5" t="inlineStr">
        <is>
          <t>first, neutral pass put it on an object of another class</t>
        </is>
      </c>
      <c r="G48" s="5" t="n">
        <v>630</v>
      </c>
      <c r="H48" s="5" t="inlineStr">
        <is>
          <t>grade_beam</t>
        </is>
      </c>
      <c r="I48" s="5" t="n">
        <v>610</v>
      </c>
    </row>
    <row r="49">
      <c r="A49" s="5" t="n">
        <v>180</v>
      </c>
      <c r="B49" s="5" t="inlineStr">
        <is>
          <t>V4/126/126</t>
        </is>
      </c>
      <c r="C49" s="5" t="inlineStr">
        <is>
          <t>shear_wall</t>
        </is>
      </c>
      <c r="D49" s="5" t="n">
        <v>2856.2</v>
      </c>
      <c r="E49" s="5" t="n">
        <v>3300</v>
      </c>
      <c r="F49" s="5" t="inlineStr">
        <is>
          <t>first, neutral pass put it on an object of another class</t>
        </is>
      </c>
      <c r="G49" s="5" t="n">
        <v>629</v>
      </c>
      <c r="H49" s="5" t="inlineStr">
        <is>
          <t>grade_beam</t>
        </is>
      </c>
      <c r="I49" s="5" t="n">
        <v>611</v>
      </c>
    </row>
    <row r="50">
      <c r="A50" s="5" t="n">
        <v>182</v>
      </c>
      <c r="B50" s="5" t="inlineStr">
        <is>
          <t>V4/125/125</t>
        </is>
      </c>
      <c r="C50" s="5" t="inlineStr">
        <is>
          <t>shear_wall</t>
        </is>
      </c>
      <c r="D50" s="5" t="n">
        <v>3238.5</v>
      </c>
      <c r="E50" s="5" t="n">
        <v>3336.5</v>
      </c>
      <c r="F50" s="5" t="inlineStr">
        <is>
          <t>first, neutral pass put it on an object of another class</t>
        </is>
      </c>
      <c r="G50" s="5" t="n">
        <v>560</v>
      </c>
      <c r="H50" s="5" t="inlineStr">
        <is>
          <t>grade_beam</t>
        </is>
      </c>
      <c r="I50" s="5" t="n">
        <v>536</v>
      </c>
    </row>
    <row r="51">
      <c r="A51" s="5" t="n">
        <v>183</v>
      </c>
      <c r="B51" s="5" t="inlineStr">
        <is>
          <t>V4/125/125</t>
        </is>
      </c>
      <c r="C51" s="5" t="inlineStr">
        <is>
          <t>shear_wall</t>
        </is>
      </c>
      <c r="D51" s="5" t="n">
        <v>3016.7</v>
      </c>
      <c r="E51" s="5" t="n">
        <v>3553.1</v>
      </c>
      <c r="F51" s="5" t="inlineStr">
        <is>
          <t>first, neutral pass put it on an object of another class</t>
        </is>
      </c>
      <c r="G51" s="5" t="n">
        <v>627</v>
      </c>
      <c r="H51" s="5" t="inlineStr">
        <is>
          <t>grade_beam</t>
        </is>
      </c>
      <c r="I51" s="5" t="n">
        <v>538</v>
      </c>
    </row>
    <row r="52">
      <c r="A52" s="5" t="n">
        <v>189</v>
      </c>
      <c r="B52" s="5" t="inlineStr">
        <is>
          <t>V8/125/125</t>
        </is>
      </c>
      <c r="C52" s="5" t="inlineStr">
        <is>
          <t>shear_wall</t>
        </is>
      </c>
      <c r="D52" s="5" t="n">
        <v>3326</v>
      </c>
      <c r="E52" s="5" t="n">
        <v>3055.2</v>
      </c>
      <c r="F52" s="5" t="inlineStr">
        <is>
          <t>first, neutral pass put it on an object of another class</t>
        </is>
      </c>
      <c r="G52" s="5" t="n">
        <v>564</v>
      </c>
      <c r="H52" s="5" t="inlineStr">
        <is>
          <t>grade_beam</t>
        </is>
      </c>
      <c r="I52" s="5" t="n">
        <v>541</v>
      </c>
    </row>
    <row r="53">
      <c r="A53" s="5" t="n">
        <v>190</v>
      </c>
      <c r="B53" s="5" t="inlineStr">
        <is>
          <t>V8/125/125</t>
        </is>
      </c>
      <c r="C53" s="5" t="inlineStr">
        <is>
          <t>shear_wall</t>
        </is>
      </c>
      <c r="D53" s="5" t="n">
        <v>3079.2</v>
      </c>
      <c r="E53" s="5" t="n">
        <v>3093.8</v>
      </c>
      <c r="F53" s="5" t="inlineStr">
        <is>
          <t>first, neutral pass put it on an object of another class</t>
        </is>
      </c>
      <c r="G53" s="5" t="n">
        <v>562</v>
      </c>
      <c r="H53" s="5" t="inlineStr">
        <is>
          <t>grade_beam</t>
        </is>
      </c>
      <c r="I53" s="5" t="n">
        <v>542</v>
      </c>
    </row>
    <row r="54">
      <c r="A54" s="5" t="n">
        <v>191</v>
      </c>
      <c r="B54" s="5" t="inlineStr">
        <is>
          <t>V8/126/126</t>
        </is>
      </c>
      <c r="C54" s="5" t="inlineStr">
        <is>
          <t>shear_wall</t>
        </is>
      </c>
      <c r="D54" s="5" t="n">
        <v>2850</v>
      </c>
      <c r="E54" s="5" t="n">
        <v>3014.6</v>
      </c>
      <c r="F54" s="5" t="inlineStr">
        <is>
          <t>first, neutral pass put it on an object of another class</t>
        </is>
      </c>
      <c r="G54" s="5" t="n">
        <v>631</v>
      </c>
      <c r="H54" s="5" t="inlineStr">
        <is>
          <t>grade_beam</t>
        </is>
      </c>
      <c r="I54" s="5" t="n">
        <v>613</v>
      </c>
    </row>
    <row r="55">
      <c r="A55" s="5" t="n">
        <v>192</v>
      </c>
      <c r="B55" s="5" t="inlineStr">
        <is>
          <t>V8/126/126</t>
        </is>
      </c>
      <c r="C55" s="5" t="inlineStr">
        <is>
          <t>shear_wall</t>
        </is>
      </c>
      <c r="D55" s="5" t="n">
        <v>2658.3</v>
      </c>
      <c r="E55" s="5" t="n">
        <v>2871.9</v>
      </c>
      <c r="F55" s="5" t="inlineStr">
        <is>
          <t>first, neutral pass put it on an object of another class</t>
        </is>
      </c>
      <c r="G55" s="5" t="n">
        <v>625</v>
      </c>
      <c r="H55" s="5" t="inlineStr">
        <is>
          <t>combined_footing</t>
        </is>
      </c>
      <c r="I55" s="5" t="n">
        <v>614</v>
      </c>
    </row>
    <row r="56">
      <c r="A56" s="5" t="n">
        <v>194</v>
      </c>
      <c r="B56" s="5" t="inlineStr">
        <is>
          <t>V8/124/124</t>
        </is>
      </c>
      <c r="C56" s="5" t="inlineStr">
        <is>
          <t>shear_wall</t>
        </is>
      </c>
      <c r="D56" s="5" t="n">
        <v>3605.2</v>
      </c>
      <c r="E56" s="5" t="n">
        <v>3244.8</v>
      </c>
      <c r="F56" s="5" t="inlineStr">
        <is>
          <t>first, neutral pass put it on an object of another class</t>
        </is>
      </c>
      <c r="G56" s="5" t="n">
        <v>485</v>
      </c>
      <c r="H56" s="5" t="inlineStr">
        <is>
          <t>grade_beam</t>
        </is>
      </c>
      <c r="I56" s="5" t="n">
        <v>462</v>
      </c>
    </row>
    <row r="57">
      <c r="A57" s="5" t="n">
        <v>196</v>
      </c>
      <c r="B57" s="5" t="inlineStr">
        <is>
          <t>V1/127/127</t>
        </is>
      </c>
      <c r="C57" s="5" t="inlineStr">
        <is>
          <t>shear_wall</t>
        </is>
      </c>
      <c r="D57" s="5" t="n">
        <v>1762.5</v>
      </c>
      <c r="E57" s="5" t="n">
        <v>2994.8</v>
      </c>
      <c r="F57" s="5" t="inlineStr">
        <is>
          <t>first, neutral pass put it on an object of another class</t>
        </is>
      </c>
      <c r="G57" s="5" t="n">
        <v>661</v>
      </c>
      <c r="H57" s="5" t="inlineStr">
        <is>
          <t>retaining_wall</t>
        </is>
      </c>
      <c r="I57" s="5" t="n">
        <v>648</v>
      </c>
    </row>
    <row r="58">
      <c r="A58" s="5" t="n">
        <v>197</v>
      </c>
      <c r="B58" s="5" t="inlineStr">
        <is>
          <t>V3/127/127</t>
        </is>
      </c>
      <c r="C58" s="5" t="inlineStr">
        <is>
          <t>shear_wall</t>
        </is>
      </c>
      <c r="D58" s="5" t="n">
        <v>1863.5</v>
      </c>
      <c r="E58" s="5" t="n">
        <v>2800</v>
      </c>
      <c r="F58" s="5" t="inlineStr">
        <is>
          <t>first, neutral pass put it on an object of another class</t>
        </is>
      </c>
      <c r="G58" s="5" t="n">
        <v>680</v>
      </c>
      <c r="H58" s="5" t="inlineStr">
        <is>
          <t>grade_beam</t>
        </is>
      </c>
      <c r="I58" s="5" t="n">
        <v>650</v>
      </c>
    </row>
    <row r="59">
      <c r="A59" s="5" t="n">
        <v>198</v>
      </c>
      <c r="B59" s="5" t="inlineStr">
        <is>
          <t>V3/127/127</t>
        </is>
      </c>
      <c r="C59" s="5" t="inlineStr">
        <is>
          <t>shear_wall</t>
        </is>
      </c>
      <c r="D59" s="5" t="n">
        <v>2489.6</v>
      </c>
      <c r="E59" s="5" t="n">
        <v>3114.6</v>
      </c>
      <c r="F59" s="5" t="inlineStr">
        <is>
          <t>first, neutral pass put it on an object of another class</t>
        </is>
      </c>
      <c r="G59" s="5" t="n">
        <v>683</v>
      </c>
      <c r="H59" s="5" t="inlineStr">
        <is>
          <t>grade_beam</t>
        </is>
      </c>
      <c r="I59" s="5" t="n">
        <v>651</v>
      </c>
    </row>
    <row r="60">
      <c r="A60" s="5" t="n">
        <v>201</v>
      </c>
      <c r="B60" s="5" t="inlineStr">
        <is>
          <t>V5/127/127</t>
        </is>
      </c>
      <c r="C60" s="5" t="inlineStr">
        <is>
          <t>shear_wall</t>
        </is>
      </c>
      <c r="D60" s="5" t="n">
        <v>2253.1</v>
      </c>
      <c r="E60" s="5" t="n">
        <v>3012.5</v>
      </c>
      <c r="F60" s="5" t="inlineStr">
        <is>
          <t>first, neutral pass put it on an object of another class</t>
        </is>
      </c>
      <c r="G60" s="5" t="n">
        <v>670</v>
      </c>
      <c r="H60" s="5" t="inlineStr">
        <is>
          <t>isolated_footing</t>
        </is>
      </c>
      <c r="I60" s="5" t="n">
        <v>654</v>
      </c>
    </row>
    <row r="61">
      <c r="A61" s="5" t="n">
        <v>202</v>
      </c>
      <c r="B61" s="5" t="inlineStr">
        <is>
          <t>V5/127/127</t>
        </is>
      </c>
      <c r="C61" s="5" t="inlineStr">
        <is>
          <t>shear_wall</t>
        </is>
      </c>
      <c r="D61" s="5" t="n">
        <v>2032.3</v>
      </c>
      <c r="E61" s="5" t="n">
        <v>2909.4</v>
      </c>
      <c r="F61" s="5" t="inlineStr">
        <is>
          <t>first, neutral pass put it on an object of another class</t>
        </is>
      </c>
      <c r="G61" s="5" t="n">
        <v>671</v>
      </c>
      <c r="H61" s="5" t="inlineStr">
        <is>
          <t>isolated_footing</t>
        </is>
      </c>
      <c r="I61" s="5" t="n">
        <v>655</v>
      </c>
    </row>
    <row r="62">
      <c r="A62" s="5" t="n">
        <v>203</v>
      </c>
      <c r="B62" s="5" t="inlineStr">
        <is>
          <t>V6/127/127</t>
        </is>
      </c>
      <c r="C62" s="5" t="inlineStr">
        <is>
          <t>shear_wall</t>
        </is>
      </c>
      <c r="D62" s="5" t="n">
        <v>1982.3</v>
      </c>
      <c r="E62" s="5" t="n">
        <v>2560.4</v>
      </c>
      <c r="F62" s="5" t="inlineStr">
        <is>
          <t>first, neutral pass put it on an object of another class</t>
        </is>
      </c>
      <c r="G62" s="5" t="n">
        <v>675</v>
      </c>
      <c r="H62" s="5" t="inlineStr">
        <is>
          <t>combined_footing</t>
        </is>
      </c>
      <c r="I62" s="5" t="n">
        <v>658</v>
      </c>
    </row>
    <row r="63">
      <c r="A63" s="5" t="n">
        <v>205</v>
      </c>
      <c r="B63" s="5" t="inlineStr">
        <is>
          <t>V6/127/127</t>
        </is>
      </c>
      <c r="C63" s="5" t="inlineStr">
        <is>
          <t>shear_wall</t>
        </is>
      </c>
      <c r="D63" s="5" t="n">
        <v>2376</v>
      </c>
      <c r="E63" s="5" t="n">
        <v>2761.5</v>
      </c>
      <c r="F63" s="5" t="inlineStr">
        <is>
          <t>first, neutral pass put it on an object of another class</t>
        </is>
      </c>
      <c r="G63" s="5" t="n">
        <v>684</v>
      </c>
      <c r="H63" s="5" t="inlineStr">
        <is>
          <t>grade_beam</t>
        </is>
      </c>
      <c r="I63" s="5" t="n">
        <v>657</v>
      </c>
    </row>
    <row r="64">
      <c r="A64" s="5" t="n">
        <v>214</v>
      </c>
      <c r="B64" s="5" t="inlineStr">
        <is>
          <t>V6/128/128</t>
        </is>
      </c>
      <c r="C64" s="5" t="inlineStr">
        <is>
          <t>shear_wall</t>
        </is>
      </c>
      <c r="D64" s="5" t="n">
        <v>1766.7</v>
      </c>
      <c r="E64" s="5" t="n">
        <v>2455.2</v>
      </c>
      <c r="F64" s="5" t="inlineStr">
        <is>
          <t>first, neutral pass put it on an object of another class</t>
        </is>
      </c>
      <c r="G64" s="5" t="n">
        <v>763</v>
      </c>
      <c r="H64" s="5" t="inlineStr">
        <is>
          <t>isolated_footing</t>
        </is>
      </c>
      <c r="I64" s="5" t="n">
        <v>743</v>
      </c>
    </row>
    <row r="65">
      <c r="A65" s="5" t="n">
        <v>215</v>
      </c>
      <c r="B65" s="5" t="inlineStr">
        <is>
          <t>V6/128/128</t>
        </is>
      </c>
      <c r="C65" s="5" t="inlineStr">
        <is>
          <t>shear_wall</t>
        </is>
      </c>
      <c r="D65" s="5" t="n">
        <v>1465.6</v>
      </c>
      <c r="E65" s="5" t="n">
        <v>2275</v>
      </c>
      <c r="F65" s="5" t="inlineStr">
        <is>
          <t>first, neutral pass put it on an object of another class</t>
        </is>
      </c>
      <c r="G65" s="5" t="n">
        <v>772</v>
      </c>
      <c r="H65" s="5" t="inlineStr">
        <is>
          <t>grade_beam</t>
        </is>
      </c>
      <c r="I65" s="5" t="n">
        <v>742</v>
      </c>
    </row>
    <row r="66">
      <c r="A66" s="5" t="n">
        <v>222</v>
      </c>
      <c r="B66" s="5" t="inlineStr">
        <is>
          <t>V1/130/130</t>
        </is>
      </c>
      <c r="C66" s="5" t="inlineStr">
        <is>
          <t>shear_wall</t>
        </is>
      </c>
      <c r="D66" s="5" t="n">
        <v>884.4</v>
      </c>
      <c r="E66" s="5" t="n">
        <v>1258.3</v>
      </c>
      <c r="F66" s="5" t="inlineStr">
        <is>
          <t>first, neutral pass put it on an object of another class</t>
        </is>
      </c>
      <c r="G66" s="5" t="n">
        <v>1059</v>
      </c>
      <c r="H66" s="5" t="inlineStr">
        <is>
          <t>grade_beam</t>
        </is>
      </c>
      <c r="I66" s="5" t="n">
        <v>1021</v>
      </c>
    </row>
    <row r="67">
      <c r="A67" s="5" t="n">
        <v>223</v>
      </c>
      <c r="B67" s="5" t="inlineStr">
        <is>
          <t>V1/130/130</t>
        </is>
      </c>
      <c r="C67" s="5" t="inlineStr">
        <is>
          <t>shear_wall</t>
        </is>
      </c>
      <c r="D67" s="5" t="n">
        <v>634.4</v>
      </c>
      <c r="E67" s="5" t="n">
        <v>1245.8</v>
      </c>
      <c r="F67" s="5" t="inlineStr">
        <is>
          <t>first, neutral pass put it on an object of another class</t>
        </is>
      </c>
      <c r="G67" s="5" t="n">
        <v>1041</v>
      </c>
      <c r="H67" s="5" t="inlineStr">
        <is>
          <t>isolated_footing</t>
        </is>
      </c>
      <c r="I67" s="5" t="n">
        <v>1022</v>
      </c>
    </row>
    <row r="68">
      <c r="A68" s="5" t="n">
        <v>224</v>
      </c>
      <c r="B68" s="5" t="inlineStr">
        <is>
          <t>V3/130/130</t>
        </is>
      </c>
      <c r="C68" s="5" t="inlineStr">
        <is>
          <t>shear_wall</t>
        </is>
      </c>
      <c r="D68" s="5" t="n">
        <v>954.2</v>
      </c>
      <c r="E68" s="5" t="n">
        <v>1605.2</v>
      </c>
      <c r="F68" s="5" t="inlineStr">
        <is>
          <t>first, neutral pass put it on an object of another class</t>
        </is>
      </c>
      <c r="G68" s="5" t="n">
        <v>1062</v>
      </c>
      <c r="H68" s="5" t="inlineStr">
        <is>
          <t>grade_beam</t>
        </is>
      </c>
      <c r="I68" s="5" t="n">
        <v>1026</v>
      </c>
    </row>
    <row r="69">
      <c r="A69" s="5" t="n">
        <v>227</v>
      </c>
      <c r="B69" s="5" t="inlineStr">
        <is>
          <t>V1/129/129</t>
        </is>
      </c>
      <c r="C69" s="5" t="inlineStr">
        <is>
          <t>shear_wall</t>
        </is>
      </c>
      <c r="D69" s="5" t="n">
        <v>809.4</v>
      </c>
      <c r="E69" s="5" t="n">
        <v>1887.5</v>
      </c>
      <c r="F69" s="5" t="inlineStr">
        <is>
          <t>first, neutral pass put it on an object of another class</t>
        </is>
      </c>
      <c r="G69" s="5" t="n">
        <v>905</v>
      </c>
      <c r="H69" s="5" t="inlineStr">
        <is>
          <t>strip_footing</t>
        </is>
      </c>
      <c r="I69" s="5" t="n">
        <v>880</v>
      </c>
    </row>
    <row r="70">
      <c r="A70" s="5" t="n">
        <v>228</v>
      </c>
      <c r="B70" s="5" t="inlineStr">
        <is>
          <t>V1/129/129</t>
        </is>
      </c>
      <c r="C70" s="5" t="inlineStr">
        <is>
          <t>shear_wall</t>
        </is>
      </c>
      <c r="D70" s="5" t="n">
        <v>1042.7</v>
      </c>
      <c r="E70" s="5" t="n">
        <v>1827.1</v>
      </c>
      <c r="F70" s="5" t="inlineStr">
        <is>
          <t>first, neutral pass put it on an object of another class</t>
        </is>
      </c>
      <c r="G70" s="5" t="n">
        <v>916</v>
      </c>
      <c r="H70" s="5" t="inlineStr">
        <is>
          <t>grade_beam</t>
        </is>
      </c>
      <c r="I70" s="5" t="n">
        <v>882</v>
      </c>
    </row>
    <row r="71">
      <c r="A71" s="5" t="n">
        <v>230</v>
      </c>
      <c r="B71" s="5" t="inlineStr">
        <is>
          <t>V3/129/129</t>
        </is>
      </c>
      <c r="C71" s="5" t="inlineStr">
        <is>
          <t>shear_wall</t>
        </is>
      </c>
      <c r="D71" s="5" t="n">
        <v>1064.6</v>
      </c>
      <c r="E71" s="5" t="n">
        <v>2016.7</v>
      </c>
      <c r="F71" s="5" t="inlineStr">
        <is>
          <t>first, neutral pass put it on an object of another class</t>
        </is>
      </c>
      <c r="G71" s="5" t="n">
        <v>913</v>
      </c>
      <c r="H71" s="5" t="inlineStr">
        <is>
          <t>grade_beam</t>
        </is>
      </c>
      <c r="I71" s="5" t="n">
        <v>883</v>
      </c>
    </row>
    <row r="72">
      <c r="A72" s="5" t="n">
        <v>235</v>
      </c>
      <c r="B72" s="5" t="inlineStr">
        <is>
          <t>V9/128/128</t>
        </is>
      </c>
      <c r="C72" s="5" t="inlineStr">
        <is>
          <t>shear_wall</t>
        </is>
      </c>
      <c r="D72" s="5" t="n">
        <v>1438.5</v>
      </c>
      <c r="E72" s="5" t="n">
        <v>2241.7</v>
      </c>
      <c r="F72" s="5" t="inlineStr">
        <is>
          <t>first, neutral pass put it on an object of another class</t>
        </is>
      </c>
      <c r="G72" s="5" t="n">
        <v>914</v>
      </c>
      <c r="H72" s="5" t="inlineStr">
        <is>
          <t>grade_beam</t>
        </is>
      </c>
      <c r="I72" s="5" t="n">
        <v>746</v>
      </c>
    </row>
    <row r="73">
      <c r="A73" s="5" t="n">
        <v>236</v>
      </c>
      <c r="B73" s="5" t="inlineStr">
        <is>
          <t>V9/128/128</t>
        </is>
      </c>
      <c r="C73" s="5" t="inlineStr">
        <is>
          <t>shear_wall</t>
        </is>
      </c>
      <c r="D73" s="5" t="n">
        <v>1351</v>
      </c>
      <c r="E73" s="5" t="n">
        <v>2078.1</v>
      </c>
      <c r="F73" s="5" t="inlineStr">
        <is>
          <t>first, neutral pass put it on an object of another class</t>
        </is>
      </c>
      <c r="G73" s="5" t="n">
        <v>900</v>
      </c>
      <c r="H73" s="5" t="inlineStr">
        <is>
          <t>isolated_footing</t>
        </is>
      </c>
      <c r="I73" s="5" t="n">
        <v>748</v>
      </c>
    </row>
    <row r="74">
      <c r="A74" s="5" t="n">
        <v>237</v>
      </c>
      <c r="B74" s="5" t="inlineStr">
        <is>
          <t>V9/128/128</t>
        </is>
      </c>
      <c r="C74" s="5" t="inlineStr">
        <is>
          <t>shear_wall</t>
        </is>
      </c>
      <c r="D74" s="5" t="n">
        <v>1291.7</v>
      </c>
      <c r="E74" s="5" t="n">
        <v>1855.2</v>
      </c>
      <c r="F74" s="5" t="inlineStr">
        <is>
          <t>first, neutral pass put it on an object of another class</t>
        </is>
      </c>
      <c r="G74" s="5" t="n">
        <v>912</v>
      </c>
      <c r="H74" s="5" t="inlineStr">
        <is>
          <t>grade_beam</t>
        </is>
      </c>
      <c r="I74" s="5" t="n">
        <v>747</v>
      </c>
    </row>
    <row r="75">
      <c r="A75" s="5" t="n">
        <v>238</v>
      </c>
      <c r="B75" s="5" t="inlineStr">
        <is>
          <t>V9/128/128</t>
        </is>
      </c>
      <c r="C75" s="5" t="inlineStr">
        <is>
          <t>shear_wall</t>
        </is>
      </c>
      <c r="D75" s="5" t="n">
        <v>1267.7</v>
      </c>
      <c r="E75" s="5" t="n">
        <v>1769.8</v>
      </c>
      <c r="F75" s="5" t="inlineStr">
        <is>
          <t>first, neutral pass put it on an object of another class</t>
        </is>
      </c>
      <c r="G75" s="5" t="n">
        <v>912</v>
      </c>
      <c r="H75" s="5" t="inlineStr">
        <is>
          <t>grade_beam</t>
        </is>
      </c>
      <c r="I75" s="5" t="n">
        <v>749</v>
      </c>
    </row>
    <row r="76">
      <c r="A76" s="5" t="n">
        <v>252</v>
      </c>
      <c r="B76" s="5" t="inlineStr">
        <is>
          <t>P3/122/122</t>
        </is>
      </c>
      <c r="C76" s="5" t="inlineStr">
        <is>
          <t>column</t>
        </is>
      </c>
      <c r="D76" s="5" t="n">
        <v>4267.7</v>
      </c>
      <c r="E76" s="5" t="n">
        <v>3065.6</v>
      </c>
      <c r="F76" s="5" t="inlineStr">
        <is>
          <t>first, neutral pass put it on an object of another class</t>
        </is>
      </c>
      <c r="G76" s="5" t="n">
        <v>285</v>
      </c>
      <c r="H76" s="5" t="inlineStr">
        <is>
          <t>grade_beam</t>
        </is>
      </c>
      <c r="I76" s="5" t="n">
        <v>227</v>
      </c>
    </row>
    <row r="77">
      <c r="A77" s="5" t="n">
        <v>253</v>
      </c>
      <c r="B77" s="5" t="inlineStr">
        <is>
          <t>P4/122/122</t>
        </is>
      </c>
      <c r="C77" s="5" t="inlineStr">
        <is>
          <t>column</t>
        </is>
      </c>
      <c r="D77" s="5" t="n">
        <v>4441.7</v>
      </c>
      <c r="E77" s="5" t="n">
        <v>3038.5</v>
      </c>
      <c r="F77" s="5" t="inlineStr">
        <is>
          <t>first, neutral pass put it on an object of another class</t>
        </is>
      </c>
      <c r="G77" s="5" t="n">
        <v>285</v>
      </c>
      <c r="H77" s="5" t="inlineStr">
        <is>
          <t>grade_beam</t>
        </is>
      </c>
      <c r="I77" s="5" t="n">
        <v>229</v>
      </c>
    </row>
    <row r="78">
      <c r="A78" s="5" t="n">
        <v>255</v>
      </c>
      <c r="B78" s="5" t="inlineStr">
        <is>
          <t>P1/124/124</t>
        </is>
      </c>
      <c r="C78" s="5" t="inlineStr">
        <is>
          <t>column</t>
        </is>
      </c>
      <c r="D78" s="5" t="n">
        <v>4101</v>
      </c>
      <c r="E78" s="5" t="n">
        <v>3199</v>
      </c>
      <c r="F78" s="5" t="inlineStr">
        <is>
          <t>first, neutral pass put it on an object of another class</t>
        </is>
      </c>
      <c r="G78" s="5" t="n">
        <v>486</v>
      </c>
      <c r="H78" s="5" t="inlineStr">
        <is>
          <t>grade_beam</t>
        </is>
      </c>
      <c r="I78" s="5" t="n">
        <v>439</v>
      </c>
    </row>
    <row r="79">
      <c r="A79" s="5" t="n">
        <v>260</v>
      </c>
      <c r="B79" s="5" t="inlineStr">
        <is>
          <t>P1/127/127</t>
        </is>
      </c>
      <c r="C79" s="5" t="inlineStr">
        <is>
          <t>column</t>
        </is>
      </c>
      <c r="D79" s="5" t="n">
        <v>2278.1</v>
      </c>
      <c r="E79" s="5" t="n">
        <v>3156.2</v>
      </c>
      <c r="F79" s="5" t="inlineStr">
        <is>
          <t>first, neutral pass put it on an object of another class</t>
        </is>
      </c>
      <c r="G79" s="5" t="n">
        <v>677</v>
      </c>
      <c r="H79" s="5" t="inlineStr">
        <is>
          <t>strip_footing</t>
        </is>
      </c>
      <c r="I79" s="5" t="n">
        <v>640</v>
      </c>
    </row>
    <row r="80">
      <c r="A80" s="5" t="n">
        <v>262</v>
      </c>
      <c r="B80" s="5" t="inlineStr">
        <is>
          <t>P1/127/127</t>
        </is>
      </c>
      <c r="C80" s="5" t="inlineStr">
        <is>
          <t>column</t>
        </is>
      </c>
      <c r="D80" s="5" t="n">
        <v>2324</v>
      </c>
      <c r="E80" s="5" t="n">
        <v>3061.5</v>
      </c>
      <c r="F80" s="5" t="inlineStr">
        <is>
          <t>first, neutral pass put it on an object of another class</t>
        </is>
      </c>
      <c r="G80" s="5" t="n">
        <v>673</v>
      </c>
      <c r="H80" s="5" t="inlineStr">
        <is>
          <t>isolated_footing</t>
        </is>
      </c>
      <c r="I80" s="5" t="n">
        <v>639</v>
      </c>
    </row>
    <row r="81">
      <c r="A81" s="5" t="n">
        <v>273</v>
      </c>
      <c r="B81" s="5" t="inlineStr">
        <is>
          <t>S20-130</t>
        </is>
      </c>
      <c r="C81" s="5" t="inlineStr">
        <is>
          <t>isolated_footing</t>
        </is>
      </c>
      <c r="D81" s="5" t="n">
        <v>754.2</v>
      </c>
      <c r="E81" s="5" t="n">
        <v>1320.8</v>
      </c>
      <c r="F81" s="5" t="inlineStr">
        <is>
          <t>first, neutral pass put it on an object of another class</t>
        </is>
      </c>
      <c r="G81" s="5" t="n">
        <v>1017</v>
      </c>
      <c r="H81" s="5" t="inlineStr">
        <is>
          <t>shear_wall</t>
        </is>
      </c>
      <c r="I81" s="5" t="n">
        <v>1044</v>
      </c>
    </row>
    <row r="82">
      <c r="A82" s="5" t="n">
        <v>275</v>
      </c>
      <c r="B82" s="5" t="inlineStr">
        <is>
          <t>P3/130/130</t>
        </is>
      </c>
      <c r="C82" s="5" t="inlineStr">
        <is>
          <t>column</t>
        </is>
      </c>
      <c r="D82" s="5" t="n">
        <v>627.1</v>
      </c>
      <c r="E82" s="5" t="n">
        <v>1336.5</v>
      </c>
      <c r="F82" s="5" t="inlineStr">
        <is>
          <t>first, neutral pass put it on an object of another class</t>
        </is>
      </c>
      <c r="G82" s="5" t="n">
        <v>1035</v>
      </c>
      <c r="H82" s="5" t="inlineStr">
        <is>
          <t>retaining_wall</t>
        </is>
      </c>
      <c r="I82" s="5" t="n">
        <v>1014</v>
      </c>
    </row>
    <row r="83">
      <c r="A83" s="5" t="n">
        <v>276</v>
      </c>
      <c r="B83" s="5" t="inlineStr">
        <is>
          <t>P3/130/130</t>
        </is>
      </c>
      <c r="C83" s="5" t="inlineStr">
        <is>
          <t>column</t>
        </is>
      </c>
      <c r="D83" s="5" t="n">
        <v>716.7</v>
      </c>
      <c r="E83" s="5" t="n">
        <v>1311.5</v>
      </c>
      <c r="F83" s="5" t="inlineStr">
        <is>
          <t>first, neutral pass put it on an object of another class</t>
        </is>
      </c>
      <c r="G83" s="5" t="n">
        <v>1063</v>
      </c>
      <c r="H83" s="5" t="inlineStr">
        <is>
          <t>grade_beam</t>
        </is>
      </c>
      <c r="I83" s="5" t="n">
        <v>1013</v>
      </c>
    </row>
    <row r="84">
      <c r="A84" s="5" t="n">
        <v>363</v>
      </c>
      <c r="B84" s="5" t="inlineStr">
        <is>
          <t>LG 25x40</t>
        </is>
      </c>
      <c r="C84" s="5" t="inlineStr">
        <is>
          <t>grade_beam</t>
        </is>
      </c>
      <c r="D84" s="5" t="n">
        <v>4257.3</v>
      </c>
      <c r="E84" s="5" t="n">
        <v>3254.2</v>
      </c>
      <c r="F84" s="5" t="inlineStr">
        <is>
          <t>no object of its class within reach in the second pass</t>
        </is>
      </c>
      <c r="G84" s="5" t="n">
        <v>357</v>
      </c>
      <c r="H84" s="5" t="inlineStr">
        <is>
          <t>unnamed</t>
        </is>
      </c>
      <c r="I84" s="5" t="inlineStr">
        <is>
          <t>unmatched</t>
        </is>
      </c>
    </row>
    <row r="85">
      <c r="A85" s="5" t="n">
        <v>365</v>
      </c>
      <c r="B85" s="5" t="inlineStr">
        <is>
          <t>LG-40x15</t>
        </is>
      </c>
      <c r="C85" s="5" t="inlineStr">
        <is>
          <t>grade_beam</t>
        </is>
      </c>
      <c r="D85" s="5" t="n">
        <v>4179.2</v>
      </c>
      <c r="E85" s="5" t="n">
        <v>2840.6</v>
      </c>
      <c r="F85" s="5" t="inlineStr">
        <is>
          <t>no object of its class within reach in the second pass</t>
        </is>
      </c>
      <c r="G85" s="5" t="n">
        <v>357</v>
      </c>
      <c r="H85" s="5" t="inlineStr">
        <is>
          <t>unnamed</t>
        </is>
      </c>
      <c r="I85" s="5" t="inlineStr">
        <is>
          <t>unmatched</t>
        </is>
      </c>
    </row>
    <row r="86">
      <c r="A86" s="5" t="n">
        <v>366</v>
      </c>
      <c r="B86" s="5" t="inlineStr">
        <is>
          <t>LG-40x15</t>
        </is>
      </c>
      <c r="C86" s="5" t="inlineStr">
        <is>
          <t>grade_beam</t>
        </is>
      </c>
      <c r="D86" s="5" t="n">
        <v>4045.8</v>
      </c>
      <c r="E86" s="5" t="n">
        <v>3200</v>
      </c>
      <c r="F86" s="5" t="inlineStr">
        <is>
          <t>first, neutral pass put it on an object of another class</t>
        </is>
      </c>
      <c r="G86" s="5" t="n">
        <v>439</v>
      </c>
      <c r="H86" s="5" t="inlineStr">
        <is>
          <t>column</t>
        </is>
      </c>
      <c r="I86" s="5" t="n">
        <v>486</v>
      </c>
    </row>
    <row r="87">
      <c r="A87" s="5" t="n">
        <v>453</v>
      </c>
      <c r="B87" s="5" t="inlineStr">
        <is>
          <t>LG-40x15</t>
        </is>
      </c>
      <c r="C87" s="5" t="inlineStr">
        <is>
          <t>grade_beam</t>
        </is>
      </c>
      <c r="D87" s="5" t="n">
        <v>4558.3</v>
      </c>
      <c r="E87" s="5" t="n">
        <v>1458.3</v>
      </c>
      <c r="F87" s="5" t="inlineStr">
        <is>
          <t>no object of its class within reach in the second pass</t>
        </is>
      </c>
      <c r="G87" s="5" t="inlineStr">
        <is>
          <t>unmatched</t>
        </is>
      </c>
      <c r="H87" s="5" t="inlineStr"/>
      <c r="I87" s="5" t="inlineStr">
        <is>
          <t>unmatched</t>
        </is>
      </c>
    </row>
    <row r="88">
      <c r="A88" s="5" t="n">
        <v>457</v>
      </c>
      <c r="B88" s="5" t="inlineStr">
        <is>
          <t>LG-40x15</t>
        </is>
      </c>
      <c r="C88" s="5" t="inlineStr">
        <is>
          <t>grade_beam</t>
        </is>
      </c>
      <c r="D88" s="5" t="n">
        <v>4556.2</v>
      </c>
      <c r="E88" s="5" t="n">
        <v>1871.9</v>
      </c>
      <c r="F88" s="5" t="inlineStr">
        <is>
          <t>first, neutral pass put it on an object of another class; no object of its class within reach in the second pass</t>
        </is>
      </c>
      <c r="G88" s="5" t="n">
        <v>37</v>
      </c>
      <c r="H88" s="5" t="inlineStr">
        <is>
          <t>isolated_footing</t>
        </is>
      </c>
      <c r="I88" s="5" t="inlineStr">
        <is>
          <t>unmatched</t>
        </is>
      </c>
    </row>
    <row r="89">
      <c r="A89" s="5" t="n">
        <v>474</v>
      </c>
      <c r="B89" s="5" t="inlineStr">
        <is>
          <t>LG-40x15</t>
        </is>
      </c>
      <c r="C89" s="5" t="inlineStr">
        <is>
          <t>grade_beam</t>
        </is>
      </c>
      <c r="D89" s="5" t="n">
        <v>4557.3</v>
      </c>
      <c r="E89" s="5" t="n">
        <v>2008.3</v>
      </c>
      <c r="F89" s="5" t="inlineStr">
        <is>
          <t>first, neutral pass put it on an object of another class</t>
        </is>
      </c>
      <c r="G89" s="5" t="n">
        <v>141</v>
      </c>
      <c r="H89" s="5" t="inlineStr">
        <is>
          <t>strip_footing</t>
        </is>
      </c>
      <c r="I89" s="5" t="n">
        <v>152</v>
      </c>
    </row>
    <row r="90">
      <c r="A90" s="5" t="n">
        <v>475</v>
      </c>
      <c r="B90" s="5" t="inlineStr">
        <is>
          <t>LG-25x40</t>
        </is>
      </c>
      <c r="C90" s="5" t="inlineStr">
        <is>
          <t>grade_beam</t>
        </is>
      </c>
      <c r="D90" s="5" t="n">
        <v>4307.3</v>
      </c>
      <c r="E90" s="5" t="n">
        <v>3477.1</v>
      </c>
      <c r="F90" s="5" t="inlineStr">
        <is>
          <t>no object of its class within reach in the second pass</t>
        </is>
      </c>
      <c r="G90" s="5" t="n">
        <v>506</v>
      </c>
      <c r="H90" s="5" t="inlineStr">
        <is>
          <t>unnamed</t>
        </is>
      </c>
      <c r="I90" s="5" t="inlineStr">
        <is>
          <t>unmatched</t>
        </is>
      </c>
    </row>
    <row r="91">
      <c r="A91" s="5" t="n">
        <v>482</v>
      </c>
      <c r="B91" s="5" t="inlineStr">
        <is>
          <t>LG-40x15</t>
        </is>
      </c>
      <c r="C91" s="5" t="inlineStr">
        <is>
          <t>grade_beam</t>
        </is>
      </c>
      <c r="D91" s="5" t="n">
        <v>2349</v>
      </c>
      <c r="E91" s="5" t="n">
        <v>2740.6</v>
      </c>
      <c r="F91" s="5" t="inlineStr">
        <is>
          <t>first, neutral pass put it on an object of another class</t>
        </is>
      </c>
      <c r="G91" s="5" t="n">
        <v>664</v>
      </c>
      <c r="H91" s="5" t="inlineStr">
        <is>
          <t>isolated_footing</t>
        </is>
      </c>
      <c r="I91" s="5" t="n">
        <v>681</v>
      </c>
    </row>
    <row r="92">
      <c r="A92" s="5" t="n">
        <v>486</v>
      </c>
      <c r="B92" s="5" t="inlineStr">
        <is>
          <t>LG-25x40</t>
        </is>
      </c>
      <c r="C92" s="5" t="inlineStr">
        <is>
          <t>grade_beam</t>
        </is>
      </c>
      <c r="D92" s="5" t="n">
        <v>4254.2</v>
      </c>
      <c r="E92" s="5" t="n">
        <v>2154.2</v>
      </c>
      <c r="F92" s="5" t="inlineStr">
        <is>
          <t>first, neutral pass put it on an object of another class</t>
        </is>
      </c>
      <c r="G92" s="5" t="n">
        <v>138</v>
      </c>
      <c r="H92" s="5" t="inlineStr">
        <is>
          <t>combined_footing</t>
        </is>
      </c>
      <c r="I92" s="5" t="n">
        <v>147</v>
      </c>
    </row>
    <row r="93">
      <c r="A93" s="5" t="n">
        <v>487</v>
      </c>
      <c r="B93" s="5" t="inlineStr">
        <is>
          <t>LG-40x15</t>
        </is>
      </c>
      <c r="C93" s="5" t="inlineStr">
        <is>
          <t>grade_beam</t>
        </is>
      </c>
      <c r="D93" s="5" t="n">
        <v>733.3</v>
      </c>
      <c r="E93" s="5" t="n">
        <v>1303.1</v>
      </c>
      <c r="F93" s="5" t="inlineStr">
        <is>
          <t>first, neutral pass put it on an object of another class</t>
        </is>
      </c>
      <c r="G93" s="5" t="n">
        <v>1044</v>
      </c>
      <c r="H93" s="5" t="inlineStr">
        <is>
          <t>isolated_footing</t>
        </is>
      </c>
      <c r="I93" s="5" t="n">
        <v>1063</v>
      </c>
    </row>
    <row r="94">
      <c r="A94" s="5" t="n">
        <v>495</v>
      </c>
      <c r="B94" s="5" t="inlineStr">
        <is>
          <t>SF1 80x25</t>
        </is>
      </c>
      <c r="C94" s="5" t="inlineStr">
        <is>
          <t>strip_footing</t>
        </is>
      </c>
      <c r="D94" s="5" t="n">
        <v>4780.2</v>
      </c>
      <c r="E94" s="5" t="n">
        <v>1862.5</v>
      </c>
      <c r="F94" s="5" t="inlineStr">
        <is>
          <t>first, neutral pass put it on an object of another class</t>
        </is>
      </c>
      <c r="G94" s="5" t="n">
        <v>162</v>
      </c>
      <c r="H94" s="5" t="inlineStr">
        <is>
          <t>sump_pit</t>
        </is>
      </c>
      <c r="I94" s="5" t="n">
        <v>221</v>
      </c>
    </row>
    <row r="95">
      <c r="A95" s="5" t="n">
        <v>511</v>
      </c>
      <c r="B95" s="5" t="inlineStr">
        <is>
          <t>SF4- 120x25</t>
        </is>
      </c>
      <c r="C95" s="5" t="inlineStr">
        <is>
          <t>strip_footing</t>
        </is>
      </c>
      <c r="D95" s="5" t="n">
        <v>4658.3</v>
      </c>
      <c r="E95" s="5" t="n">
        <v>2132.3</v>
      </c>
      <c r="F95" s="5" t="inlineStr">
        <is>
          <t>first, neutral pass put it on an object of another class</t>
        </is>
      </c>
      <c r="G95" s="5" t="n">
        <v>254</v>
      </c>
      <c r="H95" s="5" t="inlineStr">
        <is>
          <t>retaining_wall</t>
        </is>
      </c>
      <c r="I95" s="5" t="n">
        <v>367</v>
      </c>
    </row>
    <row r="96">
      <c r="A96" s="5" t="n">
        <v>512</v>
      </c>
      <c r="B96" s="5" t="inlineStr">
        <is>
          <t>SF4- 120x25</t>
        </is>
      </c>
      <c r="C96" s="5" t="inlineStr">
        <is>
          <t>strip_footing</t>
        </is>
      </c>
      <c r="D96" s="5" t="n">
        <v>1109.4</v>
      </c>
      <c r="E96" s="5" t="n">
        <v>2508.3</v>
      </c>
      <c r="F96" s="5" t="inlineStr">
        <is>
          <t>no object of its class within reach in the second pass</t>
        </is>
      </c>
      <c r="G96" s="5" t="n">
        <v>941</v>
      </c>
      <c r="H96" s="5" t="inlineStr">
        <is>
          <t>unnamed</t>
        </is>
      </c>
      <c r="I96" s="5" t="inlineStr">
        <is>
          <t>unmatched</t>
        </is>
      </c>
    </row>
    <row r="97">
      <c r="A97" s="5" t="n">
        <v>528</v>
      </c>
      <c r="B97" s="5" t="inlineStr">
        <is>
          <t>RADIER</t>
        </is>
      </c>
      <c r="C97" s="5" t="inlineStr">
        <is>
          <t>raft</t>
        </is>
      </c>
      <c r="D97" s="5" t="n">
        <v>4747.9</v>
      </c>
      <c r="E97" s="5" t="n">
        <v>1854.2</v>
      </c>
      <c r="F97" s="5" t="inlineStr">
        <is>
          <t>first, neutral pass put it on an object of another class</t>
        </is>
      </c>
      <c r="G97" s="5" t="n">
        <v>129</v>
      </c>
      <c r="H97" s="5" t="inlineStr">
        <is>
          <t>isolated_footing</t>
        </is>
      </c>
      <c r="I97" s="5" t="n">
        <v>220</v>
      </c>
    </row>
    <row r="98">
      <c r="A98" s="5" t="n">
        <v>531</v>
      </c>
      <c r="B98" s="5" t="inlineStr">
        <is>
          <t>FOSSE DE RELEVAGE2.00x1.50x1.50</t>
        </is>
      </c>
      <c r="C98" s="5" t="inlineStr">
        <is>
          <t>sump_pit</t>
        </is>
      </c>
      <c r="D98" s="5" t="n">
        <v>2663.5</v>
      </c>
      <c r="E98" s="5" t="n">
        <v>3360.4</v>
      </c>
      <c r="F98" s="5" t="inlineStr">
        <is>
          <t>first, neutral pass put it on an object of another class</t>
        </is>
      </c>
      <c r="G98" s="5" t="n">
        <v>618</v>
      </c>
      <c r="H98" s="5" t="inlineStr">
        <is>
          <t>isolated_footing</t>
        </is>
      </c>
      <c r="I98" s="5" t="n">
        <v>571</v>
      </c>
    </row>
    <row r="99">
      <c r="A99" s="5" t="n">
        <v>532</v>
      </c>
      <c r="B99" s="5" t="inlineStr">
        <is>
          <t>RADIER</t>
        </is>
      </c>
      <c r="C99" s="5" t="inlineStr">
        <is>
          <t>raft</t>
        </is>
      </c>
      <c r="D99" s="5" t="n">
        <v>2641.7</v>
      </c>
      <c r="E99" s="5" t="n">
        <v>3382.3</v>
      </c>
      <c r="F99" s="5" t="inlineStr">
        <is>
          <t>first, neutral pass put it on an object of another class; no object of its class within reach in the second pass</t>
        </is>
      </c>
      <c r="G99" s="5" t="n">
        <v>619</v>
      </c>
      <c r="H99" s="5" t="inlineStr">
        <is>
          <t>isolated_footing</t>
        </is>
      </c>
      <c r="I99" s="5" t="inlineStr">
        <is>
          <t>unmatched</t>
        </is>
      </c>
    </row>
    <row r="100">
      <c r="A100" s="5" t="n">
        <v>533</v>
      </c>
      <c r="B100" s="5" t="inlineStr">
        <is>
          <t>FOSSE DE RELEVAGE2.00x1.50x1.50</t>
        </is>
      </c>
      <c r="C100" s="5" t="inlineStr">
        <is>
          <t>sump_pit</t>
        </is>
      </c>
      <c r="D100" s="5" t="n">
        <v>1518.8</v>
      </c>
      <c r="E100" s="5" t="n">
        <v>2786.5</v>
      </c>
      <c r="F100" s="5" t="inlineStr">
        <is>
          <t>first, neutral pass put it on an object of another class; no object of its class within reach in the second pass</t>
        </is>
      </c>
      <c r="G100" s="5" t="n">
        <v>761</v>
      </c>
      <c r="H100" s="5" t="inlineStr">
        <is>
          <t>isolated_footing</t>
        </is>
      </c>
      <c r="I100" s="5" t="inlineStr">
        <is>
          <t>unmatched</t>
        </is>
      </c>
    </row>
    <row r="101">
      <c r="A101" s="5" t="n">
        <v>534</v>
      </c>
      <c r="B101" s="5" t="inlineStr">
        <is>
          <t>RADIER</t>
        </is>
      </c>
      <c r="C101" s="5" t="inlineStr">
        <is>
          <t>raft</t>
        </is>
      </c>
      <c r="D101" s="5" t="n">
        <v>1497.9</v>
      </c>
      <c r="E101" s="5" t="n">
        <v>2808.3</v>
      </c>
      <c r="F101" s="5" t="inlineStr">
        <is>
          <t>first, neutral pass put it on an object of another class; no object of its class within reach in the second pass</t>
        </is>
      </c>
      <c r="G101" s="5" t="n">
        <v>751</v>
      </c>
      <c r="H101" s="5" t="inlineStr">
        <is>
          <t>retaining_wall</t>
        </is>
      </c>
      <c r="I101" s="5" t="inlineStr">
        <is>
          <t>unmatched</t>
        </is>
      </c>
    </row>
    <row r="102">
      <c r="A102" s="5" t="n">
        <v>538</v>
      </c>
      <c r="B102" s="5" t="inlineStr">
        <is>
          <t>RADIER 190CM</t>
        </is>
      </c>
      <c r="C102" s="5" t="inlineStr">
        <is>
          <t>raft</t>
        </is>
      </c>
      <c r="D102" s="5" t="n">
        <v>1040.6</v>
      </c>
      <c r="E102" s="5" t="n">
        <v>1269.8</v>
      </c>
      <c r="F102" s="5" t="inlineStr">
        <is>
          <t>no object of its class within reach in the second pass</t>
        </is>
      </c>
      <c r="G102" s="5" t="inlineStr">
        <is>
          <t>unmatched</t>
        </is>
      </c>
      <c r="H102" s="5" t="inlineStr"/>
      <c r="I102" s="5" t="inlineStr">
        <is>
          <t>unmatched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1" t="inlineStr">
        <is>
          <t>Geometric classes against the verified (colour-based) detections</t>
        </is>
      </c>
    </row>
    <row r="3" ht="30" customHeight="1">
      <c r="A3" s="4" t="inlineStr">
        <is>
          <t>Verified class</t>
        </is>
      </c>
      <c r="B3" s="4" t="inlineStr">
        <is>
          <t>column</t>
        </is>
      </c>
      <c r="C3" s="4" t="inlineStr">
        <is>
          <t>shear_wall</t>
        </is>
      </c>
      <c r="D3" s="4" t="inlineStr">
        <is>
          <t>retaining_wall</t>
        </is>
      </c>
      <c r="E3" s="4" t="inlineStr">
        <is>
          <t>isolated_footing</t>
        </is>
      </c>
      <c r="F3" s="4" t="inlineStr">
        <is>
          <t>combined_footing</t>
        </is>
      </c>
      <c r="G3" s="4" t="inlineStr">
        <is>
          <t>strip_footing</t>
        </is>
      </c>
      <c r="H3" s="4" t="inlineStr">
        <is>
          <t>grade_beam</t>
        </is>
      </c>
      <c r="I3" s="4" t="inlineStr">
        <is>
          <t>raft</t>
        </is>
      </c>
      <c r="J3" s="4" t="inlineStr">
        <is>
          <t>sump_pit</t>
        </is>
      </c>
      <c r="K3" s="4" t="inlineStr">
        <is>
          <t>unnamed</t>
        </is>
      </c>
      <c r="L3" s="4" t="inlineStr">
        <is>
          <t>Not found</t>
        </is>
      </c>
      <c r="M3" s="4" t="inlineStr">
        <is>
          <t>Total</t>
        </is>
      </c>
      <c r="N3" s="4" t="inlineStr">
        <is>
          <t>Correct</t>
        </is>
      </c>
    </row>
    <row r="4">
      <c r="A4" s="5" t="inlineStr">
        <is>
          <t>column</t>
        </is>
      </c>
      <c r="B4" s="5">
        <f>COUNTIFS(Objects!$AC$2:$AC$1089,$A4,Objects!$F$2:$F$1089,B$3)</f>
        <v/>
      </c>
      <c r="C4" s="5">
        <f>COUNTIFS(Objects!$AC$2:$AC$1089,$A4,Objects!$F$2:$F$1089,C$3)</f>
        <v/>
      </c>
      <c r="D4" s="5">
        <f>COUNTIFS(Objects!$AC$2:$AC$1089,$A4,Objects!$F$2:$F$1089,D$3)</f>
        <v/>
      </c>
      <c r="E4" s="5">
        <f>COUNTIFS(Objects!$AC$2:$AC$1089,$A4,Objects!$F$2:$F$1089,E$3)</f>
        <v/>
      </c>
      <c r="F4" s="5">
        <f>COUNTIFS(Objects!$AC$2:$AC$1089,$A4,Objects!$F$2:$F$1089,F$3)</f>
        <v/>
      </c>
      <c r="G4" s="5">
        <f>COUNTIFS(Objects!$AC$2:$AC$1089,$A4,Objects!$F$2:$F$1089,G$3)</f>
        <v/>
      </c>
      <c r="H4" s="5">
        <f>COUNTIFS(Objects!$AC$2:$AC$1089,$A4,Objects!$F$2:$F$1089,H$3)</f>
        <v/>
      </c>
      <c r="I4" s="5">
        <f>COUNTIFS(Objects!$AC$2:$AC$1089,$A4,Objects!$F$2:$F$1089,I$3)</f>
        <v/>
      </c>
      <c r="J4" s="5">
        <f>COUNTIFS(Objects!$AC$2:$AC$1089,$A4,Objects!$F$2:$F$1089,J$3)</f>
        <v/>
      </c>
      <c r="K4" s="5">
        <f>COUNTIFS(Objects!$AC$2:$AC$1089,$A4,Objects!$F$2:$F$1089,K$3)</f>
        <v/>
      </c>
      <c r="L4" s="5" t="n">
        <v>0</v>
      </c>
      <c r="M4" s="7">
        <f>SUM(B4:L4)</f>
        <v/>
      </c>
      <c r="N4" s="12">
        <f>IFERROR(B4/M4,0)</f>
        <v/>
      </c>
    </row>
    <row r="5">
      <c r="A5" s="5" t="inlineStr">
        <is>
          <t>shear_wall</t>
        </is>
      </c>
      <c r="B5" s="5">
        <f>COUNTIFS(Objects!$AC$2:$AC$1089,$A5,Objects!$F$2:$F$1089,B$3)</f>
        <v/>
      </c>
      <c r="C5" s="5">
        <f>COUNTIFS(Objects!$AC$2:$AC$1089,$A5,Objects!$F$2:$F$1089,C$3)</f>
        <v/>
      </c>
      <c r="D5" s="5">
        <f>COUNTIFS(Objects!$AC$2:$AC$1089,$A5,Objects!$F$2:$F$1089,D$3)</f>
        <v/>
      </c>
      <c r="E5" s="5">
        <f>COUNTIFS(Objects!$AC$2:$AC$1089,$A5,Objects!$F$2:$F$1089,E$3)</f>
        <v/>
      </c>
      <c r="F5" s="5">
        <f>COUNTIFS(Objects!$AC$2:$AC$1089,$A5,Objects!$F$2:$F$1089,F$3)</f>
        <v/>
      </c>
      <c r="G5" s="5">
        <f>COUNTIFS(Objects!$AC$2:$AC$1089,$A5,Objects!$F$2:$F$1089,G$3)</f>
        <v/>
      </c>
      <c r="H5" s="5">
        <f>COUNTIFS(Objects!$AC$2:$AC$1089,$A5,Objects!$F$2:$F$1089,H$3)</f>
        <v/>
      </c>
      <c r="I5" s="5">
        <f>COUNTIFS(Objects!$AC$2:$AC$1089,$A5,Objects!$F$2:$F$1089,I$3)</f>
        <v/>
      </c>
      <c r="J5" s="5">
        <f>COUNTIFS(Objects!$AC$2:$AC$1089,$A5,Objects!$F$2:$F$1089,J$3)</f>
        <v/>
      </c>
      <c r="K5" s="5">
        <f>COUNTIFS(Objects!$AC$2:$AC$1089,$A5,Objects!$F$2:$F$1089,K$3)</f>
        <v/>
      </c>
      <c r="L5" s="5" t="n">
        <v>0</v>
      </c>
      <c r="M5" s="7">
        <f>SUM(B5:L5)</f>
        <v/>
      </c>
      <c r="N5" s="12">
        <f>IFERROR(C5/M5,0)</f>
        <v/>
      </c>
    </row>
    <row r="6">
      <c r="A6" s="5" t="inlineStr">
        <is>
          <t>retaining_wall</t>
        </is>
      </c>
      <c r="B6" s="5">
        <f>COUNTIFS(Objects!$AC$2:$AC$1089,$A6,Objects!$F$2:$F$1089,B$3)</f>
        <v/>
      </c>
      <c r="C6" s="5">
        <f>COUNTIFS(Objects!$AC$2:$AC$1089,$A6,Objects!$F$2:$F$1089,C$3)</f>
        <v/>
      </c>
      <c r="D6" s="5">
        <f>COUNTIFS(Objects!$AC$2:$AC$1089,$A6,Objects!$F$2:$F$1089,D$3)</f>
        <v/>
      </c>
      <c r="E6" s="5">
        <f>COUNTIFS(Objects!$AC$2:$AC$1089,$A6,Objects!$F$2:$F$1089,E$3)</f>
        <v/>
      </c>
      <c r="F6" s="5">
        <f>COUNTIFS(Objects!$AC$2:$AC$1089,$A6,Objects!$F$2:$F$1089,F$3)</f>
        <v/>
      </c>
      <c r="G6" s="5">
        <f>COUNTIFS(Objects!$AC$2:$AC$1089,$A6,Objects!$F$2:$F$1089,G$3)</f>
        <v/>
      </c>
      <c r="H6" s="5">
        <f>COUNTIFS(Objects!$AC$2:$AC$1089,$A6,Objects!$F$2:$F$1089,H$3)</f>
        <v/>
      </c>
      <c r="I6" s="5">
        <f>COUNTIFS(Objects!$AC$2:$AC$1089,$A6,Objects!$F$2:$F$1089,I$3)</f>
        <v/>
      </c>
      <c r="J6" s="5">
        <f>COUNTIFS(Objects!$AC$2:$AC$1089,$A6,Objects!$F$2:$F$1089,J$3)</f>
        <v/>
      </c>
      <c r="K6" s="5">
        <f>COUNTIFS(Objects!$AC$2:$AC$1089,$A6,Objects!$F$2:$F$1089,K$3)</f>
        <v/>
      </c>
      <c r="L6" s="5" t="n">
        <v>0</v>
      </c>
      <c r="M6" s="7">
        <f>SUM(B6:L6)</f>
        <v/>
      </c>
      <c r="N6" s="12">
        <f>IFERROR(D6/M6,0)</f>
        <v/>
      </c>
    </row>
    <row r="7">
      <c r="A7" s="5" t="inlineStr">
        <is>
          <t>isolated_footing</t>
        </is>
      </c>
      <c r="B7" s="5">
        <f>COUNTIFS(Objects!$AC$2:$AC$1089,$A7,Objects!$F$2:$F$1089,B$3)</f>
        <v/>
      </c>
      <c r="C7" s="5">
        <f>COUNTIFS(Objects!$AC$2:$AC$1089,$A7,Objects!$F$2:$F$1089,C$3)</f>
        <v/>
      </c>
      <c r="D7" s="5">
        <f>COUNTIFS(Objects!$AC$2:$AC$1089,$A7,Objects!$F$2:$F$1089,D$3)</f>
        <v/>
      </c>
      <c r="E7" s="5">
        <f>COUNTIFS(Objects!$AC$2:$AC$1089,$A7,Objects!$F$2:$F$1089,E$3)</f>
        <v/>
      </c>
      <c r="F7" s="5">
        <f>COUNTIFS(Objects!$AC$2:$AC$1089,$A7,Objects!$F$2:$F$1089,F$3)</f>
        <v/>
      </c>
      <c r="G7" s="5">
        <f>COUNTIFS(Objects!$AC$2:$AC$1089,$A7,Objects!$F$2:$F$1089,G$3)</f>
        <v/>
      </c>
      <c r="H7" s="5">
        <f>COUNTIFS(Objects!$AC$2:$AC$1089,$A7,Objects!$F$2:$F$1089,H$3)</f>
        <v/>
      </c>
      <c r="I7" s="5">
        <f>COUNTIFS(Objects!$AC$2:$AC$1089,$A7,Objects!$F$2:$F$1089,I$3)</f>
        <v/>
      </c>
      <c r="J7" s="5">
        <f>COUNTIFS(Objects!$AC$2:$AC$1089,$A7,Objects!$F$2:$F$1089,J$3)</f>
        <v/>
      </c>
      <c r="K7" s="5">
        <f>COUNTIFS(Objects!$AC$2:$AC$1089,$A7,Objects!$F$2:$F$1089,K$3)</f>
        <v/>
      </c>
      <c r="L7" s="5" t="n">
        <v>0</v>
      </c>
      <c r="M7" s="7">
        <f>SUM(B7:L7)</f>
        <v/>
      </c>
      <c r="N7" s="12">
        <f>IFERROR(E7/M7,0)</f>
        <v/>
      </c>
    </row>
    <row r="8">
      <c r="A8" s="5" t="inlineStr">
        <is>
          <t>combined_footing</t>
        </is>
      </c>
      <c r="B8" s="5">
        <f>COUNTIFS(Objects!$AC$2:$AC$1089,$A8,Objects!$F$2:$F$1089,B$3)</f>
        <v/>
      </c>
      <c r="C8" s="5">
        <f>COUNTIFS(Objects!$AC$2:$AC$1089,$A8,Objects!$F$2:$F$1089,C$3)</f>
        <v/>
      </c>
      <c r="D8" s="5">
        <f>COUNTIFS(Objects!$AC$2:$AC$1089,$A8,Objects!$F$2:$F$1089,D$3)</f>
        <v/>
      </c>
      <c r="E8" s="5">
        <f>COUNTIFS(Objects!$AC$2:$AC$1089,$A8,Objects!$F$2:$F$1089,E$3)</f>
        <v/>
      </c>
      <c r="F8" s="5">
        <f>COUNTIFS(Objects!$AC$2:$AC$1089,$A8,Objects!$F$2:$F$1089,F$3)</f>
        <v/>
      </c>
      <c r="G8" s="5">
        <f>COUNTIFS(Objects!$AC$2:$AC$1089,$A8,Objects!$F$2:$F$1089,G$3)</f>
        <v/>
      </c>
      <c r="H8" s="5">
        <f>COUNTIFS(Objects!$AC$2:$AC$1089,$A8,Objects!$F$2:$F$1089,H$3)</f>
        <v/>
      </c>
      <c r="I8" s="5">
        <f>COUNTIFS(Objects!$AC$2:$AC$1089,$A8,Objects!$F$2:$F$1089,I$3)</f>
        <v/>
      </c>
      <c r="J8" s="5">
        <f>COUNTIFS(Objects!$AC$2:$AC$1089,$A8,Objects!$F$2:$F$1089,J$3)</f>
        <v/>
      </c>
      <c r="K8" s="5">
        <f>COUNTIFS(Objects!$AC$2:$AC$1089,$A8,Objects!$F$2:$F$1089,K$3)</f>
        <v/>
      </c>
      <c r="L8" s="5" t="n">
        <v>0</v>
      </c>
      <c r="M8" s="7">
        <f>SUM(B8:L8)</f>
        <v/>
      </c>
      <c r="N8" s="12">
        <f>IFERROR(F8/M8,0)</f>
        <v/>
      </c>
    </row>
    <row r="9">
      <c r="A9" s="5" t="inlineStr">
        <is>
          <t>crane_footing</t>
        </is>
      </c>
      <c r="B9" s="5">
        <f>COUNTIFS(Objects!$AC$2:$AC$1089,$A9,Objects!$F$2:$F$1089,B$3)</f>
        <v/>
      </c>
      <c r="C9" s="5">
        <f>COUNTIFS(Objects!$AC$2:$AC$1089,$A9,Objects!$F$2:$F$1089,C$3)</f>
        <v/>
      </c>
      <c r="D9" s="5">
        <f>COUNTIFS(Objects!$AC$2:$AC$1089,$A9,Objects!$F$2:$F$1089,D$3)</f>
        <v/>
      </c>
      <c r="E9" s="5">
        <f>COUNTIFS(Objects!$AC$2:$AC$1089,$A9,Objects!$F$2:$F$1089,E$3)</f>
        <v/>
      </c>
      <c r="F9" s="5">
        <f>COUNTIFS(Objects!$AC$2:$AC$1089,$A9,Objects!$F$2:$F$1089,F$3)</f>
        <v/>
      </c>
      <c r="G9" s="5">
        <f>COUNTIFS(Objects!$AC$2:$AC$1089,$A9,Objects!$F$2:$F$1089,G$3)</f>
        <v/>
      </c>
      <c r="H9" s="5">
        <f>COUNTIFS(Objects!$AC$2:$AC$1089,$A9,Objects!$F$2:$F$1089,H$3)</f>
        <v/>
      </c>
      <c r="I9" s="5">
        <f>COUNTIFS(Objects!$AC$2:$AC$1089,$A9,Objects!$F$2:$F$1089,I$3)</f>
        <v/>
      </c>
      <c r="J9" s="5">
        <f>COUNTIFS(Objects!$AC$2:$AC$1089,$A9,Objects!$F$2:$F$1089,J$3)</f>
        <v/>
      </c>
      <c r="K9" s="5">
        <f>COUNTIFS(Objects!$AC$2:$AC$1089,$A9,Objects!$F$2:$F$1089,K$3)</f>
        <v/>
      </c>
      <c r="L9" s="5" t="n">
        <v>0</v>
      </c>
      <c r="M9" s="7">
        <f>SUM(B9:L9)</f>
        <v/>
      </c>
      <c r="N9" s="12">
        <f>IFERROR(E9/M9,0)</f>
        <v/>
      </c>
    </row>
    <row r="10">
      <c r="A10" s="5" t="inlineStr">
        <is>
          <t>mass_concrete_pad</t>
        </is>
      </c>
      <c r="B10" s="5">
        <f>COUNTIFS(Objects!$AC$2:$AC$1089,$A10,Objects!$F$2:$F$1089,B$3)</f>
        <v/>
      </c>
      <c r="C10" s="5">
        <f>COUNTIFS(Objects!$AC$2:$AC$1089,$A10,Objects!$F$2:$F$1089,C$3)</f>
        <v/>
      </c>
      <c r="D10" s="5">
        <f>COUNTIFS(Objects!$AC$2:$AC$1089,$A10,Objects!$F$2:$F$1089,D$3)</f>
        <v/>
      </c>
      <c r="E10" s="5">
        <f>COUNTIFS(Objects!$AC$2:$AC$1089,$A10,Objects!$F$2:$F$1089,E$3)</f>
        <v/>
      </c>
      <c r="F10" s="5">
        <f>COUNTIFS(Objects!$AC$2:$AC$1089,$A10,Objects!$F$2:$F$1089,F$3)</f>
        <v/>
      </c>
      <c r="G10" s="5">
        <f>COUNTIFS(Objects!$AC$2:$AC$1089,$A10,Objects!$F$2:$F$1089,G$3)</f>
        <v/>
      </c>
      <c r="H10" s="5">
        <f>COUNTIFS(Objects!$AC$2:$AC$1089,$A10,Objects!$F$2:$F$1089,H$3)</f>
        <v/>
      </c>
      <c r="I10" s="5">
        <f>COUNTIFS(Objects!$AC$2:$AC$1089,$A10,Objects!$F$2:$F$1089,I$3)</f>
        <v/>
      </c>
      <c r="J10" s="5">
        <f>COUNTIFS(Objects!$AC$2:$AC$1089,$A10,Objects!$F$2:$F$1089,J$3)</f>
        <v/>
      </c>
      <c r="K10" s="5">
        <f>COUNTIFS(Objects!$AC$2:$AC$1089,$A10,Objects!$F$2:$F$1089,K$3)</f>
        <v/>
      </c>
      <c r="L10" s="5" t="n">
        <v>0</v>
      </c>
      <c r="M10" s="7">
        <f>SUM(B10:L10)</f>
        <v/>
      </c>
    </row>
    <row r="12">
      <c r="A12" s="8" t="inlineStr">
        <is>
          <t>Crane footings count as isolated footings. Concrete pads carry no label, so no class can be expected for them. 'Not found' = no object overlapping the verified shape by 80%.</t>
        </is>
      </c>
    </row>
    <row r="14">
      <c r="A14" s="7" t="inlineStr">
        <is>
          <t>Band widths found in the drawing</t>
        </is>
      </c>
    </row>
    <row r="15" ht="30" customHeight="1">
      <c r="A15" s="4" t="inlineStr">
        <is>
          <t>Width (m)</t>
        </is>
      </c>
      <c r="B15" s="4" t="inlineStr">
        <is>
          <t>Paired line length (m)</t>
        </is>
      </c>
      <c r="C15" s="4" t="inlineStr">
        <is>
          <t>Share filled</t>
        </is>
      </c>
      <c r="D15" s="4" t="inlineStr">
        <is>
          <t>Cluster class</t>
        </is>
      </c>
    </row>
    <row r="16">
      <c r="A16" s="5" t="n">
        <v>0.11</v>
      </c>
      <c r="B16" s="5" t="n">
        <v>213.7</v>
      </c>
      <c r="C16" s="5" t="n">
        <v>0</v>
      </c>
      <c r="D16" s="5" t="inlineStr">
        <is>
          <t>unnamed</t>
        </is>
      </c>
    </row>
    <row r="17">
      <c r="A17" s="5" t="n">
        <v>0.2</v>
      </c>
      <c r="B17" s="5" t="n">
        <v>163.8</v>
      </c>
      <c r="C17" s="5" t="n">
        <v>0</v>
      </c>
      <c r="D17" s="5" t="inlineStr">
        <is>
          <t>unnamed</t>
        </is>
      </c>
    </row>
    <row r="18">
      <c r="A18" s="5" t="n">
        <v>0.26</v>
      </c>
      <c r="B18" s="5" t="n">
        <v>74.40000000000001</v>
      </c>
      <c r="C18" s="5" t="n">
        <v>0.08</v>
      </c>
      <c r="D18" s="5" t="inlineStr">
        <is>
          <t>grade_beam</t>
        </is>
      </c>
    </row>
    <row r="19">
      <c r="A19" s="5" t="n">
        <v>0.31</v>
      </c>
      <c r="B19" s="5" t="n">
        <v>452</v>
      </c>
      <c r="C19" s="5" t="n">
        <v>0</v>
      </c>
      <c r="D19" s="5" t="inlineStr">
        <is>
          <t>unnamed</t>
        </is>
      </c>
    </row>
    <row r="20">
      <c r="A20" s="5" t="n">
        <v>0.41</v>
      </c>
      <c r="B20" s="5" t="n">
        <v>1752.5</v>
      </c>
      <c r="C20" s="5" t="n">
        <v>0.07000000000000001</v>
      </c>
      <c r="D20" s="5" t="inlineStr">
        <is>
          <t>grade_beam</t>
        </is>
      </c>
    </row>
    <row r="21">
      <c r="A21" s="5" t="n">
        <v>0.49</v>
      </c>
      <c r="B21" s="5" t="n">
        <v>136.6</v>
      </c>
      <c r="C21" s="5" t="n">
        <v>0.02</v>
      </c>
      <c r="D21" s="5" t="inlineStr">
        <is>
          <t>unnamed</t>
        </is>
      </c>
    </row>
    <row r="22">
      <c r="A22" s="5" t="n">
        <v>0.8</v>
      </c>
      <c r="B22" s="5" t="n">
        <v>594.1</v>
      </c>
      <c r="C22" s="5" t="n">
        <v>0.23</v>
      </c>
      <c r="D22" s="5" t="inlineStr">
        <is>
          <t>strip_footing</t>
        </is>
      </c>
    </row>
    <row r="23">
      <c r="A23" s="5" t="n">
        <v>0.84</v>
      </c>
      <c r="B23" s="5" t="n">
        <v>396.7</v>
      </c>
      <c r="C23" s="5" t="n">
        <v>0</v>
      </c>
      <c r="D23" s="5" t="inlineStr">
        <is>
          <t>unnamed</t>
        </is>
      </c>
    </row>
    <row r="24">
      <c r="A24" s="5" t="n">
        <v>0.9399999999999999</v>
      </c>
      <c r="B24" s="5" t="n">
        <v>205.8</v>
      </c>
      <c r="C24" s="5" t="n">
        <v>0.01</v>
      </c>
      <c r="D24" s="5" t="inlineStr">
        <is>
          <t>unnamed</t>
        </is>
      </c>
    </row>
    <row r="25">
      <c r="A25" s="5" t="n">
        <v>0.99</v>
      </c>
      <c r="B25" s="5" t="n">
        <v>368.6</v>
      </c>
      <c r="C25" s="5" t="n">
        <v>0</v>
      </c>
      <c r="D25" s="5" t="inlineStr">
        <is>
          <t>unnamed</t>
        </is>
      </c>
    </row>
    <row r="26">
      <c r="A26" s="5" t="n">
        <v>1.21</v>
      </c>
      <c r="B26" s="5" t="n">
        <v>86.40000000000001</v>
      </c>
      <c r="C26" s="5" t="n">
        <v>0.06</v>
      </c>
      <c r="D26" s="5" t="inlineStr">
        <is>
          <t>unnamed</t>
        </is>
      </c>
    </row>
    <row r="27">
      <c r="A27" s="5" t="n">
        <v>1.34</v>
      </c>
      <c r="B27" s="5" t="n">
        <v>92.59999999999999</v>
      </c>
      <c r="C27" s="5" t="n">
        <v>0.01</v>
      </c>
      <c r="D27" s="5" t="inlineStr">
        <is>
          <t>unnamed</t>
        </is>
      </c>
    </row>
    <row r="28">
      <c r="A28" s="5" t="n">
        <v>1.4</v>
      </c>
      <c r="B28" s="5" t="n">
        <v>74.09999999999999</v>
      </c>
      <c r="C28" s="5" t="n">
        <v>0.01</v>
      </c>
      <c r="D28" s="5" t="inlineStr">
        <is>
          <t>unnamed</t>
        </is>
      </c>
    </row>
    <row r="29">
      <c r="A29" s="5" t="n">
        <v>1.45</v>
      </c>
      <c r="B29" s="5" t="n">
        <v>361.9</v>
      </c>
      <c r="C29" s="5" t="n">
        <v>0</v>
      </c>
      <c r="D29" s="5" t="inlineStr">
        <is>
          <t>unnamed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2026-09-26T21:26:01Z</dcterms:created>
  <dcterms:modified xsi:type="dcterms:W3CDTF">2026-09-26T21:26:02Z</dcterms:modified>
</cp:coreProperties>
</file>