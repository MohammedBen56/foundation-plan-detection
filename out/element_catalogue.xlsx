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comments/comment1.xml" ContentType="application/vnd.openxmlformats-officedocument.spreadsheetml.comments+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ME" sheetId="1" state="visible" r:id="rId1"/>
    <sheet name="Summary by building" sheetId="2" state="visible" r:id="rId2"/>
    <sheet name="Elements" sheetId="3" state="visible" r:id="rId3"/>
    <sheet name="Marks by family" sheetId="4" state="visible" r:id="rId4"/>
    <sheet name="P vs V" sheetId="5" state="visible" r:id="rId5"/>
    <sheet name="LG junctions" sheetId="6" state="visible" r:id="rId6"/>
    <sheet name="Validation" sheetId="7" state="visible" r:id="rId7"/>
  </sheets>
  <definedNames>
    <definedName name="_xlnm._FilterDatabase" localSheetId="1" hidden="1">'Summary by building'!$A$1:$M$264</definedName>
    <definedName name="_xlnm._FilterDatabase" localSheetId="2" hidden="1">'Elements'!$A$1:$AM$862</definedName>
  </definedNames>
  <calcPr calcId="124519" fullCalcOnLoad="1"/>
</workbook>
</file>

<file path=xl/styles.xml><?xml version="1.0" encoding="utf-8"?>
<styleSheet xmlns="http://schemas.openxmlformats.org/spreadsheetml/2006/main">
  <numFmts count="2">
    <numFmt numFmtId="164" formatCode="0.0"/>
    <numFmt numFmtId="165" formatCode="0.0%"/>
  </numFmts>
  <fonts count="7">
    <font>
      <name val="Calibri"/>
      <family val="2"/>
      <color theme="1"/>
      <sz val="11"/>
      <scheme val="minor"/>
    </font>
    <font>
      <name val="Arial"/>
      <b val="1"/>
      <sz val="14"/>
    </font>
    <font>
      <name val="Arial"/>
      <sz val="10"/>
    </font>
    <font>
      <name val="Arial"/>
      <b val="1"/>
      <sz val="10"/>
    </font>
    <font>
      <name val="Arial"/>
      <b val="1"/>
      <color rgb="00FFFFFF"/>
    </font>
    <font>
      <name val="Arial"/>
      <i val="1"/>
      <sz val="9"/>
    </font>
    <font>
      <name val="Arial"/>
      <color rgb="000000FF"/>
      <sz val="10"/>
    </font>
  </fonts>
  <fills count="4">
    <fill>
      <patternFill/>
    </fill>
    <fill>
      <patternFill patternType="gray125"/>
    </fill>
    <fill>
      <patternFill patternType="solid">
        <fgColor rgb="002F4F6F"/>
      </patternFill>
    </fill>
    <fill>
      <patternFill patternType="solid">
        <fgColor rgb="00FFFF00"/>
      </patternFill>
    </fill>
  </fills>
  <borders count="1">
    <border>
      <left/>
      <right/>
      <top/>
      <bottom/>
      <diagonal/>
    </border>
  </borders>
  <cellStyleXfs count="1">
    <xf numFmtId="0" fontId="0" fillId="0" borderId="0"/>
  </cellStyleXfs>
  <cellXfs count="19">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4" fillId="2" borderId="0" applyAlignment="1" pivotButton="0" quotePrefix="0" xfId="0">
      <alignment vertical="center" wrapText="1"/>
    </xf>
    <xf numFmtId="0" fontId="2" fillId="0" borderId="0" pivotButton="0" quotePrefix="0" xfId="0"/>
    <xf numFmtId="164" fontId="2" fillId="0" borderId="0" pivotButton="0" quotePrefix="0" xfId="0"/>
    <xf numFmtId="0" fontId="3" fillId="0" borderId="0" pivotButton="0" quotePrefix="0" xfId="0"/>
    <xf numFmtId="0" fontId="5" fillId="0" borderId="0" pivotButton="0" quotePrefix="0" xfId="0"/>
    <xf numFmtId="2" fontId="2" fillId="0" borderId="0" pivotButton="0" quotePrefix="0" xfId="0"/>
    <xf numFmtId="9" fontId="2" fillId="0" borderId="0" pivotButton="0" quotePrefix="0" xfId="0"/>
    <xf numFmtId="0" fontId="1" fillId="0" borderId="0" pivotButton="0" quotePrefix="0" xfId="0"/>
    <xf numFmtId="0" fontId="6" fillId="3" borderId="0" pivotButton="0" quotePrefix="0" xfId="0"/>
    <xf numFmtId="0" fontId="4" fillId="2" borderId="0" pivotButton="0" quotePrefix="0" xfId="0"/>
    <xf numFmtId="165" fontId="0" fillId="0" borderId="0" pivotButton="0" quotePrefix="0" xfId="0"/>
    <xf numFmtId="1" fontId="2" fillId="0" borderId="0" pivotButton="0" quotePrefix="0" xfId="0"/>
    <xf numFmtId="2" fontId="0" fillId="0" borderId="0" pivotButton="0" quotePrefix="0" xfId="0"/>
    <xf numFmtId="0" fontId="4" fillId="2" borderId="0" applyAlignment="1" pivotButton="0" quotePrefix="0" xfId="0">
      <alignment wrapText="1"/>
    </xf>
    <xf numFmtId="165"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comments/comment1.xml><?xml version="1.0" encoding="utf-8"?>
<comments xmlns="http://schemas.openxmlformats.org/spreadsheetml/2006/main">
  <authors>
    <author>element_stats</author>
  </authors>
  <commentList>
    <comment ref="B3" authorId="0" shapeId="0">
      <text>
        <t>EN 1992-1-1 5.3.1(7): a column's section depth does not exceed 4 times its width. Change to test other thresholds; the EC2 test column on 'Elements' follows.</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A29"/>
  <sheetViews>
    <sheetView workbookViewId="0">
      <selection activeCell="A1" sqref="A1"/>
    </sheetView>
  </sheetViews>
  <sheetFormatPr baseColWidth="8" defaultRowHeight="15"/>
  <cols>
    <col width="130" customWidth="1" min="1" max="1"/>
  </cols>
  <sheetData>
    <row r="1">
      <c r="A1" s="1" t="inlineStr">
        <is>
          <t>Structural element catalogue, detected without colour or CAD layer</t>
        </is>
      </c>
    </row>
    <row r="2">
      <c r="A2" s="2" t="inlineStr"/>
    </row>
    <row r="3">
      <c r="A3" s="3" t="inlineStr">
        <is>
          <t>What this is</t>
        </is>
      </c>
    </row>
    <row r="4">
      <c r="A4" s="2" t="inlineStr">
        <is>
          <t>Every element found on the plan by geometry and text alone: drawing structure (solid fill, cross-hatch, closed outline, parallel line pair, dash chain), size, relative position and the plan's label grammar. Colour and layer appear only in the two '(validation only)' columns, to grade the result against the verified, colour-based detections (out/detections.json from detect_structures.py).</t>
        </is>
      </c>
    </row>
    <row r="5">
      <c r="A5" s="2" t="inlineStr"/>
    </row>
    <row r="6">
      <c r="A6" s="3" t="inlineStr">
        <is>
          <t>Sheets</t>
        </is>
      </c>
    </row>
    <row r="7">
      <c r="A7" s="2" t="inlineStr">
        <is>
          <t>Summary by building - one row per building, element family and type: count, size range, totals, consistency. Formulas over 'Elements'.</t>
        </is>
      </c>
    </row>
    <row r="8">
      <c r="A8" s="2" t="inlineStr">
        <is>
          <t>Elements - one row per detected element with its dimensions, colour-free marks and pixel box (150 dpi page render).</t>
        </is>
      </c>
    </row>
    <row r="9">
      <c r="A9" s="2" t="inlineStr">
        <is>
          <t>Marks by family - share of each family carrying each colour-free mark, and the same share among all other families.</t>
        </is>
      </c>
    </row>
    <row r="10">
      <c r="A10" s="2" t="inlineStr">
        <is>
          <t>P vs V - the EN 1992-1-1 column/wall test against the verified classes; threshold editable (yellow cell).</t>
        </is>
      </c>
    </row>
    <row r="11">
      <c r="A11" s="2" t="inlineStr">
        <is>
          <t>LG junctions - what sits where two grade beams meet, per building.</t>
        </is>
      </c>
    </row>
    <row r="12">
      <c r="A12" s="2" t="inlineStr">
        <is>
          <t>Validation - colour-free detections graded against the verified set, and how the band widths were chosen.</t>
        </is>
      </c>
    </row>
    <row r="13">
      <c r="A13" s="2" t="inlineStr"/>
    </row>
    <row r="14">
      <c r="A14" s="3" t="inlineStr">
        <is>
          <t>Scale</t>
        </is>
      </c>
    </row>
    <row r="15">
      <c r="A15" s="2" t="inlineStr">
        <is>
          <t>1/200.0 (14.173 PDF points per metre), fitted from 222 of 266 dimension texts against their dimension lines, median error 0.24 cm.</t>
        </is>
      </c>
    </row>
    <row r="16">
      <c r="A16" s="2" t="inlineStr"/>
    </row>
    <row r="17">
      <c r="A17" s="3" t="inlineStr">
        <is>
          <t>Sources for the rules</t>
        </is>
      </c>
    </row>
    <row r="18">
      <c r="A18" s="2" t="inlineStr">
        <is>
          <t>Column vs wall: EN 1992-1-1 (Eurocode 2) 5.3.1(7) - a member whose section depth does not exceed 4 times its width is a column, otherwise it is treated as a wall. Applied to sizes rounded to the centimetre.</t>
        </is>
      </c>
    </row>
    <row r="19">
      <c r="A19" s="2" t="inlineStr">
        <is>
          <t>Paint order: AutoCAD writes the pieces of one drawn object one after another in the PDF, so consecutive filled pieces that touch are grouped into one object. This separates a column from the wall it touches without colour.</t>
        </is>
      </c>
    </row>
    <row r="20">
      <c r="A20" s="2" t="inlineStr">
        <is>
          <t>Band widths: the number written in LG / SF labels that has a parallel line pair of exactly that width next to most of those labels (see Validation).</t>
        </is>
      </c>
    </row>
    <row r="21">
      <c r="A21" s="2" t="inlineStr"/>
    </row>
    <row r="22">
      <c r="A22" s="3" t="inlineStr">
        <is>
          <t>Caveats</t>
        </is>
      </c>
    </row>
    <row r="23">
      <c r="A23" s="2" t="inlineStr">
        <is>
          <t>Buildings for elements without a building number in their own label are the majority of the 5 nearest labels that have one ('Building source' gives the agreement).</t>
        </is>
      </c>
    </row>
    <row r="24">
      <c r="A24" s="2" t="inlineStr">
        <is>
          <t>Grade beams are counted as spans between supports (footings, walls, columns, pads); strip footings as continuous runs.</t>
        </is>
      </c>
    </row>
    <row r="25">
      <c r="A25" s="2" t="inlineStr">
        <is>
          <t>Raft extents come from the corner diagonals drawn to the 'Radier' stamp; sump pits are sized from their text.</t>
        </is>
      </c>
    </row>
    <row r="26">
      <c r="A26" s="2" t="inlineStr">
        <is>
          <t>Walls drawn as one long object together with the wall they continue are split into straight stretches; a short V wall in line with a longer wall of another thickness can stay merged, and its V label then finds no wall of its size (listed on 'Validation').</t>
        </is>
      </c>
    </row>
    <row r="27">
      <c r="A27" s="2" t="inlineStr">
        <is>
          <t>At building joints two identical walls of neighbouring buildings stand side by side; their labels can swap.</t>
        </is>
      </c>
    </row>
    <row r="28">
      <c r="A28" s="2" t="inlineStr">
        <is>
          <t>Unlabelled walls standing on a raft are reported as 'core_wall_solid' (lift and stair cores carry no V mark on this plan); unlabelled walls elsewhere stay 'shear_wall' with type '(none)'.</t>
        </is>
      </c>
    </row>
    <row r="29">
      <c r="A29" s="2" t="inlineStr">
        <is>
          <t>Formulas were written with openpyxl and are set to recalculate when the file is opened. LibreOffice was not available to pre-compute them; they were evaluated with the Python 'formulas' engine instead (no errors) and spot-checked against pandas.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267"/>
  <sheetViews>
    <sheetView workbookViewId="0">
      <pane xSplit="4" ySplit="1" topLeftCell="E2" activePane="bottomRight" state="frozen"/>
      <selection pane="topRight"/>
      <selection pane="bottomLeft"/>
      <selection pane="bottomRight" activeCell="A1" sqref="A1"/>
    </sheetView>
  </sheetViews>
  <sheetFormatPr baseColWidth="8" defaultRowHeight="15"/>
  <cols>
    <col width="9" customWidth="1" min="1" max="1"/>
    <col width="17" customWidth="1" min="2" max="2"/>
    <col width="19" customWidth="1" min="3" max="3"/>
    <col width="16" customWidth="1" min="4" max="4"/>
    <col width="7" customWidth="1" min="5" max="5"/>
    <col width="9" customWidth="1" min="6" max="6"/>
    <col width="9" customWidth="1" min="7" max="7"/>
    <col width="9" customWidth="1" min="8" max="8"/>
    <col width="9" customWidth="1" min="9" max="9"/>
    <col width="11" customWidth="1" min="10" max="10"/>
    <col width="10" customWidth="1" min="11" max="11"/>
    <col width="10" customWidth="1" min="12" max="12"/>
    <col width="90" customWidth="1" min="13" max="13"/>
  </cols>
  <sheetData>
    <row r="1" ht="32" customHeight="1">
      <c r="A1" s="4" t="inlineStr">
        <is>
          <t>Building</t>
        </is>
      </c>
      <c r="B1" s="4" t="inlineStr">
        <is>
          <t>Family</t>
        </is>
      </c>
      <c r="C1" s="4" t="inlineStr">
        <is>
          <t>Subclass</t>
        </is>
      </c>
      <c r="D1" s="4" t="inlineStr">
        <is>
          <t>Type key</t>
        </is>
      </c>
      <c r="E1" s="4" t="inlineStr">
        <is>
          <t>Count</t>
        </is>
      </c>
      <c r="F1" s="4" t="inlineStr">
        <is>
          <t>Length min (cm)</t>
        </is>
      </c>
      <c r="G1" s="4" t="inlineStr">
        <is>
          <t>Length max (cm)</t>
        </is>
      </c>
      <c r="H1" s="4" t="inlineStr">
        <is>
          <t>Width min (cm)</t>
        </is>
      </c>
      <c r="I1" s="4" t="inlineStr">
        <is>
          <t>Width max (cm)</t>
        </is>
      </c>
      <c r="J1" s="4" t="inlineStr">
        <is>
          <t>Same section throughout?</t>
        </is>
      </c>
      <c r="K1" s="4" t="inlineStr">
        <is>
          <t>Total span/run (m)</t>
        </is>
      </c>
      <c r="L1" s="4" t="inlineStr">
        <is>
          <t>Total area (m²)</t>
        </is>
      </c>
      <c r="M1" s="4" t="inlineStr">
        <is>
          <t>Colour-free identifying marks</t>
        </is>
      </c>
    </row>
    <row r="2">
      <c r="A2" s="5" t="inlineStr">
        <is>
          <t>120</t>
        </is>
      </c>
      <c r="B2" s="5" t="inlineStr">
        <is>
          <t>column</t>
        </is>
      </c>
      <c r="C2" s="5" t="inlineStr">
        <is>
          <t>column</t>
        </is>
      </c>
      <c r="D2" s="5" t="inlineStr">
        <is>
          <t>P1/120</t>
        </is>
      </c>
      <c r="E2" s="5">
        <f>COUNTIFS(Elements!$B$2:$B$862,$A2,Elements!$D$2:$D$862,$B2,Elements!$E$2:$E$862,$C2,Elements!$F$2:$F$862,$D2)</f>
        <v/>
      </c>
      <c r="F2" s="5">
        <f>IFERROR(_xlfn.MINIFS(Elements!$I$2:$I$862,Elements!$B$2:$B$862,$A2,Elements!$D$2:$D$862,$B2,Elements!$E$2:$E$862,$C2,Elements!$F$2:$F$862,$D2),"")</f>
        <v/>
      </c>
      <c r="G2" s="5">
        <f>IFERROR(_xlfn.MAXIFS(Elements!$I$2:$I$862,Elements!$B$2:$B$862,$A2,Elements!$D$2:$D$862,$B2,Elements!$E$2:$E$862,$C2,Elements!$F$2:$F$862,$D2),"")</f>
        <v/>
      </c>
      <c r="H2" s="5">
        <f>IFERROR(_xlfn.MINIFS(Elements!$J$2:$J$862,Elements!$B$2:$B$862,$A2,Elements!$D$2:$D$862,$B2,Elements!$E$2:$E$862,$C2,Elements!$F$2:$F$862,$D2),"")</f>
        <v/>
      </c>
      <c r="I2" s="5">
        <f>IFERROR(_xlfn.MAXIFS(Elements!$J$2:$J$862,Elements!$B$2:$B$862,$A2,Elements!$D$2:$D$862,$B2,Elements!$E$2:$E$862,$C2,Elements!$F$2:$F$862,$D2),"")</f>
        <v/>
      </c>
      <c r="J2" s="5">
        <f>IF(OR(F2="",H2=""),"",IF(OR(B2="raft",B2="sump_pit",B2="crane_foundation",D2="(none)"),"n/a",IF(OR(B2="column",B2="footing",B2="mass_concrete_pad",AND(B2="wall",C2="shear_wall",D2&lt;&gt;"(none)")),IF(AND(G2-F2&lt;=3,I2-H2&lt;=3),"yes","no"),IF(I2-H2&lt;=3,"yes (thickness)","no (thickness)"))))</f>
        <v/>
      </c>
      <c r="K2" s="6">
        <f>SUMIFS(Elements!$M$2:$M$862,Elements!$B$2:$B$862,$A2,Elements!$D$2:$D$862,$B2,Elements!$E$2:$E$862,$C2,Elements!$F$2:$F$862,$D2)</f>
        <v/>
      </c>
      <c r="L2" s="6">
        <f>SUMIFS(Elements!$L$2:$L$862,Elements!$B$2:$B$862,$A2,Elements!$D$2:$D$862,$B2,Elements!$E$2:$E$862,$C2,Elements!$F$2:$F$862,$D2)</f>
        <v/>
      </c>
      <c r="M2" s="2" t="inlineStr">
        <is>
          <t>solid fill; 40-120 x 25-50 cm; L/W 1.60-4.00; inside a footing outline 37%; on a raft 63%; touching a hatched core wall 26%; in a strip-footing band 0%; at a grade-beam junction 26%</t>
        </is>
      </c>
    </row>
    <row r="3">
      <c r="A3" s="5" t="inlineStr">
        <is>
          <t>120</t>
        </is>
      </c>
      <c r="B3" s="5" t="inlineStr">
        <is>
          <t>footing</t>
        </is>
      </c>
      <c r="C3" s="5" t="inlineStr">
        <is>
          <t>combined_footing</t>
        </is>
      </c>
      <c r="D3" s="5" t="inlineStr">
        <is>
          <t>SC3</t>
        </is>
      </c>
      <c r="E3" s="5">
        <f>COUNTIFS(Elements!$B$2:$B$862,$A3,Elements!$D$2:$D$862,$B3,Elements!$E$2:$E$862,$C3,Elements!$F$2:$F$862,$D3)</f>
        <v/>
      </c>
      <c r="F3" s="5">
        <f>IFERROR(_xlfn.MINIFS(Elements!$I$2:$I$862,Elements!$B$2:$B$862,$A3,Elements!$D$2:$D$862,$B3,Elements!$E$2:$E$862,$C3,Elements!$F$2:$F$862,$D3),"")</f>
        <v/>
      </c>
      <c r="G3" s="5">
        <f>IFERROR(_xlfn.MAXIFS(Elements!$I$2:$I$862,Elements!$B$2:$B$862,$A3,Elements!$D$2:$D$862,$B3,Elements!$E$2:$E$862,$C3,Elements!$F$2:$F$862,$D3),"")</f>
        <v/>
      </c>
      <c r="H3" s="5">
        <f>IFERROR(_xlfn.MINIFS(Elements!$J$2:$J$862,Elements!$B$2:$B$862,$A3,Elements!$D$2:$D$862,$B3,Elements!$E$2:$E$862,$C3,Elements!$F$2:$F$862,$D3),"")</f>
        <v/>
      </c>
      <c r="I3" s="5">
        <f>IFERROR(_xlfn.MAXIFS(Elements!$J$2:$J$862,Elements!$B$2:$B$862,$A3,Elements!$D$2:$D$862,$B3,Elements!$E$2:$E$862,$C3,Elements!$F$2:$F$862,$D3),"")</f>
        <v/>
      </c>
      <c r="J3" s="5">
        <f>IF(OR(F3="",H3=""),"",IF(OR(B3="raft",B3="sump_pit",B3="crane_foundation",D3="(none)"),"n/a",IF(OR(B3="column",B3="footing",B3="mass_concrete_pad",AND(B3="wall",C3="shear_wall",D3&lt;&gt;"(none)")),IF(AND(G3-F3&lt;=3,I3-H3&lt;=3),"yes","no"),IF(I3-H3&lt;=3,"yes (thickness)","no (thickness)"))))</f>
        <v/>
      </c>
      <c r="K3" s="6">
        <f>SUMIFS(Elements!$M$2:$M$862,Elements!$B$2:$B$862,$A3,Elements!$D$2:$D$862,$B3,Elements!$E$2:$E$862,$C3,Elements!$F$2:$F$862,$D3)</f>
        <v/>
      </c>
      <c r="L3" s="6">
        <f>SUMIFS(Elements!$L$2:$L$862,Elements!$B$2:$B$862,$A3,Elements!$D$2:$D$862,$B3,Elements!$E$2:$E$862,$C3,Elements!$F$2:$F$862,$D3)</f>
        <v/>
      </c>
      <c r="M3" s="2" t="inlineStr">
        <is>
          <t>closed outline; 350-600 x 200-450 cm; carries wall+wall (24), column+wall (3), wall+wall+wall+wall (1); grade beam crossing it 93%</t>
        </is>
      </c>
    </row>
    <row r="4">
      <c r="A4" s="5" t="inlineStr">
        <is>
          <t>120</t>
        </is>
      </c>
      <c r="B4" s="5" t="inlineStr">
        <is>
          <t>footing</t>
        </is>
      </c>
      <c r="C4" s="5" t="inlineStr">
        <is>
          <t>isolated_footing</t>
        </is>
      </c>
      <c r="D4" s="5" t="inlineStr">
        <is>
          <t>S1</t>
        </is>
      </c>
      <c r="E4" s="5">
        <f>COUNTIFS(Elements!$B$2:$B$862,$A4,Elements!$D$2:$D$862,$B4,Elements!$E$2:$E$862,$C4,Elements!$F$2:$F$862,$D4)</f>
        <v/>
      </c>
      <c r="F4" s="5">
        <f>IFERROR(_xlfn.MINIFS(Elements!$I$2:$I$862,Elements!$B$2:$B$862,$A4,Elements!$D$2:$D$862,$B4,Elements!$E$2:$E$862,$C4,Elements!$F$2:$F$862,$D4),"")</f>
        <v/>
      </c>
      <c r="G4" s="5">
        <f>IFERROR(_xlfn.MAXIFS(Elements!$I$2:$I$862,Elements!$B$2:$B$862,$A4,Elements!$D$2:$D$862,$B4,Elements!$E$2:$E$862,$C4,Elements!$F$2:$F$862,$D4),"")</f>
        <v/>
      </c>
      <c r="H4" s="5">
        <f>IFERROR(_xlfn.MINIFS(Elements!$J$2:$J$862,Elements!$B$2:$B$862,$A4,Elements!$D$2:$D$862,$B4,Elements!$E$2:$E$862,$C4,Elements!$F$2:$F$862,$D4),"")</f>
        <v/>
      </c>
      <c r="I4" s="5">
        <f>IFERROR(_xlfn.MAXIFS(Elements!$J$2:$J$862,Elements!$B$2:$B$862,$A4,Elements!$D$2:$D$862,$B4,Elements!$E$2:$E$862,$C4,Elements!$F$2:$F$862,$D4),"")</f>
        <v/>
      </c>
      <c r="J4" s="5">
        <f>IF(OR(F4="",H4=""),"",IF(OR(B4="raft",B4="sump_pit",B4="crane_foundation",D4="(none)"),"n/a",IF(OR(B4="column",B4="footing",B4="mass_concrete_pad",AND(B4="wall",C4="shear_wall",D4&lt;&gt;"(none)")),IF(AND(G4-F4&lt;=3,I4-H4&lt;=3),"yes","no"),IF(I4-H4&lt;=3,"yes (thickness)","no (thickness)"))))</f>
        <v/>
      </c>
      <c r="K4" s="6">
        <f>SUMIFS(Elements!$M$2:$M$862,Elements!$B$2:$B$862,$A4,Elements!$D$2:$D$862,$B4,Elements!$E$2:$E$862,$C4,Elements!$F$2:$F$862,$D4)</f>
        <v/>
      </c>
      <c r="L4" s="6">
        <f>SUMIFS(Elements!$L$2:$L$862,Elements!$B$2:$B$862,$A4,Elements!$D$2:$D$862,$B4,Elements!$E$2:$E$862,$C4,Elements!$F$2:$F$862,$D4)</f>
        <v/>
      </c>
      <c r="M4" s="2" t="inlineStr">
        <is>
          <t>closed outline; 150-600 x 150-450 cm; carries wall (64), column (9), wall+wall (1); grade beam crossing it 95%</t>
        </is>
      </c>
    </row>
    <row r="5">
      <c r="A5" s="5" t="inlineStr">
        <is>
          <t>120</t>
        </is>
      </c>
      <c r="B5" s="5" t="inlineStr">
        <is>
          <t>footing</t>
        </is>
      </c>
      <c r="C5" s="5" t="inlineStr">
        <is>
          <t>isolated_footing</t>
        </is>
      </c>
      <c r="D5" s="5" t="inlineStr">
        <is>
          <t>S2</t>
        </is>
      </c>
      <c r="E5" s="5">
        <f>COUNTIFS(Elements!$B$2:$B$862,$A5,Elements!$D$2:$D$862,$B5,Elements!$E$2:$E$862,$C5,Elements!$F$2:$F$862,$D5)</f>
        <v/>
      </c>
      <c r="F5" s="5">
        <f>IFERROR(_xlfn.MINIFS(Elements!$I$2:$I$862,Elements!$B$2:$B$862,$A5,Elements!$D$2:$D$862,$B5,Elements!$E$2:$E$862,$C5,Elements!$F$2:$F$862,$D5),"")</f>
        <v/>
      </c>
      <c r="G5" s="5">
        <f>IFERROR(_xlfn.MAXIFS(Elements!$I$2:$I$862,Elements!$B$2:$B$862,$A5,Elements!$D$2:$D$862,$B5,Elements!$E$2:$E$862,$C5,Elements!$F$2:$F$862,$D5),"")</f>
        <v/>
      </c>
      <c r="H5" s="5">
        <f>IFERROR(_xlfn.MINIFS(Elements!$J$2:$J$862,Elements!$B$2:$B$862,$A5,Elements!$D$2:$D$862,$B5,Elements!$E$2:$E$862,$C5,Elements!$F$2:$F$862,$D5),"")</f>
        <v/>
      </c>
      <c r="I5" s="5">
        <f>IFERROR(_xlfn.MAXIFS(Elements!$J$2:$J$862,Elements!$B$2:$B$862,$A5,Elements!$D$2:$D$862,$B5,Elements!$E$2:$E$862,$C5,Elements!$F$2:$F$862,$D5),"")</f>
        <v/>
      </c>
      <c r="J5" s="5">
        <f>IF(OR(F5="",H5=""),"",IF(OR(B5="raft",B5="sump_pit",B5="crane_foundation",D5="(none)"),"n/a",IF(OR(B5="column",B5="footing",B5="mass_concrete_pad",AND(B5="wall",C5="shear_wall",D5&lt;&gt;"(none)")),IF(AND(G5-F5&lt;=3,I5-H5&lt;=3),"yes","no"),IF(I5-H5&lt;=3,"yes (thickness)","no (thickness)"))))</f>
        <v/>
      </c>
      <c r="K5" s="6">
        <f>SUMIFS(Elements!$M$2:$M$862,Elements!$B$2:$B$862,$A5,Elements!$D$2:$D$862,$B5,Elements!$E$2:$E$862,$C5,Elements!$F$2:$F$862,$D5)</f>
        <v/>
      </c>
      <c r="L5" s="6">
        <f>SUMIFS(Elements!$L$2:$L$862,Elements!$B$2:$B$862,$A5,Elements!$D$2:$D$862,$B5,Elements!$E$2:$E$862,$C5,Elements!$F$2:$F$862,$D5)</f>
        <v/>
      </c>
      <c r="M5" s="2" t="inlineStr">
        <is>
          <t>closed outline; 150-600 x 150-450 cm; carries wall (64), column (9), wall+wall (1); grade beam crossing it 95%</t>
        </is>
      </c>
    </row>
    <row r="6">
      <c r="A6" s="5" t="inlineStr">
        <is>
          <t>120</t>
        </is>
      </c>
      <c r="B6" s="5" t="inlineStr">
        <is>
          <t>footing</t>
        </is>
      </c>
      <c r="C6" s="5" t="inlineStr">
        <is>
          <t>isolated_footing</t>
        </is>
      </c>
      <c r="D6" s="5" t="inlineStr">
        <is>
          <t>S3</t>
        </is>
      </c>
      <c r="E6" s="5">
        <f>COUNTIFS(Elements!$B$2:$B$862,$A6,Elements!$D$2:$D$862,$B6,Elements!$E$2:$E$862,$C6,Elements!$F$2:$F$862,$D6)</f>
        <v/>
      </c>
      <c r="F6" s="5">
        <f>IFERROR(_xlfn.MINIFS(Elements!$I$2:$I$862,Elements!$B$2:$B$862,$A6,Elements!$D$2:$D$862,$B6,Elements!$E$2:$E$862,$C6,Elements!$F$2:$F$862,$D6),"")</f>
        <v/>
      </c>
      <c r="G6" s="5">
        <f>IFERROR(_xlfn.MAXIFS(Elements!$I$2:$I$862,Elements!$B$2:$B$862,$A6,Elements!$D$2:$D$862,$B6,Elements!$E$2:$E$862,$C6,Elements!$F$2:$F$862,$D6),"")</f>
        <v/>
      </c>
      <c r="H6" s="5">
        <f>IFERROR(_xlfn.MINIFS(Elements!$J$2:$J$862,Elements!$B$2:$B$862,$A6,Elements!$D$2:$D$862,$B6,Elements!$E$2:$E$862,$C6,Elements!$F$2:$F$862,$D6),"")</f>
        <v/>
      </c>
      <c r="I6" s="5">
        <f>IFERROR(_xlfn.MAXIFS(Elements!$J$2:$J$862,Elements!$B$2:$B$862,$A6,Elements!$D$2:$D$862,$B6,Elements!$E$2:$E$862,$C6,Elements!$F$2:$F$862,$D6),"")</f>
        <v/>
      </c>
      <c r="J6" s="5">
        <f>IF(OR(F6="",H6=""),"",IF(OR(B6="raft",B6="sump_pit",B6="crane_foundation",D6="(none)"),"n/a",IF(OR(B6="column",B6="footing",B6="mass_concrete_pad",AND(B6="wall",C6="shear_wall",D6&lt;&gt;"(none)")),IF(AND(G6-F6&lt;=3,I6-H6&lt;=3),"yes","no"),IF(I6-H6&lt;=3,"yes (thickness)","no (thickness)"))))</f>
        <v/>
      </c>
      <c r="K6" s="6">
        <f>SUMIFS(Elements!$M$2:$M$862,Elements!$B$2:$B$862,$A6,Elements!$D$2:$D$862,$B6,Elements!$E$2:$E$862,$C6,Elements!$F$2:$F$862,$D6)</f>
        <v/>
      </c>
      <c r="L6" s="6">
        <f>SUMIFS(Elements!$L$2:$L$862,Elements!$B$2:$B$862,$A6,Elements!$D$2:$D$862,$B6,Elements!$E$2:$E$862,$C6,Elements!$F$2:$F$862,$D6)</f>
        <v/>
      </c>
      <c r="M6" s="2" t="inlineStr">
        <is>
          <t>closed outline; 150-600 x 150-450 cm; carries wall (64), column (9), wall+wall (1); grade beam crossing it 95%</t>
        </is>
      </c>
    </row>
    <row r="7">
      <c r="A7" s="5" t="inlineStr">
        <is>
          <t>120</t>
        </is>
      </c>
      <c r="B7" s="5" t="inlineStr">
        <is>
          <t>footing</t>
        </is>
      </c>
      <c r="C7" s="5" t="inlineStr">
        <is>
          <t>isolated_footing</t>
        </is>
      </c>
      <c r="D7" s="5" t="inlineStr">
        <is>
          <t>S5</t>
        </is>
      </c>
      <c r="E7" s="5">
        <f>COUNTIFS(Elements!$B$2:$B$862,$A7,Elements!$D$2:$D$862,$B7,Elements!$E$2:$E$862,$C7,Elements!$F$2:$F$862,$D7)</f>
        <v/>
      </c>
      <c r="F7" s="5">
        <f>IFERROR(_xlfn.MINIFS(Elements!$I$2:$I$862,Elements!$B$2:$B$862,$A7,Elements!$D$2:$D$862,$B7,Elements!$E$2:$E$862,$C7,Elements!$F$2:$F$862,$D7),"")</f>
        <v/>
      </c>
      <c r="G7" s="5">
        <f>IFERROR(_xlfn.MAXIFS(Elements!$I$2:$I$862,Elements!$B$2:$B$862,$A7,Elements!$D$2:$D$862,$B7,Elements!$E$2:$E$862,$C7,Elements!$F$2:$F$862,$D7),"")</f>
        <v/>
      </c>
      <c r="H7" s="5">
        <f>IFERROR(_xlfn.MINIFS(Elements!$J$2:$J$862,Elements!$B$2:$B$862,$A7,Elements!$D$2:$D$862,$B7,Elements!$E$2:$E$862,$C7,Elements!$F$2:$F$862,$D7),"")</f>
        <v/>
      </c>
      <c r="I7" s="5">
        <f>IFERROR(_xlfn.MAXIFS(Elements!$J$2:$J$862,Elements!$B$2:$B$862,$A7,Elements!$D$2:$D$862,$B7,Elements!$E$2:$E$862,$C7,Elements!$F$2:$F$862,$D7),"")</f>
        <v/>
      </c>
      <c r="J7" s="5">
        <f>IF(OR(F7="",H7=""),"",IF(OR(B7="raft",B7="sump_pit",B7="crane_foundation",D7="(none)"),"n/a",IF(OR(B7="column",B7="footing",B7="mass_concrete_pad",AND(B7="wall",C7="shear_wall",D7&lt;&gt;"(none)")),IF(AND(G7-F7&lt;=3,I7-H7&lt;=3),"yes","no"),IF(I7-H7&lt;=3,"yes (thickness)","no (thickness)"))))</f>
        <v/>
      </c>
      <c r="K7" s="6">
        <f>SUMIFS(Elements!$M$2:$M$862,Elements!$B$2:$B$862,$A7,Elements!$D$2:$D$862,$B7,Elements!$E$2:$E$862,$C7,Elements!$F$2:$F$862,$D7)</f>
        <v/>
      </c>
      <c r="L7" s="6">
        <f>SUMIFS(Elements!$L$2:$L$862,Elements!$B$2:$B$862,$A7,Elements!$D$2:$D$862,$B7,Elements!$E$2:$E$862,$C7,Elements!$F$2:$F$862,$D7)</f>
        <v/>
      </c>
      <c r="M7" s="2" t="inlineStr">
        <is>
          <t>closed outline; 150-600 x 150-450 cm; carries wall (64), column (9), wall+wall (1); grade beam crossing it 95%</t>
        </is>
      </c>
    </row>
    <row r="8">
      <c r="A8" s="5" t="inlineStr">
        <is>
          <t>120</t>
        </is>
      </c>
      <c r="B8" s="5" t="inlineStr">
        <is>
          <t>footing</t>
        </is>
      </c>
      <c r="C8" s="5" t="inlineStr">
        <is>
          <t>isolated_footing</t>
        </is>
      </c>
      <c r="D8" s="5" t="inlineStr">
        <is>
          <t>S6</t>
        </is>
      </c>
      <c r="E8" s="5">
        <f>COUNTIFS(Elements!$B$2:$B$862,$A8,Elements!$D$2:$D$862,$B8,Elements!$E$2:$E$862,$C8,Elements!$F$2:$F$862,$D8)</f>
        <v/>
      </c>
      <c r="F8" s="5">
        <f>IFERROR(_xlfn.MINIFS(Elements!$I$2:$I$862,Elements!$B$2:$B$862,$A8,Elements!$D$2:$D$862,$B8,Elements!$E$2:$E$862,$C8,Elements!$F$2:$F$862,$D8),"")</f>
        <v/>
      </c>
      <c r="G8" s="5">
        <f>IFERROR(_xlfn.MAXIFS(Elements!$I$2:$I$862,Elements!$B$2:$B$862,$A8,Elements!$D$2:$D$862,$B8,Elements!$E$2:$E$862,$C8,Elements!$F$2:$F$862,$D8),"")</f>
        <v/>
      </c>
      <c r="H8" s="5">
        <f>IFERROR(_xlfn.MINIFS(Elements!$J$2:$J$862,Elements!$B$2:$B$862,$A8,Elements!$D$2:$D$862,$B8,Elements!$E$2:$E$862,$C8,Elements!$F$2:$F$862,$D8),"")</f>
        <v/>
      </c>
      <c r="I8" s="5">
        <f>IFERROR(_xlfn.MAXIFS(Elements!$J$2:$J$862,Elements!$B$2:$B$862,$A8,Elements!$D$2:$D$862,$B8,Elements!$E$2:$E$862,$C8,Elements!$F$2:$F$862,$D8),"")</f>
        <v/>
      </c>
      <c r="J8" s="5">
        <f>IF(OR(F8="",H8=""),"",IF(OR(B8="raft",B8="sump_pit",B8="crane_foundation",D8="(none)"),"n/a",IF(OR(B8="column",B8="footing",B8="mass_concrete_pad",AND(B8="wall",C8="shear_wall",D8&lt;&gt;"(none)")),IF(AND(G8-F8&lt;=3,I8-H8&lt;=3),"yes","no"),IF(I8-H8&lt;=3,"yes (thickness)","no (thickness)"))))</f>
        <v/>
      </c>
      <c r="K8" s="6">
        <f>SUMIFS(Elements!$M$2:$M$862,Elements!$B$2:$B$862,$A8,Elements!$D$2:$D$862,$B8,Elements!$E$2:$E$862,$C8,Elements!$F$2:$F$862,$D8)</f>
        <v/>
      </c>
      <c r="L8" s="6">
        <f>SUMIFS(Elements!$L$2:$L$862,Elements!$B$2:$B$862,$A8,Elements!$D$2:$D$862,$B8,Elements!$E$2:$E$862,$C8,Elements!$F$2:$F$862,$D8)</f>
        <v/>
      </c>
      <c r="M8" s="2" t="inlineStr">
        <is>
          <t>closed outline; 150-600 x 150-450 cm; carries wall (64), column (9), wall+wall (1); grade beam crossing it 95%</t>
        </is>
      </c>
    </row>
    <row r="9">
      <c r="A9" s="5" t="inlineStr">
        <is>
          <t>120</t>
        </is>
      </c>
      <c r="B9" s="5" t="inlineStr">
        <is>
          <t>footing</t>
        </is>
      </c>
      <c r="C9" s="5" t="inlineStr">
        <is>
          <t>isolated_footing</t>
        </is>
      </c>
      <c r="D9" s="5" t="inlineStr">
        <is>
          <t>S7</t>
        </is>
      </c>
      <c r="E9" s="5">
        <f>COUNTIFS(Elements!$B$2:$B$862,$A9,Elements!$D$2:$D$862,$B9,Elements!$E$2:$E$862,$C9,Elements!$F$2:$F$862,$D9)</f>
        <v/>
      </c>
      <c r="F9" s="5">
        <f>IFERROR(_xlfn.MINIFS(Elements!$I$2:$I$862,Elements!$B$2:$B$862,$A9,Elements!$D$2:$D$862,$B9,Elements!$E$2:$E$862,$C9,Elements!$F$2:$F$862,$D9),"")</f>
        <v/>
      </c>
      <c r="G9" s="5">
        <f>IFERROR(_xlfn.MAXIFS(Elements!$I$2:$I$862,Elements!$B$2:$B$862,$A9,Elements!$D$2:$D$862,$B9,Elements!$E$2:$E$862,$C9,Elements!$F$2:$F$862,$D9),"")</f>
        <v/>
      </c>
      <c r="H9" s="5">
        <f>IFERROR(_xlfn.MINIFS(Elements!$J$2:$J$862,Elements!$B$2:$B$862,$A9,Elements!$D$2:$D$862,$B9,Elements!$E$2:$E$862,$C9,Elements!$F$2:$F$862,$D9),"")</f>
        <v/>
      </c>
      <c r="I9" s="5">
        <f>IFERROR(_xlfn.MAXIFS(Elements!$J$2:$J$862,Elements!$B$2:$B$862,$A9,Elements!$D$2:$D$862,$B9,Elements!$E$2:$E$862,$C9,Elements!$F$2:$F$862,$D9),"")</f>
        <v/>
      </c>
      <c r="J9" s="5">
        <f>IF(OR(F9="",H9=""),"",IF(OR(B9="raft",B9="sump_pit",B9="crane_foundation",D9="(none)"),"n/a",IF(OR(B9="column",B9="footing",B9="mass_concrete_pad",AND(B9="wall",C9="shear_wall",D9&lt;&gt;"(none)")),IF(AND(G9-F9&lt;=3,I9-H9&lt;=3),"yes","no"),IF(I9-H9&lt;=3,"yes (thickness)","no (thickness)"))))</f>
        <v/>
      </c>
      <c r="K9" s="6">
        <f>SUMIFS(Elements!$M$2:$M$862,Elements!$B$2:$B$862,$A9,Elements!$D$2:$D$862,$B9,Elements!$E$2:$E$862,$C9,Elements!$F$2:$F$862,$D9)</f>
        <v/>
      </c>
      <c r="L9" s="6">
        <f>SUMIFS(Elements!$L$2:$L$862,Elements!$B$2:$B$862,$A9,Elements!$D$2:$D$862,$B9,Elements!$E$2:$E$862,$C9,Elements!$F$2:$F$862,$D9)</f>
        <v/>
      </c>
      <c r="M9" s="2" t="inlineStr">
        <is>
          <t>closed outline; 150-600 x 150-450 cm; carries wall (64), column (9), wall+wall (1); grade beam crossing it 95%</t>
        </is>
      </c>
    </row>
    <row r="10">
      <c r="A10" s="5" t="inlineStr">
        <is>
          <t>120</t>
        </is>
      </c>
      <c r="B10" s="5" t="inlineStr">
        <is>
          <t>grade_beam</t>
        </is>
      </c>
      <c r="C10" s="5" t="inlineStr">
        <is>
          <t>grade_beam</t>
        </is>
      </c>
      <c r="D10" s="5" t="inlineStr">
        <is>
          <t>LG40x15</t>
        </is>
      </c>
      <c r="E10" s="5">
        <f>COUNTIFS(Elements!$B$2:$B$862,$A10,Elements!$D$2:$D$862,$B10,Elements!$E$2:$E$862,$C10,Elements!$F$2:$F$862,$D10)</f>
        <v/>
      </c>
      <c r="F10" s="5">
        <f>IFERROR(_xlfn.MINIFS(Elements!$I$2:$I$862,Elements!$B$2:$B$862,$A10,Elements!$D$2:$D$862,$B10,Elements!$E$2:$E$862,$C10,Elements!$F$2:$F$862,$D10),"")</f>
        <v/>
      </c>
      <c r="G10" s="5">
        <f>IFERROR(_xlfn.MAXIFS(Elements!$I$2:$I$862,Elements!$B$2:$B$862,$A10,Elements!$D$2:$D$862,$B10,Elements!$E$2:$E$862,$C10,Elements!$F$2:$F$862,$D10),"")</f>
        <v/>
      </c>
      <c r="H10" s="5">
        <f>IFERROR(_xlfn.MINIFS(Elements!$J$2:$J$862,Elements!$B$2:$B$862,$A10,Elements!$D$2:$D$862,$B10,Elements!$E$2:$E$862,$C10,Elements!$F$2:$F$862,$D10),"")</f>
        <v/>
      </c>
      <c r="I10" s="5">
        <f>IFERROR(_xlfn.MAXIFS(Elements!$J$2:$J$862,Elements!$B$2:$B$862,$A10,Elements!$D$2:$D$862,$B10,Elements!$E$2:$E$862,$C10,Elements!$F$2:$F$862,$D10),"")</f>
        <v/>
      </c>
      <c r="J10" s="5">
        <f>IF(OR(F10="",H10=""),"",IF(OR(B10="raft",B10="sump_pit",B10="crane_foundation",D10="(none)"),"n/a",IF(OR(B10="column",B10="footing",B10="mass_concrete_pad",AND(B10="wall",C10="shear_wall",D10&lt;&gt;"(none)")),IF(AND(G10-F10&lt;=3,I10-H10&lt;=3),"yes","no"),IF(I10-H10&lt;=3,"yes (thickness)","no (thickness)"))))</f>
        <v/>
      </c>
      <c r="K10" s="6">
        <f>SUMIFS(Elements!$M$2:$M$862,Elements!$B$2:$B$862,$A10,Elements!$D$2:$D$862,$B10,Elements!$E$2:$E$862,$C10,Elements!$F$2:$F$862,$D10)</f>
        <v/>
      </c>
      <c r="L10" s="6">
        <f>SUMIFS(Elements!$L$2:$L$862,Elements!$B$2:$B$862,$A10,Elements!$D$2:$D$862,$B10,Elements!$E$2:$E$862,$C10,Elements!$F$2:$F$862,$D10)</f>
        <v/>
      </c>
      <c r="M10" s="2" t="inlineStr">
        <is>
          <t>parallel line pair; 30-2249 x 25-40 cm; width stated in its label</t>
        </is>
      </c>
    </row>
    <row r="11">
      <c r="A11" s="5" t="inlineStr">
        <is>
          <t>120</t>
        </is>
      </c>
      <c r="B11" s="5" t="inlineStr">
        <is>
          <t>mass_concrete_pad</t>
        </is>
      </c>
      <c r="C11" s="5" t="inlineStr">
        <is>
          <t>mass_concrete_pad</t>
        </is>
      </c>
      <c r="D11" s="5" t="inlineStr">
        <is>
          <t>(none)</t>
        </is>
      </c>
      <c r="E11" s="5">
        <f>COUNTIFS(Elements!$B$2:$B$862,$A11,Elements!$D$2:$D$862,$B11,Elements!$E$2:$E$862,$C11,Elements!$F$2:$F$862,$D11)</f>
        <v/>
      </c>
      <c r="F11" s="5">
        <f>IFERROR(_xlfn.MINIFS(Elements!$I$2:$I$862,Elements!$B$2:$B$862,$A11,Elements!$D$2:$D$862,$B11,Elements!$E$2:$E$862,$C11,Elements!$F$2:$F$862,$D11),"")</f>
        <v/>
      </c>
      <c r="G11" s="5">
        <f>IFERROR(_xlfn.MAXIFS(Elements!$I$2:$I$862,Elements!$B$2:$B$862,$A11,Elements!$D$2:$D$862,$B11,Elements!$E$2:$E$862,$C11,Elements!$F$2:$F$862,$D11),"")</f>
        <v/>
      </c>
      <c r="H11" s="5">
        <f>IFERROR(_xlfn.MINIFS(Elements!$J$2:$J$862,Elements!$B$2:$B$862,$A11,Elements!$D$2:$D$862,$B11,Elements!$E$2:$E$862,$C11,Elements!$F$2:$F$862,$D11),"")</f>
        <v/>
      </c>
      <c r="I11" s="5">
        <f>IFERROR(_xlfn.MAXIFS(Elements!$J$2:$J$862,Elements!$B$2:$B$862,$A11,Elements!$D$2:$D$862,$B11,Elements!$E$2:$E$862,$C11,Elements!$F$2:$F$862,$D11),"")</f>
        <v/>
      </c>
      <c r="J11" s="5">
        <f>IF(OR(F11="",H11=""),"",IF(OR(B11="raft",B11="sump_pit",B11="crane_foundation",D11="(none)"),"n/a",IF(OR(B11="column",B11="footing",B11="mass_concrete_pad",AND(B11="wall",C11="shear_wall",D11&lt;&gt;"(none)")),IF(AND(G11-F11&lt;=3,I11-H11&lt;=3),"yes","no"),IF(I11-H11&lt;=3,"yes (thickness)","no (thickness)"))))</f>
        <v/>
      </c>
      <c r="K11" s="6">
        <f>SUMIFS(Elements!$M$2:$M$862,Elements!$B$2:$B$862,$A11,Elements!$D$2:$D$862,$B11,Elements!$E$2:$E$862,$C11,Elements!$F$2:$F$862,$D11)</f>
        <v/>
      </c>
      <c r="L11" s="6">
        <f>SUMIFS(Elements!$L$2:$L$862,Elements!$B$2:$B$862,$A11,Elements!$D$2:$D$862,$B11,Elements!$E$2:$E$862,$C11,Elements!$F$2:$F$862,$D11)</f>
        <v/>
      </c>
      <c r="M11" s="2" t="inlineStr">
        <is>
          <t>closed outline + stipple; 60-60 x 60-60 cm; 47-91 stipple dots inside; on a grade beam 100%; at a grade-beam junction 62%</t>
        </is>
      </c>
    </row>
    <row r="12">
      <c r="A12" s="5" t="inlineStr">
        <is>
          <t>120</t>
        </is>
      </c>
      <c r="B12" s="5" t="inlineStr">
        <is>
          <t>raft</t>
        </is>
      </c>
      <c r="C12" s="5" t="inlineStr">
        <is>
          <t>raft</t>
        </is>
      </c>
      <c r="D12" s="5" t="inlineStr">
        <is>
          <t>Radier 110</t>
        </is>
      </c>
      <c r="E12" s="5">
        <f>COUNTIFS(Elements!$B$2:$B$862,$A12,Elements!$D$2:$D$862,$B12,Elements!$E$2:$E$862,$C12,Elements!$F$2:$F$862,$D12)</f>
        <v/>
      </c>
      <c r="F12" s="5">
        <f>IFERROR(_xlfn.MINIFS(Elements!$I$2:$I$862,Elements!$B$2:$B$862,$A12,Elements!$D$2:$D$862,$B12,Elements!$E$2:$E$862,$C12,Elements!$F$2:$F$862,$D12),"")</f>
        <v/>
      </c>
      <c r="G12" s="5">
        <f>IFERROR(_xlfn.MAXIFS(Elements!$I$2:$I$862,Elements!$B$2:$B$862,$A12,Elements!$D$2:$D$862,$B12,Elements!$E$2:$E$862,$C12,Elements!$F$2:$F$862,$D12),"")</f>
        <v/>
      </c>
      <c r="H12" s="5">
        <f>IFERROR(_xlfn.MINIFS(Elements!$J$2:$J$862,Elements!$B$2:$B$862,$A12,Elements!$D$2:$D$862,$B12,Elements!$E$2:$E$862,$C12,Elements!$F$2:$F$862,$D12),"")</f>
        <v/>
      </c>
      <c r="I12" s="5">
        <f>IFERROR(_xlfn.MAXIFS(Elements!$J$2:$J$862,Elements!$B$2:$B$862,$A12,Elements!$D$2:$D$862,$B12,Elements!$E$2:$E$862,$C12,Elements!$F$2:$F$862,$D12),"")</f>
        <v/>
      </c>
      <c r="J12" s="5">
        <f>IF(OR(F12="",H12=""),"",IF(OR(B12="raft",B12="sump_pit",B12="crane_foundation",D12="(none)"),"n/a",IF(OR(B12="column",B12="footing",B12="mass_concrete_pad",AND(B12="wall",C12="shear_wall",D12&lt;&gt;"(none)")),IF(AND(G12-F12&lt;=3,I12-H12&lt;=3),"yes","no"),IF(I12-H12&lt;=3,"yes (thickness)","no (thickness)"))))</f>
        <v/>
      </c>
      <c r="K12" s="6">
        <f>SUMIFS(Elements!$M$2:$M$862,Elements!$B$2:$B$862,$A12,Elements!$D$2:$D$862,$B12,Elements!$E$2:$E$862,$C12,Elements!$F$2:$F$862,$D12)</f>
        <v/>
      </c>
      <c r="L12" s="6">
        <f>SUMIFS(Elements!$L$2:$L$862,Elements!$B$2:$B$862,$A12,Elements!$D$2:$D$862,$B12,Elements!$E$2:$E$862,$C12,Elements!$F$2:$F$862,$D12)</f>
        <v/>
      </c>
      <c r="M12" s="2" t="inlineStr">
        <is>
          <t>stamp + corner diagonals; 693-1971 x 450-1020 cm; circle stamp 'Radier' + thickness; diagonals from its corners to the stamp</t>
        </is>
      </c>
    </row>
    <row r="13">
      <c r="A13" s="5" t="inlineStr">
        <is>
          <t>120</t>
        </is>
      </c>
      <c r="B13" s="5" t="inlineStr">
        <is>
          <t>raft</t>
        </is>
      </c>
      <c r="C13" s="5" t="inlineStr">
        <is>
          <t>raft</t>
        </is>
      </c>
      <c r="D13" s="5" t="inlineStr">
        <is>
          <t>Radier 90</t>
        </is>
      </c>
      <c r="E13" s="5">
        <f>COUNTIFS(Elements!$B$2:$B$862,$A13,Elements!$D$2:$D$862,$B13,Elements!$E$2:$E$862,$C13,Elements!$F$2:$F$862,$D13)</f>
        <v/>
      </c>
      <c r="F13" s="5">
        <f>IFERROR(_xlfn.MINIFS(Elements!$I$2:$I$862,Elements!$B$2:$B$862,$A13,Elements!$D$2:$D$862,$B13,Elements!$E$2:$E$862,$C13,Elements!$F$2:$F$862,$D13),"")</f>
        <v/>
      </c>
      <c r="G13" s="5">
        <f>IFERROR(_xlfn.MAXIFS(Elements!$I$2:$I$862,Elements!$B$2:$B$862,$A13,Elements!$D$2:$D$862,$B13,Elements!$E$2:$E$862,$C13,Elements!$F$2:$F$862,$D13),"")</f>
        <v/>
      </c>
      <c r="H13" s="5">
        <f>IFERROR(_xlfn.MINIFS(Elements!$J$2:$J$862,Elements!$B$2:$B$862,$A13,Elements!$D$2:$D$862,$B13,Elements!$E$2:$E$862,$C13,Elements!$F$2:$F$862,$D13),"")</f>
        <v/>
      </c>
      <c r="I13" s="5">
        <f>IFERROR(_xlfn.MAXIFS(Elements!$J$2:$J$862,Elements!$B$2:$B$862,$A13,Elements!$D$2:$D$862,$B13,Elements!$E$2:$E$862,$C13,Elements!$F$2:$F$862,$D13),"")</f>
        <v/>
      </c>
      <c r="J13" s="5">
        <f>IF(OR(F13="",H13=""),"",IF(OR(B13="raft",B13="sump_pit",B13="crane_foundation",D13="(none)"),"n/a",IF(OR(B13="column",B13="footing",B13="mass_concrete_pad",AND(B13="wall",C13="shear_wall",D13&lt;&gt;"(none)")),IF(AND(G13-F13&lt;=3,I13-H13&lt;=3),"yes","no"),IF(I13-H13&lt;=3,"yes (thickness)","no (thickness)"))))</f>
        <v/>
      </c>
      <c r="K13" s="6">
        <f>SUMIFS(Elements!$M$2:$M$862,Elements!$B$2:$B$862,$A13,Elements!$D$2:$D$862,$B13,Elements!$E$2:$E$862,$C13,Elements!$F$2:$F$862,$D13)</f>
        <v/>
      </c>
      <c r="L13" s="6">
        <f>SUMIFS(Elements!$L$2:$L$862,Elements!$B$2:$B$862,$A13,Elements!$D$2:$D$862,$B13,Elements!$E$2:$E$862,$C13,Elements!$F$2:$F$862,$D13)</f>
        <v/>
      </c>
      <c r="M13" s="2" t="inlineStr">
        <is>
          <t>stamp + corner diagonals; 693-1971 x 450-1020 cm; circle stamp 'Radier' + thickness; diagonals from its corners to the stamp</t>
        </is>
      </c>
    </row>
    <row r="14">
      <c r="A14" s="5" t="inlineStr">
        <is>
          <t>120</t>
        </is>
      </c>
      <c r="B14" s="5" t="inlineStr">
        <is>
          <t>strip_footing</t>
        </is>
      </c>
      <c r="C14" s="5" t="inlineStr">
        <is>
          <t>strip_footing</t>
        </is>
      </c>
      <c r="D14" s="5" t="inlineStr">
        <is>
          <t>SF1</t>
        </is>
      </c>
      <c r="E14" s="5">
        <f>COUNTIFS(Elements!$B$2:$B$862,$A14,Elements!$D$2:$D$862,$B14,Elements!$E$2:$E$862,$C14,Elements!$F$2:$F$862,$D14)</f>
        <v/>
      </c>
      <c r="F14" s="5">
        <f>IFERROR(_xlfn.MINIFS(Elements!$I$2:$I$862,Elements!$B$2:$B$862,$A14,Elements!$D$2:$D$862,$B14,Elements!$E$2:$E$862,$C14,Elements!$F$2:$F$862,$D14),"")</f>
        <v/>
      </c>
      <c r="G14" s="5">
        <f>IFERROR(_xlfn.MAXIFS(Elements!$I$2:$I$862,Elements!$B$2:$B$862,$A14,Elements!$D$2:$D$862,$B14,Elements!$E$2:$E$862,$C14,Elements!$F$2:$F$862,$D14),"")</f>
        <v/>
      </c>
      <c r="H14" s="5">
        <f>IFERROR(_xlfn.MINIFS(Elements!$J$2:$J$862,Elements!$B$2:$B$862,$A14,Elements!$D$2:$D$862,$B14,Elements!$E$2:$E$862,$C14,Elements!$F$2:$F$862,$D14),"")</f>
        <v/>
      </c>
      <c r="I14" s="5">
        <f>IFERROR(_xlfn.MAXIFS(Elements!$J$2:$J$862,Elements!$B$2:$B$862,$A14,Elements!$D$2:$D$862,$B14,Elements!$E$2:$E$862,$C14,Elements!$F$2:$F$862,$D14),"")</f>
        <v/>
      </c>
      <c r="J14" s="5">
        <f>IF(OR(F14="",H14=""),"",IF(OR(B14="raft",B14="sump_pit",B14="crane_foundation",D14="(none)"),"n/a",IF(OR(B14="column",B14="footing",B14="mass_concrete_pad",AND(B14="wall",C14="shear_wall",D14&lt;&gt;"(none)")),IF(AND(G14-F14&lt;=3,I14-H14&lt;=3),"yes","no"),IF(I14-H14&lt;=3,"yes (thickness)","no (thickness)"))))</f>
        <v/>
      </c>
      <c r="K14" s="6">
        <f>SUMIFS(Elements!$M$2:$M$862,Elements!$B$2:$B$862,$A14,Elements!$D$2:$D$862,$B14,Elements!$E$2:$E$862,$C14,Elements!$F$2:$F$862,$D14)</f>
        <v/>
      </c>
      <c r="L14" s="6">
        <f>SUMIFS(Elements!$L$2:$L$862,Elements!$B$2:$B$862,$A14,Elements!$D$2:$D$862,$B14,Elements!$E$2:$E$862,$C14,Elements!$F$2:$F$862,$D14)</f>
        <v/>
      </c>
      <c r="M14" s="2" t="inlineStr">
        <is>
          <t>parallel line pair; 75-5798 x 80-120 cm; width stated in its label</t>
        </is>
      </c>
    </row>
    <row r="15">
      <c r="A15" s="5" t="inlineStr">
        <is>
          <t>120</t>
        </is>
      </c>
      <c r="B15" s="5" t="inlineStr">
        <is>
          <t>strip_footing</t>
        </is>
      </c>
      <c r="C15" s="5" t="inlineStr">
        <is>
          <t>strip_footing</t>
        </is>
      </c>
      <c r="D15" s="5" t="inlineStr">
        <is>
          <t>SF4</t>
        </is>
      </c>
      <c r="E15" s="5">
        <f>COUNTIFS(Elements!$B$2:$B$862,$A15,Elements!$D$2:$D$862,$B15,Elements!$E$2:$E$862,$C15,Elements!$F$2:$F$862,$D15)</f>
        <v/>
      </c>
      <c r="F15" s="5">
        <f>IFERROR(_xlfn.MINIFS(Elements!$I$2:$I$862,Elements!$B$2:$B$862,$A15,Elements!$D$2:$D$862,$B15,Elements!$E$2:$E$862,$C15,Elements!$F$2:$F$862,$D15),"")</f>
        <v/>
      </c>
      <c r="G15" s="5">
        <f>IFERROR(_xlfn.MAXIFS(Elements!$I$2:$I$862,Elements!$B$2:$B$862,$A15,Elements!$D$2:$D$862,$B15,Elements!$E$2:$E$862,$C15,Elements!$F$2:$F$862,$D15),"")</f>
        <v/>
      </c>
      <c r="H15" s="5">
        <f>IFERROR(_xlfn.MINIFS(Elements!$J$2:$J$862,Elements!$B$2:$B$862,$A15,Elements!$D$2:$D$862,$B15,Elements!$E$2:$E$862,$C15,Elements!$F$2:$F$862,$D15),"")</f>
        <v/>
      </c>
      <c r="I15" s="5">
        <f>IFERROR(_xlfn.MAXIFS(Elements!$J$2:$J$862,Elements!$B$2:$B$862,$A15,Elements!$D$2:$D$862,$B15,Elements!$E$2:$E$862,$C15,Elements!$F$2:$F$862,$D15),"")</f>
        <v/>
      </c>
      <c r="J15" s="5">
        <f>IF(OR(F15="",H15=""),"",IF(OR(B15="raft",B15="sump_pit",B15="crane_foundation",D15="(none)"),"n/a",IF(OR(B15="column",B15="footing",B15="mass_concrete_pad",AND(B15="wall",C15="shear_wall",D15&lt;&gt;"(none)")),IF(AND(G15-F15&lt;=3,I15-H15&lt;=3),"yes","no"),IF(I15-H15&lt;=3,"yes (thickness)","no (thickness)"))))</f>
        <v/>
      </c>
      <c r="K15" s="6">
        <f>SUMIFS(Elements!$M$2:$M$862,Elements!$B$2:$B$862,$A15,Elements!$D$2:$D$862,$B15,Elements!$E$2:$E$862,$C15,Elements!$F$2:$F$862,$D15)</f>
        <v/>
      </c>
      <c r="L15" s="6">
        <f>SUMIFS(Elements!$L$2:$L$862,Elements!$B$2:$B$862,$A15,Elements!$D$2:$D$862,$B15,Elements!$E$2:$E$862,$C15,Elements!$F$2:$F$862,$D15)</f>
        <v/>
      </c>
      <c r="M15" s="2" t="inlineStr">
        <is>
          <t>parallel line pair; 75-5798 x 80-120 cm; width stated in its label</t>
        </is>
      </c>
    </row>
    <row r="16">
      <c r="A16" s="5" t="inlineStr">
        <is>
          <t>120</t>
        </is>
      </c>
      <c r="B16" s="5" t="inlineStr">
        <is>
          <t>wall</t>
        </is>
      </c>
      <c r="C16" s="5" t="inlineStr">
        <is>
          <t>core_wall_hatched</t>
        </is>
      </c>
      <c r="D16" s="5" t="inlineStr">
        <is>
          <t>(none)</t>
        </is>
      </c>
      <c r="E16" s="5">
        <f>COUNTIFS(Elements!$B$2:$B$862,$A16,Elements!$D$2:$D$862,$B16,Elements!$E$2:$E$862,$C16,Elements!$F$2:$F$862,$D16)</f>
        <v/>
      </c>
      <c r="F16" s="5">
        <f>IFERROR(_xlfn.MINIFS(Elements!$I$2:$I$862,Elements!$B$2:$B$862,$A16,Elements!$D$2:$D$862,$B16,Elements!$E$2:$E$862,$C16,Elements!$F$2:$F$862,$D16),"")</f>
        <v/>
      </c>
      <c r="G16" s="5">
        <f>IFERROR(_xlfn.MAXIFS(Elements!$I$2:$I$862,Elements!$B$2:$B$862,$A16,Elements!$D$2:$D$862,$B16,Elements!$E$2:$E$862,$C16,Elements!$F$2:$F$862,$D16),"")</f>
        <v/>
      </c>
      <c r="H16" s="5">
        <f>IFERROR(_xlfn.MINIFS(Elements!$J$2:$J$862,Elements!$B$2:$B$862,$A16,Elements!$D$2:$D$862,$B16,Elements!$E$2:$E$862,$C16,Elements!$F$2:$F$862,$D16),"")</f>
        <v/>
      </c>
      <c r="I16" s="5">
        <f>IFERROR(_xlfn.MAXIFS(Elements!$J$2:$J$862,Elements!$B$2:$B$862,$A16,Elements!$D$2:$D$862,$B16,Elements!$E$2:$E$862,$C16,Elements!$F$2:$F$862,$D16),"")</f>
        <v/>
      </c>
      <c r="J16" s="5">
        <f>IF(OR(F16="",H16=""),"",IF(OR(B16="raft",B16="sump_pit",B16="crane_foundation",D16="(none)"),"n/a",IF(OR(B16="column",B16="footing",B16="mass_concrete_pad",AND(B16="wall",C16="shear_wall",D16&lt;&gt;"(none)")),IF(AND(G16-F16&lt;=3,I16-H16&lt;=3),"yes","no"),IF(I16-H16&lt;=3,"yes (thickness)","no (thickness)"))))</f>
        <v/>
      </c>
      <c r="K16" s="6">
        <f>SUMIFS(Elements!$M$2:$M$862,Elements!$B$2:$B$862,$A16,Elements!$D$2:$D$862,$B16,Elements!$E$2:$E$862,$C16,Elements!$F$2:$F$862,$D16)</f>
        <v/>
      </c>
      <c r="L16" s="6">
        <f>SUMIFS(Elements!$L$2:$L$862,Elements!$B$2:$B$862,$A16,Elements!$D$2:$D$862,$B16,Elements!$E$2:$E$862,$C16,Elements!$F$2:$F$862,$D16)</f>
        <v/>
      </c>
      <c r="M16" s="2" t="inlineStr">
        <is>
          <t>cross-hatch; 94-1044 x 20-25 cm; L/W 4.70-52.20; hatch strokes [0.24, 0.25, 0.28] m at +/-45 deg; thickness = local spread of stroke ends; on a raft 100%; no V label</t>
        </is>
      </c>
    </row>
    <row r="17">
      <c r="A17" s="5" t="inlineStr">
        <is>
          <t>120</t>
        </is>
      </c>
      <c r="B17" s="5" t="inlineStr">
        <is>
          <t>wall</t>
        </is>
      </c>
      <c r="C17" s="5" t="inlineStr">
        <is>
          <t>core_wall_solid</t>
        </is>
      </c>
      <c r="D17" s="5" t="inlineStr">
        <is>
          <t>(none)</t>
        </is>
      </c>
      <c r="E17" s="5">
        <f>COUNTIFS(Elements!$B$2:$B$862,$A17,Elements!$D$2:$D$862,$B17,Elements!$E$2:$E$862,$C17,Elements!$F$2:$F$862,$D17)</f>
        <v/>
      </c>
      <c r="F17" s="5">
        <f>IFERROR(_xlfn.MINIFS(Elements!$I$2:$I$862,Elements!$B$2:$B$862,$A17,Elements!$D$2:$D$862,$B17,Elements!$E$2:$E$862,$C17,Elements!$F$2:$F$862,$D17),"")</f>
        <v/>
      </c>
      <c r="G17" s="5">
        <f>IFERROR(_xlfn.MAXIFS(Elements!$I$2:$I$862,Elements!$B$2:$B$862,$A17,Elements!$D$2:$D$862,$B17,Elements!$E$2:$E$862,$C17,Elements!$F$2:$F$862,$D17),"")</f>
        <v/>
      </c>
      <c r="H17" s="5">
        <f>IFERROR(_xlfn.MINIFS(Elements!$J$2:$J$862,Elements!$B$2:$B$862,$A17,Elements!$D$2:$D$862,$B17,Elements!$E$2:$E$862,$C17,Elements!$F$2:$F$862,$D17),"")</f>
        <v/>
      </c>
      <c r="I17" s="5">
        <f>IFERROR(_xlfn.MAXIFS(Elements!$J$2:$J$862,Elements!$B$2:$B$862,$A17,Elements!$D$2:$D$862,$B17,Elements!$E$2:$E$862,$C17,Elements!$F$2:$F$862,$D17),"")</f>
        <v/>
      </c>
      <c r="J17" s="5">
        <f>IF(OR(F17="",H17=""),"",IF(OR(B17="raft",B17="sump_pit",B17="crane_foundation",D17="(none)"),"n/a",IF(OR(B17="column",B17="footing",B17="mass_concrete_pad",AND(B17="wall",C17="shear_wall",D17&lt;&gt;"(none)")),IF(AND(G17-F17&lt;=3,I17-H17&lt;=3),"yes","no"),IF(I17-H17&lt;=3,"yes (thickness)","no (thickness)"))))</f>
        <v/>
      </c>
      <c r="K17" s="6">
        <f>SUMIFS(Elements!$M$2:$M$862,Elements!$B$2:$B$862,$A17,Elements!$D$2:$D$862,$B17,Elements!$E$2:$E$862,$C17,Elements!$F$2:$F$862,$D17)</f>
        <v/>
      </c>
      <c r="L17" s="6">
        <f>SUMIFS(Elements!$L$2:$L$862,Elements!$B$2:$B$862,$A17,Elements!$D$2:$D$862,$B17,Elements!$E$2:$E$862,$C17,Elements!$F$2:$F$862,$D17)</f>
        <v/>
      </c>
      <c r="M17" s="2" t="inlineStr">
        <is>
          <t>solid fill; 39-816 x 20-30 cm; L/W 1.81-36.95; inside a footing outline 0%; on a raft 100%; touching a hatched core wall 24%; in a strip-footing band 0%; at a grade-beam junction 0%</t>
        </is>
      </c>
    </row>
    <row r="18">
      <c r="A18" s="5" t="inlineStr">
        <is>
          <t>120</t>
        </is>
      </c>
      <c r="B18" s="5" t="inlineStr">
        <is>
          <t>wall</t>
        </is>
      </c>
      <c r="C18" s="5" t="inlineStr">
        <is>
          <t>retaining_wall</t>
        </is>
      </c>
      <c r="D18" s="5" t="inlineStr">
        <is>
          <t>VP20</t>
        </is>
      </c>
      <c r="E18" s="5">
        <f>COUNTIFS(Elements!$B$2:$B$862,$A18,Elements!$D$2:$D$862,$B18,Elements!$E$2:$E$862,$C18,Elements!$F$2:$F$862,$D18)</f>
        <v/>
      </c>
      <c r="F18" s="5">
        <f>IFERROR(_xlfn.MINIFS(Elements!$I$2:$I$862,Elements!$B$2:$B$862,$A18,Elements!$D$2:$D$862,$B18,Elements!$E$2:$E$862,$C18,Elements!$F$2:$F$862,$D18),"")</f>
        <v/>
      </c>
      <c r="G18" s="5">
        <f>IFERROR(_xlfn.MAXIFS(Elements!$I$2:$I$862,Elements!$B$2:$B$862,$A18,Elements!$D$2:$D$862,$B18,Elements!$E$2:$E$862,$C18,Elements!$F$2:$F$862,$D18),"")</f>
        <v/>
      </c>
      <c r="H18" s="5">
        <f>IFERROR(_xlfn.MINIFS(Elements!$J$2:$J$862,Elements!$B$2:$B$862,$A18,Elements!$D$2:$D$862,$B18,Elements!$E$2:$E$862,$C18,Elements!$F$2:$F$862,$D18),"")</f>
        <v/>
      </c>
      <c r="I18" s="5">
        <f>IFERROR(_xlfn.MAXIFS(Elements!$J$2:$J$862,Elements!$B$2:$B$862,$A18,Elements!$D$2:$D$862,$B18,Elements!$E$2:$E$862,$C18,Elements!$F$2:$F$862,$D18),"")</f>
        <v/>
      </c>
      <c r="J18" s="5">
        <f>IF(OR(F18="",H18=""),"",IF(OR(B18="raft",B18="sump_pit",B18="crane_foundation",D18="(none)"),"n/a",IF(OR(B18="column",B18="footing",B18="mass_concrete_pad",AND(B18="wall",C18="shear_wall",D18&lt;&gt;"(none)")),IF(AND(G18-F18&lt;=3,I18-H18&lt;=3),"yes","no"),IF(I18-H18&lt;=3,"yes (thickness)","no (thickness)"))))</f>
        <v/>
      </c>
      <c r="K18" s="6">
        <f>SUMIFS(Elements!$M$2:$M$862,Elements!$B$2:$B$862,$A18,Elements!$D$2:$D$862,$B18,Elements!$E$2:$E$862,$C18,Elements!$F$2:$F$862,$D18)</f>
        <v/>
      </c>
      <c r="L18" s="6">
        <f>SUMIFS(Elements!$L$2:$L$862,Elements!$B$2:$B$862,$A18,Elements!$D$2:$D$862,$B18,Elements!$E$2:$E$862,$C18,Elements!$F$2:$F$862,$D18)</f>
        <v/>
      </c>
      <c r="M18" s="2" t="inlineStr">
        <is>
          <t>solid fill; 34-2869 x 20-30 cm; L/W 1.70-143.45; inside a footing outline 5%; on a raft 29%; touching a hatched core wall 12%; in a strip-footing band 69%; at a grade-beam junction 20%</t>
        </is>
      </c>
    </row>
    <row r="19">
      <c r="A19" s="5" t="inlineStr">
        <is>
          <t>120</t>
        </is>
      </c>
      <c r="B19" s="5" t="inlineStr">
        <is>
          <t>wall</t>
        </is>
      </c>
      <c r="C19" s="5" t="inlineStr">
        <is>
          <t>retaining_wall</t>
        </is>
      </c>
      <c r="D19" s="5" t="inlineStr">
        <is>
          <t>VP25</t>
        </is>
      </c>
      <c r="E19" s="5">
        <f>COUNTIFS(Elements!$B$2:$B$862,$A19,Elements!$D$2:$D$862,$B19,Elements!$E$2:$E$862,$C19,Elements!$F$2:$F$862,$D19)</f>
        <v/>
      </c>
      <c r="F19" s="5">
        <f>IFERROR(_xlfn.MINIFS(Elements!$I$2:$I$862,Elements!$B$2:$B$862,$A19,Elements!$D$2:$D$862,$B19,Elements!$E$2:$E$862,$C19,Elements!$F$2:$F$862,$D19),"")</f>
        <v/>
      </c>
      <c r="G19" s="5">
        <f>IFERROR(_xlfn.MAXIFS(Elements!$I$2:$I$862,Elements!$B$2:$B$862,$A19,Elements!$D$2:$D$862,$B19,Elements!$E$2:$E$862,$C19,Elements!$F$2:$F$862,$D19),"")</f>
        <v/>
      </c>
      <c r="H19" s="5">
        <f>IFERROR(_xlfn.MINIFS(Elements!$J$2:$J$862,Elements!$B$2:$B$862,$A19,Elements!$D$2:$D$862,$B19,Elements!$E$2:$E$862,$C19,Elements!$F$2:$F$862,$D19),"")</f>
        <v/>
      </c>
      <c r="I19" s="5">
        <f>IFERROR(_xlfn.MAXIFS(Elements!$J$2:$J$862,Elements!$B$2:$B$862,$A19,Elements!$D$2:$D$862,$B19,Elements!$E$2:$E$862,$C19,Elements!$F$2:$F$862,$D19),"")</f>
        <v/>
      </c>
      <c r="J19" s="5">
        <f>IF(OR(F19="",H19=""),"",IF(OR(B19="raft",B19="sump_pit",B19="crane_foundation",D19="(none)"),"n/a",IF(OR(B19="column",B19="footing",B19="mass_concrete_pad",AND(B19="wall",C19="shear_wall",D19&lt;&gt;"(none)")),IF(AND(G19-F19&lt;=3,I19-H19&lt;=3),"yes","no"),IF(I19-H19&lt;=3,"yes (thickness)","no (thickness)"))))</f>
        <v/>
      </c>
      <c r="K19" s="6">
        <f>SUMIFS(Elements!$M$2:$M$862,Elements!$B$2:$B$862,$A19,Elements!$D$2:$D$862,$B19,Elements!$E$2:$E$862,$C19,Elements!$F$2:$F$862,$D19)</f>
        <v/>
      </c>
      <c r="L19" s="6">
        <f>SUMIFS(Elements!$L$2:$L$862,Elements!$B$2:$B$862,$A19,Elements!$D$2:$D$862,$B19,Elements!$E$2:$E$862,$C19,Elements!$F$2:$F$862,$D19)</f>
        <v/>
      </c>
      <c r="M19" s="2" t="inlineStr">
        <is>
          <t>solid fill; 34-2869 x 20-30 cm; L/W 1.70-143.45; inside a footing outline 5%; on a raft 29%; touching a hatched core wall 12%; in a strip-footing band 69%; at a grade-beam junction 20%</t>
        </is>
      </c>
    </row>
    <row r="20">
      <c r="A20" s="5" t="inlineStr">
        <is>
          <t>120</t>
        </is>
      </c>
      <c r="B20" s="5" t="inlineStr">
        <is>
          <t>wall</t>
        </is>
      </c>
      <c r="C20" s="5" t="inlineStr">
        <is>
          <t>shear_wall</t>
        </is>
      </c>
      <c r="D20" s="5" t="inlineStr">
        <is>
          <t>(none)</t>
        </is>
      </c>
      <c r="E20" s="5">
        <f>COUNTIFS(Elements!$B$2:$B$862,$A20,Elements!$D$2:$D$862,$B20,Elements!$E$2:$E$862,$C20,Elements!$F$2:$F$862,$D20)</f>
        <v/>
      </c>
      <c r="F20" s="5">
        <f>IFERROR(_xlfn.MINIFS(Elements!$I$2:$I$862,Elements!$B$2:$B$862,$A20,Elements!$D$2:$D$862,$B20,Elements!$E$2:$E$862,$C20,Elements!$F$2:$F$862,$D20),"")</f>
        <v/>
      </c>
      <c r="G20" s="5">
        <f>IFERROR(_xlfn.MAXIFS(Elements!$I$2:$I$862,Elements!$B$2:$B$862,$A20,Elements!$D$2:$D$862,$B20,Elements!$E$2:$E$862,$C20,Elements!$F$2:$F$862,$D20),"")</f>
        <v/>
      </c>
      <c r="H20" s="5">
        <f>IFERROR(_xlfn.MINIFS(Elements!$J$2:$J$862,Elements!$B$2:$B$862,$A20,Elements!$D$2:$D$862,$B20,Elements!$E$2:$E$862,$C20,Elements!$F$2:$F$862,$D20),"")</f>
        <v/>
      </c>
      <c r="I20" s="5">
        <f>IFERROR(_xlfn.MAXIFS(Elements!$J$2:$J$862,Elements!$B$2:$B$862,$A20,Elements!$D$2:$D$862,$B20,Elements!$E$2:$E$862,$C20,Elements!$F$2:$F$862,$D20),"")</f>
        <v/>
      </c>
      <c r="J20" s="5">
        <f>IF(OR(F20="",H20=""),"",IF(OR(B20="raft",B20="sump_pit",B20="crane_foundation",D20="(none)"),"n/a",IF(OR(B20="column",B20="footing",B20="mass_concrete_pad",AND(B20="wall",C20="shear_wall",D20&lt;&gt;"(none)")),IF(AND(G20-F20&lt;=3,I20-H20&lt;=3),"yes","no"),IF(I20-H20&lt;=3,"yes (thickness)","no (thickness)"))))</f>
        <v/>
      </c>
      <c r="K20" s="6">
        <f>SUMIFS(Elements!$M$2:$M$862,Elements!$B$2:$B$862,$A20,Elements!$D$2:$D$862,$B20,Elements!$E$2:$E$862,$C20,Elements!$F$2:$F$862,$D20)</f>
        <v/>
      </c>
      <c r="L20" s="6">
        <f>SUMIFS(Elements!$L$2:$L$862,Elements!$B$2:$B$862,$A20,Elements!$D$2:$D$862,$B20,Elements!$E$2:$E$862,$C20,Elements!$F$2:$F$862,$D20)</f>
        <v/>
      </c>
      <c r="M20" s="2" t="inlineStr">
        <is>
          <t>solid fill; 87-1849 x 20-30 cm; L/W 4.17-92.45; inside a footing outline 72%; on a raft 10%; touching a hatched core wall 1%; in a strip-footing band 5%; at a grade-beam junction 51%</t>
        </is>
      </c>
    </row>
    <row r="21">
      <c r="A21" s="5" t="inlineStr">
        <is>
          <t>120</t>
        </is>
      </c>
      <c r="B21" s="5" t="inlineStr">
        <is>
          <t>wall</t>
        </is>
      </c>
      <c r="C21" s="5" t="inlineStr">
        <is>
          <t>shear_wall</t>
        </is>
      </c>
      <c r="D21" s="5" t="inlineStr">
        <is>
          <t>V1/120</t>
        </is>
      </c>
      <c r="E21" s="5">
        <f>COUNTIFS(Elements!$B$2:$B$862,$A21,Elements!$D$2:$D$862,$B21,Elements!$E$2:$E$862,$C21,Elements!$F$2:$F$862,$D21)</f>
        <v/>
      </c>
      <c r="F21" s="5">
        <f>IFERROR(_xlfn.MINIFS(Elements!$I$2:$I$862,Elements!$B$2:$B$862,$A21,Elements!$D$2:$D$862,$B21,Elements!$E$2:$E$862,$C21,Elements!$F$2:$F$862,$D21),"")</f>
        <v/>
      </c>
      <c r="G21" s="5">
        <f>IFERROR(_xlfn.MAXIFS(Elements!$I$2:$I$862,Elements!$B$2:$B$862,$A21,Elements!$D$2:$D$862,$B21,Elements!$E$2:$E$862,$C21,Elements!$F$2:$F$862,$D21),"")</f>
        <v/>
      </c>
      <c r="H21" s="5">
        <f>IFERROR(_xlfn.MINIFS(Elements!$J$2:$J$862,Elements!$B$2:$B$862,$A21,Elements!$D$2:$D$862,$B21,Elements!$E$2:$E$862,$C21,Elements!$F$2:$F$862,$D21),"")</f>
        <v/>
      </c>
      <c r="I21" s="5">
        <f>IFERROR(_xlfn.MAXIFS(Elements!$J$2:$J$862,Elements!$B$2:$B$862,$A21,Elements!$D$2:$D$862,$B21,Elements!$E$2:$E$862,$C21,Elements!$F$2:$F$862,$D21),"")</f>
        <v/>
      </c>
      <c r="J21" s="5">
        <f>IF(OR(F21="",H21=""),"",IF(OR(B21="raft",B21="sump_pit",B21="crane_foundation",D21="(none)"),"n/a",IF(OR(B21="column",B21="footing",B21="mass_concrete_pad",AND(B21="wall",C21="shear_wall",D21&lt;&gt;"(none)")),IF(AND(G21-F21&lt;=3,I21-H21&lt;=3),"yes","no"),IF(I21-H21&lt;=3,"yes (thickness)","no (thickness)"))))</f>
        <v/>
      </c>
      <c r="K21" s="6">
        <f>SUMIFS(Elements!$M$2:$M$862,Elements!$B$2:$B$862,$A21,Elements!$D$2:$D$862,$B21,Elements!$E$2:$E$862,$C21,Elements!$F$2:$F$862,$D21)</f>
        <v/>
      </c>
      <c r="L21" s="6">
        <f>SUMIFS(Elements!$L$2:$L$862,Elements!$B$2:$B$862,$A21,Elements!$D$2:$D$862,$B21,Elements!$E$2:$E$862,$C21,Elements!$F$2:$F$862,$D21)</f>
        <v/>
      </c>
      <c r="M21" s="2" t="inlineStr">
        <is>
          <t>solid fill; 87-1849 x 20-30 cm; L/W 4.17-92.45; inside a footing outline 72%; on a raft 10%; touching a hatched core wall 1%; in a strip-footing band 5%; at a grade-beam junction 51%</t>
        </is>
      </c>
    </row>
    <row r="22">
      <c r="A22" s="5" t="inlineStr">
        <is>
          <t>120</t>
        </is>
      </c>
      <c r="B22" s="5" t="inlineStr">
        <is>
          <t>wall</t>
        </is>
      </c>
      <c r="C22" s="5" t="inlineStr">
        <is>
          <t>shear_wall</t>
        </is>
      </c>
      <c r="D22" s="5" t="inlineStr">
        <is>
          <t>V2/120</t>
        </is>
      </c>
      <c r="E22" s="5">
        <f>COUNTIFS(Elements!$B$2:$B$862,$A22,Elements!$D$2:$D$862,$B22,Elements!$E$2:$E$862,$C22,Elements!$F$2:$F$862,$D22)</f>
        <v/>
      </c>
      <c r="F22" s="5">
        <f>IFERROR(_xlfn.MINIFS(Elements!$I$2:$I$862,Elements!$B$2:$B$862,$A22,Elements!$D$2:$D$862,$B22,Elements!$E$2:$E$862,$C22,Elements!$F$2:$F$862,$D22),"")</f>
        <v/>
      </c>
      <c r="G22" s="5">
        <f>IFERROR(_xlfn.MAXIFS(Elements!$I$2:$I$862,Elements!$B$2:$B$862,$A22,Elements!$D$2:$D$862,$B22,Elements!$E$2:$E$862,$C22,Elements!$F$2:$F$862,$D22),"")</f>
        <v/>
      </c>
      <c r="H22" s="5">
        <f>IFERROR(_xlfn.MINIFS(Elements!$J$2:$J$862,Elements!$B$2:$B$862,$A22,Elements!$D$2:$D$862,$B22,Elements!$E$2:$E$862,$C22,Elements!$F$2:$F$862,$D22),"")</f>
        <v/>
      </c>
      <c r="I22" s="5">
        <f>IFERROR(_xlfn.MAXIFS(Elements!$J$2:$J$862,Elements!$B$2:$B$862,$A22,Elements!$D$2:$D$862,$B22,Elements!$E$2:$E$862,$C22,Elements!$F$2:$F$862,$D22),"")</f>
        <v/>
      </c>
      <c r="J22" s="5">
        <f>IF(OR(F22="",H22=""),"",IF(OR(B22="raft",B22="sump_pit",B22="crane_foundation",D22="(none)"),"n/a",IF(OR(B22="column",B22="footing",B22="mass_concrete_pad",AND(B22="wall",C22="shear_wall",D22&lt;&gt;"(none)")),IF(AND(G22-F22&lt;=3,I22-H22&lt;=3),"yes","no"),IF(I22-H22&lt;=3,"yes (thickness)","no (thickness)"))))</f>
        <v/>
      </c>
      <c r="K22" s="6">
        <f>SUMIFS(Elements!$M$2:$M$862,Elements!$B$2:$B$862,$A22,Elements!$D$2:$D$862,$B22,Elements!$E$2:$E$862,$C22,Elements!$F$2:$F$862,$D22)</f>
        <v/>
      </c>
      <c r="L22" s="6">
        <f>SUMIFS(Elements!$L$2:$L$862,Elements!$B$2:$B$862,$A22,Elements!$D$2:$D$862,$B22,Elements!$E$2:$E$862,$C22,Elements!$F$2:$F$862,$D22)</f>
        <v/>
      </c>
      <c r="M22" s="2" t="inlineStr">
        <is>
          <t>solid fill; 87-1849 x 20-30 cm; L/W 4.17-92.45; inside a footing outline 72%; on a raft 10%; touching a hatched core wall 1%; in a strip-footing band 5%; at a grade-beam junction 51%</t>
        </is>
      </c>
    </row>
    <row r="23">
      <c r="A23" s="5" t="inlineStr">
        <is>
          <t>120</t>
        </is>
      </c>
      <c r="B23" s="5" t="inlineStr">
        <is>
          <t>wall</t>
        </is>
      </c>
      <c r="C23" s="5" t="inlineStr">
        <is>
          <t>shear_wall</t>
        </is>
      </c>
      <c r="D23" s="5" t="inlineStr">
        <is>
          <t>V3/120</t>
        </is>
      </c>
      <c r="E23" s="5">
        <f>COUNTIFS(Elements!$B$2:$B$862,$A23,Elements!$D$2:$D$862,$B23,Elements!$E$2:$E$862,$C23,Elements!$F$2:$F$862,$D23)</f>
        <v/>
      </c>
      <c r="F23" s="5">
        <f>IFERROR(_xlfn.MINIFS(Elements!$I$2:$I$862,Elements!$B$2:$B$862,$A23,Elements!$D$2:$D$862,$B23,Elements!$E$2:$E$862,$C23,Elements!$F$2:$F$862,$D23),"")</f>
        <v/>
      </c>
      <c r="G23" s="5">
        <f>IFERROR(_xlfn.MAXIFS(Elements!$I$2:$I$862,Elements!$B$2:$B$862,$A23,Elements!$D$2:$D$862,$B23,Elements!$E$2:$E$862,$C23,Elements!$F$2:$F$862,$D23),"")</f>
        <v/>
      </c>
      <c r="H23" s="5">
        <f>IFERROR(_xlfn.MINIFS(Elements!$J$2:$J$862,Elements!$B$2:$B$862,$A23,Elements!$D$2:$D$862,$B23,Elements!$E$2:$E$862,$C23,Elements!$F$2:$F$862,$D23),"")</f>
        <v/>
      </c>
      <c r="I23" s="5">
        <f>IFERROR(_xlfn.MAXIFS(Elements!$J$2:$J$862,Elements!$B$2:$B$862,$A23,Elements!$D$2:$D$862,$B23,Elements!$E$2:$E$862,$C23,Elements!$F$2:$F$862,$D23),"")</f>
        <v/>
      </c>
      <c r="J23" s="5">
        <f>IF(OR(F23="",H23=""),"",IF(OR(B23="raft",B23="sump_pit",B23="crane_foundation",D23="(none)"),"n/a",IF(OR(B23="column",B23="footing",B23="mass_concrete_pad",AND(B23="wall",C23="shear_wall",D23&lt;&gt;"(none)")),IF(AND(G23-F23&lt;=3,I23-H23&lt;=3),"yes","no"),IF(I23-H23&lt;=3,"yes (thickness)","no (thickness)"))))</f>
        <v/>
      </c>
      <c r="K23" s="6">
        <f>SUMIFS(Elements!$M$2:$M$862,Elements!$B$2:$B$862,$A23,Elements!$D$2:$D$862,$B23,Elements!$E$2:$E$862,$C23,Elements!$F$2:$F$862,$D23)</f>
        <v/>
      </c>
      <c r="L23" s="6">
        <f>SUMIFS(Elements!$L$2:$L$862,Elements!$B$2:$B$862,$A23,Elements!$D$2:$D$862,$B23,Elements!$E$2:$E$862,$C23,Elements!$F$2:$F$862,$D23)</f>
        <v/>
      </c>
      <c r="M23" s="2" t="inlineStr">
        <is>
          <t>solid fill; 87-1849 x 20-30 cm; L/W 4.17-92.45; inside a footing outline 72%; on a raft 10%; touching a hatched core wall 1%; in a strip-footing band 5%; at a grade-beam junction 51%</t>
        </is>
      </c>
    </row>
    <row r="24">
      <c r="A24" s="5" t="inlineStr">
        <is>
          <t>120</t>
        </is>
      </c>
      <c r="B24" s="5" t="inlineStr">
        <is>
          <t>wall</t>
        </is>
      </c>
      <c r="C24" s="5" t="inlineStr">
        <is>
          <t>shear_wall</t>
        </is>
      </c>
      <c r="D24" s="5" t="inlineStr">
        <is>
          <t>V5/120</t>
        </is>
      </c>
      <c r="E24" s="5">
        <f>COUNTIFS(Elements!$B$2:$B$862,$A24,Elements!$D$2:$D$862,$B24,Elements!$E$2:$E$862,$C24,Elements!$F$2:$F$862,$D24)</f>
        <v/>
      </c>
      <c r="F24" s="5">
        <f>IFERROR(_xlfn.MINIFS(Elements!$I$2:$I$862,Elements!$B$2:$B$862,$A24,Elements!$D$2:$D$862,$B24,Elements!$E$2:$E$862,$C24,Elements!$F$2:$F$862,$D24),"")</f>
        <v/>
      </c>
      <c r="G24" s="5">
        <f>IFERROR(_xlfn.MAXIFS(Elements!$I$2:$I$862,Elements!$B$2:$B$862,$A24,Elements!$D$2:$D$862,$B24,Elements!$E$2:$E$862,$C24,Elements!$F$2:$F$862,$D24),"")</f>
        <v/>
      </c>
      <c r="H24" s="5">
        <f>IFERROR(_xlfn.MINIFS(Elements!$J$2:$J$862,Elements!$B$2:$B$862,$A24,Elements!$D$2:$D$862,$B24,Elements!$E$2:$E$862,$C24,Elements!$F$2:$F$862,$D24),"")</f>
        <v/>
      </c>
      <c r="I24" s="5">
        <f>IFERROR(_xlfn.MAXIFS(Elements!$J$2:$J$862,Elements!$B$2:$B$862,$A24,Elements!$D$2:$D$862,$B24,Elements!$E$2:$E$862,$C24,Elements!$F$2:$F$862,$D24),"")</f>
        <v/>
      </c>
      <c r="J24" s="5">
        <f>IF(OR(F24="",H24=""),"",IF(OR(B24="raft",B24="sump_pit",B24="crane_foundation",D24="(none)"),"n/a",IF(OR(B24="column",B24="footing",B24="mass_concrete_pad",AND(B24="wall",C24="shear_wall",D24&lt;&gt;"(none)")),IF(AND(G24-F24&lt;=3,I24-H24&lt;=3),"yes","no"),IF(I24-H24&lt;=3,"yes (thickness)","no (thickness)"))))</f>
        <v/>
      </c>
      <c r="K24" s="6">
        <f>SUMIFS(Elements!$M$2:$M$862,Elements!$B$2:$B$862,$A24,Elements!$D$2:$D$862,$B24,Elements!$E$2:$E$862,$C24,Elements!$F$2:$F$862,$D24)</f>
        <v/>
      </c>
      <c r="L24" s="6">
        <f>SUMIFS(Elements!$L$2:$L$862,Elements!$B$2:$B$862,$A24,Elements!$D$2:$D$862,$B24,Elements!$E$2:$E$862,$C24,Elements!$F$2:$F$862,$D24)</f>
        <v/>
      </c>
      <c r="M24" s="2" t="inlineStr">
        <is>
          <t>solid fill; 87-1849 x 20-30 cm; L/W 4.17-92.45; inside a footing outline 72%; on a raft 10%; touching a hatched core wall 1%; in a strip-footing band 5%; at a grade-beam junction 51%</t>
        </is>
      </c>
    </row>
    <row r="25">
      <c r="A25" s="5" t="inlineStr">
        <is>
          <t>120</t>
        </is>
      </c>
      <c r="B25" s="5" t="inlineStr">
        <is>
          <t>wall</t>
        </is>
      </c>
      <c r="C25" s="5" t="inlineStr">
        <is>
          <t>shear_wall</t>
        </is>
      </c>
      <c r="D25" s="5" t="inlineStr">
        <is>
          <t>V8/120</t>
        </is>
      </c>
      <c r="E25" s="5">
        <f>COUNTIFS(Elements!$B$2:$B$862,$A25,Elements!$D$2:$D$862,$B25,Elements!$E$2:$E$862,$C25,Elements!$F$2:$F$862,$D25)</f>
        <v/>
      </c>
      <c r="F25" s="5">
        <f>IFERROR(_xlfn.MINIFS(Elements!$I$2:$I$862,Elements!$B$2:$B$862,$A25,Elements!$D$2:$D$862,$B25,Elements!$E$2:$E$862,$C25,Elements!$F$2:$F$862,$D25),"")</f>
        <v/>
      </c>
      <c r="G25" s="5">
        <f>IFERROR(_xlfn.MAXIFS(Elements!$I$2:$I$862,Elements!$B$2:$B$862,$A25,Elements!$D$2:$D$862,$B25,Elements!$E$2:$E$862,$C25,Elements!$F$2:$F$862,$D25),"")</f>
        <v/>
      </c>
      <c r="H25" s="5">
        <f>IFERROR(_xlfn.MINIFS(Elements!$J$2:$J$862,Elements!$B$2:$B$862,$A25,Elements!$D$2:$D$862,$B25,Elements!$E$2:$E$862,$C25,Elements!$F$2:$F$862,$D25),"")</f>
        <v/>
      </c>
      <c r="I25" s="5">
        <f>IFERROR(_xlfn.MAXIFS(Elements!$J$2:$J$862,Elements!$B$2:$B$862,$A25,Elements!$D$2:$D$862,$B25,Elements!$E$2:$E$862,$C25,Elements!$F$2:$F$862,$D25),"")</f>
        <v/>
      </c>
      <c r="J25" s="5">
        <f>IF(OR(F25="",H25=""),"",IF(OR(B25="raft",B25="sump_pit",B25="crane_foundation",D25="(none)"),"n/a",IF(OR(B25="column",B25="footing",B25="mass_concrete_pad",AND(B25="wall",C25="shear_wall",D25&lt;&gt;"(none)")),IF(AND(G25-F25&lt;=3,I25-H25&lt;=3),"yes","no"),IF(I25-H25&lt;=3,"yes (thickness)","no (thickness)"))))</f>
        <v/>
      </c>
      <c r="K25" s="6">
        <f>SUMIFS(Elements!$M$2:$M$862,Elements!$B$2:$B$862,$A25,Elements!$D$2:$D$862,$B25,Elements!$E$2:$E$862,$C25,Elements!$F$2:$F$862,$D25)</f>
        <v/>
      </c>
      <c r="L25" s="6">
        <f>SUMIFS(Elements!$L$2:$L$862,Elements!$B$2:$B$862,$A25,Elements!$D$2:$D$862,$B25,Elements!$E$2:$E$862,$C25,Elements!$F$2:$F$862,$D25)</f>
        <v/>
      </c>
      <c r="M25" s="2" t="inlineStr">
        <is>
          <t>solid fill; 87-1849 x 20-30 cm; L/W 4.17-92.45; inside a footing outline 72%; on a raft 10%; touching a hatched core wall 1%; in a strip-footing band 5%; at a grade-beam junction 51%</t>
        </is>
      </c>
    </row>
    <row r="26">
      <c r="A26" s="5" t="inlineStr">
        <is>
          <t>120</t>
        </is>
      </c>
      <c r="B26" s="5" t="inlineStr">
        <is>
          <t>wall</t>
        </is>
      </c>
      <c r="C26" s="5" t="inlineStr">
        <is>
          <t>shear_wall</t>
        </is>
      </c>
      <c r="D26" s="5" t="inlineStr">
        <is>
          <t>V9/120</t>
        </is>
      </c>
      <c r="E26" s="5">
        <f>COUNTIFS(Elements!$B$2:$B$862,$A26,Elements!$D$2:$D$862,$B26,Elements!$E$2:$E$862,$C26,Elements!$F$2:$F$862,$D26)</f>
        <v/>
      </c>
      <c r="F26" s="5">
        <f>IFERROR(_xlfn.MINIFS(Elements!$I$2:$I$862,Elements!$B$2:$B$862,$A26,Elements!$D$2:$D$862,$B26,Elements!$E$2:$E$862,$C26,Elements!$F$2:$F$862,$D26),"")</f>
        <v/>
      </c>
      <c r="G26" s="5">
        <f>IFERROR(_xlfn.MAXIFS(Elements!$I$2:$I$862,Elements!$B$2:$B$862,$A26,Elements!$D$2:$D$862,$B26,Elements!$E$2:$E$862,$C26,Elements!$F$2:$F$862,$D26),"")</f>
        <v/>
      </c>
      <c r="H26" s="5">
        <f>IFERROR(_xlfn.MINIFS(Elements!$J$2:$J$862,Elements!$B$2:$B$862,$A26,Elements!$D$2:$D$862,$B26,Elements!$E$2:$E$862,$C26,Elements!$F$2:$F$862,$D26),"")</f>
        <v/>
      </c>
      <c r="I26" s="5">
        <f>IFERROR(_xlfn.MAXIFS(Elements!$J$2:$J$862,Elements!$B$2:$B$862,$A26,Elements!$D$2:$D$862,$B26,Elements!$E$2:$E$862,$C26,Elements!$F$2:$F$862,$D26),"")</f>
        <v/>
      </c>
      <c r="J26" s="5">
        <f>IF(OR(F26="",H26=""),"",IF(OR(B26="raft",B26="sump_pit",B26="crane_foundation",D26="(none)"),"n/a",IF(OR(B26="column",B26="footing",B26="mass_concrete_pad",AND(B26="wall",C26="shear_wall",D26&lt;&gt;"(none)")),IF(AND(G26-F26&lt;=3,I26-H26&lt;=3),"yes","no"),IF(I26-H26&lt;=3,"yes (thickness)","no (thickness)"))))</f>
        <v/>
      </c>
      <c r="K26" s="6">
        <f>SUMIFS(Elements!$M$2:$M$862,Elements!$B$2:$B$862,$A26,Elements!$D$2:$D$862,$B26,Elements!$E$2:$E$862,$C26,Elements!$F$2:$F$862,$D26)</f>
        <v/>
      </c>
      <c r="L26" s="6">
        <f>SUMIFS(Elements!$L$2:$L$862,Elements!$B$2:$B$862,$A26,Elements!$D$2:$D$862,$B26,Elements!$E$2:$E$862,$C26,Elements!$F$2:$F$862,$D26)</f>
        <v/>
      </c>
      <c r="M26" s="2" t="inlineStr">
        <is>
          <t>solid fill; 87-1849 x 20-30 cm; L/W 4.17-92.45; inside a footing outline 72%; on a raft 10%; touching a hatched core wall 1%; in a strip-footing band 5%; at a grade-beam junction 51%</t>
        </is>
      </c>
    </row>
    <row r="27">
      <c r="A27" s="5" t="inlineStr">
        <is>
          <t>121</t>
        </is>
      </c>
      <c r="B27" s="5" t="inlineStr">
        <is>
          <t>column</t>
        </is>
      </c>
      <c r="C27" s="5" t="inlineStr">
        <is>
          <t>column</t>
        </is>
      </c>
      <c r="D27" s="5" t="inlineStr">
        <is>
          <t>P2/121</t>
        </is>
      </c>
      <c r="E27" s="5">
        <f>COUNTIFS(Elements!$B$2:$B$862,$A27,Elements!$D$2:$D$862,$B27,Elements!$E$2:$E$862,$C27,Elements!$F$2:$F$862,$D27)</f>
        <v/>
      </c>
      <c r="F27" s="5">
        <f>IFERROR(_xlfn.MINIFS(Elements!$I$2:$I$862,Elements!$B$2:$B$862,$A27,Elements!$D$2:$D$862,$B27,Elements!$E$2:$E$862,$C27,Elements!$F$2:$F$862,$D27),"")</f>
        <v/>
      </c>
      <c r="G27" s="5">
        <f>IFERROR(_xlfn.MAXIFS(Elements!$I$2:$I$862,Elements!$B$2:$B$862,$A27,Elements!$D$2:$D$862,$B27,Elements!$E$2:$E$862,$C27,Elements!$F$2:$F$862,$D27),"")</f>
        <v/>
      </c>
      <c r="H27" s="5">
        <f>IFERROR(_xlfn.MINIFS(Elements!$J$2:$J$862,Elements!$B$2:$B$862,$A27,Elements!$D$2:$D$862,$B27,Elements!$E$2:$E$862,$C27,Elements!$F$2:$F$862,$D27),"")</f>
        <v/>
      </c>
      <c r="I27" s="5">
        <f>IFERROR(_xlfn.MAXIFS(Elements!$J$2:$J$862,Elements!$B$2:$B$862,$A27,Elements!$D$2:$D$862,$B27,Elements!$E$2:$E$862,$C27,Elements!$F$2:$F$862,$D27),"")</f>
        <v/>
      </c>
      <c r="J27" s="5">
        <f>IF(OR(F27="",H27=""),"",IF(OR(B27="raft",B27="sump_pit",B27="crane_foundation",D27="(none)"),"n/a",IF(OR(B27="column",B27="footing",B27="mass_concrete_pad",AND(B27="wall",C27="shear_wall",D27&lt;&gt;"(none)")),IF(AND(G27-F27&lt;=3,I27-H27&lt;=3),"yes","no"),IF(I27-H27&lt;=3,"yes (thickness)","no (thickness)"))))</f>
        <v/>
      </c>
      <c r="K27" s="6">
        <f>SUMIFS(Elements!$M$2:$M$862,Elements!$B$2:$B$862,$A27,Elements!$D$2:$D$862,$B27,Elements!$E$2:$E$862,$C27,Elements!$F$2:$F$862,$D27)</f>
        <v/>
      </c>
      <c r="L27" s="6">
        <f>SUMIFS(Elements!$L$2:$L$862,Elements!$B$2:$B$862,$A27,Elements!$D$2:$D$862,$B27,Elements!$E$2:$E$862,$C27,Elements!$F$2:$F$862,$D27)</f>
        <v/>
      </c>
      <c r="M27" s="2" t="inlineStr">
        <is>
          <t>solid fill; 40-120 x 25-50 cm; L/W 1.60-4.00; inside a footing outline 37%; on a raft 63%; touching a hatched core wall 26%; in a strip-footing band 0%; at a grade-beam junction 26%</t>
        </is>
      </c>
    </row>
    <row r="28">
      <c r="A28" s="5" t="inlineStr">
        <is>
          <t>121</t>
        </is>
      </c>
      <c r="B28" s="5" t="inlineStr">
        <is>
          <t>footing</t>
        </is>
      </c>
      <c r="C28" s="5" t="inlineStr">
        <is>
          <t>combined_footing</t>
        </is>
      </c>
      <c r="D28" s="5" t="inlineStr">
        <is>
          <t>SC1</t>
        </is>
      </c>
      <c r="E28" s="5">
        <f>COUNTIFS(Elements!$B$2:$B$862,$A28,Elements!$D$2:$D$862,$B28,Elements!$E$2:$E$862,$C28,Elements!$F$2:$F$862,$D28)</f>
        <v/>
      </c>
      <c r="F28" s="5">
        <f>IFERROR(_xlfn.MINIFS(Elements!$I$2:$I$862,Elements!$B$2:$B$862,$A28,Elements!$D$2:$D$862,$B28,Elements!$E$2:$E$862,$C28,Elements!$F$2:$F$862,$D28),"")</f>
        <v/>
      </c>
      <c r="G28" s="5">
        <f>IFERROR(_xlfn.MAXIFS(Elements!$I$2:$I$862,Elements!$B$2:$B$862,$A28,Elements!$D$2:$D$862,$B28,Elements!$E$2:$E$862,$C28,Elements!$F$2:$F$862,$D28),"")</f>
        <v/>
      </c>
      <c r="H28" s="5">
        <f>IFERROR(_xlfn.MINIFS(Elements!$J$2:$J$862,Elements!$B$2:$B$862,$A28,Elements!$D$2:$D$862,$B28,Elements!$E$2:$E$862,$C28,Elements!$F$2:$F$862,$D28),"")</f>
        <v/>
      </c>
      <c r="I28" s="5">
        <f>IFERROR(_xlfn.MAXIFS(Elements!$J$2:$J$862,Elements!$B$2:$B$862,$A28,Elements!$D$2:$D$862,$B28,Elements!$E$2:$E$862,$C28,Elements!$F$2:$F$862,$D28),"")</f>
        <v/>
      </c>
      <c r="J28" s="5">
        <f>IF(OR(F28="",H28=""),"",IF(OR(B28="raft",B28="sump_pit",B28="crane_foundation",D28="(none)"),"n/a",IF(OR(B28="column",B28="footing",B28="mass_concrete_pad",AND(B28="wall",C28="shear_wall",D28&lt;&gt;"(none)")),IF(AND(G28-F28&lt;=3,I28-H28&lt;=3),"yes","no"),IF(I28-H28&lt;=3,"yes (thickness)","no (thickness)"))))</f>
        <v/>
      </c>
      <c r="K28" s="6">
        <f>SUMIFS(Elements!$M$2:$M$862,Elements!$B$2:$B$862,$A28,Elements!$D$2:$D$862,$B28,Elements!$E$2:$E$862,$C28,Elements!$F$2:$F$862,$D28)</f>
        <v/>
      </c>
      <c r="L28" s="6">
        <f>SUMIFS(Elements!$L$2:$L$862,Elements!$B$2:$B$862,$A28,Elements!$D$2:$D$862,$B28,Elements!$E$2:$E$862,$C28,Elements!$F$2:$F$862,$D28)</f>
        <v/>
      </c>
      <c r="M28" s="2" t="inlineStr">
        <is>
          <t>closed outline; 350-600 x 200-450 cm; carries wall+wall (24), column+wall (3), wall+wall+wall+wall (1); grade beam crossing it 93%</t>
        </is>
      </c>
    </row>
    <row r="29">
      <c r="A29" s="5" t="inlineStr">
        <is>
          <t>121</t>
        </is>
      </c>
      <c r="B29" s="5" t="inlineStr">
        <is>
          <t>footing</t>
        </is>
      </c>
      <c r="C29" s="5" t="inlineStr">
        <is>
          <t>combined_footing</t>
        </is>
      </c>
      <c r="D29" s="5" t="inlineStr">
        <is>
          <t>SC4</t>
        </is>
      </c>
      <c r="E29" s="5">
        <f>COUNTIFS(Elements!$B$2:$B$862,$A29,Elements!$D$2:$D$862,$B29,Elements!$E$2:$E$862,$C29,Elements!$F$2:$F$862,$D29)</f>
        <v/>
      </c>
      <c r="F29" s="5">
        <f>IFERROR(_xlfn.MINIFS(Elements!$I$2:$I$862,Elements!$B$2:$B$862,$A29,Elements!$D$2:$D$862,$B29,Elements!$E$2:$E$862,$C29,Elements!$F$2:$F$862,$D29),"")</f>
        <v/>
      </c>
      <c r="G29" s="5">
        <f>IFERROR(_xlfn.MAXIFS(Elements!$I$2:$I$862,Elements!$B$2:$B$862,$A29,Elements!$D$2:$D$862,$B29,Elements!$E$2:$E$862,$C29,Elements!$F$2:$F$862,$D29),"")</f>
        <v/>
      </c>
      <c r="H29" s="5">
        <f>IFERROR(_xlfn.MINIFS(Elements!$J$2:$J$862,Elements!$B$2:$B$862,$A29,Elements!$D$2:$D$862,$B29,Elements!$E$2:$E$862,$C29,Elements!$F$2:$F$862,$D29),"")</f>
        <v/>
      </c>
      <c r="I29" s="5">
        <f>IFERROR(_xlfn.MAXIFS(Elements!$J$2:$J$862,Elements!$B$2:$B$862,$A29,Elements!$D$2:$D$862,$B29,Elements!$E$2:$E$862,$C29,Elements!$F$2:$F$862,$D29),"")</f>
        <v/>
      </c>
      <c r="J29" s="5">
        <f>IF(OR(F29="",H29=""),"",IF(OR(B29="raft",B29="sump_pit",B29="crane_foundation",D29="(none)"),"n/a",IF(OR(B29="column",B29="footing",B29="mass_concrete_pad",AND(B29="wall",C29="shear_wall",D29&lt;&gt;"(none)")),IF(AND(G29-F29&lt;=3,I29-H29&lt;=3),"yes","no"),IF(I29-H29&lt;=3,"yes (thickness)","no (thickness)"))))</f>
        <v/>
      </c>
      <c r="K29" s="6">
        <f>SUMIFS(Elements!$M$2:$M$862,Elements!$B$2:$B$862,$A29,Elements!$D$2:$D$862,$B29,Elements!$E$2:$E$862,$C29,Elements!$F$2:$F$862,$D29)</f>
        <v/>
      </c>
      <c r="L29" s="6">
        <f>SUMIFS(Elements!$L$2:$L$862,Elements!$B$2:$B$862,$A29,Elements!$D$2:$D$862,$B29,Elements!$E$2:$E$862,$C29,Elements!$F$2:$F$862,$D29)</f>
        <v/>
      </c>
      <c r="M29" s="2" t="inlineStr">
        <is>
          <t>closed outline; 350-600 x 200-450 cm; carries wall+wall (24), column+wall (3), wall+wall+wall+wall (1); grade beam crossing it 93%</t>
        </is>
      </c>
    </row>
    <row r="30">
      <c r="A30" s="5" t="inlineStr">
        <is>
          <t>121</t>
        </is>
      </c>
      <c r="B30" s="5" t="inlineStr">
        <is>
          <t>footing</t>
        </is>
      </c>
      <c r="C30" s="5" t="inlineStr">
        <is>
          <t>isolated_footing</t>
        </is>
      </c>
      <c r="D30" s="5" t="inlineStr">
        <is>
          <t>S0</t>
        </is>
      </c>
      <c r="E30" s="5">
        <f>COUNTIFS(Elements!$B$2:$B$862,$A30,Elements!$D$2:$D$862,$B30,Elements!$E$2:$E$862,$C30,Elements!$F$2:$F$862,$D30)</f>
        <v/>
      </c>
      <c r="F30" s="5">
        <f>IFERROR(_xlfn.MINIFS(Elements!$I$2:$I$862,Elements!$B$2:$B$862,$A30,Elements!$D$2:$D$862,$B30,Elements!$E$2:$E$862,$C30,Elements!$F$2:$F$862,$D30),"")</f>
        <v/>
      </c>
      <c r="G30" s="5">
        <f>IFERROR(_xlfn.MAXIFS(Elements!$I$2:$I$862,Elements!$B$2:$B$862,$A30,Elements!$D$2:$D$862,$B30,Elements!$E$2:$E$862,$C30,Elements!$F$2:$F$862,$D30),"")</f>
        <v/>
      </c>
      <c r="H30" s="5">
        <f>IFERROR(_xlfn.MINIFS(Elements!$J$2:$J$862,Elements!$B$2:$B$862,$A30,Elements!$D$2:$D$862,$B30,Elements!$E$2:$E$862,$C30,Elements!$F$2:$F$862,$D30),"")</f>
        <v/>
      </c>
      <c r="I30" s="5">
        <f>IFERROR(_xlfn.MAXIFS(Elements!$J$2:$J$862,Elements!$B$2:$B$862,$A30,Elements!$D$2:$D$862,$B30,Elements!$E$2:$E$862,$C30,Elements!$F$2:$F$862,$D30),"")</f>
        <v/>
      </c>
      <c r="J30" s="5">
        <f>IF(OR(F30="",H30=""),"",IF(OR(B30="raft",B30="sump_pit",B30="crane_foundation",D30="(none)"),"n/a",IF(OR(B30="column",B30="footing",B30="mass_concrete_pad",AND(B30="wall",C30="shear_wall",D30&lt;&gt;"(none)")),IF(AND(G30-F30&lt;=3,I30-H30&lt;=3),"yes","no"),IF(I30-H30&lt;=3,"yes (thickness)","no (thickness)"))))</f>
        <v/>
      </c>
      <c r="K30" s="6">
        <f>SUMIFS(Elements!$M$2:$M$862,Elements!$B$2:$B$862,$A30,Elements!$D$2:$D$862,$B30,Elements!$E$2:$E$862,$C30,Elements!$F$2:$F$862,$D30)</f>
        <v/>
      </c>
      <c r="L30" s="6">
        <f>SUMIFS(Elements!$L$2:$L$862,Elements!$B$2:$B$862,$A30,Elements!$D$2:$D$862,$B30,Elements!$E$2:$E$862,$C30,Elements!$F$2:$F$862,$D30)</f>
        <v/>
      </c>
      <c r="M30" s="2" t="inlineStr">
        <is>
          <t>closed outline; 150-600 x 150-450 cm; carries wall (64), column (9), wall+wall (1); grade beam crossing it 95%</t>
        </is>
      </c>
    </row>
    <row r="31">
      <c r="A31" s="5" t="inlineStr">
        <is>
          <t>121</t>
        </is>
      </c>
      <c r="B31" s="5" t="inlineStr">
        <is>
          <t>footing</t>
        </is>
      </c>
      <c r="C31" s="5" t="inlineStr">
        <is>
          <t>isolated_footing</t>
        </is>
      </c>
      <c r="D31" s="5" t="inlineStr">
        <is>
          <t>S2</t>
        </is>
      </c>
      <c r="E31" s="5">
        <f>COUNTIFS(Elements!$B$2:$B$862,$A31,Elements!$D$2:$D$862,$B31,Elements!$E$2:$E$862,$C31,Elements!$F$2:$F$862,$D31)</f>
        <v/>
      </c>
      <c r="F31" s="5">
        <f>IFERROR(_xlfn.MINIFS(Elements!$I$2:$I$862,Elements!$B$2:$B$862,$A31,Elements!$D$2:$D$862,$B31,Elements!$E$2:$E$862,$C31,Elements!$F$2:$F$862,$D31),"")</f>
        <v/>
      </c>
      <c r="G31" s="5">
        <f>IFERROR(_xlfn.MAXIFS(Elements!$I$2:$I$862,Elements!$B$2:$B$862,$A31,Elements!$D$2:$D$862,$B31,Elements!$E$2:$E$862,$C31,Elements!$F$2:$F$862,$D31),"")</f>
        <v/>
      </c>
      <c r="H31" s="5">
        <f>IFERROR(_xlfn.MINIFS(Elements!$J$2:$J$862,Elements!$B$2:$B$862,$A31,Elements!$D$2:$D$862,$B31,Elements!$E$2:$E$862,$C31,Elements!$F$2:$F$862,$D31),"")</f>
        <v/>
      </c>
      <c r="I31" s="5">
        <f>IFERROR(_xlfn.MAXIFS(Elements!$J$2:$J$862,Elements!$B$2:$B$862,$A31,Elements!$D$2:$D$862,$B31,Elements!$E$2:$E$862,$C31,Elements!$F$2:$F$862,$D31),"")</f>
        <v/>
      </c>
      <c r="J31" s="5">
        <f>IF(OR(F31="",H31=""),"",IF(OR(B31="raft",B31="sump_pit",B31="crane_foundation",D31="(none)"),"n/a",IF(OR(B31="column",B31="footing",B31="mass_concrete_pad",AND(B31="wall",C31="shear_wall",D31&lt;&gt;"(none)")),IF(AND(G31-F31&lt;=3,I31-H31&lt;=3),"yes","no"),IF(I31-H31&lt;=3,"yes (thickness)","no (thickness)"))))</f>
        <v/>
      </c>
      <c r="K31" s="6">
        <f>SUMIFS(Elements!$M$2:$M$862,Elements!$B$2:$B$862,$A31,Elements!$D$2:$D$862,$B31,Elements!$E$2:$E$862,$C31,Elements!$F$2:$F$862,$D31)</f>
        <v/>
      </c>
      <c r="L31" s="6">
        <f>SUMIFS(Elements!$L$2:$L$862,Elements!$B$2:$B$862,$A31,Elements!$D$2:$D$862,$B31,Elements!$E$2:$E$862,$C31,Elements!$F$2:$F$862,$D31)</f>
        <v/>
      </c>
      <c r="M31" s="2" t="inlineStr">
        <is>
          <t>closed outline; 150-600 x 150-450 cm; carries wall (64), column (9), wall+wall (1); grade beam crossing it 95%</t>
        </is>
      </c>
    </row>
    <row r="32">
      <c r="A32" s="5" t="inlineStr">
        <is>
          <t>121</t>
        </is>
      </c>
      <c r="B32" s="5" t="inlineStr">
        <is>
          <t>footing</t>
        </is>
      </c>
      <c r="C32" s="5" t="inlineStr">
        <is>
          <t>isolated_footing</t>
        </is>
      </c>
      <c r="D32" s="5" t="inlineStr">
        <is>
          <t>S5</t>
        </is>
      </c>
      <c r="E32" s="5">
        <f>COUNTIFS(Elements!$B$2:$B$862,$A32,Elements!$D$2:$D$862,$B32,Elements!$E$2:$E$862,$C32,Elements!$F$2:$F$862,$D32)</f>
        <v/>
      </c>
      <c r="F32" s="5">
        <f>IFERROR(_xlfn.MINIFS(Elements!$I$2:$I$862,Elements!$B$2:$B$862,$A32,Elements!$D$2:$D$862,$B32,Elements!$E$2:$E$862,$C32,Elements!$F$2:$F$862,$D32),"")</f>
        <v/>
      </c>
      <c r="G32" s="5">
        <f>IFERROR(_xlfn.MAXIFS(Elements!$I$2:$I$862,Elements!$B$2:$B$862,$A32,Elements!$D$2:$D$862,$B32,Elements!$E$2:$E$862,$C32,Elements!$F$2:$F$862,$D32),"")</f>
        <v/>
      </c>
      <c r="H32" s="5">
        <f>IFERROR(_xlfn.MINIFS(Elements!$J$2:$J$862,Elements!$B$2:$B$862,$A32,Elements!$D$2:$D$862,$B32,Elements!$E$2:$E$862,$C32,Elements!$F$2:$F$862,$D32),"")</f>
        <v/>
      </c>
      <c r="I32" s="5">
        <f>IFERROR(_xlfn.MAXIFS(Elements!$J$2:$J$862,Elements!$B$2:$B$862,$A32,Elements!$D$2:$D$862,$B32,Elements!$E$2:$E$862,$C32,Elements!$F$2:$F$862,$D32),"")</f>
        <v/>
      </c>
      <c r="J32" s="5">
        <f>IF(OR(F32="",H32=""),"",IF(OR(B32="raft",B32="sump_pit",B32="crane_foundation",D32="(none)"),"n/a",IF(OR(B32="column",B32="footing",B32="mass_concrete_pad",AND(B32="wall",C32="shear_wall",D32&lt;&gt;"(none)")),IF(AND(G32-F32&lt;=3,I32-H32&lt;=3),"yes","no"),IF(I32-H32&lt;=3,"yes (thickness)","no (thickness)"))))</f>
        <v/>
      </c>
      <c r="K32" s="6">
        <f>SUMIFS(Elements!$M$2:$M$862,Elements!$B$2:$B$862,$A32,Elements!$D$2:$D$862,$B32,Elements!$E$2:$E$862,$C32,Elements!$F$2:$F$862,$D32)</f>
        <v/>
      </c>
      <c r="L32" s="6">
        <f>SUMIFS(Elements!$L$2:$L$862,Elements!$B$2:$B$862,$A32,Elements!$D$2:$D$862,$B32,Elements!$E$2:$E$862,$C32,Elements!$F$2:$F$862,$D32)</f>
        <v/>
      </c>
      <c r="M32" s="2" t="inlineStr">
        <is>
          <t>closed outline; 150-600 x 150-450 cm; carries wall (64), column (9), wall+wall (1); grade beam crossing it 95%</t>
        </is>
      </c>
    </row>
    <row r="33">
      <c r="A33" s="5" t="inlineStr">
        <is>
          <t>121</t>
        </is>
      </c>
      <c r="B33" s="5" t="inlineStr">
        <is>
          <t>footing</t>
        </is>
      </c>
      <c r="C33" s="5" t="inlineStr">
        <is>
          <t>isolated_footing</t>
        </is>
      </c>
      <c r="D33" s="5" t="inlineStr">
        <is>
          <t>S7</t>
        </is>
      </c>
      <c r="E33" s="5">
        <f>COUNTIFS(Elements!$B$2:$B$862,$A33,Elements!$D$2:$D$862,$B33,Elements!$E$2:$E$862,$C33,Elements!$F$2:$F$862,$D33)</f>
        <v/>
      </c>
      <c r="F33" s="5">
        <f>IFERROR(_xlfn.MINIFS(Elements!$I$2:$I$862,Elements!$B$2:$B$862,$A33,Elements!$D$2:$D$862,$B33,Elements!$E$2:$E$862,$C33,Elements!$F$2:$F$862,$D33),"")</f>
        <v/>
      </c>
      <c r="G33" s="5">
        <f>IFERROR(_xlfn.MAXIFS(Elements!$I$2:$I$862,Elements!$B$2:$B$862,$A33,Elements!$D$2:$D$862,$B33,Elements!$E$2:$E$862,$C33,Elements!$F$2:$F$862,$D33),"")</f>
        <v/>
      </c>
      <c r="H33" s="5">
        <f>IFERROR(_xlfn.MINIFS(Elements!$J$2:$J$862,Elements!$B$2:$B$862,$A33,Elements!$D$2:$D$862,$B33,Elements!$E$2:$E$862,$C33,Elements!$F$2:$F$862,$D33),"")</f>
        <v/>
      </c>
      <c r="I33" s="5">
        <f>IFERROR(_xlfn.MAXIFS(Elements!$J$2:$J$862,Elements!$B$2:$B$862,$A33,Elements!$D$2:$D$862,$B33,Elements!$E$2:$E$862,$C33,Elements!$F$2:$F$862,$D33),"")</f>
        <v/>
      </c>
      <c r="J33" s="5">
        <f>IF(OR(F33="",H33=""),"",IF(OR(B33="raft",B33="sump_pit",B33="crane_foundation",D33="(none)"),"n/a",IF(OR(B33="column",B33="footing",B33="mass_concrete_pad",AND(B33="wall",C33="shear_wall",D33&lt;&gt;"(none)")),IF(AND(G33-F33&lt;=3,I33-H33&lt;=3),"yes","no"),IF(I33-H33&lt;=3,"yes (thickness)","no (thickness)"))))</f>
        <v/>
      </c>
      <c r="K33" s="6">
        <f>SUMIFS(Elements!$M$2:$M$862,Elements!$B$2:$B$862,$A33,Elements!$D$2:$D$862,$B33,Elements!$E$2:$E$862,$C33,Elements!$F$2:$F$862,$D33)</f>
        <v/>
      </c>
      <c r="L33" s="6">
        <f>SUMIFS(Elements!$L$2:$L$862,Elements!$B$2:$B$862,$A33,Elements!$D$2:$D$862,$B33,Elements!$E$2:$E$862,$C33,Elements!$F$2:$F$862,$D33)</f>
        <v/>
      </c>
      <c r="M33" s="2" t="inlineStr">
        <is>
          <t>closed outline; 150-600 x 150-450 cm; carries wall (64), column (9), wall+wall (1); grade beam crossing it 95%</t>
        </is>
      </c>
    </row>
    <row r="34">
      <c r="A34" s="5" t="inlineStr">
        <is>
          <t>121</t>
        </is>
      </c>
      <c r="B34" s="5" t="inlineStr">
        <is>
          <t>grade_beam</t>
        </is>
      </c>
      <c r="C34" s="5" t="inlineStr">
        <is>
          <t>grade_beam</t>
        </is>
      </c>
      <c r="D34" s="5" t="inlineStr">
        <is>
          <t>LG25x40</t>
        </is>
      </c>
      <c r="E34" s="5">
        <f>COUNTIFS(Elements!$B$2:$B$862,$A34,Elements!$D$2:$D$862,$B34,Elements!$E$2:$E$862,$C34,Elements!$F$2:$F$862,$D34)</f>
        <v/>
      </c>
      <c r="F34" s="5">
        <f>IFERROR(_xlfn.MINIFS(Elements!$I$2:$I$862,Elements!$B$2:$B$862,$A34,Elements!$D$2:$D$862,$B34,Elements!$E$2:$E$862,$C34,Elements!$F$2:$F$862,$D34),"")</f>
        <v/>
      </c>
      <c r="G34" s="5">
        <f>IFERROR(_xlfn.MAXIFS(Elements!$I$2:$I$862,Elements!$B$2:$B$862,$A34,Elements!$D$2:$D$862,$B34,Elements!$E$2:$E$862,$C34,Elements!$F$2:$F$862,$D34),"")</f>
        <v/>
      </c>
      <c r="H34" s="5">
        <f>IFERROR(_xlfn.MINIFS(Elements!$J$2:$J$862,Elements!$B$2:$B$862,$A34,Elements!$D$2:$D$862,$B34,Elements!$E$2:$E$862,$C34,Elements!$F$2:$F$862,$D34),"")</f>
        <v/>
      </c>
      <c r="I34" s="5">
        <f>IFERROR(_xlfn.MAXIFS(Elements!$J$2:$J$862,Elements!$B$2:$B$862,$A34,Elements!$D$2:$D$862,$B34,Elements!$E$2:$E$862,$C34,Elements!$F$2:$F$862,$D34),"")</f>
        <v/>
      </c>
      <c r="J34" s="5">
        <f>IF(OR(F34="",H34=""),"",IF(OR(B34="raft",B34="sump_pit",B34="crane_foundation",D34="(none)"),"n/a",IF(OR(B34="column",B34="footing",B34="mass_concrete_pad",AND(B34="wall",C34="shear_wall",D34&lt;&gt;"(none)")),IF(AND(G34-F34&lt;=3,I34-H34&lt;=3),"yes","no"),IF(I34-H34&lt;=3,"yes (thickness)","no (thickness)"))))</f>
        <v/>
      </c>
      <c r="K34" s="6">
        <f>SUMIFS(Elements!$M$2:$M$862,Elements!$B$2:$B$862,$A34,Elements!$D$2:$D$862,$B34,Elements!$E$2:$E$862,$C34,Elements!$F$2:$F$862,$D34)</f>
        <v/>
      </c>
      <c r="L34" s="6">
        <f>SUMIFS(Elements!$L$2:$L$862,Elements!$B$2:$B$862,$A34,Elements!$D$2:$D$862,$B34,Elements!$E$2:$E$862,$C34,Elements!$F$2:$F$862,$D34)</f>
        <v/>
      </c>
      <c r="M34" s="2" t="inlineStr">
        <is>
          <t>parallel line pair; 30-2249 x 25-40 cm; width stated in its label</t>
        </is>
      </c>
    </row>
    <row r="35">
      <c r="A35" s="5" t="inlineStr">
        <is>
          <t>121</t>
        </is>
      </c>
      <c r="B35" s="5" t="inlineStr">
        <is>
          <t>grade_beam</t>
        </is>
      </c>
      <c r="C35" s="5" t="inlineStr">
        <is>
          <t>grade_beam</t>
        </is>
      </c>
      <c r="D35" s="5" t="inlineStr">
        <is>
          <t>LG40x15</t>
        </is>
      </c>
      <c r="E35" s="5">
        <f>COUNTIFS(Elements!$B$2:$B$862,$A35,Elements!$D$2:$D$862,$B35,Elements!$E$2:$E$862,$C35,Elements!$F$2:$F$862,$D35)</f>
        <v/>
      </c>
      <c r="F35" s="5">
        <f>IFERROR(_xlfn.MINIFS(Elements!$I$2:$I$862,Elements!$B$2:$B$862,$A35,Elements!$D$2:$D$862,$B35,Elements!$E$2:$E$862,$C35,Elements!$F$2:$F$862,$D35),"")</f>
        <v/>
      </c>
      <c r="G35" s="5">
        <f>IFERROR(_xlfn.MAXIFS(Elements!$I$2:$I$862,Elements!$B$2:$B$862,$A35,Elements!$D$2:$D$862,$B35,Elements!$E$2:$E$862,$C35,Elements!$F$2:$F$862,$D35),"")</f>
        <v/>
      </c>
      <c r="H35" s="5">
        <f>IFERROR(_xlfn.MINIFS(Elements!$J$2:$J$862,Elements!$B$2:$B$862,$A35,Elements!$D$2:$D$862,$B35,Elements!$E$2:$E$862,$C35,Elements!$F$2:$F$862,$D35),"")</f>
        <v/>
      </c>
      <c r="I35" s="5">
        <f>IFERROR(_xlfn.MAXIFS(Elements!$J$2:$J$862,Elements!$B$2:$B$862,$A35,Elements!$D$2:$D$862,$B35,Elements!$E$2:$E$862,$C35,Elements!$F$2:$F$862,$D35),"")</f>
        <v/>
      </c>
      <c r="J35" s="5">
        <f>IF(OR(F35="",H35=""),"",IF(OR(B35="raft",B35="sump_pit",B35="crane_foundation",D35="(none)"),"n/a",IF(OR(B35="column",B35="footing",B35="mass_concrete_pad",AND(B35="wall",C35="shear_wall",D35&lt;&gt;"(none)")),IF(AND(G35-F35&lt;=3,I35-H35&lt;=3),"yes","no"),IF(I35-H35&lt;=3,"yes (thickness)","no (thickness)"))))</f>
        <v/>
      </c>
      <c r="K35" s="6">
        <f>SUMIFS(Elements!$M$2:$M$862,Elements!$B$2:$B$862,$A35,Elements!$D$2:$D$862,$B35,Elements!$E$2:$E$862,$C35,Elements!$F$2:$F$862,$D35)</f>
        <v/>
      </c>
      <c r="L35" s="6">
        <f>SUMIFS(Elements!$L$2:$L$862,Elements!$B$2:$B$862,$A35,Elements!$D$2:$D$862,$B35,Elements!$E$2:$E$862,$C35,Elements!$F$2:$F$862,$D35)</f>
        <v/>
      </c>
      <c r="M35" s="2" t="inlineStr">
        <is>
          <t>parallel line pair; 30-2249 x 25-40 cm; width stated in its label</t>
        </is>
      </c>
    </row>
    <row r="36">
      <c r="A36" s="5" t="inlineStr">
        <is>
          <t>121</t>
        </is>
      </c>
      <c r="B36" s="5" t="inlineStr">
        <is>
          <t>mass_concrete_pad</t>
        </is>
      </c>
      <c r="C36" s="5" t="inlineStr">
        <is>
          <t>mass_concrete_pad</t>
        </is>
      </c>
      <c r="D36" s="5" t="inlineStr">
        <is>
          <t>(none)</t>
        </is>
      </c>
      <c r="E36" s="5">
        <f>COUNTIFS(Elements!$B$2:$B$862,$A36,Elements!$D$2:$D$862,$B36,Elements!$E$2:$E$862,$C36,Elements!$F$2:$F$862,$D36)</f>
        <v/>
      </c>
      <c r="F36" s="5">
        <f>IFERROR(_xlfn.MINIFS(Elements!$I$2:$I$862,Elements!$B$2:$B$862,$A36,Elements!$D$2:$D$862,$B36,Elements!$E$2:$E$862,$C36,Elements!$F$2:$F$862,$D36),"")</f>
        <v/>
      </c>
      <c r="G36" s="5">
        <f>IFERROR(_xlfn.MAXIFS(Elements!$I$2:$I$862,Elements!$B$2:$B$862,$A36,Elements!$D$2:$D$862,$B36,Elements!$E$2:$E$862,$C36,Elements!$F$2:$F$862,$D36),"")</f>
        <v/>
      </c>
      <c r="H36" s="5">
        <f>IFERROR(_xlfn.MINIFS(Elements!$J$2:$J$862,Elements!$B$2:$B$862,$A36,Elements!$D$2:$D$862,$B36,Elements!$E$2:$E$862,$C36,Elements!$F$2:$F$862,$D36),"")</f>
        <v/>
      </c>
      <c r="I36" s="5">
        <f>IFERROR(_xlfn.MAXIFS(Elements!$J$2:$J$862,Elements!$B$2:$B$862,$A36,Elements!$D$2:$D$862,$B36,Elements!$E$2:$E$862,$C36,Elements!$F$2:$F$862,$D36),"")</f>
        <v/>
      </c>
      <c r="J36" s="5">
        <f>IF(OR(F36="",H36=""),"",IF(OR(B36="raft",B36="sump_pit",B36="crane_foundation",D36="(none)"),"n/a",IF(OR(B36="column",B36="footing",B36="mass_concrete_pad",AND(B36="wall",C36="shear_wall",D36&lt;&gt;"(none)")),IF(AND(G36-F36&lt;=3,I36-H36&lt;=3),"yes","no"),IF(I36-H36&lt;=3,"yes (thickness)","no (thickness)"))))</f>
        <v/>
      </c>
      <c r="K36" s="6">
        <f>SUMIFS(Elements!$M$2:$M$862,Elements!$B$2:$B$862,$A36,Elements!$D$2:$D$862,$B36,Elements!$E$2:$E$862,$C36,Elements!$F$2:$F$862,$D36)</f>
        <v/>
      </c>
      <c r="L36" s="6">
        <f>SUMIFS(Elements!$L$2:$L$862,Elements!$B$2:$B$862,$A36,Elements!$D$2:$D$862,$B36,Elements!$E$2:$E$862,$C36,Elements!$F$2:$F$862,$D36)</f>
        <v/>
      </c>
      <c r="M36" s="2" t="inlineStr">
        <is>
          <t>closed outline + stipple; 60-60 x 60-60 cm; 47-91 stipple dots inside; on a grade beam 100%; at a grade-beam junction 62%</t>
        </is>
      </c>
    </row>
    <row r="37">
      <c r="A37" s="5" t="inlineStr">
        <is>
          <t>121</t>
        </is>
      </c>
      <c r="B37" s="5" t="inlineStr">
        <is>
          <t>raft</t>
        </is>
      </c>
      <c r="C37" s="5" t="inlineStr">
        <is>
          <t>crane_raft (probable)</t>
        </is>
      </c>
      <c r="D37" s="5" t="inlineStr">
        <is>
          <t>Radier 190</t>
        </is>
      </c>
      <c r="E37" s="5">
        <f>COUNTIFS(Elements!$B$2:$B$862,$A37,Elements!$D$2:$D$862,$B37,Elements!$E$2:$E$862,$C37,Elements!$F$2:$F$862,$D37)</f>
        <v/>
      </c>
      <c r="F37" s="5">
        <f>IFERROR(_xlfn.MINIFS(Elements!$I$2:$I$862,Elements!$B$2:$B$862,$A37,Elements!$D$2:$D$862,$B37,Elements!$E$2:$E$862,$C37,Elements!$F$2:$F$862,$D37),"")</f>
        <v/>
      </c>
      <c r="G37" s="5">
        <f>IFERROR(_xlfn.MAXIFS(Elements!$I$2:$I$862,Elements!$B$2:$B$862,$A37,Elements!$D$2:$D$862,$B37,Elements!$E$2:$E$862,$C37,Elements!$F$2:$F$862,$D37),"")</f>
        <v/>
      </c>
      <c r="H37" s="5">
        <f>IFERROR(_xlfn.MINIFS(Elements!$J$2:$J$862,Elements!$B$2:$B$862,$A37,Elements!$D$2:$D$862,$B37,Elements!$E$2:$E$862,$C37,Elements!$F$2:$F$862,$D37),"")</f>
        <v/>
      </c>
      <c r="I37" s="5">
        <f>IFERROR(_xlfn.MAXIFS(Elements!$J$2:$J$862,Elements!$B$2:$B$862,$A37,Elements!$D$2:$D$862,$B37,Elements!$E$2:$E$862,$C37,Elements!$F$2:$F$862,$D37),"")</f>
        <v/>
      </c>
      <c r="J37" s="5">
        <f>IF(OR(F37="",H37=""),"",IF(OR(B37="raft",B37="sump_pit",B37="crane_foundation",D37="(none)"),"n/a",IF(OR(B37="column",B37="footing",B37="mass_concrete_pad",AND(B37="wall",C37="shear_wall",D37&lt;&gt;"(none)")),IF(AND(G37-F37&lt;=3,I37-H37&lt;=3),"yes","no"),IF(I37-H37&lt;=3,"yes (thickness)","no (thickness)"))))</f>
        <v/>
      </c>
      <c r="K37" s="6">
        <f>SUMIFS(Elements!$M$2:$M$862,Elements!$B$2:$B$862,$A37,Elements!$D$2:$D$862,$B37,Elements!$E$2:$E$862,$C37,Elements!$F$2:$F$862,$D37)</f>
        <v/>
      </c>
      <c r="L37" s="6">
        <f>SUMIFS(Elements!$L$2:$L$862,Elements!$B$2:$B$862,$A37,Elements!$D$2:$D$862,$B37,Elements!$E$2:$E$862,$C37,Elements!$F$2:$F$862,$D37)</f>
        <v/>
      </c>
      <c r="M37" s="2" t="inlineStr">
        <is>
          <t>stamp + corner diagonals; 925-925 x 780-780 cm; circle stamp 'Radier' + thickness; diagonals from its corners to the stamp</t>
        </is>
      </c>
    </row>
    <row r="38">
      <c r="A38" s="5" t="inlineStr">
        <is>
          <t>121</t>
        </is>
      </c>
      <c r="B38" s="5" t="inlineStr">
        <is>
          <t>raft</t>
        </is>
      </c>
      <c r="C38" s="5" t="inlineStr">
        <is>
          <t>raft</t>
        </is>
      </c>
      <c r="D38" s="5" t="inlineStr">
        <is>
          <t>Radier 90</t>
        </is>
      </c>
      <c r="E38" s="5">
        <f>COUNTIFS(Elements!$B$2:$B$862,$A38,Elements!$D$2:$D$862,$B38,Elements!$E$2:$E$862,$C38,Elements!$F$2:$F$862,$D38)</f>
        <v/>
      </c>
      <c r="F38" s="5">
        <f>IFERROR(_xlfn.MINIFS(Elements!$I$2:$I$862,Elements!$B$2:$B$862,$A38,Elements!$D$2:$D$862,$B38,Elements!$E$2:$E$862,$C38,Elements!$F$2:$F$862,$D38),"")</f>
        <v/>
      </c>
      <c r="G38" s="5">
        <f>IFERROR(_xlfn.MAXIFS(Elements!$I$2:$I$862,Elements!$B$2:$B$862,$A38,Elements!$D$2:$D$862,$B38,Elements!$E$2:$E$862,$C38,Elements!$F$2:$F$862,$D38),"")</f>
        <v/>
      </c>
      <c r="H38" s="5">
        <f>IFERROR(_xlfn.MINIFS(Elements!$J$2:$J$862,Elements!$B$2:$B$862,$A38,Elements!$D$2:$D$862,$B38,Elements!$E$2:$E$862,$C38,Elements!$F$2:$F$862,$D38),"")</f>
        <v/>
      </c>
      <c r="I38" s="5">
        <f>IFERROR(_xlfn.MAXIFS(Elements!$J$2:$J$862,Elements!$B$2:$B$862,$A38,Elements!$D$2:$D$862,$B38,Elements!$E$2:$E$862,$C38,Elements!$F$2:$F$862,$D38),"")</f>
        <v/>
      </c>
      <c r="J38" s="5">
        <f>IF(OR(F38="",H38=""),"",IF(OR(B38="raft",B38="sump_pit",B38="crane_foundation",D38="(none)"),"n/a",IF(OR(B38="column",B38="footing",B38="mass_concrete_pad",AND(B38="wall",C38="shear_wall",D38&lt;&gt;"(none)")),IF(AND(G38-F38&lt;=3,I38-H38&lt;=3),"yes","no"),IF(I38-H38&lt;=3,"yes (thickness)","no (thickness)"))))</f>
        <v/>
      </c>
      <c r="K38" s="6">
        <f>SUMIFS(Elements!$M$2:$M$862,Elements!$B$2:$B$862,$A38,Elements!$D$2:$D$862,$B38,Elements!$E$2:$E$862,$C38,Elements!$F$2:$F$862,$D38)</f>
        <v/>
      </c>
      <c r="L38" s="6">
        <f>SUMIFS(Elements!$L$2:$L$862,Elements!$B$2:$B$862,$A38,Elements!$D$2:$D$862,$B38,Elements!$E$2:$E$862,$C38,Elements!$F$2:$F$862,$D38)</f>
        <v/>
      </c>
      <c r="M38" s="2" t="inlineStr">
        <is>
          <t>stamp + corner diagonals; 693-1971 x 450-1020 cm; circle stamp 'Radier' + thickness; diagonals from its corners to the stamp</t>
        </is>
      </c>
    </row>
    <row r="39">
      <c r="A39" s="5" t="inlineStr">
        <is>
          <t>121</t>
        </is>
      </c>
      <c r="B39" s="5" t="inlineStr">
        <is>
          <t>strip_footing</t>
        </is>
      </c>
      <c r="C39" s="5" t="inlineStr">
        <is>
          <t>strip_footing</t>
        </is>
      </c>
      <c r="D39" s="5" t="inlineStr">
        <is>
          <t>SF1</t>
        </is>
      </c>
      <c r="E39" s="5">
        <f>COUNTIFS(Elements!$B$2:$B$862,$A39,Elements!$D$2:$D$862,$B39,Elements!$E$2:$E$862,$C39,Elements!$F$2:$F$862,$D39)</f>
        <v/>
      </c>
      <c r="F39" s="5">
        <f>IFERROR(_xlfn.MINIFS(Elements!$I$2:$I$862,Elements!$B$2:$B$862,$A39,Elements!$D$2:$D$862,$B39,Elements!$E$2:$E$862,$C39,Elements!$F$2:$F$862,$D39),"")</f>
        <v/>
      </c>
      <c r="G39" s="5">
        <f>IFERROR(_xlfn.MAXIFS(Elements!$I$2:$I$862,Elements!$B$2:$B$862,$A39,Elements!$D$2:$D$862,$B39,Elements!$E$2:$E$862,$C39,Elements!$F$2:$F$862,$D39),"")</f>
        <v/>
      </c>
      <c r="H39" s="5">
        <f>IFERROR(_xlfn.MINIFS(Elements!$J$2:$J$862,Elements!$B$2:$B$862,$A39,Elements!$D$2:$D$862,$B39,Elements!$E$2:$E$862,$C39,Elements!$F$2:$F$862,$D39),"")</f>
        <v/>
      </c>
      <c r="I39" s="5">
        <f>IFERROR(_xlfn.MAXIFS(Elements!$J$2:$J$862,Elements!$B$2:$B$862,$A39,Elements!$D$2:$D$862,$B39,Elements!$E$2:$E$862,$C39,Elements!$F$2:$F$862,$D39),"")</f>
        <v/>
      </c>
      <c r="J39" s="5">
        <f>IF(OR(F39="",H39=""),"",IF(OR(B39="raft",B39="sump_pit",B39="crane_foundation",D39="(none)"),"n/a",IF(OR(B39="column",B39="footing",B39="mass_concrete_pad",AND(B39="wall",C39="shear_wall",D39&lt;&gt;"(none)")),IF(AND(G39-F39&lt;=3,I39-H39&lt;=3),"yes","no"),IF(I39-H39&lt;=3,"yes (thickness)","no (thickness)"))))</f>
        <v/>
      </c>
      <c r="K39" s="6">
        <f>SUMIFS(Elements!$M$2:$M$862,Elements!$B$2:$B$862,$A39,Elements!$D$2:$D$862,$B39,Elements!$E$2:$E$862,$C39,Elements!$F$2:$F$862,$D39)</f>
        <v/>
      </c>
      <c r="L39" s="6">
        <f>SUMIFS(Elements!$L$2:$L$862,Elements!$B$2:$B$862,$A39,Elements!$D$2:$D$862,$B39,Elements!$E$2:$E$862,$C39,Elements!$F$2:$F$862,$D39)</f>
        <v/>
      </c>
      <c r="M39" s="2" t="inlineStr">
        <is>
          <t>parallel line pair; 75-5798 x 80-120 cm; width stated in its label</t>
        </is>
      </c>
    </row>
    <row r="40">
      <c r="A40" s="5" t="inlineStr">
        <is>
          <t>121</t>
        </is>
      </c>
      <c r="B40" s="5" t="inlineStr">
        <is>
          <t>strip_footing</t>
        </is>
      </c>
      <c r="C40" s="5" t="inlineStr">
        <is>
          <t>strip_footing</t>
        </is>
      </c>
      <c r="D40" s="5" t="inlineStr">
        <is>
          <t>SF4</t>
        </is>
      </c>
      <c r="E40" s="5">
        <f>COUNTIFS(Elements!$B$2:$B$862,$A40,Elements!$D$2:$D$862,$B40,Elements!$E$2:$E$862,$C40,Elements!$F$2:$F$862,$D40)</f>
        <v/>
      </c>
      <c r="F40" s="5">
        <f>IFERROR(_xlfn.MINIFS(Elements!$I$2:$I$862,Elements!$B$2:$B$862,$A40,Elements!$D$2:$D$862,$B40,Elements!$E$2:$E$862,$C40,Elements!$F$2:$F$862,$D40),"")</f>
        <v/>
      </c>
      <c r="G40" s="5">
        <f>IFERROR(_xlfn.MAXIFS(Elements!$I$2:$I$862,Elements!$B$2:$B$862,$A40,Elements!$D$2:$D$862,$B40,Elements!$E$2:$E$862,$C40,Elements!$F$2:$F$862,$D40),"")</f>
        <v/>
      </c>
      <c r="H40" s="5">
        <f>IFERROR(_xlfn.MINIFS(Elements!$J$2:$J$862,Elements!$B$2:$B$862,$A40,Elements!$D$2:$D$862,$B40,Elements!$E$2:$E$862,$C40,Elements!$F$2:$F$862,$D40),"")</f>
        <v/>
      </c>
      <c r="I40" s="5">
        <f>IFERROR(_xlfn.MAXIFS(Elements!$J$2:$J$862,Elements!$B$2:$B$862,$A40,Elements!$D$2:$D$862,$B40,Elements!$E$2:$E$862,$C40,Elements!$F$2:$F$862,$D40),"")</f>
        <v/>
      </c>
      <c r="J40" s="5">
        <f>IF(OR(F40="",H40=""),"",IF(OR(B40="raft",B40="sump_pit",B40="crane_foundation",D40="(none)"),"n/a",IF(OR(B40="column",B40="footing",B40="mass_concrete_pad",AND(B40="wall",C40="shear_wall",D40&lt;&gt;"(none)")),IF(AND(G40-F40&lt;=3,I40-H40&lt;=3),"yes","no"),IF(I40-H40&lt;=3,"yes (thickness)","no (thickness)"))))</f>
        <v/>
      </c>
      <c r="K40" s="6">
        <f>SUMIFS(Elements!$M$2:$M$862,Elements!$B$2:$B$862,$A40,Elements!$D$2:$D$862,$B40,Elements!$E$2:$E$862,$C40,Elements!$F$2:$F$862,$D40)</f>
        <v/>
      </c>
      <c r="L40" s="6">
        <f>SUMIFS(Elements!$L$2:$L$862,Elements!$B$2:$B$862,$A40,Elements!$D$2:$D$862,$B40,Elements!$E$2:$E$862,$C40,Elements!$F$2:$F$862,$D40)</f>
        <v/>
      </c>
      <c r="M40" s="2" t="inlineStr">
        <is>
          <t>parallel line pair; 75-5798 x 80-120 cm; width stated in its label</t>
        </is>
      </c>
    </row>
    <row r="41">
      <c r="A41" s="5" t="inlineStr">
        <is>
          <t>121</t>
        </is>
      </c>
      <c r="B41" s="5" t="inlineStr">
        <is>
          <t>sump_pit</t>
        </is>
      </c>
      <c r="C41" s="5" t="inlineStr">
        <is>
          <t>sump_pit</t>
        </is>
      </c>
      <c r="D41" s="5" t="inlineStr">
        <is>
          <t>Fosse 2.00x1.50x1.50</t>
        </is>
      </c>
      <c r="E41" s="5">
        <f>COUNTIFS(Elements!$B$2:$B$862,$A41,Elements!$D$2:$D$862,$B41,Elements!$E$2:$E$862,$C41,Elements!$F$2:$F$862,$D41)</f>
        <v/>
      </c>
      <c r="F41" s="5">
        <f>IFERROR(_xlfn.MINIFS(Elements!$I$2:$I$862,Elements!$B$2:$B$862,$A41,Elements!$D$2:$D$862,$B41,Elements!$E$2:$E$862,$C41,Elements!$F$2:$F$862,$D41),"")</f>
        <v/>
      </c>
      <c r="G41" s="5">
        <f>IFERROR(_xlfn.MAXIFS(Elements!$I$2:$I$862,Elements!$B$2:$B$862,$A41,Elements!$D$2:$D$862,$B41,Elements!$E$2:$E$862,$C41,Elements!$F$2:$F$862,$D41),"")</f>
        <v/>
      </c>
      <c r="H41" s="5">
        <f>IFERROR(_xlfn.MINIFS(Elements!$J$2:$J$862,Elements!$B$2:$B$862,$A41,Elements!$D$2:$D$862,$B41,Elements!$E$2:$E$862,$C41,Elements!$F$2:$F$862,$D41),"")</f>
        <v/>
      </c>
      <c r="I41" s="5">
        <f>IFERROR(_xlfn.MAXIFS(Elements!$J$2:$J$862,Elements!$B$2:$B$862,$A41,Elements!$D$2:$D$862,$B41,Elements!$E$2:$E$862,$C41,Elements!$F$2:$F$862,$D41),"")</f>
        <v/>
      </c>
      <c r="J41" s="5">
        <f>IF(OR(F41="",H41=""),"",IF(OR(B41="raft",B41="sump_pit",B41="crane_foundation",D41="(none)"),"n/a",IF(OR(B41="column",B41="footing",B41="mass_concrete_pad",AND(B41="wall",C41="shear_wall",D41&lt;&gt;"(none)")),IF(AND(G41-F41&lt;=3,I41-H41&lt;=3),"yes","no"),IF(I41-H41&lt;=3,"yes (thickness)","no (thickness)"))))</f>
        <v/>
      </c>
      <c r="K41" s="6">
        <f>SUMIFS(Elements!$M$2:$M$862,Elements!$B$2:$B$862,$A41,Elements!$D$2:$D$862,$B41,Elements!$E$2:$E$862,$C41,Elements!$F$2:$F$862,$D41)</f>
        <v/>
      </c>
      <c r="L41" s="6">
        <f>SUMIFS(Elements!$L$2:$L$862,Elements!$B$2:$B$862,$A41,Elements!$D$2:$D$862,$B41,Elements!$E$2:$E$862,$C41,Elements!$F$2:$F$862,$D41)</f>
        <v/>
      </c>
      <c r="M41" s="2" t="inlineStr">
        <is>
          <t>text; 200-200 x 150-150 cm; 'FOSSE DE RELEVAGE' text with LxWxH, 'RADIER 25' stamp</t>
        </is>
      </c>
    </row>
    <row r="42">
      <c r="A42" s="5" t="inlineStr">
        <is>
          <t>121</t>
        </is>
      </c>
      <c r="B42" s="5" t="inlineStr">
        <is>
          <t>wall</t>
        </is>
      </c>
      <c r="C42" s="5" t="inlineStr">
        <is>
          <t>core_wall_hatched</t>
        </is>
      </c>
      <c r="D42" s="5" t="inlineStr">
        <is>
          <t>(none)</t>
        </is>
      </c>
      <c r="E42" s="5">
        <f>COUNTIFS(Elements!$B$2:$B$862,$A42,Elements!$D$2:$D$862,$B42,Elements!$E$2:$E$862,$C42,Elements!$F$2:$F$862,$D42)</f>
        <v/>
      </c>
      <c r="F42" s="5">
        <f>IFERROR(_xlfn.MINIFS(Elements!$I$2:$I$862,Elements!$B$2:$B$862,$A42,Elements!$D$2:$D$862,$B42,Elements!$E$2:$E$862,$C42,Elements!$F$2:$F$862,$D42),"")</f>
        <v/>
      </c>
      <c r="G42" s="5">
        <f>IFERROR(_xlfn.MAXIFS(Elements!$I$2:$I$862,Elements!$B$2:$B$862,$A42,Elements!$D$2:$D$862,$B42,Elements!$E$2:$E$862,$C42,Elements!$F$2:$F$862,$D42),"")</f>
        <v/>
      </c>
      <c r="H42" s="5">
        <f>IFERROR(_xlfn.MINIFS(Elements!$J$2:$J$862,Elements!$B$2:$B$862,$A42,Elements!$D$2:$D$862,$B42,Elements!$E$2:$E$862,$C42,Elements!$F$2:$F$862,$D42),"")</f>
        <v/>
      </c>
      <c r="I42" s="5">
        <f>IFERROR(_xlfn.MAXIFS(Elements!$J$2:$J$862,Elements!$B$2:$B$862,$A42,Elements!$D$2:$D$862,$B42,Elements!$E$2:$E$862,$C42,Elements!$F$2:$F$862,$D42),"")</f>
        <v/>
      </c>
      <c r="J42" s="5">
        <f>IF(OR(F42="",H42=""),"",IF(OR(B42="raft",B42="sump_pit",B42="crane_foundation",D42="(none)"),"n/a",IF(OR(B42="column",B42="footing",B42="mass_concrete_pad",AND(B42="wall",C42="shear_wall",D42&lt;&gt;"(none)")),IF(AND(G42-F42&lt;=3,I42-H42&lt;=3),"yes","no"),IF(I42-H42&lt;=3,"yes (thickness)","no (thickness)"))))</f>
        <v/>
      </c>
      <c r="K42" s="6">
        <f>SUMIFS(Elements!$M$2:$M$862,Elements!$B$2:$B$862,$A42,Elements!$D$2:$D$862,$B42,Elements!$E$2:$E$862,$C42,Elements!$F$2:$F$862,$D42)</f>
        <v/>
      </c>
      <c r="L42" s="6">
        <f>SUMIFS(Elements!$L$2:$L$862,Elements!$B$2:$B$862,$A42,Elements!$D$2:$D$862,$B42,Elements!$E$2:$E$862,$C42,Elements!$F$2:$F$862,$D42)</f>
        <v/>
      </c>
      <c r="M42" s="2" t="inlineStr">
        <is>
          <t>cross-hatch; 94-1044 x 20-25 cm; L/W 4.70-52.20; hatch strokes [0.24, 0.25, 0.28] m at +/-45 deg; thickness = local spread of stroke ends; on a raft 100%; no V label</t>
        </is>
      </c>
    </row>
    <row r="43">
      <c r="A43" s="5" t="inlineStr">
        <is>
          <t>121</t>
        </is>
      </c>
      <c r="B43" s="5" t="inlineStr">
        <is>
          <t>wall</t>
        </is>
      </c>
      <c r="C43" s="5" t="inlineStr">
        <is>
          <t>core_wall_solid</t>
        </is>
      </c>
      <c r="D43" s="5" t="inlineStr">
        <is>
          <t>(none)</t>
        </is>
      </c>
      <c r="E43" s="5">
        <f>COUNTIFS(Elements!$B$2:$B$862,$A43,Elements!$D$2:$D$862,$B43,Elements!$E$2:$E$862,$C43,Elements!$F$2:$F$862,$D43)</f>
        <v/>
      </c>
      <c r="F43" s="5">
        <f>IFERROR(_xlfn.MINIFS(Elements!$I$2:$I$862,Elements!$B$2:$B$862,$A43,Elements!$D$2:$D$862,$B43,Elements!$E$2:$E$862,$C43,Elements!$F$2:$F$862,$D43),"")</f>
        <v/>
      </c>
      <c r="G43" s="5">
        <f>IFERROR(_xlfn.MAXIFS(Elements!$I$2:$I$862,Elements!$B$2:$B$862,$A43,Elements!$D$2:$D$862,$B43,Elements!$E$2:$E$862,$C43,Elements!$F$2:$F$862,$D43),"")</f>
        <v/>
      </c>
      <c r="H43" s="5">
        <f>IFERROR(_xlfn.MINIFS(Elements!$J$2:$J$862,Elements!$B$2:$B$862,$A43,Elements!$D$2:$D$862,$B43,Elements!$E$2:$E$862,$C43,Elements!$F$2:$F$862,$D43),"")</f>
        <v/>
      </c>
      <c r="I43" s="5">
        <f>IFERROR(_xlfn.MAXIFS(Elements!$J$2:$J$862,Elements!$B$2:$B$862,$A43,Elements!$D$2:$D$862,$B43,Elements!$E$2:$E$862,$C43,Elements!$F$2:$F$862,$D43),"")</f>
        <v/>
      </c>
      <c r="J43" s="5">
        <f>IF(OR(F43="",H43=""),"",IF(OR(B43="raft",B43="sump_pit",B43="crane_foundation",D43="(none)"),"n/a",IF(OR(B43="column",B43="footing",B43="mass_concrete_pad",AND(B43="wall",C43="shear_wall",D43&lt;&gt;"(none)")),IF(AND(G43-F43&lt;=3,I43-H43&lt;=3),"yes","no"),IF(I43-H43&lt;=3,"yes (thickness)","no (thickness)"))))</f>
        <v/>
      </c>
      <c r="K43" s="6">
        <f>SUMIFS(Elements!$M$2:$M$862,Elements!$B$2:$B$862,$A43,Elements!$D$2:$D$862,$B43,Elements!$E$2:$E$862,$C43,Elements!$F$2:$F$862,$D43)</f>
        <v/>
      </c>
      <c r="L43" s="6">
        <f>SUMIFS(Elements!$L$2:$L$862,Elements!$B$2:$B$862,$A43,Elements!$D$2:$D$862,$B43,Elements!$E$2:$E$862,$C43,Elements!$F$2:$F$862,$D43)</f>
        <v/>
      </c>
      <c r="M43" s="2" t="inlineStr">
        <is>
          <t>solid fill; 39-816 x 20-30 cm; L/W 1.81-36.95; inside a footing outline 0%; on a raft 100%; touching a hatched core wall 24%; in a strip-footing band 0%; at a grade-beam junction 0%</t>
        </is>
      </c>
    </row>
    <row r="44">
      <c r="A44" s="5" t="inlineStr">
        <is>
          <t>121</t>
        </is>
      </c>
      <c r="B44" s="5" t="inlineStr">
        <is>
          <t>wall</t>
        </is>
      </c>
      <c r="C44" s="5" t="inlineStr">
        <is>
          <t>retaining_wall</t>
        </is>
      </c>
      <c r="D44" s="5" t="inlineStr">
        <is>
          <t>VP20</t>
        </is>
      </c>
      <c r="E44" s="5">
        <f>COUNTIFS(Elements!$B$2:$B$862,$A44,Elements!$D$2:$D$862,$B44,Elements!$E$2:$E$862,$C44,Elements!$F$2:$F$862,$D44)</f>
        <v/>
      </c>
      <c r="F44" s="5">
        <f>IFERROR(_xlfn.MINIFS(Elements!$I$2:$I$862,Elements!$B$2:$B$862,$A44,Elements!$D$2:$D$862,$B44,Elements!$E$2:$E$862,$C44,Elements!$F$2:$F$862,$D44),"")</f>
        <v/>
      </c>
      <c r="G44" s="5">
        <f>IFERROR(_xlfn.MAXIFS(Elements!$I$2:$I$862,Elements!$B$2:$B$862,$A44,Elements!$D$2:$D$862,$B44,Elements!$E$2:$E$862,$C44,Elements!$F$2:$F$862,$D44),"")</f>
        <v/>
      </c>
      <c r="H44" s="5">
        <f>IFERROR(_xlfn.MINIFS(Elements!$J$2:$J$862,Elements!$B$2:$B$862,$A44,Elements!$D$2:$D$862,$B44,Elements!$E$2:$E$862,$C44,Elements!$F$2:$F$862,$D44),"")</f>
        <v/>
      </c>
      <c r="I44" s="5">
        <f>IFERROR(_xlfn.MAXIFS(Elements!$J$2:$J$862,Elements!$B$2:$B$862,$A44,Elements!$D$2:$D$862,$B44,Elements!$E$2:$E$862,$C44,Elements!$F$2:$F$862,$D44),"")</f>
        <v/>
      </c>
      <c r="J44" s="5">
        <f>IF(OR(F44="",H44=""),"",IF(OR(B44="raft",B44="sump_pit",B44="crane_foundation",D44="(none)"),"n/a",IF(OR(B44="column",B44="footing",B44="mass_concrete_pad",AND(B44="wall",C44="shear_wall",D44&lt;&gt;"(none)")),IF(AND(G44-F44&lt;=3,I44-H44&lt;=3),"yes","no"),IF(I44-H44&lt;=3,"yes (thickness)","no (thickness)"))))</f>
        <v/>
      </c>
      <c r="K44" s="6">
        <f>SUMIFS(Elements!$M$2:$M$862,Elements!$B$2:$B$862,$A44,Elements!$D$2:$D$862,$B44,Elements!$E$2:$E$862,$C44,Elements!$F$2:$F$862,$D44)</f>
        <v/>
      </c>
      <c r="L44" s="6">
        <f>SUMIFS(Elements!$L$2:$L$862,Elements!$B$2:$B$862,$A44,Elements!$D$2:$D$862,$B44,Elements!$E$2:$E$862,$C44,Elements!$F$2:$F$862,$D44)</f>
        <v/>
      </c>
      <c r="M44" s="2" t="inlineStr">
        <is>
          <t>solid fill; 34-2869 x 20-30 cm; L/W 1.70-143.45; inside a footing outline 5%; on a raft 29%; touching a hatched core wall 12%; in a strip-footing band 69%; at a grade-beam junction 20%</t>
        </is>
      </c>
    </row>
    <row r="45">
      <c r="A45" s="5" t="inlineStr">
        <is>
          <t>121</t>
        </is>
      </c>
      <c r="B45" s="5" t="inlineStr">
        <is>
          <t>wall</t>
        </is>
      </c>
      <c r="C45" s="5" t="inlineStr">
        <is>
          <t>shear_wall</t>
        </is>
      </c>
      <c r="D45" s="5" t="inlineStr">
        <is>
          <t>(none)</t>
        </is>
      </c>
      <c r="E45" s="5">
        <f>COUNTIFS(Elements!$B$2:$B$862,$A45,Elements!$D$2:$D$862,$B45,Elements!$E$2:$E$862,$C45,Elements!$F$2:$F$862,$D45)</f>
        <v/>
      </c>
      <c r="F45" s="5">
        <f>IFERROR(_xlfn.MINIFS(Elements!$I$2:$I$862,Elements!$B$2:$B$862,$A45,Elements!$D$2:$D$862,$B45,Elements!$E$2:$E$862,$C45,Elements!$F$2:$F$862,$D45),"")</f>
        <v/>
      </c>
      <c r="G45" s="5">
        <f>IFERROR(_xlfn.MAXIFS(Elements!$I$2:$I$862,Elements!$B$2:$B$862,$A45,Elements!$D$2:$D$862,$B45,Elements!$E$2:$E$862,$C45,Elements!$F$2:$F$862,$D45),"")</f>
        <v/>
      </c>
      <c r="H45" s="5">
        <f>IFERROR(_xlfn.MINIFS(Elements!$J$2:$J$862,Elements!$B$2:$B$862,$A45,Elements!$D$2:$D$862,$B45,Elements!$E$2:$E$862,$C45,Elements!$F$2:$F$862,$D45),"")</f>
        <v/>
      </c>
      <c r="I45" s="5">
        <f>IFERROR(_xlfn.MAXIFS(Elements!$J$2:$J$862,Elements!$B$2:$B$862,$A45,Elements!$D$2:$D$862,$B45,Elements!$E$2:$E$862,$C45,Elements!$F$2:$F$862,$D45),"")</f>
        <v/>
      </c>
      <c r="J45" s="5">
        <f>IF(OR(F45="",H45=""),"",IF(OR(B45="raft",B45="sump_pit",B45="crane_foundation",D45="(none)"),"n/a",IF(OR(B45="column",B45="footing",B45="mass_concrete_pad",AND(B45="wall",C45="shear_wall",D45&lt;&gt;"(none)")),IF(AND(G45-F45&lt;=3,I45-H45&lt;=3),"yes","no"),IF(I45-H45&lt;=3,"yes (thickness)","no (thickness)"))))</f>
        <v/>
      </c>
      <c r="K45" s="6">
        <f>SUMIFS(Elements!$M$2:$M$862,Elements!$B$2:$B$862,$A45,Elements!$D$2:$D$862,$B45,Elements!$E$2:$E$862,$C45,Elements!$F$2:$F$862,$D45)</f>
        <v/>
      </c>
      <c r="L45" s="6">
        <f>SUMIFS(Elements!$L$2:$L$862,Elements!$B$2:$B$862,$A45,Elements!$D$2:$D$862,$B45,Elements!$E$2:$E$862,$C45,Elements!$F$2:$F$862,$D45)</f>
        <v/>
      </c>
      <c r="M45" s="2" t="inlineStr">
        <is>
          <t>solid fill; 87-1849 x 20-30 cm; L/W 4.17-92.45; inside a footing outline 72%; on a raft 10%; touching a hatched core wall 1%; in a strip-footing band 5%; at a grade-beam junction 51%</t>
        </is>
      </c>
    </row>
    <row r="46">
      <c r="A46" s="5" t="inlineStr">
        <is>
          <t>121</t>
        </is>
      </c>
      <c r="B46" s="5" t="inlineStr">
        <is>
          <t>wall</t>
        </is>
      </c>
      <c r="C46" s="5" t="inlineStr">
        <is>
          <t>shear_wall</t>
        </is>
      </c>
      <c r="D46" s="5" t="inlineStr">
        <is>
          <t>V1/121</t>
        </is>
      </c>
      <c r="E46" s="5">
        <f>COUNTIFS(Elements!$B$2:$B$862,$A46,Elements!$D$2:$D$862,$B46,Elements!$E$2:$E$862,$C46,Elements!$F$2:$F$862,$D46)</f>
        <v/>
      </c>
      <c r="F46" s="5">
        <f>IFERROR(_xlfn.MINIFS(Elements!$I$2:$I$862,Elements!$B$2:$B$862,$A46,Elements!$D$2:$D$862,$B46,Elements!$E$2:$E$862,$C46,Elements!$F$2:$F$862,$D46),"")</f>
        <v/>
      </c>
      <c r="G46" s="5">
        <f>IFERROR(_xlfn.MAXIFS(Elements!$I$2:$I$862,Elements!$B$2:$B$862,$A46,Elements!$D$2:$D$862,$B46,Elements!$E$2:$E$862,$C46,Elements!$F$2:$F$862,$D46),"")</f>
        <v/>
      </c>
      <c r="H46" s="5">
        <f>IFERROR(_xlfn.MINIFS(Elements!$J$2:$J$862,Elements!$B$2:$B$862,$A46,Elements!$D$2:$D$862,$B46,Elements!$E$2:$E$862,$C46,Elements!$F$2:$F$862,$D46),"")</f>
        <v/>
      </c>
      <c r="I46" s="5">
        <f>IFERROR(_xlfn.MAXIFS(Elements!$J$2:$J$862,Elements!$B$2:$B$862,$A46,Elements!$D$2:$D$862,$B46,Elements!$E$2:$E$862,$C46,Elements!$F$2:$F$862,$D46),"")</f>
        <v/>
      </c>
      <c r="J46" s="5">
        <f>IF(OR(F46="",H46=""),"",IF(OR(B46="raft",B46="sump_pit",B46="crane_foundation",D46="(none)"),"n/a",IF(OR(B46="column",B46="footing",B46="mass_concrete_pad",AND(B46="wall",C46="shear_wall",D46&lt;&gt;"(none)")),IF(AND(G46-F46&lt;=3,I46-H46&lt;=3),"yes","no"),IF(I46-H46&lt;=3,"yes (thickness)","no (thickness)"))))</f>
        <v/>
      </c>
      <c r="K46" s="6">
        <f>SUMIFS(Elements!$M$2:$M$862,Elements!$B$2:$B$862,$A46,Elements!$D$2:$D$862,$B46,Elements!$E$2:$E$862,$C46,Elements!$F$2:$F$862,$D46)</f>
        <v/>
      </c>
      <c r="L46" s="6">
        <f>SUMIFS(Elements!$L$2:$L$862,Elements!$B$2:$B$862,$A46,Elements!$D$2:$D$862,$B46,Elements!$E$2:$E$862,$C46,Elements!$F$2:$F$862,$D46)</f>
        <v/>
      </c>
      <c r="M46" s="2" t="inlineStr">
        <is>
          <t>solid fill; 87-1849 x 20-30 cm; L/W 4.17-92.45; inside a footing outline 72%; on a raft 10%; touching a hatched core wall 1%; in a strip-footing band 5%; at a grade-beam junction 51%</t>
        </is>
      </c>
    </row>
    <row r="47">
      <c r="A47" s="5" t="inlineStr">
        <is>
          <t>121</t>
        </is>
      </c>
      <c r="B47" s="5" t="inlineStr">
        <is>
          <t>wall</t>
        </is>
      </c>
      <c r="C47" s="5" t="inlineStr">
        <is>
          <t>shear_wall</t>
        </is>
      </c>
      <c r="D47" s="5" t="inlineStr">
        <is>
          <t>V2/121</t>
        </is>
      </c>
      <c r="E47" s="5">
        <f>COUNTIFS(Elements!$B$2:$B$862,$A47,Elements!$D$2:$D$862,$B47,Elements!$E$2:$E$862,$C47,Elements!$F$2:$F$862,$D47)</f>
        <v/>
      </c>
      <c r="F47" s="5">
        <f>IFERROR(_xlfn.MINIFS(Elements!$I$2:$I$862,Elements!$B$2:$B$862,$A47,Elements!$D$2:$D$862,$B47,Elements!$E$2:$E$862,$C47,Elements!$F$2:$F$862,$D47),"")</f>
        <v/>
      </c>
      <c r="G47" s="5">
        <f>IFERROR(_xlfn.MAXIFS(Elements!$I$2:$I$862,Elements!$B$2:$B$862,$A47,Elements!$D$2:$D$862,$B47,Elements!$E$2:$E$862,$C47,Elements!$F$2:$F$862,$D47),"")</f>
        <v/>
      </c>
      <c r="H47" s="5">
        <f>IFERROR(_xlfn.MINIFS(Elements!$J$2:$J$862,Elements!$B$2:$B$862,$A47,Elements!$D$2:$D$862,$B47,Elements!$E$2:$E$862,$C47,Elements!$F$2:$F$862,$D47),"")</f>
        <v/>
      </c>
      <c r="I47" s="5">
        <f>IFERROR(_xlfn.MAXIFS(Elements!$J$2:$J$862,Elements!$B$2:$B$862,$A47,Elements!$D$2:$D$862,$B47,Elements!$E$2:$E$862,$C47,Elements!$F$2:$F$862,$D47),"")</f>
        <v/>
      </c>
      <c r="J47" s="5">
        <f>IF(OR(F47="",H47=""),"",IF(OR(B47="raft",B47="sump_pit",B47="crane_foundation",D47="(none)"),"n/a",IF(OR(B47="column",B47="footing",B47="mass_concrete_pad",AND(B47="wall",C47="shear_wall",D47&lt;&gt;"(none)")),IF(AND(G47-F47&lt;=3,I47-H47&lt;=3),"yes","no"),IF(I47-H47&lt;=3,"yes (thickness)","no (thickness)"))))</f>
        <v/>
      </c>
      <c r="K47" s="6">
        <f>SUMIFS(Elements!$M$2:$M$862,Elements!$B$2:$B$862,$A47,Elements!$D$2:$D$862,$B47,Elements!$E$2:$E$862,$C47,Elements!$F$2:$F$862,$D47)</f>
        <v/>
      </c>
      <c r="L47" s="6">
        <f>SUMIFS(Elements!$L$2:$L$862,Elements!$B$2:$B$862,$A47,Elements!$D$2:$D$862,$B47,Elements!$E$2:$E$862,$C47,Elements!$F$2:$F$862,$D47)</f>
        <v/>
      </c>
      <c r="M47" s="2" t="inlineStr">
        <is>
          <t>solid fill; 87-1849 x 20-30 cm; L/W 4.17-92.45; inside a footing outline 72%; on a raft 10%; touching a hatched core wall 1%; in a strip-footing band 5%; at a grade-beam junction 51%</t>
        </is>
      </c>
    </row>
    <row r="48">
      <c r="A48" s="5" t="inlineStr">
        <is>
          <t>121</t>
        </is>
      </c>
      <c r="B48" s="5" t="inlineStr">
        <is>
          <t>wall</t>
        </is>
      </c>
      <c r="C48" s="5" t="inlineStr">
        <is>
          <t>shear_wall</t>
        </is>
      </c>
      <c r="D48" s="5" t="inlineStr">
        <is>
          <t>V3/121</t>
        </is>
      </c>
      <c r="E48" s="5">
        <f>COUNTIFS(Elements!$B$2:$B$862,$A48,Elements!$D$2:$D$862,$B48,Elements!$E$2:$E$862,$C48,Elements!$F$2:$F$862,$D48)</f>
        <v/>
      </c>
      <c r="F48" s="5">
        <f>IFERROR(_xlfn.MINIFS(Elements!$I$2:$I$862,Elements!$B$2:$B$862,$A48,Elements!$D$2:$D$862,$B48,Elements!$E$2:$E$862,$C48,Elements!$F$2:$F$862,$D48),"")</f>
        <v/>
      </c>
      <c r="G48" s="5">
        <f>IFERROR(_xlfn.MAXIFS(Elements!$I$2:$I$862,Elements!$B$2:$B$862,$A48,Elements!$D$2:$D$862,$B48,Elements!$E$2:$E$862,$C48,Elements!$F$2:$F$862,$D48),"")</f>
        <v/>
      </c>
      <c r="H48" s="5">
        <f>IFERROR(_xlfn.MINIFS(Elements!$J$2:$J$862,Elements!$B$2:$B$862,$A48,Elements!$D$2:$D$862,$B48,Elements!$E$2:$E$862,$C48,Elements!$F$2:$F$862,$D48),"")</f>
        <v/>
      </c>
      <c r="I48" s="5">
        <f>IFERROR(_xlfn.MAXIFS(Elements!$J$2:$J$862,Elements!$B$2:$B$862,$A48,Elements!$D$2:$D$862,$B48,Elements!$E$2:$E$862,$C48,Elements!$F$2:$F$862,$D48),"")</f>
        <v/>
      </c>
      <c r="J48" s="5">
        <f>IF(OR(F48="",H48=""),"",IF(OR(B48="raft",B48="sump_pit",B48="crane_foundation",D48="(none)"),"n/a",IF(OR(B48="column",B48="footing",B48="mass_concrete_pad",AND(B48="wall",C48="shear_wall",D48&lt;&gt;"(none)")),IF(AND(G48-F48&lt;=3,I48-H48&lt;=3),"yes","no"),IF(I48-H48&lt;=3,"yes (thickness)","no (thickness)"))))</f>
        <v/>
      </c>
      <c r="K48" s="6">
        <f>SUMIFS(Elements!$M$2:$M$862,Elements!$B$2:$B$862,$A48,Elements!$D$2:$D$862,$B48,Elements!$E$2:$E$862,$C48,Elements!$F$2:$F$862,$D48)</f>
        <v/>
      </c>
      <c r="L48" s="6">
        <f>SUMIFS(Elements!$L$2:$L$862,Elements!$B$2:$B$862,$A48,Elements!$D$2:$D$862,$B48,Elements!$E$2:$E$862,$C48,Elements!$F$2:$F$862,$D48)</f>
        <v/>
      </c>
      <c r="M48" s="2" t="inlineStr">
        <is>
          <t>solid fill; 87-1849 x 20-30 cm; L/W 4.17-92.45; inside a footing outline 72%; on a raft 10%; touching a hatched core wall 1%; in a strip-footing band 5%; at a grade-beam junction 51%</t>
        </is>
      </c>
    </row>
    <row r="49">
      <c r="A49" s="5" t="inlineStr">
        <is>
          <t>121</t>
        </is>
      </c>
      <c r="B49" s="5" t="inlineStr">
        <is>
          <t>wall</t>
        </is>
      </c>
      <c r="C49" s="5" t="inlineStr">
        <is>
          <t>shear_wall</t>
        </is>
      </c>
      <c r="D49" s="5" t="inlineStr">
        <is>
          <t>V6/121</t>
        </is>
      </c>
      <c r="E49" s="5">
        <f>COUNTIFS(Elements!$B$2:$B$862,$A49,Elements!$D$2:$D$862,$B49,Elements!$E$2:$E$862,$C49,Elements!$F$2:$F$862,$D49)</f>
        <v/>
      </c>
      <c r="F49" s="5">
        <f>IFERROR(_xlfn.MINIFS(Elements!$I$2:$I$862,Elements!$B$2:$B$862,$A49,Elements!$D$2:$D$862,$B49,Elements!$E$2:$E$862,$C49,Elements!$F$2:$F$862,$D49),"")</f>
        <v/>
      </c>
      <c r="G49" s="5">
        <f>IFERROR(_xlfn.MAXIFS(Elements!$I$2:$I$862,Elements!$B$2:$B$862,$A49,Elements!$D$2:$D$862,$B49,Elements!$E$2:$E$862,$C49,Elements!$F$2:$F$862,$D49),"")</f>
        <v/>
      </c>
      <c r="H49" s="5">
        <f>IFERROR(_xlfn.MINIFS(Elements!$J$2:$J$862,Elements!$B$2:$B$862,$A49,Elements!$D$2:$D$862,$B49,Elements!$E$2:$E$862,$C49,Elements!$F$2:$F$862,$D49),"")</f>
        <v/>
      </c>
      <c r="I49" s="5">
        <f>IFERROR(_xlfn.MAXIFS(Elements!$J$2:$J$862,Elements!$B$2:$B$862,$A49,Elements!$D$2:$D$862,$B49,Elements!$E$2:$E$862,$C49,Elements!$F$2:$F$862,$D49),"")</f>
        <v/>
      </c>
      <c r="J49" s="5">
        <f>IF(OR(F49="",H49=""),"",IF(OR(B49="raft",B49="sump_pit",B49="crane_foundation",D49="(none)"),"n/a",IF(OR(B49="column",B49="footing",B49="mass_concrete_pad",AND(B49="wall",C49="shear_wall",D49&lt;&gt;"(none)")),IF(AND(G49-F49&lt;=3,I49-H49&lt;=3),"yes","no"),IF(I49-H49&lt;=3,"yes (thickness)","no (thickness)"))))</f>
        <v/>
      </c>
      <c r="K49" s="6">
        <f>SUMIFS(Elements!$M$2:$M$862,Elements!$B$2:$B$862,$A49,Elements!$D$2:$D$862,$B49,Elements!$E$2:$E$862,$C49,Elements!$F$2:$F$862,$D49)</f>
        <v/>
      </c>
      <c r="L49" s="6">
        <f>SUMIFS(Elements!$L$2:$L$862,Elements!$B$2:$B$862,$A49,Elements!$D$2:$D$862,$B49,Elements!$E$2:$E$862,$C49,Elements!$F$2:$F$862,$D49)</f>
        <v/>
      </c>
      <c r="M49" s="2" t="inlineStr">
        <is>
          <t>solid fill; 87-1849 x 20-30 cm; L/W 4.17-92.45; inside a footing outline 72%; on a raft 10%; touching a hatched core wall 1%; in a strip-footing band 5%; at a grade-beam junction 51%</t>
        </is>
      </c>
    </row>
    <row r="50">
      <c r="A50" s="5" t="inlineStr">
        <is>
          <t>121</t>
        </is>
      </c>
      <c r="B50" s="5" t="inlineStr">
        <is>
          <t>wall</t>
        </is>
      </c>
      <c r="C50" s="5" t="inlineStr">
        <is>
          <t>shear_wall</t>
        </is>
      </c>
      <c r="D50" s="5" t="inlineStr">
        <is>
          <t>V8/121</t>
        </is>
      </c>
      <c r="E50" s="5">
        <f>COUNTIFS(Elements!$B$2:$B$862,$A50,Elements!$D$2:$D$862,$B50,Elements!$E$2:$E$862,$C50,Elements!$F$2:$F$862,$D50)</f>
        <v/>
      </c>
      <c r="F50" s="5">
        <f>IFERROR(_xlfn.MINIFS(Elements!$I$2:$I$862,Elements!$B$2:$B$862,$A50,Elements!$D$2:$D$862,$B50,Elements!$E$2:$E$862,$C50,Elements!$F$2:$F$862,$D50),"")</f>
        <v/>
      </c>
      <c r="G50" s="5">
        <f>IFERROR(_xlfn.MAXIFS(Elements!$I$2:$I$862,Elements!$B$2:$B$862,$A50,Elements!$D$2:$D$862,$B50,Elements!$E$2:$E$862,$C50,Elements!$F$2:$F$862,$D50),"")</f>
        <v/>
      </c>
      <c r="H50" s="5">
        <f>IFERROR(_xlfn.MINIFS(Elements!$J$2:$J$862,Elements!$B$2:$B$862,$A50,Elements!$D$2:$D$862,$B50,Elements!$E$2:$E$862,$C50,Elements!$F$2:$F$862,$D50),"")</f>
        <v/>
      </c>
      <c r="I50" s="5">
        <f>IFERROR(_xlfn.MAXIFS(Elements!$J$2:$J$862,Elements!$B$2:$B$862,$A50,Elements!$D$2:$D$862,$B50,Elements!$E$2:$E$862,$C50,Elements!$F$2:$F$862,$D50),"")</f>
        <v/>
      </c>
      <c r="J50" s="5">
        <f>IF(OR(F50="",H50=""),"",IF(OR(B50="raft",B50="sump_pit",B50="crane_foundation",D50="(none)"),"n/a",IF(OR(B50="column",B50="footing",B50="mass_concrete_pad",AND(B50="wall",C50="shear_wall",D50&lt;&gt;"(none)")),IF(AND(G50-F50&lt;=3,I50-H50&lt;=3),"yes","no"),IF(I50-H50&lt;=3,"yes (thickness)","no (thickness)"))))</f>
        <v/>
      </c>
      <c r="K50" s="6">
        <f>SUMIFS(Elements!$M$2:$M$862,Elements!$B$2:$B$862,$A50,Elements!$D$2:$D$862,$B50,Elements!$E$2:$E$862,$C50,Elements!$F$2:$F$862,$D50)</f>
        <v/>
      </c>
      <c r="L50" s="6">
        <f>SUMIFS(Elements!$L$2:$L$862,Elements!$B$2:$B$862,$A50,Elements!$D$2:$D$862,$B50,Elements!$E$2:$E$862,$C50,Elements!$F$2:$F$862,$D50)</f>
        <v/>
      </c>
      <c r="M50" s="2" t="inlineStr">
        <is>
          <t>solid fill; 87-1849 x 20-30 cm; L/W 4.17-92.45; inside a footing outline 72%; on a raft 10%; touching a hatched core wall 1%; in a strip-footing band 5%; at a grade-beam junction 51%</t>
        </is>
      </c>
    </row>
    <row r="51">
      <c r="A51" s="5" t="inlineStr">
        <is>
          <t>121</t>
        </is>
      </c>
      <c r="B51" s="5" t="inlineStr">
        <is>
          <t>wall</t>
        </is>
      </c>
      <c r="C51" s="5" t="inlineStr">
        <is>
          <t>shear_wall</t>
        </is>
      </c>
      <c r="D51" s="5" t="inlineStr">
        <is>
          <t>V9/121</t>
        </is>
      </c>
      <c r="E51" s="5">
        <f>COUNTIFS(Elements!$B$2:$B$862,$A51,Elements!$D$2:$D$862,$B51,Elements!$E$2:$E$862,$C51,Elements!$F$2:$F$862,$D51)</f>
        <v/>
      </c>
      <c r="F51" s="5">
        <f>IFERROR(_xlfn.MINIFS(Elements!$I$2:$I$862,Elements!$B$2:$B$862,$A51,Elements!$D$2:$D$862,$B51,Elements!$E$2:$E$862,$C51,Elements!$F$2:$F$862,$D51),"")</f>
        <v/>
      </c>
      <c r="G51" s="5">
        <f>IFERROR(_xlfn.MAXIFS(Elements!$I$2:$I$862,Elements!$B$2:$B$862,$A51,Elements!$D$2:$D$862,$B51,Elements!$E$2:$E$862,$C51,Elements!$F$2:$F$862,$D51),"")</f>
        <v/>
      </c>
      <c r="H51" s="5">
        <f>IFERROR(_xlfn.MINIFS(Elements!$J$2:$J$862,Elements!$B$2:$B$862,$A51,Elements!$D$2:$D$862,$B51,Elements!$E$2:$E$862,$C51,Elements!$F$2:$F$862,$D51),"")</f>
        <v/>
      </c>
      <c r="I51" s="5">
        <f>IFERROR(_xlfn.MAXIFS(Elements!$J$2:$J$862,Elements!$B$2:$B$862,$A51,Elements!$D$2:$D$862,$B51,Elements!$E$2:$E$862,$C51,Elements!$F$2:$F$862,$D51),"")</f>
        <v/>
      </c>
      <c r="J51" s="5">
        <f>IF(OR(F51="",H51=""),"",IF(OR(B51="raft",B51="sump_pit",B51="crane_foundation",D51="(none)"),"n/a",IF(OR(B51="column",B51="footing",B51="mass_concrete_pad",AND(B51="wall",C51="shear_wall",D51&lt;&gt;"(none)")),IF(AND(G51-F51&lt;=3,I51-H51&lt;=3),"yes","no"),IF(I51-H51&lt;=3,"yes (thickness)","no (thickness)"))))</f>
        <v/>
      </c>
      <c r="K51" s="6">
        <f>SUMIFS(Elements!$M$2:$M$862,Elements!$B$2:$B$862,$A51,Elements!$D$2:$D$862,$B51,Elements!$E$2:$E$862,$C51,Elements!$F$2:$F$862,$D51)</f>
        <v/>
      </c>
      <c r="L51" s="6">
        <f>SUMIFS(Elements!$L$2:$L$862,Elements!$B$2:$B$862,$A51,Elements!$D$2:$D$862,$B51,Elements!$E$2:$E$862,$C51,Elements!$F$2:$F$862,$D51)</f>
        <v/>
      </c>
      <c r="M51" s="2" t="inlineStr">
        <is>
          <t>solid fill; 87-1849 x 20-30 cm; L/W 4.17-92.45; inside a footing outline 72%; on a raft 10%; touching a hatched core wall 1%; in a strip-footing band 5%; at a grade-beam junction 51%</t>
        </is>
      </c>
    </row>
    <row r="52">
      <c r="A52" s="5" t="inlineStr">
        <is>
          <t>122</t>
        </is>
      </c>
      <c r="B52" s="5" t="inlineStr">
        <is>
          <t>column</t>
        </is>
      </c>
      <c r="C52" s="5" t="inlineStr">
        <is>
          <t>column</t>
        </is>
      </c>
      <c r="D52" s="5" t="inlineStr">
        <is>
          <t>P2/122</t>
        </is>
      </c>
      <c r="E52" s="5">
        <f>COUNTIFS(Elements!$B$2:$B$862,$A52,Elements!$D$2:$D$862,$B52,Elements!$E$2:$E$862,$C52,Elements!$F$2:$F$862,$D52)</f>
        <v/>
      </c>
      <c r="F52" s="5">
        <f>IFERROR(_xlfn.MINIFS(Elements!$I$2:$I$862,Elements!$B$2:$B$862,$A52,Elements!$D$2:$D$862,$B52,Elements!$E$2:$E$862,$C52,Elements!$F$2:$F$862,$D52),"")</f>
        <v/>
      </c>
      <c r="G52" s="5">
        <f>IFERROR(_xlfn.MAXIFS(Elements!$I$2:$I$862,Elements!$B$2:$B$862,$A52,Elements!$D$2:$D$862,$B52,Elements!$E$2:$E$862,$C52,Elements!$F$2:$F$862,$D52),"")</f>
        <v/>
      </c>
      <c r="H52" s="5">
        <f>IFERROR(_xlfn.MINIFS(Elements!$J$2:$J$862,Elements!$B$2:$B$862,$A52,Elements!$D$2:$D$862,$B52,Elements!$E$2:$E$862,$C52,Elements!$F$2:$F$862,$D52),"")</f>
        <v/>
      </c>
      <c r="I52" s="5">
        <f>IFERROR(_xlfn.MAXIFS(Elements!$J$2:$J$862,Elements!$B$2:$B$862,$A52,Elements!$D$2:$D$862,$B52,Elements!$E$2:$E$862,$C52,Elements!$F$2:$F$862,$D52),"")</f>
        <v/>
      </c>
      <c r="J52" s="5">
        <f>IF(OR(F52="",H52=""),"",IF(OR(B52="raft",B52="sump_pit",B52="crane_foundation",D52="(none)"),"n/a",IF(OR(B52="column",B52="footing",B52="mass_concrete_pad",AND(B52="wall",C52="shear_wall",D52&lt;&gt;"(none)")),IF(AND(G52-F52&lt;=3,I52-H52&lt;=3),"yes","no"),IF(I52-H52&lt;=3,"yes (thickness)","no (thickness)"))))</f>
        <v/>
      </c>
      <c r="K52" s="6">
        <f>SUMIFS(Elements!$M$2:$M$862,Elements!$B$2:$B$862,$A52,Elements!$D$2:$D$862,$B52,Elements!$E$2:$E$862,$C52,Elements!$F$2:$F$862,$D52)</f>
        <v/>
      </c>
      <c r="L52" s="6">
        <f>SUMIFS(Elements!$L$2:$L$862,Elements!$B$2:$B$862,$A52,Elements!$D$2:$D$862,$B52,Elements!$E$2:$E$862,$C52,Elements!$F$2:$F$862,$D52)</f>
        <v/>
      </c>
      <c r="M52" s="2" t="inlineStr">
        <is>
          <t>solid fill; 40-120 x 25-50 cm; L/W 1.60-4.00; inside a footing outline 37%; on a raft 63%; touching a hatched core wall 26%; in a strip-footing band 0%; at a grade-beam junction 26%</t>
        </is>
      </c>
    </row>
    <row r="53">
      <c r="A53" s="5" t="inlineStr">
        <is>
          <t>122</t>
        </is>
      </c>
      <c r="B53" s="5" t="inlineStr">
        <is>
          <t>column</t>
        </is>
      </c>
      <c r="C53" s="5" t="inlineStr">
        <is>
          <t>column</t>
        </is>
      </c>
      <c r="D53" s="5" t="inlineStr">
        <is>
          <t>P2a/122</t>
        </is>
      </c>
      <c r="E53" s="5">
        <f>COUNTIFS(Elements!$B$2:$B$862,$A53,Elements!$D$2:$D$862,$B53,Elements!$E$2:$E$862,$C53,Elements!$F$2:$F$862,$D53)</f>
        <v/>
      </c>
      <c r="F53" s="5">
        <f>IFERROR(_xlfn.MINIFS(Elements!$I$2:$I$862,Elements!$B$2:$B$862,$A53,Elements!$D$2:$D$862,$B53,Elements!$E$2:$E$862,$C53,Elements!$F$2:$F$862,$D53),"")</f>
        <v/>
      </c>
      <c r="G53" s="5">
        <f>IFERROR(_xlfn.MAXIFS(Elements!$I$2:$I$862,Elements!$B$2:$B$862,$A53,Elements!$D$2:$D$862,$B53,Elements!$E$2:$E$862,$C53,Elements!$F$2:$F$862,$D53),"")</f>
        <v/>
      </c>
      <c r="H53" s="5">
        <f>IFERROR(_xlfn.MINIFS(Elements!$J$2:$J$862,Elements!$B$2:$B$862,$A53,Elements!$D$2:$D$862,$B53,Elements!$E$2:$E$862,$C53,Elements!$F$2:$F$862,$D53),"")</f>
        <v/>
      </c>
      <c r="I53" s="5">
        <f>IFERROR(_xlfn.MAXIFS(Elements!$J$2:$J$862,Elements!$B$2:$B$862,$A53,Elements!$D$2:$D$862,$B53,Elements!$E$2:$E$862,$C53,Elements!$F$2:$F$862,$D53),"")</f>
        <v/>
      </c>
      <c r="J53" s="5">
        <f>IF(OR(F53="",H53=""),"",IF(OR(B53="raft",B53="sump_pit",B53="crane_foundation",D53="(none)"),"n/a",IF(OR(B53="column",B53="footing",B53="mass_concrete_pad",AND(B53="wall",C53="shear_wall",D53&lt;&gt;"(none)")),IF(AND(G53-F53&lt;=3,I53-H53&lt;=3),"yes","no"),IF(I53-H53&lt;=3,"yes (thickness)","no (thickness)"))))</f>
        <v/>
      </c>
      <c r="K53" s="6">
        <f>SUMIFS(Elements!$M$2:$M$862,Elements!$B$2:$B$862,$A53,Elements!$D$2:$D$862,$B53,Elements!$E$2:$E$862,$C53,Elements!$F$2:$F$862,$D53)</f>
        <v/>
      </c>
      <c r="L53" s="6">
        <f>SUMIFS(Elements!$L$2:$L$862,Elements!$B$2:$B$862,$A53,Elements!$D$2:$D$862,$B53,Elements!$E$2:$E$862,$C53,Elements!$F$2:$F$862,$D53)</f>
        <v/>
      </c>
      <c r="M53" s="2" t="inlineStr">
        <is>
          <t>solid fill; 40-120 x 25-50 cm; L/W 1.60-4.00; inside a footing outline 37%; on a raft 63%; touching a hatched core wall 26%; in a strip-footing band 0%; at a grade-beam junction 26%</t>
        </is>
      </c>
    </row>
    <row r="54">
      <c r="A54" s="5" t="inlineStr">
        <is>
          <t>122</t>
        </is>
      </c>
      <c r="B54" s="5" t="inlineStr">
        <is>
          <t>column</t>
        </is>
      </c>
      <c r="C54" s="5" t="inlineStr">
        <is>
          <t>column</t>
        </is>
      </c>
      <c r="D54" s="5" t="inlineStr">
        <is>
          <t>P3/122</t>
        </is>
      </c>
      <c r="E54" s="5">
        <f>COUNTIFS(Elements!$B$2:$B$862,$A54,Elements!$D$2:$D$862,$B54,Elements!$E$2:$E$862,$C54,Elements!$F$2:$F$862,$D54)</f>
        <v/>
      </c>
      <c r="F54" s="5">
        <f>IFERROR(_xlfn.MINIFS(Elements!$I$2:$I$862,Elements!$B$2:$B$862,$A54,Elements!$D$2:$D$862,$B54,Elements!$E$2:$E$862,$C54,Elements!$F$2:$F$862,$D54),"")</f>
        <v/>
      </c>
      <c r="G54" s="5">
        <f>IFERROR(_xlfn.MAXIFS(Elements!$I$2:$I$862,Elements!$B$2:$B$862,$A54,Elements!$D$2:$D$862,$B54,Elements!$E$2:$E$862,$C54,Elements!$F$2:$F$862,$D54),"")</f>
        <v/>
      </c>
      <c r="H54" s="5">
        <f>IFERROR(_xlfn.MINIFS(Elements!$J$2:$J$862,Elements!$B$2:$B$862,$A54,Elements!$D$2:$D$862,$B54,Elements!$E$2:$E$862,$C54,Elements!$F$2:$F$862,$D54),"")</f>
        <v/>
      </c>
      <c r="I54" s="5">
        <f>IFERROR(_xlfn.MAXIFS(Elements!$J$2:$J$862,Elements!$B$2:$B$862,$A54,Elements!$D$2:$D$862,$B54,Elements!$E$2:$E$862,$C54,Elements!$F$2:$F$862,$D54),"")</f>
        <v/>
      </c>
      <c r="J54" s="5">
        <f>IF(OR(F54="",H54=""),"",IF(OR(B54="raft",B54="sump_pit",B54="crane_foundation",D54="(none)"),"n/a",IF(OR(B54="column",B54="footing",B54="mass_concrete_pad",AND(B54="wall",C54="shear_wall",D54&lt;&gt;"(none)")),IF(AND(G54-F54&lt;=3,I54-H54&lt;=3),"yes","no"),IF(I54-H54&lt;=3,"yes (thickness)","no (thickness)"))))</f>
        <v/>
      </c>
      <c r="K54" s="6">
        <f>SUMIFS(Elements!$M$2:$M$862,Elements!$B$2:$B$862,$A54,Elements!$D$2:$D$862,$B54,Elements!$E$2:$E$862,$C54,Elements!$F$2:$F$862,$D54)</f>
        <v/>
      </c>
      <c r="L54" s="6">
        <f>SUMIFS(Elements!$L$2:$L$862,Elements!$B$2:$B$862,$A54,Elements!$D$2:$D$862,$B54,Elements!$E$2:$E$862,$C54,Elements!$F$2:$F$862,$D54)</f>
        <v/>
      </c>
      <c r="M54" s="2" t="inlineStr">
        <is>
          <t>solid fill; 40-120 x 25-50 cm; L/W 1.60-4.00; inside a footing outline 37%; on a raft 63%; touching a hatched core wall 26%; in a strip-footing band 0%; at a grade-beam junction 26%</t>
        </is>
      </c>
    </row>
    <row r="55">
      <c r="A55" s="5" t="inlineStr">
        <is>
          <t>122</t>
        </is>
      </c>
      <c r="B55" s="5" t="inlineStr">
        <is>
          <t>column</t>
        </is>
      </c>
      <c r="C55" s="5" t="inlineStr">
        <is>
          <t>column</t>
        </is>
      </c>
      <c r="D55" s="5" t="inlineStr">
        <is>
          <t>P4/122</t>
        </is>
      </c>
      <c r="E55" s="5">
        <f>COUNTIFS(Elements!$B$2:$B$862,$A55,Elements!$D$2:$D$862,$B55,Elements!$E$2:$E$862,$C55,Elements!$F$2:$F$862,$D55)</f>
        <v/>
      </c>
      <c r="F55" s="5">
        <f>IFERROR(_xlfn.MINIFS(Elements!$I$2:$I$862,Elements!$B$2:$B$862,$A55,Elements!$D$2:$D$862,$B55,Elements!$E$2:$E$862,$C55,Elements!$F$2:$F$862,$D55),"")</f>
        <v/>
      </c>
      <c r="G55" s="5">
        <f>IFERROR(_xlfn.MAXIFS(Elements!$I$2:$I$862,Elements!$B$2:$B$862,$A55,Elements!$D$2:$D$862,$B55,Elements!$E$2:$E$862,$C55,Elements!$F$2:$F$862,$D55),"")</f>
        <v/>
      </c>
      <c r="H55" s="5">
        <f>IFERROR(_xlfn.MINIFS(Elements!$J$2:$J$862,Elements!$B$2:$B$862,$A55,Elements!$D$2:$D$862,$B55,Elements!$E$2:$E$862,$C55,Elements!$F$2:$F$862,$D55),"")</f>
        <v/>
      </c>
      <c r="I55" s="5">
        <f>IFERROR(_xlfn.MAXIFS(Elements!$J$2:$J$862,Elements!$B$2:$B$862,$A55,Elements!$D$2:$D$862,$B55,Elements!$E$2:$E$862,$C55,Elements!$F$2:$F$862,$D55),"")</f>
        <v/>
      </c>
      <c r="J55" s="5">
        <f>IF(OR(F55="",H55=""),"",IF(OR(B55="raft",B55="sump_pit",B55="crane_foundation",D55="(none)"),"n/a",IF(OR(B55="column",B55="footing",B55="mass_concrete_pad",AND(B55="wall",C55="shear_wall",D55&lt;&gt;"(none)")),IF(AND(G55-F55&lt;=3,I55-H55&lt;=3),"yes","no"),IF(I55-H55&lt;=3,"yes (thickness)","no (thickness)"))))</f>
        <v/>
      </c>
      <c r="K55" s="6">
        <f>SUMIFS(Elements!$M$2:$M$862,Elements!$B$2:$B$862,$A55,Elements!$D$2:$D$862,$B55,Elements!$E$2:$E$862,$C55,Elements!$F$2:$F$862,$D55)</f>
        <v/>
      </c>
      <c r="L55" s="6">
        <f>SUMIFS(Elements!$L$2:$L$862,Elements!$B$2:$B$862,$A55,Elements!$D$2:$D$862,$B55,Elements!$E$2:$E$862,$C55,Elements!$F$2:$F$862,$D55)</f>
        <v/>
      </c>
      <c r="M55" s="2" t="inlineStr">
        <is>
          <t>solid fill; 40-120 x 25-50 cm; L/W 1.60-4.00; inside a footing outline 37%; on a raft 63%; touching a hatched core wall 26%; in a strip-footing band 0%; at a grade-beam junction 26%</t>
        </is>
      </c>
    </row>
    <row r="56">
      <c r="A56" s="5" t="inlineStr">
        <is>
          <t>122</t>
        </is>
      </c>
      <c r="B56" s="5" t="inlineStr">
        <is>
          <t>footing</t>
        </is>
      </c>
      <c r="C56" s="5" t="inlineStr">
        <is>
          <t>combined_footing</t>
        </is>
      </c>
      <c r="D56" s="5" t="inlineStr">
        <is>
          <t>SC1</t>
        </is>
      </c>
      <c r="E56" s="5">
        <f>COUNTIFS(Elements!$B$2:$B$862,$A56,Elements!$D$2:$D$862,$B56,Elements!$E$2:$E$862,$C56,Elements!$F$2:$F$862,$D56)</f>
        <v/>
      </c>
      <c r="F56" s="5">
        <f>IFERROR(_xlfn.MINIFS(Elements!$I$2:$I$862,Elements!$B$2:$B$862,$A56,Elements!$D$2:$D$862,$B56,Elements!$E$2:$E$862,$C56,Elements!$F$2:$F$862,$D56),"")</f>
        <v/>
      </c>
      <c r="G56" s="5">
        <f>IFERROR(_xlfn.MAXIFS(Elements!$I$2:$I$862,Elements!$B$2:$B$862,$A56,Elements!$D$2:$D$862,$B56,Elements!$E$2:$E$862,$C56,Elements!$F$2:$F$862,$D56),"")</f>
        <v/>
      </c>
      <c r="H56" s="5">
        <f>IFERROR(_xlfn.MINIFS(Elements!$J$2:$J$862,Elements!$B$2:$B$862,$A56,Elements!$D$2:$D$862,$B56,Elements!$E$2:$E$862,$C56,Elements!$F$2:$F$862,$D56),"")</f>
        <v/>
      </c>
      <c r="I56" s="5">
        <f>IFERROR(_xlfn.MAXIFS(Elements!$J$2:$J$862,Elements!$B$2:$B$862,$A56,Elements!$D$2:$D$862,$B56,Elements!$E$2:$E$862,$C56,Elements!$F$2:$F$862,$D56),"")</f>
        <v/>
      </c>
      <c r="J56" s="5">
        <f>IF(OR(F56="",H56=""),"",IF(OR(B56="raft",B56="sump_pit",B56="crane_foundation",D56="(none)"),"n/a",IF(OR(B56="column",B56="footing",B56="mass_concrete_pad",AND(B56="wall",C56="shear_wall",D56&lt;&gt;"(none)")),IF(AND(G56-F56&lt;=3,I56-H56&lt;=3),"yes","no"),IF(I56-H56&lt;=3,"yes (thickness)","no (thickness)"))))</f>
        <v/>
      </c>
      <c r="K56" s="6">
        <f>SUMIFS(Elements!$M$2:$M$862,Elements!$B$2:$B$862,$A56,Elements!$D$2:$D$862,$B56,Elements!$E$2:$E$862,$C56,Elements!$F$2:$F$862,$D56)</f>
        <v/>
      </c>
      <c r="L56" s="6">
        <f>SUMIFS(Elements!$L$2:$L$862,Elements!$B$2:$B$862,$A56,Elements!$D$2:$D$862,$B56,Elements!$E$2:$E$862,$C56,Elements!$F$2:$F$862,$D56)</f>
        <v/>
      </c>
      <c r="M56" s="2" t="inlineStr">
        <is>
          <t>closed outline; 350-600 x 200-450 cm; carries wall+wall (24), column+wall (3), wall+wall+wall+wall (1); grade beam crossing it 93%</t>
        </is>
      </c>
    </row>
    <row r="57">
      <c r="A57" s="5" t="inlineStr">
        <is>
          <t>122</t>
        </is>
      </c>
      <c r="B57" s="5" t="inlineStr">
        <is>
          <t>footing</t>
        </is>
      </c>
      <c r="C57" s="5" t="inlineStr">
        <is>
          <t>combined_footing</t>
        </is>
      </c>
      <c r="D57" s="5" t="inlineStr">
        <is>
          <t>SC2</t>
        </is>
      </c>
      <c r="E57" s="5">
        <f>COUNTIFS(Elements!$B$2:$B$862,$A57,Elements!$D$2:$D$862,$B57,Elements!$E$2:$E$862,$C57,Elements!$F$2:$F$862,$D57)</f>
        <v/>
      </c>
      <c r="F57" s="5">
        <f>IFERROR(_xlfn.MINIFS(Elements!$I$2:$I$862,Elements!$B$2:$B$862,$A57,Elements!$D$2:$D$862,$B57,Elements!$E$2:$E$862,$C57,Elements!$F$2:$F$862,$D57),"")</f>
        <v/>
      </c>
      <c r="G57" s="5">
        <f>IFERROR(_xlfn.MAXIFS(Elements!$I$2:$I$862,Elements!$B$2:$B$862,$A57,Elements!$D$2:$D$862,$B57,Elements!$E$2:$E$862,$C57,Elements!$F$2:$F$862,$D57),"")</f>
        <v/>
      </c>
      <c r="H57" s="5">
        <f>IFERROR(_xlfn.MINIFS(Elements!$J$2:$J$862,Elements!$B$2:$B$862,$A57,Elements!$D$2:$D$862,$B57,Elements!$E$2:$E$862,$C57,Elements!$F$2:$F$862,$D57),"")</f>
        <v/>
      </c>
      <c r="I57" s="5">
        <f>IFERROR(_xlfn.MAXIFS(Elements!$J$2:$J$862,Elements!$B$2:$B$862,$A57,Elements!$D$2:$D$862,$B57,Elements!$E$2:$E$862,$C57,Elements!$F$2:$F$862,$D57),"")</f>
        <v/>
      </c>
      <c r="J57" s="5">
        <f>IF(OR(F57="",H57=""),"",IF(OR(B57="raft",B57="sump_pit",B57="crane_foundation",D57="(none)"),"n/a",IF(OR(B57="column",B57="footing",B57="mass_concrete_pad",AND(B57="wall",C57="shear_wall",D57&lt;&gt;"(none)")),IF(AND(G57-F57&lt;=3,I57-H57&lt;=3),"yes","no"),IF(I57-H57&lt;=3,"yes (thickness)","no (thickness)"))))</f>
        <v/>
      </c>
      <c r="K57" s="6">
        <f>SUMIFS(Elements!$M$2:$M$862,Elements!$B$2:$B$862,$A57,Elements!$D$2:$D$862,$B57,Elements!$E$2:$E$862,$C57,Elements!$F$2:$F$862,$D57)</f>
        <v/>
      </c>
      <c r="L57" s="6">
        <f>SUMIFS(Elements!$L$2:$L$862,Elements!$B$2:$B$862,$A57,Elements!$D$2:$D$862,$B57,Elements!$E$2:$E$862,$C57,Elements!$F$2:$F$862,$D57)</f>
        <v/>
      </c>
      <c r="M57" s="2" t="inlineStr">
        <is>
          <t>closed outline; 350-600 x 200-450 cm; carries wall+wall (24), column+wall (3), wall+wall+wall+wall (1); grade beam crossing it 93%</t>
        </is>
      </c>
    </row>
    <row r="58">
      <c r="A58" s="5" t="inlineStr">
        <is>
          <t>122</t>
        </is>
      </c>
      <c r="B58" s="5" t="inlineStr">
        <is>
          <t>footing</t>
        </is>
      </c>
      <c r="C58" s="5" t="inlineStr">
        <is>
          <t>combined_footing</t>
        </is>
      </c>
      <c r="D58" s="5" t="inlineStr">
        <is>
          <t>SC3</t>
        </is>
      </c>
      <c r="E58" s="5">
        <f>COUNTIFS(Elements!$B$2:$B$862,$A58,Elements!$D$2:$D$862,$B58,Elements!$E$2:$E$862,$C58,Elements!$F$2:$F$862,$D58)</f>
        <v/>
      </c>
      <c r="F58" s="5">
        <f>IFERROR(_xlfn.MINIFS(Elements!$I$2:$I$862,Elements!$B$2:$B$862,$A58,Elements!$D$2:$D$862,$B58,Elements!$E$2:$E$862,$C58,Elements!$F$2:$F$862,$D58),"")</f>
        <v/>
      </c>
      <c r="G58" s="5">
        <f>IFERROR(_xlfn.MAXIFS(Elements!$I$2:$I$862,Elements!$B$2:$B$862,$A58,Elements!$D$2:$D$862,$B58,Elements!$E$2:$E$862,$C58,Elements!$F$2:$F$862,$D58),"")</f>
        <v/>
      </c>
      <c r="H58" s="5">
        <f>IFERROR(_xlfn.MINIFS(Elements!$J$2:$J$862,Elements!$B$2:$B$862,$A58,Elements!$D$2:$D$862,$B58,Elements!$E$2:$E$862,$C58,Elements!$F$2:$F$862,$D58),"")</f>
        <v/>
      </c>
      <c r="I58" s="5">
        <f>IFERROR(_xlfn.MAXIFS(Elements!$J$2:$J$862,Elements!$B$2:$B$862,$A58,Elements!$D$2:$D$862,$B58,Elements!$E$2:$E$862,$C58,Elements!$F$2:$F$862,$D58),"")</f>
        <v/>
      </c>
      <c r="J58" s="5">
        <f>IF(OR(F58="",H58=""),"",IF(OR(B58="raft",B58="sump_pit",B58="crane_foundation",D58="(none)"),"n/a",IF(OR(B58="column",B58="footing",B58="mass_concrete_pad",AND(B58="wall",C58="shear_wall",D58&lt;&gt;"(none)")),IF(AND(G58-F58&lt;=3,I58-H58&lt;=3),"yes","no"),IF(I58-H58&lt;=3,"yes (thickness)","no (thickness)"))))</f>
        <v/>
      </c>
      <c r="K58" s="6">
        <f>SUMIFS(Elements!$M$2:$M$862,Elements!$B$2:$B$862,$A58,Elements!$D$2:$D$862,$B58,Elements!$E$2:$E$862,$C58,Elements!$F$2:$F$862,$D58)</f>
        <v/>
      </c>
      <c r="L58" s="6">
        <f>SUMIFS(Elements!$L$2:$L$862,Elements!$B$2:$B$862,$A58,Elements!$D$2:$D$862,$B58,Elements!$E$2:$E$862,$C58,Elements!$F$2:$F$862,$D58)</f>
        <v/>
      </c>
      <c r="M58" s="2" t="inlineStr">
        <is>
          <t>closed outline; 350-600 x 200-450 cm; carries wall+wall (24), column+wall (3), wall+wall+wall+wall (1); grade beam crossing it 93%</t>
        </is>
      </c>
    </row>
    <row r="59">
      <c r="A59" s="5" t="inlineStr">
        <is>
          <t>122</t>
        </is>
      </c>
      <c r="B59" s="5" t="inlineStr">
        <is>
          <t>footing</t>
        </is>
      </c>
      <c r="C59" s="5" t="inlineStr">
        <is>
          <t>isolated_footing</t>
        </is>
      </c>
      <c r="D59" s="5" t="inlineStr">
        <is>
          <t>(none)</t>
        </is>
      </c>
      <c r="E59" s="5">
        <f>COUNTIFS(Elements!$B$2:$B$862,$A59,Elements!$D$2:$D$862,$B59,Elements!$E$2:$E$862,$C59,Elements!$F$2:$F$862,$D59)</f>
        <v/>
      </c>
      <c r="F59" s="5">
        <f>IFERROR(_xlfn.MINIFS(Elements!$I$2:$I$862,Elements!$B$2:$B$862,$A59,Elements!$D$2:$D$862,$B59,Elements!$E$2:$E$862,$C59,Elements!$F$2:$F$862,$D59),"")</f>
        <v/>
      </c>
      <c r="G59" s="5">
        <f>IFERROR(_xlfn.MAXIFS(Elements!$I$2:$I$862,Elements!$B$2:$B$862,$A59,Elements!$D$2:$D$862,$B59,Elements!$E$2:$E$862,$C59,Elements!$F$2:$F$862,$D59),"")</f>
        <v/>
      </c>
      <c r="H59" s="5">
        <f>IFERROR(_xlfn.MINIFS(Elements!$J$2:$J$862,Elements!$B$2:$B$862,$A59,Elements!$D$2:$D$862,$B59,Elements!$E$2:$E$862,$C59,Elements!$F$2:$F$862,$D59),"")</f>
        <v/>
      </c>
      <c r="I59" s="5">
        <f>IFERROR(_xlfn.MAXIFS(Elements!$J$2:$J$862,Elements!$B$2:$B$862,$A59,Elements!$D$2:$D$862,$B59,Elements!$E$2:$E$862,$C59,Elements!$F$2:$F$862,$D59),"")</f>
        <v/>
      </c>
      <c r="J59" s="5">
        <f>IF(OR(F59="",H59=""),"",IF(OR(B59="raft",B59="sump_pit",B59="crane_foundation",D59="(none)"),"n/a",IF(OR(B59="column",B59="footing",B59="mass_concrete_pad",AND(B59="wall",C59="shear_wall",D59&lt;&gt;"(none)")),IF(AND(G59-F59&lt;=3,I59-H59&lt;=3),"yes","no"),IF(I59-H59&lt;=3,"yes (thickness)","no (thickness)"))))</f>
        <v/>
      </c>
      <c r="K59" s="6">
        <f>SUMIFS(Elements!$M$2:$M$862,Elements!$B$2:$B$862,$A59,Elements!$D$2:$D$862,$B59,Elements!$E$2:$E$862,$C59,Elements!$F$2:$F$862,$D59)</f>
        <v/>
      </c>
      <c r="L59" s="6">
        <f>SUMIFS(Elements!$L$2:$L$862,Elements!$B$2:$B$862,$A59,Elements!$D$2:$D$862,$B59,Elements!$E$2:$E$862,$C59,Elements!$F$2:$F$862,$D59)</f>
        <v/>
      </c>
      <c r="M59" s="2" t="inlineStr">
        <is>
          <t>closed outline; 150-600 x 150-450 cm; carries wall (64), column (9), wall+wall (1); grade beam crossing it 95%</t>
        </is>
      </c>
    </row>
    <row r="60">
      <c r="A60" s="5" t="inlineStr">
        <is>
          <t>122</t>
        </is>
      </c>
      <c r="B60" s="5" t="inlineStr">
        <is>
          <t>footing</t>
        </is>
      </c>
      <c r="C60" s="5" t="inlineStr">
        <is>
          <t>isolated_footing</t>
        </is>
      </c>
      <c r="D60" s="5" t="inlineStr">
        <is>
          <t>S10</t>
        </is>
      </c>
      <c r="E60" s="5">
        <f>COUNTIFS(Elements!$B$2:$B$862,$A60,Elements!$D$2:$D$862,$B60,Elements!$E$2:$E$862,$C60,Elements!$F$2:$F$862,$D60)</f>
        <v/>
      </c>
      <c r="F60" s="5">
        <f>IFERROR(_xlfn.MINIFS(Elements!$I$2:$I$862,Elements!$B$2:$B$862,$A60,Elements!$D$2:$D$862,$B60,Elements!$E$2:$E$862,$C60,Elements!$F$2:$F$862,$D60),"")</f>
        <v/>
      </c>
      <c r="G60" s="5">
        <f>IFERROR(_xlfn.MAXIFS(Elements!$I$2:$I$862,Elements!$B$2:$B$862,$A60,Elements!$D$2:$D$862,$B60,Elements!$E$2:$E$862,$C60,Elements!$F$2:$F$862,$D60),"")</f>
        <v/>
      </c>
      <c r="H60" s="5">
        <f>IFERROR(_xlfn.MINIFS(Elements!$J$2:$J$862,Elements!$B$2:$B$862,$A60,Elements!$D$2:$D$862,$B60,Elements!$E$2:$E$862,$C60,Elements!$F$2:$F$862,$D60),"")</f>
        <v/>
      </c>
      <c r="I60" s="5">
        <f>IFERROR(_xlfn.MAXIFS(Elements!$J$2:$J$862,Elements!$B$2:$B$862,$A60,Elements!$D$2:$D$862,$B60,Elements!$E$2:$E$862,$C60,Elements!$F$2:$F$862,$D60),"")</f>
        <v/>
      </c>
      <c r="J60" s="5">
        <f>IF(OR(F60="",H60=""),"",IF(OR(B60="raft",B60="sump_pit",B60="crane_foundation",D60="(none)"),"n/a",IF(OR(B60="column",B60="footing",B60="mass_concrete_pad",AND(B60="wall",C60="shear_wall",D60&lt;&gt;"(none)")),IF(AND(G60-F60&lt;=3,I60-H60&lt;=3),"yes","no"),IF(I60-H60&lt;=3,"yes (thickness)","no (thickness)"))))</f>
        <v/>
      </c>
      <c r="K60" s="6">
        <f>SUMIFS(Elements!$M$2:$M$862,Elements!$B$2:$B$862,$A60,Elements!$D$2:$D$862,$B60,Elements!$E$2:$E$862,$C60,Elements!$F$2:$F$862,$D60)</f>
        <v/>
      </c>
      <c r="L60" s="6">
        <f>SUMIFS(Elements!$L$2:$L$862,Elements!$B$2:$B$862,$A60,Elements!$D$2:$D$862,$B60,Elements!$E$2:$E$862,$C60,Elements!$F$2:$F$862,$D60)</f>
        <v/>
      </c>
      <c r="M60" s="2" t="inlineStr">
        <is>
          <t>closed outline; 150-600 x 150-450 cm; carries wall (64), column (9), wall+wall (1); grade beam crossing it 95%</t>
        </is>
      </c>
    </row>
    <row r="61">
      <c r="A61" s="5" t="inlineStr">
        <is>
          <t>122</t>
        </is>
      </c>
      <c r="B61" s="5" t="inlineStr">
        <is>
          <t>footing</t>
        </is>
      </c>
      <c r="C61" s="5" t="inlineStr">
        <is>
          <t>isolated_footing</t>
        </is>
      </c>
      <c r="D61" s="5" t="inlineStr">
        <is>
          <t>S11</t>
        </is>
      </c>
      <c r="E61" s="5">
        <f>COUNTIFS(Elements!$B$2:$B$862,$A61,Elements!$D$2:$D$862,$B61,Elements!$E$2:$E$862,$C61,Elements!$F$2:$F$862,$D61)</f>
        <v/>
      </c>
      <c r="F61" s="5">
        <f>IFERROR(_xlfn.MINIFS(Elements!$I$2:$I$862,Elements!$B$2:$B$862,$A61,Elements!$D$2:$D$862,$B61,Elements!$E$2:$E$862,$C61,Elements!$F$2:$F$862,$D61),"")</f>
        <v/>
      </c>
      <c r="G61" s="5">
        <f>IFERROR(_xlfn.MAXIFS(Elements!$I$2:$I$862,Elements!$B$2:$B$862,$A61,Elements!$D$2:$D$862,$B61,Elements!$E$2:$E$862,$C61,Elements!$F$2:$F$862,$D61),"")</f>
        <v/>
      </c>
      <c r="H61" s="5">
        <f>IFERROR(_xlfn.MINIFS(Elements!$J$2:$J$862,Elements!$B$2:$B$862,$A61,Elements!$D$2:$D$862,$B61,Elements!$E$2:$E$862,$C61,Elements!$F$2:$F$862,$D61),"")</f>
        <v/>
      </c>
      <c r="I61" s="5">
        <f>IFERROR(_xlfn.MAXIFS(Elements!$J$2:$J$862,Elements!$B$2:$B$862,$A61,Elements!$D$2:$D$862,$B61,Elements!$E$2:$E$862,$C61,Elements!$F$2:$F$862,$D61),"")</f>
        <v/>
      </c>
      <c r="J61" s="5">
        <f>IF(OR(F61="",H61=""),"",IF(OR(B61="raft",B61="sump_pit",B61="crane_foundation",D61="(none)"),"n/a",IF(OR(B61="column",B61="footing",B61="mass_concrete_pad",AND(B61="wall",C61="shear_wall",D61&lt;&gt;"(none)")),IF(AND(G61-F61&lt;=3,I61-H61&lt;=3),"yes","no"),IF(I61-H61&lt;=3,"yes (thickness)","no (thickness)"))))</f>
        <v/>
      </c>
      <c r="K61" s="6">
        <f>SUMIFS(Elements!$M$2:$M$862,Elements!$B$2:$B$862,$A61,Elements!$D$2:$D$862,$B61,Elements!$E$2:$E$862,$C61,Elements!$F$2:$F$862,$D61)</f>
        <v/>
      </c>
      <c r="L61" s="6">
        <f>SUMIFS(Elements!$L$2:$L$862,Elements!$B$2:$B$862,$A61,Elements!$D$2:$D$862,$B61,Elements!$E$2:$E$862,$C61,Elements!$F$2:$F$862,$D61)</f>
        <v/>
      </c>
      <c r="M61" s="2" t="inlineStr">
        <is>
          <t>closed outline; 150-600 x 150-450 cm; carries wall (64), column (9), wall+wall (1); grade beam crossing it 95%</t>
        </is>
      </c>
    </row>
    <row r="62">
      <c r="A62" s="5" t="inlineStr">
        <is>
          <t>122</t>
        </is>
      </c>
      <c r="B62" s="5" t="inlineStr">
        <is>
          <t>footing</t>
        </is>
      </c>
      <c r="C62" s="5" t="inlineStr">
        <is>
          <t>isolated_footing</t>
        </is>
      </c>
      <c r="D62" s="5" t="inlineStr">
        <is>
          <t>S12</t>
        </is>
      </c>
      <c r="E62" s="5">
        <f>COUNTIFS(Elements!$B$2:$B$862,$A62,Elements!$D$2:$D$862,$B62,Elements!$E$2:$E$862,$C62,Elements!$F$2:$F$862,$D62)</f>
        <v/>
      </c>
      <c r="F62" s="5">
        <f>IFERROR(_xlfn.MINIFS(Elements!$I$2:$I$862,Elements!$B$2:$B$862,$A62,Elements!$D$2:$D$862,$B62,Elements!$E$2:$E$862,$C62,Elements!$F$2:$F$862,$D62),"")</f>
        <v/>
      </c>
      <c r="G62" s="5">
        <f>IFERROR(_xlfn.MAXIFS(Elements!$I$2:$I$862,Elements!$B$2:$B$862,$A62,Elements!$D$2:$D$862,$B62,Elements!$E$2:$E$862,$C62,Elements!$F$2:$F$862,$D62),"")</f>
        <v/>
      </c>
      <c r="H62" s="5">
        <f>IFERROR(_xlfn.MINIFS(Elements!$J$2:$J$862,Elements!$B$2:$B$862,$A62,Elements!$D$2:$D$862,$B62,Elements!$E$2:$E$862,$C62,Elements!$F$2:$F$862,$D62),"")</f>
        <v/>
      </c>
      <c r="I62" s="5">
        <f>IFERROR(_xlfn.MAXIFS(Elements!$J$2:$J$862,Elements!$B$2:$B$862,$A62,Elements!$D$2:$D$862,$B62,Elements!$E$2:$E$862,$C62,Elements!$F$2:$F$862,$D62),"")</f>
        <v/>
      </c>
      <c r="J62" s="5">
        <f>IF(OR(F62="",H62=""),"",IF(OR(B62="raft",B62="sump_pit",B62="crane_foundation",D62="(none)"),"n/a",IF(OR(B62="column",B62="footing",B62="mass_concrete_pad",AND(B62="wall",C62="shear_wall",D62&lt;&gt;"(none)")),IF(AND(G62-F62&lt;=3,I62-H62&lt;=3),"yes","no"),IF(I62-H62&lt;=3,"yes (thickness)","no (thickness)"))))</f>
        <v/>
      </c>
      <c r="K62" s="6">
        <f>SUMIFS(Elements!$M$2:$M$862,Elements!$B$2:$B$862,$A62,Elements!$D$2:$D$862,$B62,Elements!$E$2:$E$862,$C62,Elements!$F$2:$F$862,$D62)</f>
        <v/>
      </c>
      <c r="L62" s="6">
        <f>SUMIFS(Elements!$L$2:$L$862,Elements!$B$2:$B$862,$A62,Elements!$D$2:$D$862,$B62,Elements!$E$2:$E$862,$C62,Elements!$F$2:$F$862,$D62)</f>
        <v/>
      </c>
      <c r="M62" s="2" t="inlineStr">
        <is>
          <t>closed outline; 150-600 x 150-450 cm; carries wall (64), column (9), wall+wall (1); grade beam crossing it 95%</t>
        </is>
      </c>
    </row>
    <row r="63">
      <c r="A63" s="5" t="inlineStr">
        <is>
          <t>122</t>
        </is>
      </c>
      <c r="B63" s="5" t="inlineStr">
        <is>
          <t>footing</t>
        </is>
      </c>
      <c r="C63" s="5" t="inlineStr">
        <is>
          <t>isolated_footing</t>
        </is>
      </c>
      <c r="D63" s="5" t="inlineStr">
        <is>
          <t>S2</t>
        </is>
      </c>
      <c r="E63" s="5">
        <f>COUNTIFS(Elements!$B$2:$B$862,$A63,Elements!$D$2:$D$862,$B63,Elements!$E$2:$E$862,$C63,Elements!$F$2:$F$862,$D63)</f>
        <v/>
      </c>
      <c r="F63" s="5">
        <f>IFERROR(_xlfn.MINIFS(Elements!$I$2:$I$862,Elements!$B$2:$B$862,$A63,Elements!$D$2:$D$862,$B63,Elements!$E$2:$E$862,$C63,Elements!$F$2:$F$862,$D63),"")</f>
        <v/>
      </c>
      <c r="G63" s="5">
        <f>IFERROR(_xlfn.MAXIFS(Elements!$I$2:$I$862,Elements!$B$2:$B$862,$A63,Elements!$D$2:$D$862,$B63,Elements!$E$2:$E$862,$C63,Elements!$F$2:$F$862,$D63),"")</f>
        <v/>
      </c>
      <c r="H63" s="5">
        <f>IFERROR(_xlfn.MINIFS(Elements!$J$2:$J$862,Elements!$B$2:$B$862,$A63,Elements!$D$2:$D$862,$B63,Elements!$E$2:$E$862,$C63,Elements!$F$2:$F$862,$D63),"")</f>
        <v/>
      </c>
      <c r="I63" s="5">
        <f>IFERROR(_xlfn.MAXIFS(Elements!$J$2:$J$862,Elements!$B$2:$B$862,$A63,Elements!$D$2:$D$862,$B63,Elements!$E$2:$E$862,$C63,Elements!$F$2:$F$862,$D63),"")</f>
        <v/>
      </c>
      <c r="J63" s="5">
        <f>IF(OR(F63="",H63=""),"",IF(OR(B63="raft",B63="sump_pit",B63="crane_foundation",D63="(none)"),"n/a",IF(OR(B63="column",B63="footing",B63="mass_concrete_pad",AND(B63="wall",C63="shear_wall",D63&lt;&gt;"(none)")),IF(AND(G63-F63&lt;=3,I63-H63&lt;=3),"yes","no"),IF(I63-H63&lt;=3,"yes (thickness)","no (thickness)"))))</f>
        <v/>
      </c>
      <c r="K63" s="6">
        <f>SUMIFS(Elements!$M$2:$M$862,Elements!$B$2:$B$862,$A63,Elements!$D$2:$D$862,$B63,Elements!$E$2:$E$862,$C63,Elements!$F$2:$F$862,$D63)</f>
        <v/>
      </c>
      <c r="L63" s="6">
        <f>SUMIFS(Elements!$L$2:$L$862,Elements!$B$2:$B$862,$A63,Elements!$D$2:$D$862,$B63,Elements!$E$2:$E$862,$C63,Elements!$F$2:$F$862,$D63)</f>
        <v/>
      </c>
      <c r="M63" s="2" t="inlineStr">
        <is>
          <t>closed outline; 150-600 x 150-450 cm; carries wall (64), column (9), wall+wall (1); grade beam crossing it 95%</t>
        </is>
      </c>
    </row>
    <row r="64">
      <c r="A64" s="5" t="inlineStr">
        <is>
          <t>122</t>
        </is>
      </c>
      <c r="B64" s="5" t="inlineStr">
        <is>
          <t>grade_beam</t>
        </is>
      </c>
      <c r="C64" s="5" t="inlineStr">
        <is>
          <t>grade_beam</t>
        </is>
      </c>
      <c r="D64" s="5" t="inlineStr">
        <is>
          <t>LG25x40</t>
        </is>
      </c>
      <c r="E64" s="5">
        <f>COUNTIFS(Elements!$B$2:$B$862,$A64,Elements!$D$2:$D$862,$B64,Elements!$E$2:$E$862,$C64,Elements!$F$2:$F$862,$D64)</f>
        <v/>
      </c>
      <c r="F64" s="5">
        <f>IFERROR(_xlfn.MINIFS(Elements!$I$2:$I$862,Elements!$B$2:$B$862,$A64,Elements!$D$2:$D$862,$B64,Elements!$E$2:$E$862,$C64,Elements!$F$2:$F$862,$D64),"")</f>
        <v/>
      </c>
      <c r="G64" s="5">
        <f>IFERROR(_xlfn.MAXIFS(Elements!$I$2:$I$862,Elements!$B$2:$B$862,$A64,Elements!$D$2:$D$862,$B64,Elements!$E$2:$E$862,$C64,Elements!$F$2:$F$862,$D64),"")</f>
        <v/>
      </c>
      <c r="H64" s="5">
        <f>IFERROR(_xlfn.MINIFS(Elements!$J$2:$J$862,Elements!$B$2:$B$862,$A64,Elements!$D$2:$D$862,$B64,Elements!$E$2:$E$862,$C64,Elements!$F$2:$F$862,$D64),"")</f>
        <v/>
      </c>
      <c r="I64" s="5">
        <f>IFERROR(_xlfn.MAXIFS(Elements!$J$2:$J$862,Elements!$B$2:$B$862,$A64,Elements!$D$2:$D$862,$B64,Elements!$E$2:$E$862,$C64,Elements!$F$2:$F$862,$D64),"")</f>
        <v/>
      </c>
      <c r="J64" s="5">
        <f>IF(OR(F64="",H64=""),"",IF(OR(B64="raft",B64="sump_pit",B64="crane_foundation",D64="(none)"),"n/a",IF(OR(B64="column",B64="footing",B64="mass_concrete_pad",AND(B64="wall",C64="shear_wall",D64&lt;&gt;"(none)")),IF(AND(G64-F64&lt;=3,I64-H64&lt;=3),"yes","no"),IF(I64-H64&lt;=3,"yes (thickness)","no (thickness)"))))</f>
        <v/>
      </c>
      <c r="K64" s="6">
        <f>SUMIFS(Elements!$M$2:$M$862,Elements!$B$2:$B$862,$A64,Elements!$D$2:$D$862,$B64,Elements!$E$2:$E$862,$C64,Elements!$F$2:$F$862,$D64)</f>
        <v/>
      </c>
      <c r="L64" s="6">
        <f>SUMIFS(Elements!$L$2:$L$862,Elements!$B$2:$B$862,$A64,Elements!$D$2:$D$862,$B64,Elements!$E$2:$E$862,$C64,Elements!$F$2:$F$862,$D64)</f>
        <v/>
      </c>
      <c r="M64" s="2" t="inlineStr">
        <is>
          <t>parallel line pair; 30-2249 x 25-40 cm; width stated in its label</t>
        </is>
      </c>
    </row>
    <row r="65">
      <c r="A65" s="5" t="inlineStr">
        <is>
          <t>122</t>
        </is>
      </c>
      <c r="B65" s="5" t="inlineStr">
        <is>
          <t>grade_beam</t>
        </is>
      </c>
      <c r="C65" s="5" t="inlineStr">
        <is>
          <t>grade_beam</t>
        </is>
      </c>
      <c r="D65" s="5" t="inlineStr">
        <is>
          <t>LG40x15</t>
        </is>
      </c>
      <c r="E65" s="5">
        <f>COUNTIFS(Elements!$B$2:$B$862,$A65,Elements!$D$2:$D$862,$B65,Elements!$E$2:$E$862,$C65,Elements!$F$2:$F$862,$D65)</f>
        <v/>
      </c>
      <c r="F65" s="5">
        <f>IFERROR(_xlfn.MINIFS(Elements!$I$2:$I$862,Elements!$B$2:$B$862,$A65,Elements!$D$2:$D$862,$B65,Elements!$E$2:$E$862,$C65,Elements!$F$2:$F$862,$D65),"")</f>
        <v/>
      </c>
      <c r="G65" s="5">
        <f>IFERROR(_xlfn.MAXIFS(Elements!$I$2:$I$862,Elements!$B$2:$B$862,$A65,Elements!$D$2:$D$862,$B65,Elements!$E$2:$E$862,$C65,Elements!$F$2:$F$862,$D65),"")</f>
        <v/>
      </c>
      <c r="H65" s="5">
        <f>IFERROR(_xlfn.MINIFS(Elements!$J$2:$J$862,Elements!$B$2:$B$862,$A65,Elements!$D$2:$D$862,$B65,Elements!$E$2:$E$862,$C65,Elements!$F$2:$F$862,$D65),"")</f>
        <v/>
      </c>
      <c r="I65" s="5">
        <f>IFERROR(_xlfn.MAXIFS(Elements!$J$2:$J$862,Elements!$B$2:$B$862,$A65,Elements!$D$2:$D$862,$B65,Elements!$E$2:$E$862,$C65,Elements!$F$2:$F$862,$D65),"")</f>
        <v/>
      </c>
      <c r="J65" s="5">
        <f>IF(OR(F65="",H65=""),"",IF(OR(B65="raft",B65="sump_pit",B65="crane_foundation",D65="(none)"),"n/a",IF(OR(B65="column",B65="footing",B65="mass_concrete_pad",AND(B65="wall",C65="shear_wall",D65&lt;&gt;"(none)")),IF(AND(G65-F65&lt;=3,I65-H65&lt;=3),"yes","no"),IF(I65-H65&lt;=3,"yes (thickness)","no (thickness)"))))</f>
        <v/>
      </c>
      <c r="K65" s="6">
        <f>SUMIFS(Elements!$M$2:$M$862,Elements!$B$2:$B$862,$A65,Elements!$D$2:$D$862,$B65,Elements!$E$2:$E$862,$C65,Elements!$F$2:$F$862,$D65)</f>
        <v/>
      </c>
      <c r="L65" s="6">
        <f>SUMIFS(Elements!$L$2:$L$862,Elements!$B$2:$B$862,$A65,Elements!$D$2:$D$862,$B65,Elements!$E$2:$E$862,$C65,Elements!$F$2:$F$862,$D65)</f>
        <v/>
      </c>
      <c r="M65" s="2" t="inlineStr">
        <is>
          <t>parallel line pair; 30-2249 x 25-40 cm; width stated in its label</t>
        </is>
      </c>
    </row>
    <row r="66">
      <c r="A66" s="5" t="inlineStr">
        <is>
          <t>122</t>
        </is>
      </c>
      <c r="B66" s="5" t="inlineStr">
        <is>
          <t>mass_concrete_pad</t>
        </is>
      </c>
      <c r="C66" s="5" t="inlineStr">
        <is>
          <t>mass_concrete_pad</t>
        </is>
      </c>
      <c r="D66" s="5" t="inlineStr">
        <is>
          <t>(none)</t>
        </is>
      </c>
      <c r="E66" s="5">
        <f>COUNTIFS(Elements!$B$2:$B$862,$A66,Elements!$D$2:$D$862,$B66,Elements!$E$2:$E$862,$C66,Elements!$F$2:$F$862,$D66)</f>
        <v/>
      </c>
      <c r="F66" s="5">
        <f>IFERROR(_xlfn.MINIFS(Elements!$I$2:$I$862,Elements!$B$2:$B$862,$A66,Elements!$D$2:$D$862,$B66,Elements!$E$2:$E$862,$C66,Elements!$F$2:$F$862,$D66),"")</f>
        <v/>
      </c>
      <c r="G66" s="5">
        <f>IFERROR(_xlfn.MAXIFS(Elements!$I$2:$I$862,Elements!$B$2:$B$862,$A66,Elements!$D$2:$D$862,$B66,Elements!$E$2:$E$862,$C66,Elements!$F$2:$F$862,$D66),"")</f>
        <v/>
      </c>
      <c r="H66" s="5">
        <f>IFERROR(_xlfn.MINIFS(Elements!$J$2:$J$862,Elements!$B$2:$B$862,$A66,Elements!$D$2:$D$862,$B66,Elements!$E$2:$E$862,$C66,Elements!$F$2:$F$862,$D66),"")</f>
        <v/>
      </c>
      <c r="I66" s="5">
        <f>IFERROR(_xlfn.MAXIFS(Elements!$J$2:$J$862,Elements!$B$2:$B$862,$A66,Elements!$D$2:$D$862,$B66,Elements!$E$2:$E$862,$C66,Elements!$F$2:$F$862,$D66),"")</f>
        <v/>
      </c>
      <c r="J66" s="5">
        <f>IF(OR(F66="",H66=""),"",IF(OR(B66="raft",B66="sump_pit",B66="crane_foundation",D66="(none)"),"n/a",IF(OR(B66="column",B66="footing",B66="mass_concrete_pad",AND(B66="wall",C66="shear_wall",D66&lt;&gt;"(none)")),IF(AND(G66-F66&lt;=3,I66-H66&lt;=3),"yes","no"),IF(I66-H66&lt;=3,"yes (thickness)","no (thickness)"))))</f>
        <v/>
      </c>
      <c r="K66" s="6">
        <f>SUMIFS(Elements!$M$2:$M$862,Elements!$B$2:$B$862,$A66,Elements!$D$2:$D$862,$B66,Elements!$E$2:$E$862,$C66,Elements!$F$2:$F$862,$D66)</f>
        <v/>
      </c>
      <c r="L66" s="6">
        <f>SUMIFS(Elements!$L$2:$L$862,Elements!$B$2:$B$862,$A66,Elements!$D$2:$D$862,$B66,Elements!$E$2:$E$862,$C66,Elements!$F$2:$F$862,$D66)</f>
        <v/>
      </c>
      <c r="M66" s="2" t="inlineStr">
        <is>
          <t>closed outline + stipple; 60-60 x 60-60 cm; 47-91 stipple dots inside; on a grade beam 100%; at a grade-beam junction 62%</t>
        </is>
      </c>
    </row>
    <row r="67">
      <c r="A67" s="5" t="inlineStr">
        <is>
          <t>122</t>
        </is>
      </c>
      <c r="B67" s="5" t="inlineStr">
        <is>
          <t>raft</t>
        </is>
      </c>
      <c r="C67" s="5" t="inlineStr">
        <is>
          <t>raft</t>
        </is>
      </c>
      <c r="D67" s="5" t="inlineStr">
        <is>
          <t>Radier 100</t>
        </is>
      </c>
      <c r="E67" s="5">
        <f>COUNTIFS(Elements!$B$2:$B$862,$A67,Elements!$D$2:$D$862,$B67,Elements!$E$2:$E$862,$C67,Elements!$F$2:$F$862,$D67)</f>
        <v/>
      </c>
      <c r="F67" s="5">
        <f>IFERROR(_xlfn.MINIFS(Elements!$I$2:$I$862,Elements!$B$2:$B$862,$A67,Elements!$D$2:$D$862,$B67,Elements!$E$2:$E$862,$C67,Elements!$F$2:$F$862,$D67),"")</f>
        <v/>
      </c>
      <c r="G67" s="5">
        <f>IFERROR(_xlfn.MAXIFS(Elements!$I$2:$I$862,Elements!$B$2:$B$862,$A67,Elements!$D$2:$D$862,$B67,Elements!$E$2:$E$862,$C67,Elements!$F$2:$F$862,$D67),"")</f>
        <v/>
      </c>
      <c r="H67" s="5">
        <f>IFERROR(_xlfn.MINIFS(Elements!$J$2:$J$862,Elements!$B$2:$B$862,$A67,Elements!$D$2:$D$862,$B67,Elements!$E$2:$E$862,$C67,Elements!$F$2:$F$862,$D67),"")</f>
        <v/>
      </c>
      <c r="I67" s="5">
        <f>IFERROR(_xlfn.MAXIFS(Elements!$J$2:$J$862,Elements!$B$2:$B$862,$A67,Elements!$D$2:$D$862,$B67,Elements!$E$2:$E$862,$C67,Elements!$F$2:$F$862,$D67),"")</f>
        <v/>
      </c>
      <c r="J67" s="5">
        <f>IF(OR(F67="",H67=""),"",IF(OR(B67="raft",B67="sump_pit",B67="crane_foundation",D67="(none)"),"n/a",IF(OR(B67="column",B67="footing",B67="mass_concrete_pad",AND(B67="wall",C67="shear_wall",D67&lt;&gt;"(none)")),IF(AND(G67-F67&lt;=3,I67-H67&lt;=3),"yes","no"),IF(I67-H67&lt;=3,"yes (thickness)","no (thickness)"))))</f>
        <v/>
      </c>
      <c r="K67" s="6">
        <f>SUMIFS(Elements!$M$2:$M$862,Elements!$B$2:$B$862,$A67,Elements!$D$2:$D$862,$B67,Elements!$E$2:$E$862,$C67,Elements!$F$2:$F$862,$D67)</f>
        <v/>
      </c>
      <c r="L67" s="6">
        <f>SUMIFS(Elements!$L$2:$L$862,Elements!$B$2:$B$862,$A67,Elements!$D$2:$D$862,$B67,Elements!$E$2:$E$862,$C67,Elements!$F$2:$F$862,$D67)</f>
        <v/>
      </c>
      <c r="M67" s="2" t="inlineStr">
        <is>
          <t>stamp + corner diagonals; 693-1971 x 450-1020 cm; circle stamp 'Radier' + thickness; diagonals from its corners to the stamp</t>
        </is>
      </c>
    </row>
    <row r="68">
      <c r="A68" s="5" t="inlineStr">
        <is>
          <t>122</t>
        </is>
      </c>
      <c r="B68" s="5" t="inlineStr">
        <is>
          <t>strip_footing</t>
        </is>
      </c>
      <c r="C68" s="5" t="inlineStr">
        <is>
          <t>strip_footing</t>
        </is>
      </c>
      <c r="D68" s="5" t="inlineStr">
        <is>
          <t>SF1</t>
        </is>
      </c>
      <c r="E68" s="5">
        <f>COUNTIFS(Elements!$B$2:$B$862,$A68,Elements!$D$2:$D$862,$B68,Elements!$E$2:$E$862,$C68,Elements!$F$2:$F$862,$D68)</f>
        <v/>
      </c>
      <c r="F68" s="5">
        <f>IFERROR(_xlfn.MINIFS(Elements!$I$2:$I$862,Elements!$B$2:$B$862,$A68,Elements!$D$2:$D$862,$B68,Elements!$E$2:$E$862,$C68,Elements!$F$2:$F$862,$D68),"")</f>
        <v/>
      </c>
      <c r="G68" s="5">
        <f>IFERROR(_xlfn.MAXIFS(Elements!$I$2:$I$862,Elements!$B$2:$B$862,$A68,Elements!$D$2:$D$862,$B68,Elements!$E$2:$E$862,$C68,Elements!$F$2:$F$862,$D68),"")</f>
        <v/>
      </c>
      <c r="H68" s="5">
        <f>IFERROR(_xlfn.MINIFS(Elements!$J$2:$J$862,Elements!$B$2:$B$862,$A68,Elements!$D$2:$D$862,$B68,Elements!$E$2:$E$862,$C68,Elements!$F$2:$F$862,$D68),"")</f>
        <v/>
      </c>
      <c r="I68" s="5">
        <f>IFERROR(_xlfn.MAXIFS(Elements!$J$2:$J$862,Elements!$B$2:$B$862,$A68,Elements!$D$2:$D$862,$B68,Elements!$E$2:$E$862,$C68,Elements!$F$2:$F$862,$D68),"")</f>
        <v/>
      </c>
      <c r="J68" s="5">
        <f>IF(OR(F68="",H68=""),"",IF(OR(B68="raft",B68="sump_pit",B68="crane_foundation",D68="(none)"),"n/a",IF(OR(B68="column",B68="footing",B68="mass_concrete_pad",AND(B68="wall",C68="shear_wall",D68&lt;&gt;"(none)")),IF(AND(G68-F68&lt;=3,I68-H68&lt;=3),"yes","no"),IF(I68-H68&lt;=3,"yes (thickness)","no (thickness)"))))</f>
        <v/>
      </c>
      <c r="K68" s="6">
        <f>SUMIFS(Elements!$M$2:$M$862,Elements!$B$2:$B$862,$A68,Elements!$D$2:$D$862,$B68,Elements!$E$2:$E$862,$C68,Elements!$F$2:$F$862,$D68)</f>
        <v/>
      </c>
      <c r="L68" s="6">
        <f>SUMIFS(Elements!$L$2:$L$862,Elements!$B$2:$B$862,$A68,Elements!$D$2:$D$862,$B68,Elements!$E$2:$E$862,$C68,Elements!$F$2:$F$862,$D68)</f>
        <v/>
      </c>
      <c r="M68" s="2" t="inlineStr">
        <is>
          <t>parallel line pair; 75-5798 x 80-120 cm; width stated in its label</t>
        </is>
      </c>
    </row>
    <row r="69">
      <c r="A69" s="5" t="inlineStr">
        <is>
          <t>122</t>
        </is>
      </c>
      <c r="B69" s="5" t="inlineStr">
        <is>
          <t>strip_footing</t>
        </is>
      </c>
      <c r="C69" s="5" t="inlineStr">
        <is>
          <t>strip_footing</t>
        </is>
      </c>
      <c r="D69" s="5" t="inlineStr">
        <is>
          <t>SF4</t>
        </is>
      </c>
      <c r="E69" s="5">
        <f>COUNTIFS(Elements!$B$2:$B$862,$A69,Elements!$D$2:$D$862,$B69,Elements!$E$2:$E$862,$C69,Elements!$F$2:$F$862,$D69)</f>
        <v/>
      </c>
      <c r="F69" s="5">
        <f>IFERROR(_xlfn.MINIFS(Elements!$I$2:$I$862,Elements!$B$2:$B$862,$A69,Elements!$D$2:$D$862,$B69,Elements!$E$2:$E$862,$C69,Elements!$F$2:$F$862,$D69),"")</f>
        <v/>
      </c>
      <c r="G69" s="5">
        <f>IFERROR(_xlfn.MAXIFS(Elements!$I$2:$I$862,Elements!$B$2:$B$862,$A69,Elements!$D$2:$D$862,$B69,Elements!$E$2:$E$862,$C69,Elements!$F$2:$F$862,$D69),"")</f>
        <v/>
      </c>
      <c r="H69" s="5">
        <f>IFERROR(_xlfn.MINIFS(Elements!$J$2:$J$862,Elements!$B$2:$B$862,$A69,Elements!$D$2:$D$862,$B69,Elements!$E$2:$E$862,$C69,Elements!$F$2:$F$862,$D69),"")</f>
        <v/>
      </c>
      <c r="I69" s="5">
        <f>IFERROR(_xlfn.MAXIFS(Elements!$J$2:$J$862,Elements!$B$2:$B$862,$A69,Elements!$D$2:$D$862,$B69,Elements!$E$2:$E$862,$C69,Elements!$F$2:$F$862,$D69),"")</f>
        <v/>
      </c>
      <c r="J69" s="5">
        <f>IF(OR(F69="",H69=""),"",IF(OR(B69="raft",B69="sump_pit",B69="crane_foundation",D69="(none)"),"n/a",IF(OR(B69="column",B69="footing",B69="mass_concrete_pad",AND(B69="wall",C69="shear_wall",D69&lt;&gt;"(none)")),IF(AND(G69-F69&lt;=3,I69-H69&lt;=3),"yes","no"),IF(I69-H69&lt;=3,"yes (thickness)","no (thickness)"))))</f>
        <v/>
      </c>
      <c r="K69" s="6">
        <f>SUMIFS(Elements!$M$2:$M$862,Elements!$B$2:$B$862,$A69,Elements!$D$2:$D$862,$B69,Elements!$E$2:$E$862,$C69,Elements!$F$2:$F$862,$D69)</f>
        <v/>
      </c>
      <c r="L69" s="6">
        <f>SUMIFS(Elements!$L$2:$L$862,Elements!$B$2:$B$862,$A69,Elements!$D$2:$D$862,$B69,Elements!$E$2:$E$862,$C69,Elements!$F$2:$F$862,$D69)</f>
        <v/>
      </c>
      <c r="M69" s="2" t="inlineStr">
        <is>
          <t>parallel line pair; 75-5798 x 80-120 cm; width stated in its label</t>
        </is>
      </c>
    </row>
    <row r="70">
      <c r="A70" s="5" t="inlineStr">
        <is>
          <t>122</t>
        </is>
      </c>
      <c r="B70" s="5" t="inlineStr">
        <is>
          <t>wall</t>
        </is>
      </c>
      <c r="C70" s="5" t="inlineStr">
        <is>
          <t>core_wall_hatched</t>
        </is>
      </c>
      <c r="D70" s="5" t="inlineStr">
        <is>
          <t>(none)</t>
        </is>
      </c>
      <c r="E70" s="5">
        <f>COUNTIFS(Elements!$B$2:$B$862,$A70,Elements!$D$2:$D$862,$B70,Elements!$E$2:$E$862,$C70,Elements!$F$2:$F$862,$D70)</f>
        <v/>
      </c>
      <c r="F70" s="5">
        <f>IFERROR(_xlfn.MINIFS(Elements!$I$2:$I$862,Elements!$B$2:$B$862,$A70,Elements!$D$2:$D$862,$B70,Elements!$E$2:$E$862,$C70,Elements!$F$2:$F$862,$D70),"")</f>
        <v/>
      </c>
      <c r="G70" s="5">
        <f>IFERROR(_xlfn.MAXIFS(Elements!$I$2:$I$862,Elements!$B$2:$B$862,$A70,Elements!$D$2:$D$862,$B70,Elements!$E$2:$E$862,$C70,Elements!$F$2:$F$862,$D70),"")</f>
        <v/>
      </c>
      <c r="H70" s="5">
        <f>IFERROR(_xlfn.MINIFS(Elements!$J$2:$J$862,Elements!$B$2:$B$862,$A70,Elements!$D$2:$D$862,$B70,Elements!$E$2:$E$862,$C70,Elements!$F$2:$F$862,$D70),"")</f>
        <v/>
      </c>
      <c r="I70" s="5">
        <f>IFERROR(_xlfn.MAXIFS(Elements!$J$2:$J$862,Elements!$B$2:$B$862,$A70,Elements!$D$2:$D$862,$B70,Elements!$E$2:$E$862,$C70,Elements!$F$2:$F$862,$D70),"")</f>
        <v/>
      </c>
      <c r="J70" s="5">
        <f>IF(OR(F70="",H70=""),"",IF(OR(B70="raft",B70="sump_pit",B70="crane_foundation",D70="(none)"),"n/a",IF(OR(B70="column",B70="footing",B70="mass_concrete_pad",AND(B70="wall",C70="shear_wall",D70&lt;&gt;"(none)")),IF(AND(G70-F70&lt;=3,I70-H70&lt;=3),"yes","no"),IF(I70-H70&lt;=3,"yes (thickness)","no (thickness)"))))</f>
        <v/>
      </c>
      <c r="K70" s="6">
        <f>SUMIFS(Elements!$M$2:$M$862,Elements!$B$2:$B$862,$A70,Elements!$D$2:$D$862,$B70,Elements!$E$2:$E$862,$C70,Elements!$F$2:$F$862,$D70)</f>
        <v/>
      </c>
      <c r="L70" s="6">
        <f>SUMIFS(Elements!$L$2:$L$862,Elements!$B$2:$B$862,$A70,Elements!$D$2:$D$862,$B70,Elements!$E$2:$E$862,$C70,Elements!$F$2:$F$862,$D70)</f>
        <v/>
      </c>
      <c r="M70" s="2" t="inlineStr">
        <is>
          <t>cross-hatch; 94-1044 x 20-25 cm; L/W 4.70-52.20; hatch strokes [0.24, 0.25, 0.28] m at +/-45 deg; thickness = local spread of stroke ends; on a raft 100%; no V label</t>
        </is>
      </c>
    </row>
    <row r="71">
      <c r="A71" s="5" t="inlineStr">
        <is>
          <t>122</t>
        </is>
      </c>
      <c r="B71" s="5" t="inlineStr">
        <is>
          <t>wall</t>
        </is>
      </c>
      <c r="C71" s="5" t="inlineStr">
        <is>
          <t>core_wall_solid</t>
        </is>
      </c>
      <c r="D71" s="5" t="inlineStr">
        <is>
          <t>(none)</t>
        </is>
      </c>
      <c r="E71" s="5">
        <f>COUNTIFS(Elements!$B$2:$B$862,$A71,Elements!$D$2:$D$862,$B71,Elements!$E$2:$E$862,$C71,Elements!$F$2:$F$862,$D71)</f>
        <v/>
      </c>
      <c r="F71" s="5">
        <f>IFERROR(_xlfn.MINIFS(Elements!$I$2:$I$862,Elements!$B$2:$B$862,$A71,Elements!$D$2:$D$862,$B71,Elements!$E$2:$E$862,$C71,Elements!$F$2:$F$862,$D71),"")</f>
        <v/>
      </c>
      <c r="G71" s="5">
        <f>IFERROR(_xlfn.MAXIFS(Elements!$I$2:$I$862,Elements!$B$2:$B$862,$A71,Elements!$D$2:$D$862,$B71,Elements!$E$2:$E$862,$C71,Elements!$F$2:$F$862,$D71),"")</f>
        <v/>
      </c>
      <c r="H71" s="5">
        <f>IFERROR(_xlfn.MINIFS(Elements!$J$2:$J$862,Elements!$B$2:$B$862,$A71,Elements!$D$2:$D$862,$B71,Elements!$E$2:$E$862,$C71,Elements!$F$2:$F$862,$D71),"")</f>
        <v/>
      </c>
      <c r="I71" s="5">
        <f>IFERROR(_xlfn.MAXIFS(Elements!$J$2:$J$862,Elements!$B$2:$B$862,$A71,Elements!$D$2:$D$862,$B71,Elements!$E$2:$E$862,$C71,Elements!$F$2:$F$862,$D71),"")</f>
        <v/>
      </c>
      <c r="J71" s="5">
        <f>IF(OR(F71="",H71=""),"",IF(OR(B71="raft",B71="sump_pit",B71="crane_foundation",D71="(none)"),"n/a",IF(OR(B71="column",B71="footing",B71="mass_concrete_pad",AND(B71="wall",C71="shear_wall",D71&lt;&gt;"(none)")),IF(AND(G71-F71&lt;=3,I71-H71&lt;=3),"yes","no"),IF(I71-H71&lt;=3,"yes (thickness)","no (thickness)"))))</f>
        <v/>
      </c>
      <c r="K71" s="6">
        <f>SUMIFS(Elements!$M$2:$M$862,Elements!$B$2:$B$862,$A71,Elements!$D$2:$D$862,$B71,Elements!$E$2:$E$862,$C71,Elements!$F$2:$F$862,$D71)</f>
        <v/>
      </c>
      <c r="L71" s="6">
        <f>SUMIFS(Elements!$L$2:$L$862,Elements!$B$2:$B$862,$A71,Elements!$D$2:$D$862,$B71,Elements!$E$2:$E$862,$C71,Elements!$F$2:$F$862,$D71)</f>
        <v/>
      </c>
      <c r="M71" s="2" t="inlineStr">
        <is>
          <t>solid fill; 39-816 x 20-30 cm; L/W 1.81-36.95; inside a footing outline 0%; on a raft 100%; touching a hatched core wall 24%; in a strip-footing band 0%; at a grade-beam junction 0%</t>
        </is>
      </c>
    </row>
    <row r="72">
      <c r="A72" s="5" t="inlineStr">
        <is>
          <t>122</t>
        </is>
      </c>
      <c r="B72" s="5" t="inlineStr">
        <is>
          <t>wall</t>
        </is>
      </c>
      <c r="C72" s="5" t="inlineStr">
        <is>
          <t>retaining_wall</t>
        </is>
      </c>
      <c r="D72" s="5" t="inlineStr">
        <is>
          <t>VP20</t>
        </is>
      </c>
      <c r="E72" s="5">
        <f>COUNTIFS(Elements!$B$2:$B$862,$A72,Elements!$D$2:$D$862,$B72,Elements!$E$2:$E$862,$C72,Elements!$F$2:$F$862,$D72)</f>
        <v/>
      </c>
      <c r="F72" s="5">
        <f>IFERROR(_xlfn.MINIFS(Elements!$I$2:$I$862,Elements!$B$2:$B$862,$A72,Elements!$D$2:$D$862,$B72,Elements!$E$2:$E$862,$C72,Elements!$F$2:$F$862,$D72),"")</f>
        <v/>
      </c>
      <c r="G72" s="5">
        <f>IFERROR(_xlfn.MAXIFS(Elements!$I$2:$I$862,Elements!$B$2:$B$862,$A72,Elements!$D$2:$D$862,$B72,Elements!$E$2:$E$862,$C72,Elements!$F$2:$F$862,$D72),"")</f>
        <v/>
      </c>
      <c r="H72" s="5">
        <f>IFERROR(_xlfn.MINIFS(Elements!$J$2:$J$862,Elements!$B$2:$B$862,$A72,Elements!$D$2:$D$862,$B72,Elements!$E$2:$E$862,$C72,Elements!$F$2:$F$862,$D72),"")</f>
        <v/>
      </c>
      <c r="I72" s="5">
        <f>IFERROR(_xlfn.MAXIFS(Elements!$J$2:$J$862,Elements!$B$2:$B$862,$A72,Elements!$D$2:$D$862,$B72,Elements!$E$2:$E$862,$C72,Elements!$F$2:$F$862,$D72),"")</f>
        <v/>
      </c>
      <c r="J72" s="5">
        <f>IF(OR(F72="",H72=""),"",IF(OR(B72="raft",B72="sump_pit",B72="crane_foundation",D72="(none)"),"n/a",IF(OR(B72="column",B72="footing",B72="mass_concrete_pad",AND(B72="wall",C72="shear_wall",D72&lt;&gt;"(none)")),IF(AND(G72-F72&lt;=3,I72-H72&lt;=3),"yes","no"),IF(I72-H72&lt;=3,"yes (thickness)","no (thickness)"))))</f>
        <v/>
      </c>
      <c r="K72" s="6">
        <f>SUMIFS(Elements!$M$2:$M$862,Elements!$B$2:$B$862,$A72,Elements!$D$2:$D$862,$B72,Elements!$E$2:$E$862,$C72,Elements!$F$2:$F$862,$D72)</f>
        <v/>
      </c>
      <c r="L72" s="6">
        <f>SUMIFS(Elements!$L$2:$L$862,Elements!$B$2:$B$862,$A72,Elements!$D$2:$D$862,$B72,Elements!$E$2:$E$862,$C72,Elements!$F$2:$F$862,$D72)</f>
        <v/>
      </c>
      <c r="M72" s="2" t="inlineStr">
        <is>
          <t>solid fill; 34-2869 x 20-30 cm; L/W 1.70-143.45; inside a footing outline 5%; on a raft 29%; touching a hatched core wall 12%; in a strip-footing band 69%; at a grade-beam junction 20%</t>
        </is>
      </c>
    </row>
    <row r="73">
      <c r="A73" s="5" t="inlineStr">
        <is>
          <t>122</t>
        </is>
      </c>
      <c r="B73" s="5" t="inlineStr">
        <is>
          <t>wall</t>
        </is>
      </c>
      <c r="C73" s="5" t="inlineStr">
        <is>
          <t>retaining_wall</t>
        </is>
      </c>
      <c r="D73" s="5" t="inlineStr">
        <is>
          <t>VP25</t>
        </is>
      </c>
      <c r="E73" s="5">
        <f>COUNTIFS(Elements!$B$2:$B$862,$A73,Elements!$D$2:$D$862,$B73,Elements!$E$2:$E$862,$C73,Elements!$F$2:$F$862,$D73)</f>
        <v/>
      </c>
      <c r="F73" s="5">
        <f>IFERROR(_xlfn.MINIFS(Elements!$I$2:$I$862,Elements!$B$2:$B$862,$A73,Elements!$D$2:$D$862,$B73,Elements!$E$2:$E$862,$C73,Elements!$F$2:$F$862,$D73),"")</f>
        <v/>
      </c>
      <c r="G73" s="5">
        <f>IFERROR(_xlfn.MAXIFS(Elements!$I$2:$I$862,Elements!$B$2:$B$862,$A73,Elements!$D$2:$D$862,$B73,Elements!$E$2:$E$862,$C73,Elements!$F$2:$F$862,$D73),"")</f>
        <v/>
      </c>
      <c r="H73" s="5">
        <f>IFERROR(_xlfn.MINIFS(Elements!$J$2:$J$862,Elements!$B$2:$B$862,$A73,Elements!$D$2:$D$862,$B73,Elements!$E$2:$E$862,$C73,Elements!$F$2:$F$862,$D73),"")</f>
        <v/>
      </c>
      <c r="I73" s="5">
        <f>IFERROR(_xlfn.MAXIFS(Elements!$J$2:$J$862,Elements!$B$2:$B$862,$A73,Elements!$D$2:$D$862,$B73,Elements!$E$2:$E$862,$C73,Elements!$F$2:$F$862,$D73),"")</f>
        <v/>
      </c>
      <c r="J73" s="5">
        <f>IF(OR(F73="",H73=""),"",IF(OR(B73="raft",B73="sump_pit",B73="crane_foundation",D73="(none)"),"n/a",IF(OR(B73="column",B73="footing",B73="mass_concrete_pad",AND(B73="wall",C73="shear_wall",D73&lt;&gt;"(none)")),IF(AND(G73-F73&lt;=3,I73-H73&lt;=3),"yes","no"),IF(I73-H73&lt;=3,"yes (thickness)","no (thickness)"))))</f>
        <v/>
      </c>
      <c r="K73" s="6">
        <f>SUMIFS(Elements!$M$2:$M$862,Elements!$B$2:$B$862,$A73,Elements!$D$2:$D$862,$B73,Elements!$E$2:$E$862,$C73,Elements!$F$2:$F$862,$D73)</f>
        <v/>
      </c>
      <c r="L73" s="6">
        <f>SUMIFS(Elements!$L$2:$L$862,Elements!$B$2:$B$862,$A73,Elements!$D$2:$D$862,$B73,Elements!$E$2:$E$862,$C73,Elements!$F$2:$F$862,$D73)</f>
        <v/>
      </c>
      <c r="M73" s="2" t="inlineStr">
        <is>
          <t>solid fill; 34-2869 x 20-30 cm; L/W 1.70-143.45; inside a footing outline 5%; on a raft 29%; touching a hatched core wall 12%; in a strip-footing band 69%; at a grade-beam junction 20%</t>
        </is>
      </c>
    </row>
    <row r="74">
      <c r="A74" s="5" t="inlineStr">
        <is>
          <t>122</t>
        </is>
      </c>
      <c r="B74" s="5" t="inlineStr">
        <is>
          <t>wall</t>
        </is>
      </c>
      <c r="C74" s="5" t="inlineStr">
        <is>
          <t>shear_wall</t>
        </is>
      </c>
      <c r="D74" s="5" t="inlineStr">
        <is>
          <t>(none)</t>
        </is>
      </c>
      <c r="E74" s="5">
        <f>COUNTIFS(Elements!$B$2:$B$862,$A74,Elements!$D$2:$D$862,$B74,Elements!$E$2:$E$862,$C74,Elements!$F$2:$F$862,$D74)</f>
        <v/>
      </c>
      <c r="F74" s="5">
        <f>IFERROR(_xlfn.MINIFS(Elements!$I$2:$I$862,Elements!$B$2:$B$862,$A74,Elements!$D$2:$D$862,$B74,Elements!$E$2:$E$862,$C74,Elements!$F$2:$F$862,$D74),"")</f>
        <v/>
      </c>
      <c r="G74" s="5">
        <f>IFERROR(_xlfn.MAXIFS(Elements!$I$2:$I$862,Elements!$B$2:$B$862,$A74,Elements!$D$2:$D$862,$B74,Elements!$E$2:$E$862,$C74,Elements!$F$2:$F$862,$D74),"")</f>
        <v/>
      </c>
      <c r="H74" s="5">
        <f>IFERROR(_xlfn.MINIFS(Elements!$J$2:$J$862,Elements!$B$2:$B$862,$A74,Elements!$D$2:$D$862,$B74,Elements!$E$2:$E$862,$C74,Elements!$F$2:$F$862,$D74),"")</f>
        <v/>
      </c>
      <c r="I74" s="5">
        <f>IFERROR(_xlfn.MAXIFS(Elements!$J$2:$J$862,Elements!$B$2:$B$862,$A74,Elements!$D$2:$D$862,$B74,Elements!$E$2:$E$862,$C74,Elements!$F$2:$F$862,$D74),"")</f>
        <v/>
      </c>
      <c r="J74" s="5">
        <f>IF(OR(F74="",H74=""),"",IF(OR(B74="raft",B74="sump_pit",B74="crane_foundation",D74="(none)"),"n/a",IF(OR(B74="column",B74="footing",B74="mass_concrete_pad",AND(B74="wall",C74="shear_wall",D74&lt;&gt;"(none)")),IF(AND(G74-F74&lt;=3,I74-H74&lt;=3),"yes","no"),IF(I74-H74&lt;=3,"yes (thickness)","no (thickness)"))))</f>
        <v/>
      </c>
      <c r="K74" s="6">
        <f>SUMIFS(Elements!$M$2:$M$862,Elements!$B$2:$B$862,$A74,Elements!$D$2:$D$862,$B74,Elements!$E$2:$E$862,$C74,Elements!$F$2:$F$862,$D74)</f>
        <v/>
      </c>
      <c r="L74" s="6">
        <f>SUMIFS(Elements!$L$2:$L$862,Elements!$B$2:$B$862,$A74,Elements!$D$2:$D$862,$B74,Elements!$E$2:$E$862,$C74,Elements!$F$2:$F$862,$D74)</f>
        <v/>
      </c>
      <c r="M74" s="2" t="inlineStr">
        <is>
          <t>solid fill; 87-1849 x 20-30 cm; L/W 4.17-92.45; inside a footing outline 72%; on a raft 10%; touching a hatched core wall 1%; in a strip-footing band 5%; at a grade-beam junction 51%</t>
        </is>
      </c>
    </row>
    <row r="75">
      <c r="A75" s="5" t="inlineStr">
        <is>
          <t>122</t>
        </is>
      </c>
      <c r="B75" s="5" t="inlineStr">
        <is>
          <t>wall</t>
        </is>
      </c>
      <c r="C75" s="5" t="inlineStr">
        <is>
          <t>shear_wall</t>
        </is>
      </c>
      <c r="D75" s="5" t="inlineStr">
        <is>
          <t>V1/122</t>
        </is>
      </c>
      <c r="E75" s="5">
        <f>COUNTIFS(Elements!$B$2:$B$862,$A75,Elements!$D$2:$D$862,$B75,Elements!$E$2:$E$862,$C75,Elements!$F$2:$F$862,$D75)</f>
        <v/>
      </c>
      <c r="F75" s="5">
        <f>IFERROR(_xlfn.MINIFS(Elements!$I$2:$I$862,Elements!$B$2:$B$862,$A75,Elements!$D$2:$D$862,$B75,Elements!$E$2:$E$862,$C75,Elements!$F$2:$F$862,$D75),"")</f>
        <v/>
      </c>
      <c r="G75" s="5">
        <f>IFERROR(_xlfn.MAXIFS(Elements!$I$2:$I$862,Elements!$B$2:$B$862,$A75,Elements!$D$2:$D$862,$B75,Elements!$E$2:$E$862,$C75,Elements!$F$2:$F$862,$D75),"")</f>
        <v/>
      </c>
      <c r="H75" s="5">
        <f>IFERROR(_xlfn.MINIFS(Elements!$J$2:$J$862,Elements!$B$2:$B$862,$A75,Elements!$D$2:$D$862,$B75,Elements!$E$2:$E$862,$C75,Elements!$F$2:$F$862,$D75),"")</f>
        <v/>
      </c>
      <c r="I75" s="5">
        <f>IFERROR(_xlfn.MAXIFS(Elements!$J$2:$J$862,Elements!$B$2:$B$862,$A75,Elements!$D$2:$D$862,$B75,Elements!$E$2:$E$862,$C75,Elements!$F$2:$F$862,$D75),"")</f>
        <v/>
      </c>
      <c r="J75" s="5">
        <f>IF(OR(F75="",H75=""),"",IF(OR(B75="raft",B75="sump_pit",B75="crane_foundation",D75="(none)"),"n/a",IF(OR(B75="column",B75="footing",B75="mass_concrete_pad",AND(B75="wall",C75="shear_wall",D75&lt;&gt;"(none)")),IF(AND(G75-F75&lt;=3,I75-H75&lt;=3),"yes","no"),IF(I75-H75&lt;=3,"yes (thickness)","no (thickness)"))))</f>
        <v/>
      </c>
      <c r="K75" s="6">
        <f>SUMIFS(Elements!$M$2:$M$862,Elements!$B$2:$B$862,$A75,Elements!$D$2:$D$862,$B75,Elements!$E$2:$E$862,$C75,Elements!$F$2:$F$862,$D75)</f>
        <v/>
      </c>
      <c r="L75" s="6">
        <f>SUMIFS(Elements!$L$2:$L$862,Elements!$B$2:$B$862,$A75,Elements!$D$2:$D$862,$B75,Elements!$E$2:$E$862,$C75,Elements!$F$2:$F$862,$D75)</f>
        <v/>
      </c>
      <c r="M75" s="2" t="inlineStr">
        <is>
          <t>solid fill; 87-1849 x 20-30 cm; L/W 4.17-92.45; inside a footing outline 72%; on a raft 10%; touching a hatched core wall 1%; in a strip-footing band 5%; at a grade-beam junction 51%</t>
        </is>
      </c>
    </row>
    <row r="76">
      <c r="A76" s="5" t="inlineStr">
        <is>
          <t>122</t>
        </is>
      </c>
      <c r="B76" s="5" t="inlineStr">
        <is>
          <t>wall</t>
        </is>
      </c>
      <c r="C76" s="5" t="inlineStr">
        <is>
          <t>shear_wall</t>
        </is>
      </c>
      <c r="D76" s="5" t="inlineStr">
        <is>
          <t>V2/122</t>
        </is>
      </c>
      <c r="E76" s="5">
        <f>COUNTIFS(Elements!$B$2:$B$862,$A76,Elements!$D$2:$D$862,$B76,Elements!$E$2:$E$862,$C76,Elements!$F$2:$F$862,$D76)</f>
        <v/>
      </c>
      <c r="F76" s="5">
        <f>IFERROR(_xlfn.MINIFS(Elements!$I$2:$I$862,Elements!$B$2:$B$862,$A76,Elements!$D$2:$D$862,$B76,Elements!$E$2:$E$862,$C76,Elements!$F$2:$F$862,$D76),"")</f>
        <v/>
      </c>
      <c r="G76" s="5">
        <f>IFERROR(_xlfn.MAXIFS(Elements!$I$2:$I$862,Elements!$B$2:$B$862,$A76,Elements!$D$2:$D$862,$B76,Elements!$E$2:$E$862,$C76,Elements!$F$2:$F$862,$D76),"")</f>
        <v/>
      </c>
      <c r="H76" s="5">
        <f>IFERROR(_xlfn.MINIFS(Elements!$J$2:$J$862,Elements!$B$2:$B$862,$A76,Elements!$D$2:$D$862,$B76,Elements!$E$2:$E$862,$C76,Elements!$F$2:$F$862,$D76),"")</f>
        <v/>
      </c>
      <c r="I76" s="5">
        <f>IFERROR(_xlfn.MAXIFS(Elements!$J$2:$J$862,Elements!$B$2:$B$862,$A76,Elements!$D$2:$D$862,$B76,Elements!$E$2:$E$862,$C76,Elements!$F$2:$F$862,$D76),"")</f>
        <v/>
      </c>
      <c r="J76" s="5">
        <f>IF(OR(F76="",H76=""),"",IF(OR(B76="raft",B76="sump_pit",B76="crane_foundation",D76="(none)"),"n/a",IF(OR(B76="column",B76="footing",B76="mass_concrete_pad",AND(B76="wall",C76="shear_wall",D76&lt;&gt;"(none)")),IF(AND(G76-F76&lt;=3,I76-H76&lt;=3),"yes","no"),IF(I76-H76&lt;=3,"yes (thickness)","no (thickness)"))))</f>
        <v/>
      </c>
      <c r="K76" s="6">
        <f>SUMIFS(Elements!$M$2:$M$862,Elements!$B$2:$B$862,$A76,Elements!$D$2:$D$862,$B76,Elements!$E$2:$E$862,$C76,Elements!$F$2:$F$862,$D76)</f>
        <v/>
      </c>
      <c r="L76" s="6">
        <f>SUMIFS(Elements!$L$2:$L$862,Elements!$B$2:$B$862,$A76,Elements!$D$2:$D$862,$B76,Elements!$E$2:$E$862,$C76,Elements!$F$2:$F$862,$D76)</f>
        <v/>
      </c>
      <c r="M76" s="2" t="inlineStr">
        <is>
          <t>solid fill; 87-1849 x 20-30 cm; L/W 4.17-92.45; inside a footing outline 72%; on a raft 10%; touching a hatched core wall 1%; in a strip-footing band 5%; at a grade-beam junction 51%</t>
        </is>
      </c>
    </row>
    <row r="77">
      <c r="A77" s="5" t="inlineStr">
        <is>
          <t>122</t>
        </is>
      </c>
      <c r="B77" s="5" t="inlineStr">
        <is>
          <t>wall</t>
        </is>
      </c>
      <c r="C77" s="5" t="inlineStr">
        <is>
          <t>shear_wall</t>
        </is>
      </c>
      <c r="D77" s="5" t="inlineStr">
        <is>
          <t>V3/122</t>
        </is>
      </c>
      <c r="E77" s="5">
        <f>COUNTIFS(Elements!$B$2:$B$862,$A77,Elements!$D$2:$D$862,$B77,Elements!$E$2:$E$862,$C77,Elements!$F$2:$F$862,$D77)</f>
        <v/>
      </c>
      <c r="F77" s="5">
        <f>IFERROR(_xlfn.MINIFS(Elements!$I$2:$I$862,Elements!$B$2:$B$862,$A77,Elements!$D$2:$D$862,$B77,Elements!$E$2:$E$862,$C77,Elements!$F$2:$F$862,$D77),"")</f>
        <v/>
      </c>
      <c r="G77" s="5">
        <f>IFERROR(_xlfn.MAXIFS(Elements!$I$2:$I$862,Elements!$B$2:$B$862,$A77,Elements!$D$2:$D$862,$B77,Elements!$E$2:$E$862,$C77,Elements!$F$2:$F$862,$D77),"")</f>
        <v/>
      </c>
      <c r="H77" s="5">
        <f>IFERROR(_xlfn.MINIFS(Elements!$J$2:$J$862,Elements!$B$2:$B$862,$A77,Elements!$D$2:$D$862,$B77,Elements!$E$2:$E$862,$C77,Elements!$F$2:$F$862,$D77),"")</f>
        <v/>
      </c>
      <c r="I77" s="5">
        <f>IFERROR(_xlfn.MAXIFS(Elements!$J$2:$J$862,Elements!$B$2:$B$862,$A77,Elements!$D$2:$D$862,$B77,Elements!$E$2:$E$862,$C77,Elements!$F$2:$F$862,$D77),"")</f>
        <v/>
      </c>
      <c r="J77" s="5">
        <f>IF(OR(F77="",H77=""),"",IF(OR(B77="raft",B77="sump_pit",B77="crane_foundation",D77="(none)"),"n/a",IF(OR(B77="column",B77="footing",B77="mass_concrete_pad",AND(B77="wall",C77="shear_wall",D77&lt;&gt;"(none)")),IF(AND(G77-F77&lt;=3,I77-H77&lt;=3),"yes","no"),IF(I77-H77&lt;=3,"yes (thickness)","no (thickness)"))))</f>
        <v/>
      </c>
      <c r="K77" s="6">
        <f>SUMIFS(Elements!$M$2:$M$862,Elements!$B$2:$B$862,$A77,Elements!$D$2:$D$862,$B77,Elements!$E$2:$E$862,$C77,Elements!$F$2:$F$862,$D77)</f>
        <v/>
      </c>
      <c r="L77" s="6">
        <f>SUMIFS(Elements!$L$2:$L$862,Elements!$B$2:$B$862,$A77,Elements!$D$2:$D$862,$B77,Elements!$E$2:$E$862,$C77,Elements!$F$2:$F$862,$D77)</f>
        <v/>
      </c>
      <c r="M77" s="2" t="inlineStr">
        <is>
          <t>solid fill; 87-1849 x 20-30 cm; L/W 4.17-92.45; inside a footing outline 72%; on a raft 10%; touching a hatched core wall 1%; in a strip-footing band 5%; at a grade-beam junction 51%</t>
        </is>
      </c>
    </row>
    <row r="78">
      <c r="A78" s="5" t="inlineStr">
        <is>
          <t>122</t>
        </is>
      </c>
      <c r="B78" s="5" t="inlineStr">
        <is>
          <t>wall</t>
        </is>
      </c>
      <c r="C78" s="5" t="inlineStr">
        <is>
          <t>shear_wall</t>
        </is>
      </c>
      <c r="D78" s="5" t="inlineStr">
        <is>
          <t>V4/122</t>
        </is>
      </c>
      <c r="E78" s="5">
        <f>COUNTIFS(Elements!$B$2:$B$862,$A78,Elements!$D$2:$D$862,$B78,Elements!$E$2:$E$862,$C78,Elements!$F$2:$F$862,$D78)</f>
        <v/>
      </c>
      <c r="F78" s="5">
        <f>IFERROR(_xlfn.MINIFS(Elements!$I$2:$I$862,Elements!$B$2:$B$862,$A78,Elements!$D$2:$D$862,$B78,Elements!$E$2:$E$862,$C78,Elements!$F$2:$F$862,$D78),"")</f>
        <v/>
      </c>
      <c r="G78" s="5">
        <f>IFERROR(_xlfn.MAXIFS(Elements!$I$2:$I$862,Elements!$B$2:$B$862,$A78,Elements!$D$2:$D$862,$B78,Elements!$E$2:$E$862,$C78,Elements!$F$2:$F$862,$D78),"")</f>
        <v/>
      </c>
      <c r="H78" s="5">
        <f>IFERROR(_xlfn.MINIFS(Elements!$J$2:$J$862,Elements!$B$2:$B$862,$A78,Elements!$D$2:$D$862,$B78,Elements!$E$2:$E$862,$C78,Elements!$F$2:$F$862,$D78),"")</f>
        <v/>
      </c>
      <c r="I78" s="5">
        <f>IFERROR(_xlfn.MAXIFS(Elements!$J$2:$J$862,Elements!$B$2:$B$862,$A78,Elements!$D$2:$D$862,$B78,Elements!$E$2:$E$862,$C78,Elements!$F$2:$F$862,$D78),"")</f>
        <v/>
      </c>
      <c r="J78" s="5">
        <f>IF(OR(F78="",H78=""),"",IF(OR(B78="raft",B78="sump_pit",B78="crane_foundation",D78="(none)"),"n/a",IF(OR(B78="column",B78="footing",B78="mass_concrete_pad",AND(B78="wall",C78="shear_wall",D78&lt;&gt;"(none)")),IF(AND(G78-F78&lt;=3,I78-H78&lt;=3),"yes","no"),IF(I78-H78&lt;=3,"yes (thickness)","no (thickness)"))))</f>
        <v/>
      </c>
      <c r="K78" s="6">
        <f>SUMIFS(Elements!$M$2:$M$862,Elements!$B$2:$B$862,$A78,Elements!$D$2:$D$862,$B78,Elements!$E$2:$E$862,$C78,Elements!$F$2:$F$862,$D78)</f>
        <v/>
      </c>
      <c r="L78" s="6">
        <f>SUMIFS(Elements!$L$2:$L$862,Elements!$B$2:$B$862,$A78,Elements!$D$2:$D$862,$B78,Elements!$E$2:$E$862,$C78,Elements!$F$2:$F$862,$D78)</f>
        <v/>
      </c>
      <c r="M78" s="2" t="inlineStr">
        <is>
          <t>solid fill; 87-1849 x 20-30 cm; L/W 4.17-92.45; inside a footing outline 72%; on a raft 10%; touching a hatched core wall 1%; in a strip-footing band 5%; at a grade-beam junction 51%</t>
        </is>
      </c>
    </row>
    <row r="79">
      <c r="A79" s="5" t="inlineStr">
        <is>
          <t>122</t>
        </is>
      </c>
      <c r="B79" s="5" t="inlineStr">
        <is>
          <t>wall</t>
        </is>
      </c>
      <c r="C79" s="5" t="inlineStr">
        <is>
          <t>shear_wall</t>
        </is>
      </c>
      <c r="D79" s="5" t="inlineStr">
        <is>
          <t>V5/122</t>
        </is>
      </c>
      <c r="E79" s="5">
        <f>COUNTIFS(Elements!$B$2:$B$862,$A79,Elements!$D$2:$D$862,$B79,Elements!$E$2:$E$862,$C79,Elements!$F$2:$F$862,$D79)</f>
        <v/>
      </c>
      <c r="F79" s="5">
        <f>IFERROR(_xlfn.MINIFS(Elements!$I$2:$I$862,Elements!$B$2:$B$862,$A79,Elements!$D$2:$D$862,$B79,Elements!$E$2:$E$862,$C79,Elements!$F$2:$F$862,$D79),"")</f>
        <v/>
      </c>
      <c r="G79" s="5">
        <f>IFERROR(_xlfn.MAXIFS(Elements!$I$2:$I$862,Elements!$B$2:$B$862,$A79,Elements!$D$2:$D$862,$B79,Elements!$E$2:$E$862,$C79,Elements!$F$2:$F$862,$D79),"")</f>
        <v/>
      </c>
      <c r="H79" s="5">
        <f>IFERROR(_xlfn.MINIFS(Elements!$J$2:$J$862,Elements!$B$2:$B$862,$A79,Elements!$D$2:$D$862,$B79,Elements!$E$2:$E$862,$C79,Elements!$F$2:$F$862,$D79),"")</f>
        <v/>
      </c>
      <c r="I79" s="5">
        <f>IFERROR(_xlfn.MAXIFS(Elements!$J$2:$J$862,Elements!$B$2:$B$862,$A79,Elements!$D$2:$D$862,$B79,Elements!$E$2:$E$862,$C79,Elements!$F$2:$F$862,$D79),"")</f>
        <v/>
      </c>
      <c r="J79" s="5">
        <f>IF(OR(F79="",H79=""),"",IF(OR(B79="raft",B79="sump_pit",B79="crane_foundation",D79="(none)"),"n/a",IF(OR(B79="column",B79="footing",B79="mass_concrete_pad",AND(B79="wall",C79="shear_wall",D79&lt;&gt;"(none)")),IF(AND(G79-F79&lt;=3,I79-H79&lt;=3),"yes","no"),IF(I79-H79&lt;=3,"yes (thickness)","no (thickness)"))))</f>
        <v/>
      </c>
      <c r="K79" s="6">
        <f>SUMIFS(Elements!$M$2:$M$862,Elements!$B$2:$B$862,$A79,Elements!$D$2:$D$862,$B79,Elements!$E$2:$E$862,$C79,Elements!$F$2:$F$862,$D79)</f>
        <v/>
      </c>
      <c r="L79" s="6">
        <f>SUMIFS(Elements!$L$2:$L$862,Elements!$B$2:$B$862,$A79,Elements!$D$2:$D$862,$B79,Elements!$E$2:$E$862,$C79,Elements!$F$2:$F$862,$D79)</f>
        <v/>
      </c>
      <c r="M79" s="2" t="inlineStr">
        <is>
          <t>solid fill; 87-1849 x 20-30 cm; L/W 4.17-92.45; inside a footing outline 72%; on a raft 10%; touching a hatched core wall 1%; in a strip-footing band 5%; at a grade-beam junction 51%</t>
        </is>
      </c>
    </row>
    <row r="80">
      <c r="A80" s="5" t="inlineStr">
        <is>
          <t>122</t>
        </is>
      </c>
      <c r="B80" s="5" t="inlineStr">
        <is>
          <t>wall</t>
        </is>
      </c>
      <c r="C80" s="5" t="inlineStr">
        <is>
          <t>shear_wall</t>
        </is>
      </c>
      <c r="D80" s="5" t="inlineStr">
        <is>
          <t>V6/122</t>
        </is>
      </c>
      <c r="E80" s="5">
        <f>COUNTIFS(Elements!$B$2:$B$862,$A80,Elements!$D$2:$D$862,$B80,Elements!$E$2:$E$862,$C80,Elements!$F$2:$F$862,$D80)</f>
        <v/>
      </c>
      <c r="F80" s="5">
        <f>IFERROR(_xlfn.MINIFS(Elements!$I$2:$I$862,Elements!$B$2:$B$862,$A80,Elements!$D$2:$D$862,$B80,Elements!$E$2:$E$862,$C80,Elements!$F$2:$F$862,$D80),"")</f>
        <v/>
      </c>
      <c r="G80" s="5">
        <f>IFERROR(_xlfn.MAXIFS(Elements!$I$2:$I$862,Elements!$B$2:$B$862,$A80,Elements!$D$2:$D$862,$B80,Elements!$E$2:$E$862,$C80,Elements!$F$2:$F$862,$D80),"")</f>
        <v/>
      </c>
      <c r="H80" s="5">
        <f>IFERROR(_xlfn.MINIFS(Elements!$J$2:$J$862,Elements!$B$2:$B$862,$A80,Elements!$D$2:$D$862,$B80,Elements!$E$2:$E$862,$C80,Elements!$F$2:$F$862,$D80),"")</f>
        <v/>
      </c>
      <c r="I80" s="5">
        <f>IFERROR(_xlfn.MAXIFS(Elements!$J$2:$J$862,Elements!$B$2:$B$862,$A80,Elements!$D$2:$D$862,$B80,Elements!$E$2:$E$862,$C80,Elements!$F$2:$F$862,$D80),"")</f>
        <v/>
      </c>
      <c r="J80" s="5">
        <f>IF(OR(F80="",H80=""),"",IF(OR(B80="raft",B80="sump_pit",B80="crane_foundation",D80="(none)"),"n/a",IF(OR(B80="column",B80="footing",B80="mass_concrete_pad",AND(B80="wall",C80="shear_wall",D80&lt;&gt;"(none)")),IF(AND(G80-F80&lt;=3,I80-H80&lt;=3),"yes","no"),IF(I80-H80&lt;=3,"yes (thickness)","no (thickness)"))))</f>
        <v/>
      </c>
      <c r="K80" s="6">
        <f>SUMIFS(Elements!$M$2:$M$862,Elements!$B$2:$B$862,$A80,Elements!$D$2:$D$862,$B80,Elements!$E$2:$E$862,$C80,Elements!$F$2:$F$862,$D80)</f>
        <v/>
      </c>
      <c r="L80" s="6">
        <f>SUMIFS(Elements!$L$2:$L$862,Elements!$B$2:$B$862,$A80,Elements!$D$2:$D$862,$B80,Elements!$E$2:$E$862,$C80,Elements!$F$2:$F$862,$D80)</f>
        <v/>
      </c>
      <c r="M80" s="2" t="inlineStr">
        <is>
          <t>solid fill; 87-1849 x 20-30 cm; L/W 4.17-92.45; inside a footing outline 72%; on a raft 10%; touching a hatched core wall 1%; in a strip-footing band 5%; at a grade-beam junction 51%</t>
        </is>
      </c>
    </row>
    <row r="81">
      <c r="A81" s="5" t="inlineStr">
        <is>
          <t>123</t>
        </is>
      </c>
      <c r="B81" s="5" t="inlineStr">
        <is>
          <t>footing</t>
        </is>
      </c>
      <c r="C81" s="5" t="inlineStr">
        <is>
          <t>combined_footing</t>
        </is>
      </c>
      <c r="D81" s="5" t="inlineStr">
        <is>
          <t>SC1</t>
        </is>
      </c>
      <c r="E81" s="5">
        <f>COUNTIFS(Elements!$B$2:$B$862,$A81,Elements!$D$2:$D$862,$B81,Elements!$E$2:$E$862,$C81,Elements!$F$2:$F$862,$D81)</f>
        <v/>
      </c>
      <c r="F81" s="5">
        <f>IFERROR(_xlfn.MINIFS(Elements!$I$2:$I$862,Elements!$B$2:$B$862,$A81,Elements!$D$2:$D$862,$B81,Elements!$E$2:$E$862,$C81,Elements!$F$2:$F$862,$D81),"")</f>
        <v/>
      </c>
      <c r="G81" s="5">
        <f>IFERROR(_xlfn.MAXIFS(Elements!$I$2:$I$862,Elements!$B$2:$B$862,$A81,Elements!$D$2:$D$862,$B81,Elements!$E$2:$E$862,$C81,Elements!$F$2:$F$862,$D81),"")</f>
        <v/>
      </c>
      <c r="H81" s="5">
        <f>IFERROR(_xlfn.MINIFS(Elements!$J$2:$J$862,Elements!$B$2:$B$862,$A81,Elements!$D$2:$D$862,$B81,Elements!$E$2:$E$862,$C81,Elements!$F$2:$F$862,$D81),"")</f>
        <v/>
      </c>
      <c r="I81" s="5">
        <f>IFERROR(_xlfn.MAXIFS(Elements!$J$2:$J$862,Elements!$B$2:$B$862,$A81,Elements!$D$2:$D$862,$B81,Elements!$E$2:$E$862,$C81,Elements!$F$2:$F$862,$D81),"")</f>
        <v/>
      </c>
      <c r="J81" s="5">
        <f>IF(OR(F81="",H81=""),"",IF(OR(B81="raft",B81="sump_pit",B81="crane_foundation",D81="(none)"),"n/a",IF(OR(B81="column",B81="footing",B81="mass_concrete_pad",AND(B81="wall",C81="shear_wall",D81&lt;&gt;"(none)")),IF(AND(G81-F81&lt;=3,I81-H81&lt;=3),"yes","no"),IF(I81-H81&lt;=3,"yes (thickness)","no (thickness)"))))</f>
        <v/>
      </c>
      <c r="K81" s="6">
        <f>SUMIFS(Elements!$M$2:$M$862,Elements!$B$2:$B$862,$A81,Elements!$D$2:$D$862,$B81,Elements!$E$2:$E$862,$C81,Elements!$F$2:$F$862,$D81)</f>
        <v/>
      </c>
      <c r="L81" s="6">
        <f>SUMIFS(Elements!$L$2:$L$862,Elements!$B$2:$B$862,$A81,Elements!$D$2:$D$862,$B81,Elements!$E$2:$E$862,$C81,Elements!$F$2:$F$862,$D81)</f>
        <v/>
      </c>
      <c r="M81" s="2" t="inlineStr">
        <is>
          <t>closed outline; 350-600 x 200-450 cm; carries wall+wall (24), column+wall (3), wall+wall+wall+wall (1); grade beam crossing it 93%</t>
        </is>
      </c>
    </row>
    <row r="82">
      <c r="A82" s="5" t="inlineStr">
        <is>
          <t>123</t>
        </is>
      </c>
      <c r="B82" s="5" t="inlineStr">
        <is>
          <t>footing</t>
        </is>
      </c>
      <c r="C82" s="5" t="inlineStr">
        <is>
          <t>combined_footing</t>
        </is>
      </c>
      <c r="D82" s="5" t="inlineStr">
        <is>
          <t>SC4</t>
        </is>
      </c>
      <c r="E82" s="5">
        <f>COUNTIFS(Elements!$B$2:$B$862,$A82,Elements!$D$2:$D$862,$B82,Elements!$E$2:$E$862,$C82,Elements!$F$2:$F$862,$D82)</f>
        <v/>
      </c>
      <c r="F82" s="5">
        <f>IFERROR(_xlfn.MINIFS(Elements!$I$2:$I$862,Elements!$B$2:$B$862,$A82,Elements!$D$2:$D$862,$B82,Elements!$E$2:$E$862,$C82,Elements!$F$2:$F$862,$D82),"")</f>
        <v/>
      </c>
      <c r="G82" s="5">
        <f>IFERROR(_xlfn.MAXIFS(Elements!$I$2:$I$862,Elements!$B$2:$B$862,$A82,Elements!$D$2:$D$862,$B82,Elements!$E$2:$E$862,$C82,Elements!$F$2:$F$862,$D82),"")</f>
        <v/>
      </c>
      <c r="H82" s="5">
        <f>IFERROR(_xlfn.MINIFS(Elements!$J$2:$J$862,Elements!$B$2:$B$862,$A82,Elements!$D$2:$D$862,$B82,Elements!$E$2:$E$862,$C82,Elements!$F$2:$F$862,$D82),"")</f>
        <v/>
      </c>
      <c r="I82" s="5">
        <f>IFERROR(_xlfn.MAXIFS(Elements!$J$2:$J$862,Elements!$B$2:$B$862,$A82,Elements!$D$2:$D$862,$B82,Elements!$E$2:$E$862,$C82,Elements!$F$2:$F$862,$D82),"")</f>
        <v/>
      </c>
      <c r="J82" s="5">
        <f>IF(OR(F82="",H82=""),"",IF(OR(B82="raft",B82="sump_pit",B82="crane_foundation",D82="(none)"),"n/a",IF(OR(B82="column",B82="footing",B82="mass_concrete_pad",AND(B82="wall",C82="shear_wall",D82&lt;&gt;"(none)")),IF(AND(G82-F82&lt;=3,I82-H82&lt;=3),"yes","no"),IF(I82-H82&lt;=3,"yes (thickness)","no (thickness)"))))</f>
        <v/>
      </c>
      <c r="K82" s="6">
        <f>SUMIFS(Elements!$M$2:$M$862,Elements!$B$2:$B$862,$A82,Elements!$D$2:$D$862,$B82,Elements!$E$2:$E$862,$C82,Elements!$F$2:$F$862,$D82)</f>
        <v/>
      </c>
      <c r="L82" s="6">
        <f>SUMIFS(Elements!$L$2:$L$862,Elements!$B$2:$B$862,$A82,Elements!$D$2:$D$862,$B82,Elements!$E$2:$E$862,$C82,Elements!$F$2:$F$862,$D82)</f>
        <v/>
      </c>
      <c r="M82" s="2" t="inlineStr">
        <is>
          <t>closed outline; 350-600 x 200-450 cm; carries wall+wall (24), column+wall (3), wall+wall+wall+wall (1); grade beam crossing it 93%</t>
        </is>
      </c>
    </row>
    <row r="83">
      <c r="A83" s="5" t="inlineStr">
        <is>
          <t>123</t>
        </is>
      </c>
      <c r="B83" s="5" t="inlineStr">
        <is>
          <t>footing</t>
        </is>
      </c>
      <c r="C83" s="5" t="inlineStr">
        <is>
          <t>isolated_footing</t>
        </is>
      </c>
      <c r="D83" s="5" t="inlineStr">
        <is>
          <t>S5</t>
        </is>
      </c>
      <c r="E83" s="5">
        <f>COUNTIFS(Elements!$B$2:$B$862,$A83,Elements!$D$2:$D$862,$B83,Elements!$E$2:$E$862,$C83,Elements!$F$2:$F$862,$D83)</f>
        <v/>
      </c>
      <c r="F83" s="5">
        <f>IFERROR(_xlfn.MINIFS(Elements!$I$2:$I$862,Elements!$B$2:$B$862,$A83,Elements!$D$2:$D$862,$B83,Elements!$E$2:$E$862,$C83,Elements!$F$2:$F$862,$D83),"")</f>
        <v/>
      </c>
      <c r="G83" s="5">
        <f>IFERROR(_xlfn.MAXIFS(Elements!$I$2:$I$862,Elements!$B$2:$B$862,$A83,Elements!$D$2:$D$862,$B83,Elements!$E$2:$E$862,$C83,Elements!$F$2:$F$862,$D83),"")</f>
        <v/>
      </c>
      <c r="H83" s="5">
        <f>IFERROR(_xlfn.MINIFS(Elements!$J$2:$J$862,Elements!$B$2:$B$862,$A83,Elements!$D$2:$D$862,$B83,Elements!$E$2:$E$862,$C83,Elements!$F$2:$F$862,$D83),"")</f>
        <v/>
      </c>
      <c r="I83" s="5">
        <f>IFERROR(_xlfn.MAXIFS(Elements!$J$2:$J$862,Elements!$B$2:$B$862,$A83,Elements!$D$2:$D$862,$B83,Elements!$E$2:$E$862,$C83,Elements!$F$2:$F$862,$D83),"")</f>
        <v/>
      </c>
      <c r="J83" s="5">
        <f>IF(OR(F83="",H83=""),"",IF(OR(B83="raft",B83="sump_pit",B83="crane_foundation",D83="(none)"),"n/a",IF(OR(B83="column",B83="footing",B83="mass_concrete_pad",AND(B83="wall",C83="shear_wall",D83&lt;&gt;"(none)")),IF(AND(G83-F83&lt;=3,I83-H83&lt;=3),"yes","no"),IF(I83-H83&lt;=3,"yes (thickness)","no (thickness)"))))</f>
        <v/>
      </c>
      <c r="K83" s="6">
        <f>SUMIFS(Elements!$M$2:$M$862,Elements!$B$2:$B$862,$A83,Elements!$D$2:$D$862,$B83,Elements!$E$2:$E$862,$C83,Elements!$F$2:$F$862,$D83)</f>
        <v/>
      </c>
      <c r="L83" s="6">
        <f>SUMIFS(Elements!$L$2:$L$862,Elements!$B$2:$B$862,$A83,Elements!$D$2:$D$862,$B83,Elements!$E$2:$E$862,$C83,Elements!$F$2:$F$862,$D83)</f>
        <v/>
      </c>
      <c r="M83" s="2" t="inlineStr">
        <is>
          <t>closed outline; 150-600 x 150-450 cm; carries wall (64), column (9), wall+wall (1); grade beam crossing it 95%</t>
        </is>
      </c>
    </row>
    <row r="84">
      <c r="A84" s="5" t="inlineStr">
        <is>
          <t>123</t>
        </is>
      </c>
      <c r="B84" s="5" t="inlineStr">
        <is>
          <t>footing</t>
        </is>
      </c>
      <c r="C84" s="5" t="inlineStr">
        <is>
          <t>isolated_footing</t>
        </is>
      </c>
      <c r="D84" s="5" t="inlineStr">
        <is>
          <t>S7</t>
        </is>
      </c>
      <c r="E84" s="5">
        <f>COUNTIFS(Elements!$B$2:$B$862,$A84,Elements!$D$2:$D$862,$B84,Elements!$E$2:$E$862,$C84,Elements!$F$2:$F$862,$D84)</f>
        <v/>
      </c>
      <c r="F84" s="5">
        <f>IFERROR(_xlfn.MINIFS(Elements!$I$2:$I$862,Elements!$B$2:$B$862,$A84,Elements!$D$2:$D$862,$B84,Elements!$E$2:$E$862,$C84,Elements!$F$2:$F$862,$D84),"")</f>
        <v/>
      </c>
      <c r="G84" s="5">
        <f>IFERROR(_xlfn.MAXIFS(Elements!$I$2:$I$862,Elements!$B$2:$B$862,$A84,Elements!$D$2:$D$862,$B84,Elements!$E$2:$E$862,$C84,Elements!$F$2:$F$862,$D84),"")</f>
        <v/>
      </c>
      <c r="H84" s="5">
        <f>IFERROR(_xlfn.MINIFS(Elements!$J$2:$J$862,Elements!$B$2:$B$862,$A84,Elements!$D$2:$D$862,$B84,Elements!$E$2:$E$862,$C84,Elements!$F$2:$F$862,$D84),"")</f>
        <v/>
      </c>
      <c r="I84" s="5">
        <f>IFERROR(_xlfn.MAXIFS(Elements!$J$2:$J$862,Elements!$B$2:$B$862,$A84,Elements!$D$2:$D$862,$B84,Elements!$E$2:$E$862,$C84,Elements!$F$2:$F$862,$D84),"")</f>
        <v/>
      </c>
      <c r="J84" s="5">
        <f>IF(OR(F84="",H84=""),"",IF(OR(B84="raft",B84="sump_pit",B84="crane_foundation",D84="(none)"),"n/a",IF(OR(B84="column",B84="footing",B84="mass_concrete_pad",AND(B84="wall",C84="shear_wall",D84&lt;&gt;"(none)")),IF(AND(G84-F84&lt;=3,I84-H84&lt;=3),"yes","no"),IF(I84-H84&lt;=3,"yes (thickness)","no (thickness)"))))</f>
        <v/>
      </c>
      <c r="K84" s="6">
        <f>SUMIFS(Elements!$M$2:$M$862,Elements!$B$2:$B$862,$A84,Elements!$D$2:$D$862,$B84,Elements!$E$2:$E$862,$C84,Elements!$F$2:$F$862,$D84)</f>
        <v/>
      </c>
      <c r="L84" s="6">
        <f>SUMIFS(Elements!$L$2:$L$862,Elements!$B$2:$B$862,$A84,Elements!$D$2:$D$862,$B84,Elements!$E$2:$E$862,$C84,Elements!$F$2:$F$862,$D84)</f>
        <v/>
      </c>
      <c r="M84" s="2" t="inlineStr">
        <is>
          <t>closed outline; 150-600 x 150-450 cm; carries wall (64), column (9), wall+wall (1); grade beam crossing it 95%</t>
        </is>
      </c>
    </row>
    <row r="85">
      <c r="A85" s="5" t="inlineStr">
        <is>
          <t>123</t>
        </is>
      </c>
      <c r="B85" s="5" t="inlineStr">
        <is>
          <t>grade_beam</t>
        </is>
      </c>
      <c r="C85" s="5" t="inlineStr">
        <is>
          <t>grade_beam</t>
        </is>
      </c>
      <c r="D85" s="5" t="inlineStr">
        <is>
          <t>LG25x40</t>
        </is>
      </c>
      <c r="E85" s="5">
        <f>COUNTIFS(Elements!$B$2:$B$862,$A85,Elements!$D$2:$D$862,$B85,Elements!$E$2:$E$862,$C85,Elements!$F$2:$F$862,$D85)</f>
        <v/>
      </c>
      <c r="F85" s="5">
        <f>IFERROR(_xlfn.MINIFS(Elements!$I$2:$I$862,Elements!$B$2:$B$862,$A85,Elements!$D$2:$D$862,$B85,Elements!$E$2:$E$862,$C85,Elements!$F$2:$F$862,$D85),"")</f>
        <v/>
      </c>
      <c r="G85" s="5">
        <f>IFERROR(_xlfn.MAXIFS(Elements!$I$2:$I$862,Elements!$B$2:$B$862,$A85,Elements!$D$2:$D$862,$B85,Elements!$E$2:$E$862,$C85,Elements!$F$2:$F$862,$D85),"")</f>
        <v/>
      </c>
      <c r="H85" s="5">
        <f>IFERROR(_xlfn.MINIFS(Elements!$J$2:$J$862,Elements!$B$2:$B$862,$A85,Elements!$D$2:$D$862,$B85,Elements!$E$2:$E$862,$C85,Elements!$F$2:$F$862,$D85),"")</f>
        <v/>
      </c>
      <c r="I85" s="5">
        <f>IFERROR(_xlfn.MAXIFS(Elements!$J$2:$J$862,Elements!$B$2:$B$862,$A85,Elements!$D$2:$D$862,$B85,Elements!$E$2:$E$862,$C85,Elements!$F$2:$F$862,$D85),"")</f>
        <v/>
      </c>
      <c r="J85" s="5">
        <f>IF(OR(F85="",H85=""),"",IF(OR(B85="raft",B85="sump_pit",B85="crane_foundation",D85="(none)"),"n/a",IF(OR(B85="column",B85="footing",B85="mass_concrete_pad",AND(B85="wall",C85="shear_wall",D85&lt;&gt;"(none)")),IF(AND(G85-F85&lt;=3,I85-H85&lt;=3),"yes","no"),IF(I85-H85&lt;=3,"yes (thickness)","no (thickness)"))))</f>
        <v/>
      </c>
      <c r="K85" s="6">
        <f>SUMIFS(Elements!$M$2:$M$862,Elements!$B$2:$B$862,$A85,Elements!$D$2:$D$862,$B85,Elements!$E$2:$E$862,$C85,Elements!$F$2:$F$862,$D85)</f>
        <v/>
      </c>
      <c r="L85" s="6">
        <f>SUMIFS(Elements!$L$2:$L$862,Elements!$B$2:$B$862,$A85,Elements!$D$2:$D$862,$B85,Elements!$E$2:$E$862,$C85,Elements!$F$2:$F$862,$D85)</f>
        <v/>
      </c>
      <c r="M85" s="2" t="inlineStr">
        <is>
          <t>parallel line pair; 30-2249 x 25-40 cm; width stated in its label</t>
        </is>
      </c>
    </row>
    <row r="86">
      <c r="A86" s="5" t="inlineStr">
        <is>
          <t>123</t>
        </is>
      </c>
      <c r="B86" s="5" t="inlineStr">
        <is>
          <t>grade_beam</t>
        </is>
      </c>
      <c r="C86" s="5" t="inlineStr">
        <is>
          <t>grade_beam</t>
        </is>
      </c>
      <c r="D86" s="5" t="inlineStr">
        <is>
          <t>LG40x15</t>
        </is>
      </c>
      <c r="E86" s="5">
        <f>COUNTIFS(Elements!$B$2:$B$862,$A86,Elements!$D$2:$D$862,$B86,Elements!$E$2:$E$862,$C86,Elements!$F$2:$F$862,$D86)</f>
        <v/>
      </c>
      <c r="F86" s="5">
        <f>IFERROR(_xlfn.MINIFS(Elements!$I$2:$I$862,Elements!$B$2:$B$862,$A86,Elements!$D$2:$D$862,$B86,Elements!$E$2:$E$862,$C86,Elements!$F$2:$F$862,$D86),"")</f>
        <v/>
      </c>
      <c r="G86" s="5">
        <f>IFERROR(_xlfn.MAXIFS(Elements!$I$2:$I$862,Elements!$B$2:$B$862,$A86,Elements!$D$2:$D$862,$B86,Elements!$E$2:$E$862,$C86,Elements!$F$2:$F$862,$D86),"")</f>
        <v/>
      </c>
      <c r="H86" s="5">
        <f>IFERROR(_xlfn.MINIFS(Elements!$J$2:$J$862,Elements!$B$2:$B$862,$A86,Elements!$D$2:$D$862,$B86,Elements!$E$2:$E$862,$C86,Elements!$F$2:$F$862,$D86),"")</f>
        <v/>
      </c>
      <c r="I86" s="5">
        <f>IFERROR(_xlfn.MAXIFS(Elements!$J$2:$J$862,Elements!$B$2:$B$862,$A86,Elements!$D$2:$D$862,$B86,Elements!$E$2:$E$862,$C86,Elements!$F$2:$F$862,$D86),"")</f>
        <v/>
      </c>
      <c r="J86" s="5">
        <f>IF(OR(F86="",H86=""),"",IF(OR(B86="raft",B86="sump_pit",B86="crane_foundation",D86="(none)"),"n/a",IF(OR(B86="column",B86="footing",B86="mass_concrete_pad",AND(B86="wall",C86="shear_wall",D86&lt;&gt;"(none)")),IF(AND(G86-F86&lt;=3,I86-H86&lt;=3),"yes","no"),IF(I86-H86&lt;=3,"yes (thickness)","no (thickness)"))))</f>
        <v/>
      </c>
      <c r="K86" s="6">
        <f>SUMIFS(Elements!$M$2:$M$862,Elements!$B$2:$B$862,$A86,Elements!$D$2:$D$862,$B86,Elements!$E$2:$E$862,$C86,Elements!$F$2:$F$862,$D86)</f>
        <v/>
      </c>
      <c r="L86" s="6">
        <f>SUMIFS(Elements!$L$2:$L$862,Elements!$B$2:$B$862,$A86,Elements!$D$2:$D$862,$B86,Elements!$E$2:$E$862,$C86,Elements!$F$2:$F$862,$D86)</f>
        <v/>
      </c>
      <c r="M86" s="2" t="inlineStr">
        <is>
          <t>parallel line pair; 30-2249 x 25-40 cm; width stated in its label</t>
        </is>
      </c>
    </row>
    <row r="87">
      <c r="A87" s="5" t="inlineStr">
        <is>
          <t>123</t>
        </is>
      </c>
      <c r="B87" s="5" t="inlineStr">
        <is>
          <t>mass_concrete_pad</t>
        </is>
      </c>
      <c r="C87" s="5" t="inlineStr">
        <is>
          <t>mass_concrete_pad</t>
        </is>
      </c>
      <c r="D87" s="5" t="inlineStr">
        <is>
          <t>(none)</t>
        </is>
      </c>
      <c r="E87" s="5">
        <f>COUNTIFS(Elements!$B$2:$B$862,$A87,Elements!$D$2:$D$862,$B87,Elements!$E$2:$E$862,$C87,Elements!$F$2:$F$862,$D87)</f>
        <v/>
      </c>
      <c r="F87" s="5">
        <f>IFERROR(_xlfn.MINIFS(Elements!$I$2:$I$862,Elements!$B$2:$B$862,$A87,Elements!$D$2:$D$862,$B87,Elements!$E$2:$E$862,$C87,Elements!$F$2:$F$862,$D87),"")</f>
        <v/>
      </c>
      <c r="G87" s="5">
        <f>IFERROR(_xlfn.MAXIFS(Elements!$I$2:$I$862,Elements!$B$2:$B$862,$A87,Elements!$D$2:$D$862,$B87,Elements!$E$2:$E$862,$C87,Elements!$F$2:$F$862,$D87),"")</f>
        <v/>
      </c>
      <c r="H87" s="5">
        <f>IFERROR(_xlfn.MINIFS(Elements!$J$2:$J$862,Elements!$B$2:$B$862,$A87,Elements!$D$2:$D$862,$B87,Elements!$E$2:$E$862,$C87,Elements!$F$2:$F$862,$D87),"")</f>
        <v/>
      </c>
      <c r="I87" s="5">
        <f>IFERROR(_xlfn.MAXIFS(Elements!$J$2:$J$862,Elements!$B$2:$B$862,$A87,Elements!$D$2:$D$862,$B87,Elements!$E$2:$E$862,$C87,Elements!$F$2:$F$862,$D87),"")</f>
        <v/>
      </c>
      <c r="J87" s="5">
        <f>IF(OR(F87="",H87=""),"",IF(OR(B87="raft",B87="sump_pit",B87="crane_foundation",D87="(none)"),"n/a",IF(OR(B87="column",B87="footing",B87="mass_concrete_pad",AND(B87="wall",C87="shear_wall",D87&lt;&gt;"(none)")),IF(AND(G87-F87&lt;=3,I87-H87&lt;=3),"yes","no"),IF(I87-H87&lt;=3,"yes (thickness)","no (thickness)"))))</f>
        <v/>
      </c>
      <c r="K87" s="6">
        <f>SUMIFS(Elements!$M$2:$M$862,Elements!$B$2:$B$862,$A87,Elements!$D$2:$D$862,$B87,Elements!$E$2:$E$862,$C87,Elements!$F$2:$F$862,$D87)</f>
        <v/>
      </c>
      <c r="L87" s="6">
        <f>SUMIFS(Elements!$L$2:$L$862,Elements!$B$2:$B$862,$A87,Elements!$D$2:$D$862,$B87,Elements!$E$2:$E$862,$C87,Elements!$F$2:$F$862,$D87)</f>
        <v/>
      </c>
      <c r="M87" s="2" t="inlineStr">
        <is>
          <t>closed outline + stipple; 60-60 x 60-60 cm; 47-91 stipple dots inside; on a grade beam 100%; at a grade-beam junction 62%</t>
        </is>
      </c>
    </row>
    <row r="88">
      <c r="A88" s="5" t="inlineStr">
        <is>
          <t>123</t>
        </is>
      </c>
      <c r="B88" s="5" t="inlineStr">
        <is>
          <t>raft</t>
        </is>
      </c>
      <c r="C88" s="5" t="inlineStr">
        <is>
          <t>raft</t>
        </is>
      </c>
      <c r="D88" s="5" t="inlineStr">
        <is>
          <t>Radier 90</t>
        </is>
      </c>
      <c r="E88" s="5">
        <f>COUNTIFS(Elements!$B$2:$B$862,$A88,Elements!$D$2:$D$862,$B88,Elements!$E$2:$E$862,$C88,Elements!$F$2:$F$862,$D88)</f>
        <v/>
      </c>
      <c r="F88" s="5">
        <f>IFERROR(_xlfn.MINIFS(Elements!$I$2:$I$862,Elements!$B$2:$B$862,$A88,Elements!$D$2:$D$862,$B88,Elements!$E$2:$E$862,$C88,Elements!$F$2:$F$862,$D88),"")</f>
        <v/>
      </c>
      <c r="G88" s="5">
        <f>IFERROR(_xlfn.MAXIFS(Elements!$I$2:$I$862,Elements!$B$2:$B$862,$A88,Elements!$D$2:$D$862,$B88,Elements!$E$2:$E$862,$C88,Elements!$F$2:$F$862,$D88),"")</f>
        <v/>
      </c>
      <c r="H88" s="5">
        <f>IFERROR(_xlfn.MINIFS(Elements!$J$2:$J$862,Elements!$B$2:$B$862,$A88,Elements!$D$2:$D$862,$B88,Elements!$E$2:$E$862,$C88,Elements!$F$2:$F$862,$D88),"")</f>
        <v/>
      </c>
      <c r="I88" s="5">
        <f>IFERROR(_xlfn.MAXIFS(Elements!$J$2:$J$862,Elements!$B$2:$B$862,$A88,Elements!$D$2:$D$862,$B88,Elements!$E$2:$E$862,$C88,Elements!$F$2:$F$862,$D88),"")</f>
        <v/>
      </c>
      <c r="J88" s="5">
        <f>IF(OR(F88="",H88=""),"",IF(OR(B88="raft",B88="sump_pit",B88="crane_foundation",D88="(none)"),"n/a",IF(OR(B88="column",B88="footing",B88="mass_concrete_pad",AND(B88="wall",C88="shear_wall",D88&lt;&gt;"(none)")),IF(AND(G88-F88&lt;=3,I88-H88&lt;=3),"yes","no"),IF(I88-H88&lt;=3,"yes (thickness)","no (thickness)"))))</f>
        <v/>
      </c>
      <c r="K88" s="6">
        <f>SUMIFS(Elements!$M$2:$M$862,Elements!$B$2:$B$862,$A88,Elements!$D$2:$D$862,$B88,Elements!$E$2:$E$862,$C88,Elements!$F$2:$F$862,$D88)</f>
        <v/>
      </c>
      <c r="L88" s="6">
        <f>SUMIFS(Elements!$L$2:$L$862,Elements!$B$2:$B$862,$A88,Elements!$D$2:$D$862,$B88,Elements!$E$2:$E$862,$C88,Elements!$F$2:$F$862,$D88)</f>
        <v/>
      </c>
      <c r="M88" s="2" t="inlineStr">
        <is>
          <t>stamp + corner diagonals; 693-1971 x 450-1020 cm; circle stamp 'Radier' + thickness; diagonals from its corners to the stamp</t>
        </is>
      </c>
    </row>
    <row r="89">
      <c r="A89" s="5" t="inlineStr">
        <is>
          <t>123</t>
        </is>
      </c>
      <c r="B89" s="5" t="inlineStr">
        <is>
          <t>strip_footing</t>
        </is>
      </c>
      <c r="C89" s="5" t="inlineStr">
        <is>
          <t>strip_footing</t>
        </is>
      </c>
      <c r="D89" s="5" t="inlineStr">
        <is>
          <t>SF1</t>
        </is>
      </c>
      <c r="E89" s="5">
        <f>COUNTIFS(Elements!$B$2:$B$862,$A89,Elements!$D$2:$D$862,$B89,Elements!$E$2:$E$862,$C89,Elements!$F$2:$F$862,$D89)</f>
        <v/>
      </c>
      <c r="F89" s="5">
        <f>IFERROR(_xlfn.MINIFS(Elements!$I$2:$I$862,Elements!$B$2:$B$862,$A89,Elements!$D$2:$D$862,$B89,Elements!$E$2:$E$862,$C89,Elements!$F$2:$F$862,$D89),"")</f>
        <v/>
      </c>
      <c r="G89" s="5">
        <f>IFERROR(_xlfn.MAXIFS(Elements!$I$2:$I$862,Elements!$B$2:$B$862,$A89,Elements!$D$2:$D$862,$B89,Elements!$E$2:$E$862,$C89,Elements!$F$2:$F$862,$D89),"")</f>
        <v/>
      </c>
      <c r="H89" s="5">
        <f>IFERROR(_xlfn.MINIFS(Elements!$J$2:$J$862,Elements!$B$2:$B$862,$A89,Elements!$D$2:$D$862,$B89,Elements!$E$2:$E$862,$C89,Elements!$F$2:$F$862,$D89),"")</f>
        <v/>
      </c>
      <c r="I89" s="5">
        <f>IFERROR(_xlfn.MAXIFS(Elements!$J$2:$J$862,Elements!$B$2:$B$862,$A89,Elements!$D$2:$D$862,$B89,Elements!$E$2:$E$862,$C89,Elements!$F$2:$F$862,$D89),"")</f>
        <v/>
      </c>
      <c r="J89" s="5">
        <f>IF(OR(F89="",H89=""),"",IF(OR(B89="raft",B89="sump_pit",B89="crane_foundation",D89="(none)"),"n/a",IF(OR(B89="column",B89="footing",B89="mass_concrete_pad",AND(B89="wall",C89="shear_wall",D89&lt;&gt;"(none)")),IF(AND(G89-F89&lt;=3,I89-H89&lt;=3),"yes","no"),IF(I89-H89&lt;=3,"yes (thickness)","no (thickness)"))))</f>
        <v/>
      </c>
      <c r="K89" s="6">
        <f>SUMIFS(Elements!$M$2:$M$862,Elements!$B$2:$B$862,$A89,Elements!$D$2:$D$862,$B89,Elements!$E$2:$E$862,$C89,Elements!$F$2:$F$862,$D89)</f>
        <v/>
      </c>
      <c r="L89" s="6">
        <f>SUMIFS(Elements!$L$2:$L$862,Elements!$B$2:$B$862,$A89,Elements!$D$2:$D$862,$B89,Elements!$E$2:$E$862,$C89,Elements!$F$2:$F$862,$D89)</f>
        <v/>
      </c>
      <c r="M89" s="2" t="inlineStr">
        <is>
          <t>parallel line pair; 75-5798 x 80-120 cm; width stated in its label</t>
        </is>
      </c>
    </row>
    <row r="90">
      <c r="A90" s="5" t="inlineStr">
        <is>
          <t>123</t>
        </is>
      </c>
      <c r="B90" s="5" t="inlineStr">
        <is>
          <t>sump_pit</t>
        </is>
      </c>
      <c r="C90" s="5" t="inlineStr">
        <is>
          <t>sump_pit</t>
        </is>
      </c>
      <c r="D90" s="5" t="inlineStr">
        <is>
          <t>Fosse 2.00x1.50x1.50</t>
        </is>
      </c>
      <c r="E90" s="5">
        <f>COUNTIFS(Elements!$B$2:$B$862,$A90,Elements!$D$2:$D$862,$B90,Elements!$E$2:$E$862,$C90,Elements!$F$2:$F$862,$D90)</f>
        <v/>
      </c>
      <c r="F90" s="5">
        <f>IFERROR(_xlfn.MINIFS(Elements!$I$2:$I$862,Elements!$B$2:$B$862,$A90,Elements!$D$2:$D$862,$B90,Elements!$E$2:$E$862,$C90,Elements!$F$2:$F$862,$D90),"")</f>
        <v/>
      </c>
      <c r="G90" s="5">
        <f>IFERROR(_xlfn.MAXIFS(Elements!$I$2:$I$862,Elements!$B$2:$B$862,$A90,Elements!$D$2:$D$862,$B90,Elements!$E$2:$E$862,$C90,Elements!$F$2:$F$862,$D90),"")</f>
        <v/>
      </c>
      <c r="H90" s="5">
        <f>IFERROR(_xlfn.MINIFS(Elements!$J$2:$J$862,Elements!$B$2:$B$862,$A90,Elements!$D$2:$D$862,$B90,Elements!$E$2:$E$862,$C90,Elements!$F$2:$F$862,$D90),"")</f>
        <v/>
      </c>
      <c r="I90" s="5">
        <f>IFERROR(_xlfn.MAXIFS(Elements!$J$2:$J$862,Elements!$B$2:$B$862,$A90,Elements!$D$2:$D$862,$B90,Elements!$E$2:$E$862,$C90,Elements!$F$2:$F$862,$D90),"")</f>
        <v/>
      </c>
      <c r="J90" s="5">
        <f>IF(OR(F90="",H90=""),"",IF(OR(B90="raft",B90="sump_pit",B90="crane_foundation",D90="(none)"),"n/a",IF(OR(B90="column",B90="footing",B90="mass_concrete_pad",AND(B90="wall",C90="shear_wall",D90&lt;&gt;"(none)")),IF(AND(G90-F90&lt;=3,I90-H90&lt;=3),"yes","no"),IF(I90-H90&lt;=3,"yes (thickness)","no (thickness)"))))</f>
        <v/>
      </c>
      <c r="K90" s="6">
        <f>SUMIFS(Elements!$M$2:$M$862,Elements!$B$2:$B$862,$A90,Elements!$D$2:$D$862,$B90,Elements!$E$2:$E$862,$C90,Elements!$F$2:$F$862,$D90)</f>
        <v/>
      </c>
      <c r="L90" s="6">
        <f>SUMIFS(Elements!$L$2:$L$862,Elements!$B$2:$B$862,$A90,Elements!$D$2:$D$862,$B90,Elements!$E$2:$E$862,$C90,Elements!$F$2:$F$862,$D90)</f>
        <v/>
      </c>
      <c r="M90" s="2" t="inlineStr">
        <is>
          <t>text; 200-200 x 150-150 cm; 'FOSSE DE RELEVAGE' text with LxWxH, 'RADIER 25' stamp</t>
        </is>
      </c>
    </row>
    <row r="91">
      <c r="A91" s="5" t="inlineStr">
        <is>
          <t>123</t>
        </is>
      </c>
      <c r="B91" s="5" t="inlineStr">
        <is>
          <t>wall</t>
        </is>
      </c>
      <c r="C91" s="5" t="inlineStr">
        <is>
          <t>core_wall_hatched</t>
        </is>
      </c>
      <c r="D91" s="5" t="inlineStr">
        <is>
          <t>(none)</t>
        </is>
      </c>
      <c r="E91" s="5">
        <f>COUNTIFS(Elements!$B$2:$B$862,$A91,Elements!$D$2:$D$862,$B91,Elements!$E$2:$E$862,$C91,Elements!$F$2:$F$862,$D91)</f>
        <v/>
      </c>
      <c r="F91" s="5">
        <f>IFERROR(_xlfn.MINIFS(Elements!$I$2:$I$862,Elements!$B$2:$B$862,$A91,Elements!$D$2:$D$862,$B91,Elements!$E$2:$E$862,$C91,Elements!$F$2:$F$862,$D91),"")</f>
        <v/>
      </c>
      <c r="G91" s="5">
        <f>IFERROR(_xlfn.MAXIFS(Elements!$I$2:$I$862,Elements!$B$2:$B$862,$A91,Elements!$D$2:$D$862,$B91,Elements!$E$2:$E$862,$C91,Elements!$F$2:$F$862,$D91),"")</f>
        <v/>
      </c>
      <c r="H91" s="5">
        <f>IFERROR(_xlfn.MINIFS(Elements!$J$2:$J$862,Elements!$B$2:$B$862,$A91,Elements!$D$2:$D$862,$B91,Elements!$E$2:$E$862,$C91,Elements!$F$2:$F$862,$D91),"")</f>
        <v/>
      </c>
      <c r="I91" s="5">
        <f>IFERROR(_xlfn.MAXIFS(Elements!$J$2:$J$862,Elements!$B$2:$B$862,$A91,Elements!$D$2:$D$862,$B91,Elements!$E$2:$E$862,$C91,Elements!$F$2:$F$862,$D91),"")</f>
        <v/>
      </c>
      <c r="J91" s="5">
        <f>IF(OR(F91="",H91=""),"",IF(OR(B91="raft",B91="sump_pit",B91="crane_foundation",D91="(none)"),"n/a",IF(OR(B91="column",B91="footing",B91="mass_concrete_pad",AND(B91="wall",C91="shear_wall",D91&lt;&gt;"(none)")),IF(AND(G91-F91&lt;=3,I91-H91&lt;=3),"yes","no"),IF(I91-H91&lt;=3,"yes (thickness)","no (thickness)"))))</f>
        <v/>
      </c>
      <c r="K91" s="6">
        <f>SUMIFS(Elements!$M$2:$M$862,Elements!$B$2:$B$862,$A91,Elements!$D$2:$D$862,$B91,Elements!$E$2:$E$862,$C91,Elements!$F$2:$F$862,$D91)</f>
        <v/>
      </c>
      <c r="L91" s="6">
        <f>SUMIFS(Elements!$L$2:$L$862,Elements!$B$2:$B$862,$A91,Elements!$D$2:$D$862,$B91,Elements!$E$2:$E$862,$C91,Elements!$F$2:$F$862,$D91)</f>
        <v/>
      </c>
      <c r="M91" s="2" t="inlineStr">
        <is>
          <t>cross-hatch; 94-1044 x 20-25 cm; L/W 4.70-52.20; hatch strokes [0.24, 0.25, 0.28] m at +/-45 deg; thickness = local spread of stroke ends; on a raft 100%; no V label</t>
        </is>
      </c>
    </row>
    <row r="92">
      <c r="A92" s="5" t="inlineStr">
        <is>
          <t>123</t>
        </is>
      </c>
      <c r="B92" s="5" t="inlineStr">
        <is>
          <t>wall</t>
        </is>
      </c>
      <c r="C92" s="5" t="inlineStr">
        <is>
          <t>core_wall_solid</t>
        </is>
      </c>
      <c r="D92" s="5" t="inlineStr">
        <is>
          <t>(none)</t>
        </is>
      </c>
      <c r="E92" s="5">
        <f>COUNTIFS(Elements!$B$2:$B$862,$A92,Elements!$D$2:$D$862,$B92,Elements!$E$2:$E$862,$C92,Elements!$F$2:$F$862,$D92)</f>
        <v/>
      </c>
      <c r="F92" s="5">
        <f>IFERROR(_xlfn.MINIFS(Elements!$I$2:$I$862,Elements!$B$2:$B$862,$A92,Elements!$D$2:$D$862,$B92,Elements!$E$2:$E$862,$C92,Elements!$F$2:$F$862,$D92),"")</f>
        <v/>
      </c>
      <c r="G92" s="5">
        <f>IFERROR(_xlfn.MAXIFS(Elements!$I$2:$I$862,Elements!$B$2:$B$862,$A92,Elements!$D$2:$D$862,$B92,Elements!$E$2:$E$862,$C92,Elements!$F$2:$F$862,$D92),"")</f>
        <v/>
      </c>
      <c r="H92" s="5">
        <f>IFERROR(_xlfn.MINIFS(Elements!$J$2:$J$862,Elements!$B$2:$B$862,$A92,Elements!$D$2:$D$862,$B92,Elements!$E$2:$E$862,$C92,Elements!$F$2:$F$862,$D92),"")</f>
        <v/>
      </c>
      <c r="I92" s="5">
        <f>IFERROR(_xlfn.MAXIFS(Elements!$J$2:$J$862,Elements!$B$2:$B$862,$A92,Elements!$D$2:$D$862,$B92,Elements!$E$2:$E$862,$C92,Elements!$F$2:$F$862,$D92),"")</f>
        <v/>
      </c>
      <c r="J92" s="5">
        <f>IF(OR(F92="",H92=""),"",IF(OR(B92="raft",B92="sump_pit",B92="crane_foundation",D92="(none)"),"n/a",IF(OR(B92="column",B92="footing",B92="mass_concrete_pad",AND(B92="wall",C92="shear_wall",D92&lt;&gt;"(none)")),IF(AND(G92-F92&lt;=3,I92-H92&lt;=3),"yes","no"),IF(I92-H92&lt;=3,"yes (thickness)","no (thickness)"))))</f>
        <v/>
      </c>
      <c r="K92" s="6">
        <f>SUMIFS(Elements!$M$2:$M$862,Elements!$B$2:$B$862,$A92,Elements!$D$2:$D$862,$B92,Elements!$E$2:$E$862,$C92,Elements!$F$2:$F$862,$D92)</f>
        <v/>
      </c>
      <c r="L92" s="6">
        <f>SUMIFS(Elements!$L$2:$L$862,Elements!$B$2:$B$862,$A92,Elements!$D$2:$D$862,$B92,Elements!$E$2:$E$862,$C92,Elements!$F$2:$F$862,$D92)</f>
        <v/>
      </c>
      <c r="M92" s="2" t="inlineStr">
        <is>
          <t>solid fill; 39-816 x 20-30 cm; L/W 1.81-36.95; inside a footing outline 0%; on a raft 100%; touching a hatched core wall 24%; in a strip-footing band 0%; at a grade-beam junction 0%</t>
        </is>
      </c>
    </row>
    <row r="93">
      <c r="A93" s="5" t="inlineStr">
        <is>
          <t>123</t>
        </is>
      </c>
      <c r="B93" s="5" t="inlineStr">
        <is>
          <t>wall</t>
        </is>
      </c>
      <c r="C93" s="5" t="inlineStr">
        <is>
          <t>retaining_wall</t>
        </is>
      </c>
      <c r="D93" s="5" t="inlineStr">
        <is>
          <t>VP25</t>
        </is>
      </c>
      <c r="E93" s="5">
        <f>COUNTIFS(Elements!$B$2:$B$862,$A93,Elements!$D$2:$D$862,$B93,Elements!$E$2:$E$862,$C93,Elements!$F$2:$F$862,$D93)</f>
        <v/>
      </c>
      <c r="F93" s="5">
        <f>IFERROR(_xlfn.MINIFS(Elements!$I$2:$I$862,Elements!$B$2:$B$862,$A93,Elements!$D$2:$D$862,$B93,Elements!$E$2:$E$862,$C93,Elements!$F$2:$F$862,$D93),"")</f>
        <v/>
      </c>
      <c r="G93" s="5">
        <f>IFERROR(_xlfn.MAXIFS(Elements!$I$2:$I$862,Elements!$B$2:$B$862,$A93,Elements!$D$2:$D$862,$B93,Elements!$E$2:$E$862,$C93,Elements!$F$2:$F$862,$D93),"")</f>
        <v/>
      </c>
      <c r="H93" s="5">
        <f>IFERROR(_xlfn.MINIFS(Elements!$J$2:$J$862,Elements!$B$2:$B$862,$A93,Elements!$D$2:$D$862,$B93,Elements!$E$2:$E$862,$C93,Elements!$F$2:$F$862,$D93),"")</f>
        <v/>
      </c>
      <c r="I93" s="5">
        <f>IFERROR(_xlfn.MAXIFS(Elements!$J$2:$J$862,Elements!$B$2:$B$862,$A93,Elements!$D$2:$D$862,$B93,Elements!$E$2:$E$862,$C93,Elements!$F$2:$F$862,$D93),"")</f>
        <v/>
      </c>
      <c r="J93" s="5">
        <f>IF(OR(F93="",H93=""),"",IF(OR(B93="raft",B93="sump_pit",B93="crane_foundation",D93="(none)"),"n/a",IF(OR(B93="column",B93="footing",B93="mass_concrete_pad",AND(B93="wall",C93="shear_wall",D93&lt;&gt;"(none)")),IF(AND(G93-F93&lt;=3,I93-H93&lt;=3),"yes","no"),IF(I93-H93&lt;=3,"yes (thickness)","no (thickness)"))))</f>
        <v/>
      </c>
      <c r="K93" s="6">
        <f>SUMIFS(Elements!$M$2:$M$862,Elements!$B$2:$B$862,$A93,Elements!$D$2:$D$862,$B93,Elements!$E$2:$E$862,$C93,Elements!$F$2:$F$862,$D93)</f>
        <v/>
      </c>
      <c r="L93" s="6">
        <f>SUMIFS(Elements!$L$2:$L$862,Elements!$B$2:$B$862,$A93,Elements!$D$2:$D$862,$B93,Elements!$E$2:$E$862,$C93,Elements!$F$2:$F$862,$D93)</f>
        <v/>
      </c>
      <c r="M93" s="2" t="inlineStr">
        <is>
          <t>solid fill; 34-2869 x 20-30 cm; L/W 1.70-143.45; inside a footing outline 5%; on a raft 29%; touching a hatched core wall 12%; in a strip-footing band 69%; at a grade-beam junction 20%</t>
        </is>
      </c>
    </row>
    <row r="94">
      <c r="A94" s="5" t="inlineStr">
        <is>
          <t>123</t>
        </is>
      </c>
      <c r="B94" s="5" t="inlineStr">
        <is>
          <t>wall</t>
        </is>
      </c>
      <c r="C94" s="5" t="inlineStr">
        <is>
          <t>shear_wall</t>
        </is>
      </c>
      <c r="D94" s="5" t="inlineStr">
        <is>
          <t>(none)</t>
        </is>
      </c>
      <c r="E94" s="5">
        <f>COUNTIFS(Elements!$B$2:$B$862,$A94,Elements!$D$2:$D$862,$B94,Elements!$E$2:$E$862,$C94,Elements!$F$2:$F$862,$D94)</f>
        <v/>
      </c>
      <c r="F94" s="5">
        <f>IFERROR(_xlfn.MINIFS(Elements!$I$2:$I$862,Elements!$B$2:$B$862,$A94,Elements!$D$2:$D$862,$B94,Elements!$E$2:$E$862,$C94,Elements!$F$2:$F$862,$D94),"")</f>
        <v/>
      </c>
      <c r="G94" s="5">
        <f>IFERROR(_xlfn.MAXIFS(Elements!$I$2:$I$862,Elements!$B$2:$B$862,$A94,Elements!$D$2:$D$862,$B94,Elements!$E$2:$E$862,$C94,Elements!$F$2:$F$862,$D94),"")</f>
        <v/>
      </c>
      <c r="H94" s="5">
        <f>IFERROR(_xlfn.MINIFS(Elements!$J$2:$J$862,Elements!$B$2:$B$862,$A94,Elements!$D$2:$D$862,$B94,Elements!$E$2:$E$862,$C94,Elements!$F$2:$F$862,$D94),"")</f>
        <v/>
      </c>
      <c r="I94" s="5">
        <f>IFERROR(_xlfn.MAXIFS(Elements!$J$2:$J$862,Elements!$B$2:$B$862,$A94,Elements!$D$2:$D$862,$B94,Elements!$E$2:$E$862,$C94,Elements!$F$2:$F$862,$D94),"")</f>
        <v/>
      </c>
      <c r="J94" s="5">
        <f>IF(OR(F94="",H94=""),"",IF(OR(B94="raft",B94="sump_pit",B94="crane_foundation",D94="(none)"),"n/a",IF(OR(B94="column",B94="footing",B94="mass_concrete_pad",AND(B94="wall",C94="shear_wall",D94&lt;&gt;"(none)")),IF(AND(G94-F94&lt;=3,I94-H94&lt;=3),"yes","no"),IF(I94-H94&lt;=3,"yes (thickness)","no (thickness)"))))</f>
        <v/>
      </c>
      <c r="K94" s="6">
        <f>SUMIFS(Elements!$M$2:$M$862,Elements!$B$2:$B$862,$A94,Elements!$D$2:$D$862,$B94,Elements!$E$2:$E$862,$C94,Elements!$F$2:$F$862,$D94)</f>
        <v/>
      </c>
      <c r="L94" s="6">
        <f>SUMIFS(Elements!$L$2:$L$862,Elements!$B$2:$B$862,$A94,Elements!$D$2:$D$862,$B94,Elements!$E$2:$E$862,$C94,Elements!$F$2:$F$862,$D94)</f>
        <v/>
      </c>
      <c r="M94" s="2" t="inlineStr">
        <is>
          <t>solid fill; 87-1849 x 20-30 cm; L/W 4.17-92.45; inside a footing outline 72%; on a raft 10%; touching a hatched core wall 1%; in a strip-footing band 5%; at a grade-beam junction 51%</t>
        </is>
      </c>
    </row>
    <row r="95">
      <c r="A95" s="5" t="inlineStr">
        <is>
          <t>123</t>
        </is>
      </c>
      <c r="B95" s="5" t="inlineStr">
        <is>
          <t>wall</t>
        </is>
      </c>
      <c r="C95" s="5" t="inlineStr">
        <is>
          <t>shear_wall</t>
        </is>
      </c>
      <c r="D95" s="5" t="inlineStr">
        <is>
          <t>V1/123</t>
        </is>
      </c>
      <c r="E95" s="5">
        <f>COUNTIFS(Elements!$B$2:$B$862,$A95,Elements!$D$2:$D$862,$B95,Elements!$E$2:$E$862,$C95,Elements!$F$2:$F$862,$D95)</f>
        <v/>
      </c>
      <c r="F95" s="5">
        <f>IFERROR(_xlfn.MINIFS(Elements!$I$2:$I$862,Elements!$B$2:$B$862,$A95,Elements!$D$2:$D$862,$B95,Elements!$E$2:$E$862,$C95,Elements!$F$2:$F$862,$D95),"")</f>
        <v/>
      </c>
      <c r="G95" s="5">
        <f>IFERROR(_xlfn.MAXIFS(Elements!$I$2:$I$862,Elements!$B$2:$B$862,$A95,Elements!$D$2:$D$862,$B95,Elements!$E$2:$E$862,$C95,Elements!$F$2:$F$862,$D95),"")</f>
        <v/>
      </c>
      <c r="H95" s="5">
        <f>IFERROR(_xlfn.MINIFS(Elements!$J$2:$J$862,Elements!$B$2:$B$862,$A95,Elements!$D$2:$D$862,$B95,Elements!$E$2:$E$862,$C95,Elements!$F$2:$F$862,$D95),"")</f>
        <v/>
      </c>
      <c r="I95" s="5">
        <f>IFERROR(_xlfn.MAXIFS(Elements!$J$2:$J$862,Elements!$B$2:$B$862,$A95,Elements!$D$2:$D$862,$B95,Elements!$E$2:$E$862,$C95,Elements!$F$2:$F$862,$D95),"")</f>
        <v/>
      </c>
      <c r="J95" s="5">
        <f>IF(OR(F95="",H95=""),"",IF(OR(B95="raft",B95="sump_pit",B95="crane_foundation",D95="(none)"),"n/a",IF(OR(B95="column",B95="footing",B95="mass_concrete_pad",AND(B95="wall",C95="shear_wall",D95&lt;&gt;"(none)")),IF(AND(G95-F95&lt;=3,I95-H95&lt;=3),"yes","no"),IF(I95-H95&lt;=3,"yes (thickness)","no (thickness)"))))</f>
        <v/>
      </c>
      <c r="K95" s="6">
        <f>SUMIFS(Elements!$M$2:$M$862,Elements!$B$2:$B$862,$A95,Elements!$D$2:$D$862,$B95,Elements!$E$2:$E$862,$C95,Elements!$F$2:$F$862,$D95)</f>
        <v/>
      </c>
      <c r="L95" s="6">
        <f>SUMIFS(Elements!$L$2:$L$862,Elements!$B$2:$B$862,$A95,Elements!$D$2:$D$862,$B95,Elements!$E$2:$E$862,$C95,Elements!$F$2:$F$862,$D95)</f>
        <v/>
      </c>
      <c r="M95" s="2" t="inlineStr">
        <is>
          <t>solid fill; 87-1849 x 20-30 cm; L/W 4.17-92.45; inside a footing outline 72%; on a raft 10%; touching a hatched core wall 1%; in a strip-footing band 5%; at a grade-beam junction 51%</t>
        </is>
      </c>
    </row>
    <row r="96">
      <c r="A96" s="5" t="inlineStr">
        <is>
          <t>123</t>
        </is>
      </c>
      <c r="B96" s="5" t="inlineStr">
        <is>
          <t>wall</t>
        </is>
      </c>
      <c r="C96" s="5" t="inlineStr">
        <is>
          <t>shear_wall</t>
        </is>
      </c>
      <c r="D96" s="5" t="inlineStr">
        <is>
          <t>V2/123</t>
        </is>
      </c>
      <c r="E96" s="5">
        <f>COUNTIFS(Elements!$B$2:$B$862,$A96,Elements!$D$2:$D$862,$B96,Elements!$E$2:$E$862,$C96,Elements!$F$2:$F$862,$D96)</f>
        <v/>
      </c>
      <c r="F96" s="5">
        <f>IFERROR(_xlfn.MINIFS(Elements!$I$2:$I$862,Elements!$B$2:$B$862,$A96,Elements!$D$2:$D$862,$B96,Elements!$E$2:$E$862,$C96,Elements!$F$2:$F$862,$D96),"")</f>
        <v/>
      </c>
      <c r="G96" s="5">
        <f>IFERROR(_xlfn.MAXIFS(Elements!$I$2:$I$862,Elements!$B$2:$B$862,$A96,Elements!$D$2:$D$862,$B96,Elements!$E$2:$E$862,$C96,Elements!$F$2:$F$862,$D96),"")</f>
        <v/>
      </c>
      <c r="H96" s="5">
        <f>IFERROR(_xlfn.MINIFS(Elements!$J$2:$J$862,Elements!$B$2:$B$862,$A96,Elements!$D$2:$D$862,$B96,Elements!$E$2:$E$862,$C96,Elements!$F$2:$F$862,$D96),"")</f>
        <v/>
      </c>
      <c r="I96" s="5">
        <f>IFERROR(_xlfn.MAXIFS(Elements!$J$2:$J$862,Elements!$B$2:$B$862,$A96,Elements!$D$2:$D$862,$B96,Elements!$E$2:$E$862,$C96,Elements!$F$2:$F$862,$D96),"")</f>
        <v/>
      </c>
      <c r="J96" s="5">
        <f>IF(OR(F96="",H96=""),"",IF(OR(B96="raft",B96="sump_pit",B96="crane_foundation",D96="(none)"),"n/a",IF(OR(B96="column",B96="footing",B96="mass_concrete_pad",AND(B96="wall",C96="shear_wall",D96&lt;&gt;"(none)")),IF(AND(G96-F96&lt;=3,I96-H96&lt;=3),"yes","no"),IF(I96-H96&lt;=3,"yes (thickness)","no (thickness)"))))</f>
        <v/>
      </c>
      <c r="K96" s="6">
        <f>SUMIFS(Elements!$M$2:$M$862,Elements!$B$2:$B$862,$A96,Elements!$D$2:$D$862,$B96,Elements!$E$2:$E$862,$C96,Elements!$F$2:$F$862,$D96)</f>
        <v/>
      </c>
      <c r="L96" s="6">
        <f>SUMIFS(Elements!$L$2:$L$862,Elements!$B$2:$B$862,$A96,Elements!$D$2:$D$862,$B96,Elements!$E$2:$E$862,$C96,Elements!$F$2:$F$862,$D96)</f>
        <v/>
      </c>
      <c r="M96" s="2" t="inlineStr">
        <is>
          <t>solid fill; 87-1849 x 20-30 cm; L/W 4.17-92.45; inside a footing outline 72%; on a raft 10%; touching a hatched core wall 1%; in a strip-footing band 5%; at a grade-beam junction 51%</t>
        </is>
      </c>
    </row>
    <row r="97">
      <c r="A97" s="5" t="inlineStr">
        <is>
          <t>123</t>
        </is>
      </c>
      <c r="B97" s="5" t="inlineStr">
        <is>
          <t>wall</t>
        </is>
      </c>
      <c r="C97" s="5" t="inlineStr">
        <is>
          <t>shear_wall</t>
        </is>
      </c>
      <c r="D97" s="5" t="inlineStr">
        <is>
          <t>V3/123</t>
        </is>
      </c>
      <c r="E97" s="5">
        <f>COUNTIFS(Elements!$B$2:$B$862,$A97,Elements!$D$2:$D$862,$B97,Elements!$E$2:$E$862,$C97,Elements!$F$2:$F$862,$D97)</f>
        <v/>
      </c>
      <c r="F97" s="5">
        <f>IFERROR(_xlfn.MINIFS(Elements!$I$2:$I$862,Elements!$B$2:$B$862,$A97,Elements!$D$2:$D$862,$B97,Elements!$E$2:$E$862,$C97,Elements!$F$2:$F$862,$D97),"")</f>
        <v/>
      </c>
      <c r="G97" s="5">
        <f>IFERROR(_xlfn.MAXIFS(Elements!$I$2:$I$862,Elements!$B$2:$B$862,$A97,Elements!$D$2:$D$862,$B97,Elements!$E$2:$E$862,$C97,Elements!$F$2:$F$862,$D97),"")</f>
        <v/>
      </c>
      <c r="H97" s="5">
        <f>IFERROR(_xlfn.MINIFS(Elements!$J$2:$J$862,Elements!$B$2:$B$862,$A97,Elements!$D$2:$D$862,$B97,Elements!$E$2:$E$862,$C97,Elements!$F$2:$F$862,$D97),"")</f>
        <v/>
      </c>
      <c r="I97" s="5">
        <f>IFERROR(_xlfn.MAXIFS(Elements!$J$2:$J$862,Elements!$B$2:$B$862,$A97,Elements!$D$2:$D$862,$B97,Elements!$E$2:$E$862,$C97,Elements!$F$2:$F$862,$D97),"")</f>
        <v/>
      </c>
      <c r="J97" s="5">
        <f>IF(OR(F97="",H97=""),"",IF(OR(B97="raft",B97="sump_pit",B97="crane_foundation",D97="(none)"),"n/a",IF(OR(B97="column",B97="footing",B97="mass_concrete_pad",AND(B97="wall",C97="shear_wall",D97&lt;&gt;"(none)")),IF(AND(G97-F97&lt;=3,I97-H97&lt;=3),"yes","no"),IF(I97-H97&lt;=3,"yes (thickness)","no (thickness)"))))</f>
        <v/>
      </c>
      <c r="K97" s="6">
        <f>SUMIFS(Elements!$M$2:$M$862,Elements!$B$2:$B$862,$A97,Elements!$D$2:$D$862,$B97,Elements!$E$2:$E$862,$C97,Elements!$F$2:$F$862,$D97)</f>
        <v/>
      </c>
      <c r="L97" s="6">
        <f>SUMIFS(Elements!$L$2:$L$862,Elements!$B$2:$B$862,$A97,Elements!$D$2:$D$862,$B97,Elements!$E$2:$E$862,$C97,Elements!$F$2:$F$862,$D97)</f>
        <v/>
      </c>
      <c r="M97" s="2" t="inlineStr">
        <is>
          <t>solid fill; 87-1849 x 20-30 cm; L/W 4.17-92.45; inside a footing outline 72%; on a raft 10%; touching a hatched core wall 1%; in a strip-footing band 5%; at a grade-beam junction 51%</t>
        </is>
      </c>
    </row>
    <row r="98">
      <c r="A98" s="5" t="inlineStr">
        <is>
          <t>123</t>
        </is>
      </c>
      <c r="B98" s="5" t="inlineStr">
        <is>
          <t>wall</t>
        </is>
      </c>
      <c r="C98" s="5" t="inlineStr">
        <is>
          <t>shear_wall</t>
        </is>
      </c>
      <c r="D98" s="5" t="inlineStr">
        <is>
          <t>V4/123</t>
        </is>
      </c>
      <c r="E98" s="5">
        <f>COUNTIFS(Elements!$B$2:$B$862,$A98,Elements!$D$2:$D$862,$B98,Elements!$E$2:$E$862,$C98,Elements!$F$2:$F$862,$D98)</f>
        <v/>
      </c>
      <c r="F98" s="5">
        <f>IFERROR(_xlfn.MINIFS(Elements!$I$2:$I$862,Elements!$B$2:$B$862,$A98,Elements!$D$2:$D$862,$B98,Elements!$E$2:$E$862,$C98,Elements!$F$2:$F$862,$D98),"")</f>
        <v/>
      </c>
      <c r="G98" s="5">
        <f>IFERROR(_xlfn.MAXIFS(Elements!$I$2:$I$862,Elements!$B$2:$B$862,$A98,Elements!$D$2:$D$862,$B98,Elements!$E$2:$E$862,$C98,Elements!$F$2:$F$862,$D98),"")</f>
        <v/>
      </c>
      <c r="H98" s="5">
        <f>IFERROR(_xlfn.MINIFS(Elements!$J$2:$J$862,Elements!$B$2:$B$862,$A98,Elements!$D$2:$D$862,$B98,Elements!$E$2:$E$862,$C98,Elements!$F$2:$F$862,$D98),"")</f>
        <v/>
      </c>
      <c r="I98" s="5">
        <f>IFERROR(_xlfn.MAXIFS(Elements!$J$2:$J$862,Elements!$B$2:$B$862,$A98,Elements!$D$2:$D$862,$B98,Elements!$E$2:$E$862,$C98,Elements!$F$2:$F$862,$D98),"")</f>
        <v/>
      </c>
      <c r="J98" s="5">
        <f>IF(OR(F98="",H98=""),"",IF(OR(B98="raft",B98="sump_pit",B98="crane_foundation",D98="(none)"),"n/a",IF(OR(B98="column",B98="footing",B98="mass_concrete_pad",AND(B98="wall",C98="shear_wall",D98&lt;&gt;"(none)")),IF(AND(G98-F98&lt;=3,I98-H98&lt;=3),"yes","no"),IF(I98-H98&lt;=3,"yes (thickness)","no (thickness)"))))</f>
        <v/>
      </c>
      <c r="K98" s="6">
        <f>SUMIFS(Elements!$M$2:$M$862,Elements!$B$2:$B$862,$A98,Elements!$D$2:$D$862,$B98,Elements!$E$2:$E$862,$C98,Elements!$F$2:$F$862,$D98)</f>
        <v/>
      </c>
      <c r="L98" s="6">
        <f>SUMIFS(Elements!$L$2:$L$862,Elements!$B$2:$B$862,$A98,Elements!$D$2:$D$862,$B98,Elements!$E$2:$E$862,$C98,Elements!$F$2:$F$862,$D98)</f>
        <v/>
      </c>
      <c r="M98" s="2" t="inlineStr">
        <is>
          <t>solid fill; 87-1849 x 20-30 cm; L/W 4.17-92.45; inside a footing outline 72%; on a raft 10%; touching a hatched core wall 1%; in a strip-footing band 5%; at a grade-beam junction 51%</t>
        </is>
      </c>
    </row>
    <row r="99">
      <c r="A99" s="5" t="inlineStr">
        <is>
          <t>123</t>
        </is>
      </c>
      <c r="B99" s="5" t="inlineStr">
        <is>
          <t>wall</t>
        </is>
      </c>
      <c r="C99" s="5" t="inlineStr">
        <is>
          <t>shear_wall</t>
        </is>
      </c>
      <c r="D99" s="5" t="inlineStr">
        <is>
          <t>V5/123</t>
        </is>
      </c>
      <c r="E99" s="5">
        <f>COUNTIFS(Elements!$B$2:$B$862,$A99,Elements!$D$2:$D$862,$B99,Elements!$E$2:$E$862,$C99,Elements!$F$2:$F$862,$D99)</f>
        <v/>
      </c>
      <c r="F99" s="5">
        <f>IFERROR(_xlfn.MINIFS(Elements!$I$2:$I$862,Elements!$B$2:$B$862,$A99,Elements!$D$2:$D$862,$B99,Elements!$E$2:$E$862,$C99,Elements!$F$2:$F$862,$D99),"")</f>
        <v/>
      </c>
      <c r="G99" s="5">
        <f>IFERROR(_xlfn.MAXIFS(Elements!$I$2:$I$862,Elements!$B$2:$B$862,$A99,Elements!$D$2:$D$862,$B99,Elements!$E$2:$E$862,$C99,Elements!$F$2:$F$862,$D99),"")</f>
        <v/>
      </c>
      <c r="H99" s="5">
        <f>IFERROR(_xlfn.MINIFS(Elements!$J$2:$J$862,Elements!$B$2:$B$862,$A99,Elements!$D$2:$D$862,$B99,Elements!$E$2:$E$862,$C99,Elements!$F$2:$F$862,$D99),"")</f>
        <v/>
      </c>
      <c r="I99" s="5">
        <f>IFERROR(_xlfn.MAXIFS(Elements!$J$2:$J$862,Elements!$B$2:$B$862,$A99,Elements!$D$2:$D$862,$B99,Elements!$E$2:$E$862,$C99,Elements!$F$2:$F$862,$D99),"")</f>
        <v/>
      </c>
      <c r="J99" s="5">
        <f>IF(OR(F99="",H99=""),"",IF(OR(B99="raft",B99="sump_pit",B99="crane_foundation",D99="(none)"),"n/a",IF(OR(B99="column",B99="footing",B99="mass_concrete_pad",AND(B99="wall",C99="shear_wall",D99&lt;&gt;"(none)")),IF(AND(G99-F99&lt;=3,I99-H99&lt;=3),"yes","no"),IF(I99-H99&lt;=3,"yes (thickness)","no (thickness)"))))</f>
        <v/>
      </c>
      <c r="K99" s="6">
        <f>SUMIFS(Elements!$M$2:$M$862,Elements!$B$2:$B$862,$A99,Elements!$D$2:$D$862,$B99,Elements!$E$2:$E$862,$C99,Elements!$F$2:$F$862,$D99)</f>
        <v/>
      </c>
      <c r="L99" s="6">
        <f>SUMIFS(Elements!$L$2:$L$862,Elements!$B$2:$B$862,$A99,Elements!$D$2:$D$862,$B99,Elements!$E$2:$E$862,$C99,Elements!$F$2:$F$862,$D99)</f>
        <v/>
      </c>
      <c r="M99" s="2" t="inlineStr">
        <is>
          <t>solid fill; 87-1849 x 20-30 cm; L/W 4.17-92.45; inside a footing outline 72%; on a raft 10%; touching a hatched core wall 1%; in a strip-footing band 5%; at a grade-beam junction 51%</t>
        </is>
      </c>
    </row>
    <row r="100">
      <c r="A100" s="5" t="inlineStr">
        <is>
          <t>123</t>
        </is>
      </c>
      <c r="B100" s="5" t="inlineStr">
        <is>
          <t>wall</t>
        </is>
      </c>
      <c r="C100" s="5" t="inlineStr">
        <is>
          <t>shear_wall</t>
        </is>
      </c>
      <c r="D100" s="5" t="inlineStr">
        <is>
          <t>V6/123</t>
        </is>
      </c>
      <c r="E100" s="5">
        <f>COUNTIFS(Elements!$B$2:$B$862,$A100,Elements!$D$2:$D$862,$B100,Elements!$E$2:$E$862,$C100,Elements!$F$2:$F$862,$D100)</f>
        <v/>
      </c>
      <c r="F100" s="5">
        <f>IFERROR(_xlfn.MINIFS(Elements!$I$2:$I$862,Elements!$B$2:$B$862,$A100,Elements!$D$2:$D$862,$B100,Elements!$E$2:$E$862,$C100,Elements!$F$2:$F$862,$D100),"")</f>
        <v/>
      </c>
      <c r="G100" s="5">
        <f>IFERROR(_xlfn.MAXIFS(Elements!$I$2:$I$862,Elements!$B$2:$B$862,$A100,Elements!$D$2:$D$862,$B100,Elements!$E$2:$E$862,$C100,Elements!$F$2:$F$862,$D100),"")</f>
        <v/>
      </c>
      <c r="H100" s="5">
        <f>IFERROR(_xlfn.MINIFS(Elements!$J$2:$J$862,Elements!$B$2:$B$862,$A100,Elements!$D$2:$D$862,$B100,Elements!$E$2:$E$862,$C100,Elements!$F$2:$F$862,$D100),"")</f>
        <v/>
      </c>
      <c r="I100" s="5">
        <f>IFERROR(_xlfn.MAXIFS(Elements!$J$2:$J$862,Elements!$B$2:$B$862,$A100,Elements!$D$2:$D$862,$B100,Elements!$E$2:$E$862,$C100,Elements!$F$2:$F$862,$D100),"")</f>
        <v/>
      </c>
      <c r="J100" s="5">
        <f>IF(OR(F100="",H100=""),"",IF(OR(B100="raft",B100="sump_pit",B100="crane_foundation",D100="(none)"),"n/a",IF(OR(B100="column",B100="footing",B100="mass_concrete_pad",AND(B100="wall",C100="shear_wall",D100&lt;&gt;"(none)")),IF(AND(G100-F100&lt;=3,I100-H100&lt;=3),"yes","no"),IF(I100-H100&lt;=3,"yes (thickness)","no (thickness)"))))</f>
        <v/>
      </c>
      <c r="K100" s="6">
        <f>SUMIFS(Elements!$M$2:$M$862,Elements!$B$2:$B$862,$A100,Elements!$D$2:$D$862,$B100,Elements!$E$2:$E$862,$C100,Elements!$F$2:$F$862,$D100)</f>
        <v/>
      </c>
      <c r="L100" s="6">
        <f>SUMIFS(Elements!$L$2:$L$862,Elements!$B$2:$B$862,$A100,Elements!$D$2:$D$862,$B100,Elements!$E$2:$E$862,$C100,Elements!$F$2:$F$862,$D100)</f>
        <v/>
      </c>
      <c r="M100" s="2" t="inlineStr">
        <is>
          <t>solid fill; 87-1849 x 20-30 cm; L/W 4.17-92.45; inside a footing outline 72%; on a raft 10%; touching a hatched core wall 1%; in a strip-footing band 5%; at a grade-beam junction 51%</t>
        </is>
      </c>
    </row>
    <row r="101">
      <c r="A101" s="5" t="inlineStr">
        <is>
          <t>123</t>
        </is>
      </c>
      <c r="B101" s="5" t="inlineStr">
        <is>
          <t>wall</t>
        </is>
      </c>
      <c r="C101" s="5" t="inlineStr">
        <is>
          <t>shear_wall</t>
        </is>
      </c>
      <c r="D101" s="5" t="inlineStr">
        <is>
          <t>V7/123</t>
        </is>
      </c>
      <c r="E101" s="5">
        <f>COUNTIFS(Elements!$B$2:$B$862,$A101,Elements!$D$2:$D$862,$B101,Elements!$E$2:$E$862,$C101,Elements!$F$2:$F$862,$D101)</f>
        <v/>
      </c>
      <c r="F101" s="5">
        <f>IFERROR(_xlfn.MINIFS(Elements!$I$2:$I$862,Elements!$B$2:$B$862,$A101,Elements!$D$2:$D$862,$B101,Elements!$E$2:$E$862,$C101,Elements!$F$2:$F$862,$D101),"")</f>
        <v/>
      </c>
      <c r="G101" s="5">
        <f>IFERROR(_xlfn.MAXIFS(Elements!$I$2:$I$862,Elements!$B$2:$B$862,$A101,Elements!$D$2:$D$862,$B101,Elements!$E$2:$E$862,$C101,Elements!$F$2:$F$862,$D101),"")</f>
        <v/>
      </c>
      <c r="H101" s="5">
        <f>IFERROR(_xlfn.MINIFS(Elements!$J$2:$J$862,Elements!$B$2:$B$862,$A101,Elements!$D$2:$D$862,$B101,Elements!$E$2:$E$862,$C101,Elements!$F$2:$F$862,$D101),"")</f>
        <v/>
      </c>
      <c r="I101" s="5">
        <f>IFERROR(_xlfn.MAXIFS(Elements!$J$2:$J$862,Elements!$B$2:$B$862,$A101,Elements!$D$2:$D$862,$B101,Elements!$E$2:$E$862,$C101,Elements!$F$2:$F$862,$D101),"")</f>
        <v/>
      </c>
      <c r="J101" s="5">
        <f>IF(OR(F101="",H101=""),"",IF(OR(B101="raft",B101="sump_pit",B101="crane_foundation",D101="(none)"),"n/a",IF(OR(B101="column",B101="footing",B101="mass_concrete_pad",AND(B101="wall",C101="shear_wall",D101&lt;&gt;"(none)")),IF(AND(G101-F101&lt;=3,I101-H101&lt;=3),"yes","no"),IF(I101-H101&lt;=3,"yes (thickness)","no (thickness)"))))</f>
        <v/>
      </c>
      <c r="K101" s="6">
        <f>SUMIFS(Elements!$M$2:$M$862,Elements!$B$2:$B$862,$A101,Elements!$D$2:$D$862,$B101,Elements!$E$2:$E$862,$C101,Elements!$F$2:$F$862,$D101)</f>
        <v/>
      </c>
      <c r="L101" s="6">
        <f>SUMIFS(Elements!$L$2:$L$862,Elements!$B$2:$B$862,$A101,Elements!$D$2:$D$862,$B101,Elements!$E$2:$E$862,$C101,Elements!$F$2:$F$862,$D101)</f>
        <v/>
      </c>
      <c r="M101" s="2" t="inlineStr">
        <is>
          <t>solid fill; 87-1849 x 20-30 cm; L/W 4.17-92.45; inside a footing outline 72%; on a raft 10%; touching a hatched core wall 1%; in a strip-footing band 5%; at a grade-beam junction 51%</t>
        </is>
      </c>
    </row>
    <row r="102">
      <c r="A102" s="5" t="inlineStr">
        <is>
          <t>124</t>
        </is>
      </c>
      <c r="B102" s="5" t="inlineStr">
        <is>
          <t>column</t>
        </is>
      </c>
      <c r="C102" s="5" t="inlineStr">
        <is>
          <t>column</t>
        </is>
      </c>
      <c r="D102" s="5" t="inlineStr">
        <is>
          <t>P1/124</t>
        </is>
      </c>
      <c r="E102" s="5">
        <f>COUNTIFS(Elements!$B$2:$B$862,$A102,Elements!$D$2:$D$862,$B102,Elements!$E$2:$E$862,$C102,Elements!$F$2:$F$862,$D102)</f>
        <v/>
      </c>
      <c r="F102" s="5">
        <f>IFERROR(_xlfn.MINIFS(Elements!$I$2:$I$862,Elements!$B$2:$B$862,$A102,Elements!$D$2:$D$862,$B102,Elements!$E$2:$E$862,$C102,Elements!$F$2:$F$862,$D102),"")</f>
        <v/>
      </c>
      <c r="G102" s="5">
        <f>IFERROR(_xlfn.MAXIFS(Elements!$I$2:$I$862,Elements!$B$2:$B$862,$A102,Elements!$D$2:$D$862,$B102,Elements!$E$2:$E$862,$C102,Elements!$F$2:$F$862,$D102),"")</f>
        <v/>
      </c>
      <c r="H102" s="5">
        <f>IFERROR(_xlfn.MINIFS(Elements!$J$2:$J$862,Elements!$B$2:$B$862,$A102,Elements!$D$2:$D$862,$B102,Elements!$E$2:$E$862,$C102,Elements!$F$2:$F$862,$D102),"")</f>
        <v/>
      </c>
      <c r="I102" s="5">
        <f>IFERROR(_xlfn.MAXIFS(Elements!$J$2:$J$862,Elements!$B$2:$B$862,$A102,Elements!$D$2:$D$862,$B102,Elements!$E$2:$E$862,$C102,Elements!$F$2:$F$862,$D102),"")</f>
        <v/>
      </c>
      <c r="J102" s="5">
        <f>IF(OR(F102="",H102=""),"",IF(OR(B102="raft",B102="sump_pit",B102="crane_foundation",D102="(none)"),"n/a",IF(OR(B102="column",B102="footing",B102="mass_concrete_pad",AND(B102="wall",C102="shear_wall",D102&lt;&gt;"(none)")),IF(AND(G102-F102&lt;=3,I102-H102&lt;=3),"yes","no"),IF(I102-H102&lt;=3,"yes (thickness)","no (thickness)"))))</f>
        <v/>
      </c>
      <c r="K102" s="6">
        <f>SUMIFS(Elements!$M$2:$M$862,Elements!$B$2:$B$862,$A102,Elements!$D$2:$D$862,$B102,Elements!$E$2:$E$862,$C102,Elements!$F$2:$F$862,$D102)</f>
        <v/>
      </c>
      <c r="L102" s="6">
        <f>SUMIFS(Elements!$L$2:$L$862,Elements!$B$2:$B$862,$A102,Elements!$D$2:$D$862,$B102,Elements!$E$2:$E$862,$C102,Elements!$F$2:$F$862,$D102)</f>
        <v/>
      </c>
      <c r="M102" s="2" t="inlineStr">
        <is>
          <t>solid fill; 40-120 x 25-50 cm; L/W 1.60-4.00; inside a footing outline 37%; on a raft 63%; touching a hatched core wall 26%; in a strip-footing band 0%; at a grade-beam junction 26%</t>
        </is>
      </c>
    </row>
    <row r="103">
      <c r="A103" s="5" t="inlineStr">
        <is>
          <t>124</t>
        </is>
      </c>
      <c r="B103" s="5" t="inlineStr">
        <is>
          <t>footing</t>
        </is>
      </c>
      <c r="C103" s="5" t="inlineStr">
        <is>
          <t>combined_footing</t>
        </is>
      </c>
      <c r="D103" s="5" t="inlineStr">
        <is>
          <t>SC2</t>
        </is>
      </c>
      <c r="E103" s="5">
        <f>COUNTIFS(Elements!$B$2:$B$862,$A103,Elements!$D$2:$D$862,$B103,Elements!$E$2:$E$862,$C103,Elements!$F$2:$F$862,$D103)</f>
        <v/>
      </c>
      <c r="F103" s="5">
        <f>IFERROR(_xlfn.MINIFS(Elements!$I$2:$I$862,Elements!$B$2:$B$862,$A103,Elements!$D$2:$D$862,$B103,Elements!$E$2:$E$862,$C103,Elements!$F$2:$F$862,$D103),"")</f>
        <v/>
      </c>
      <c r="G103" s="5">
        <f>IFERROR(_xlfn.MAXIFS(Elements!$I$2:$I$862,Elements!$B$2:$B$862,$A103,Elements!$D$2:$D$862,$B103,Elements!$E$2:$E$862,$C103,Elements!$F$2:$F$862,$D103),"")</f>
        <v/>
      </c>
      <c r="H103" s="5">
        <f>IFERROR(_xlfn.MINIFS(Elements!$J$2:$J$862,Elements!$B$2:$B$862,$A103,Elements!$D$2:$D$862,$B103,Elements!$E$2:$E$862,$C103,Elements!$F$2:$F$862,$D103),"")</f>
        <v/>
      </c>
      <c r="I103" s="5">
        <f>IFERROR(_xlfn.MAXIFS(Elements!$J$2:$J$862,Elements!$B$2:$B$862,$A103,Elements!$D$2:$D$862,$B103,Elements!$E$2:$E$862,$C103,Elements!$F$2:$F$862,$D103),"")</f>
        <v/>
      </c>
      <c r="J103" s="5">
        <f>IF(OR(F103="",H103=""),"",IF(OR(B103="raft",B103="sump_pit",B103="crane_foundation",D103="(none)"),"n/a",IF(OR(B103="column",B103="footing",B103="mass_concrete_pad",AND(B103="wall",C103="shear_wall",D103&lt;&gt;"(none)")),IF(AND(G103-F103&lt;=3,I103-H103&lt;=3),"yes","no"),IF(I103-H103&lt;=3,"yes (thickness)","no (thickness)"))))</f>
        <v/>
      </c>
      <c r="K103" s="6">
        <f>SUMIFS(Elements!$M$2:$M$862,Elements!$B$2:$B$862,$A103,Elements!$D$2:$D$862,$B103,Elements!$E$2:$E$862,$C103,Elements!$F$2:$F$862,$D103)</f>
        <v/>
      </c>
      <c r="L103" s="6">
        <f>SUMIFS(Elements!$L$2:$L$862,Elements!$B$2:$B$862,$A103,Elements!$D$2:$D$862,$B103,Elements!$E$2:$E$862,$C103,Elements!$F$2:$F$862,$D103)</f>
        <v/>
      </c>
      <c r="M103" s="2" t="inlineStr">
        <is>
          <t>closed outline; 350-600 x 200-450 cm; carries wall+wall (24), column+wall (3), wall+wall+wall+wall (1); grade beam crossing it 93%</t>
        </is>
      </c>
    </row>
    <row r="104">
      <c r="A104" s="5" t="inlineStr">
        <is>
          <t>124</t>
        </is>
      </c>
      <c r="B104" s="5" t="inlineStr">
        <is>
          <t>footing</t>
        </is>
      </c>
      <c r="C104" s="5" t="inlineStr">
        <is>
          <t>combined_footing</t>
        </is>
      </c>
      <c r="D104" s="5" t="inlineStr">
        <is>
          <t>SC3</t>
        </is>
      </c>
      <c r="E104" s="5">
        <f>COUNTIFS(Elements!$B$2:$B$862,$A104,Elements!$D$2:$D$862,$B104,Elements!$E$2:$E$862,$C104,Elements!$F$2:$F$862,$D104)</f>
        <v/>
      </c>
      <c r="F104" s="5">
        <f>IFERROR(_xlfn.MINIFS(Elements!$I$2:$I$862,Elements!$B$2:$B$862,$A104,Elements!$D$2:$D$862,$B104,Elements!$E$2:$E$862,$C104,Elements!$F$2:$F$862,$D104),"")</f>
        <v/>
      </c>
      <c r="G104" s="5">
        <f>IFERROR(_xlfn.MAXIFS(Elements!$I$2:$I$862,Elements!$B$2:$B$862,$A104,Elements!$D$2:$D$862,$B104,Elements!$E$2:$E$862,$C104,Elements!$F$2:$F$862,$D104),"")</f>
        <v/>
      </c>
      <c r="H104" s="5">
        <f>IFERROR(_xlfn.MINIFS(Elements!$J$2:$J$862,Elements!$B$2:$B$862,$A104,Elements!$D$2:$D$862,$B104,Elements!$E$2:$E$862,$C104,Elements!$F$2:$F$862,$D104),"")</f>
        <v/>
      </c>
      <c r="I104" s="5">
        <f>IFERROR(_xlfn.MAXIFS(Elements!$J$2:$J$862,Elements!$B$2:$B$862,$A104,Elements!$D$2:$D$862,$B104,Elements!$E$2:$E$862,$C104,Elements!$F$2:$F$862,$D104),"")</f>
        <v/>
      </c>
      <c r="J104" s="5">
        <f>IF(OR(F104="",H104=""),"",IF(OR(B104="raft",B104="sump_pit",B104="crane_foundation",D104="(none)"),"n/a",IF(OR(B104="column",B104="footing",B104="mass_concrete_pad",AND(B104="wall",C104="shear_wall",D104&lt;&gt;"(none)")),IF(AND(G104-F104&lt;=3,I104-H104&lt;=3),"yes","no"),IF(I104-H104&lt;=3,"yes (thickness)","no (thickness)"))))</f>
        <v/>
      </c>
      <c r="K104" s="6">
        <f>SUMIFS(Elements!$M$2:$M$862,Elements!$B$2:$B$862,$A104,Elements!$D$2:$D$862,$B104,Elements!$E$2:$E$862,$C104,Elements!$F$2:$F$862,$D104)</f>
        <v/>
      </c>
      <c r="L104" s="6">
        <f>SUMIFS(Elements!$L$2:$L$862,Elements!$B$2:$B$862,$A104,Elements!$D$2:$D$862,$B104,Elements!$E$2:$E$862,$C104,Elements!$F$2:$F$862,$D104)</f>
        <v/>
      </c>
      <c r="M104" s="2" t="inlineStr">
        <is>
          <t>closed outline; 350-600 x 200-450 cm; carries wall+wall (24), column+wall (3), wall+wall+wall+wall (1); grade beam crossing it 93%</t>
        </is>
      </c>
    </row>
    <row r="105">
      <c r="A105" s="5" t="inlineStr">
        <is>
          <t>124</t>
        </is>
      </c>
      <c r="B105" s="5" t="inlineStr">
        <is>
          <t>footing</t>
        </is>
      </c>
      <c r="C105" s="5" t="inlineStr">
        <is>
          <t>combined_footing</t>
        </is>
      </c>
      <c r="D105" s="5" t="inlineStr">
        <is>
          <t>SC5</t>
        </is>
      </c>
      <c r="E105" s="5">
        <f>COUNTIFS(Elements!$B$2:$B$862,$A105,Elements!$D$2:$D$862,$B105,Elements!$E$2:$E$862,$C105,Elements!$F$2:$F$862,$D105)</f>
        <v/>
      </c>
      <c r="F105" s="5">
        <f>IFERROR(_xlfn.MINIFS(Elements!$I$2:$I$862,Elements!$B$2:$B$862,$A105,Elements!$D$2:$D$862,$B105,Elements!$E$2:$E$862,$C105,Elements!$F$2:$F$862,$D105),"")</f>
        <v/>
      </c>
      <c r="G105" s="5">
        <f>IFERROR(_xlfn.MAXIFS(Elements!$I$2:$I$862,Elements!$B$2:$B$862,$A105,Elements!$D$2:$D$862,$B105,Elements!$E$2:$E$862,$C105,Elements!$F$2:$F$862,$D105),"")</f>
        <v/>
      </c>
      <c r="H105" s="5">
        <f>IFERROR(_xlfn.MINIFS(Elements!$J$2:$J$862,Elements!$B$2:$B$862,$A105,Elements!$D$2:$D$862,$B105,Elements!$E$2:$E$862,$C105,Elements!$F$2:$F$862,$D105),"")</f>
        <v/>
      </c>
      <c r="I105" s="5">
        <f>IFERROR(_xlfn.MAXIFS(Elements!$J$2:$J$862,Elements!$B$2:$B$862,$A105,Elements!$D$2:$D$862,$B105,Elements!$E$2:$E$862,$C105,Elements!$F$2:$F$862,$D105),"")</f>
        <v/>
      </c>
      <c r="J105" s="5">
        <f>IF(OR(F105="",H105=""),"",IF(OR(B105="raft",B105="sump_pit",B105="crane_foundation",D105="(none)"),"n/a",IF(OR(B105="column",B105="footing",B105="mass_concrete_pad",AND(B105="wall",C105="shear_wall",D105&lt;&gt;"(none)")),IF(AND(G105-F105&lt;=3,I105-H105&lt;=3),"yes","no"),IF(I105-H105&lt;=3,"yes (thickness)","no (thickness)"))))</f>
        <v/>
      </c>
      <c r="K105" s="6">
        <f>SUMIFS(Elements!$M$2:$M$862,Elements!$B$2:$B$862,$A105,Elements!$D$2:$D$862,$B105,Elements!$E$2:$E$862,$C105,Elements!$F$2:$F$862,$D105)</f>
        <v/>
      </c>
      <c r="L105" s="6">
        <f>SUMIFS(Elements!$L$2:$L$862,Elements!$B$2:$B$862,$A105,Elements!$D$2:$D$862,$B105,Elements!$E$2:$E$862,$C105,Elements!$F$2:$F$862,$D105)</f>
        <v/>
      </c>
      <c r="M105" s="2" t="inlineStr">
        <is>
          <t>closed outline; 350-600 x 200-450 cm; carries wall+wall (24), column+wall (3), wall+wall+wall+wall (1); grade beam crossing it 93%</t>
        </is>
      </c>
    </row>
    <row r="106">
      <c r="A106" s="5" t="inlineStr">
        <is>
          <t>124</t>
        </is>
      </c>
      <c r="B106" s="5" t="inlineStr">
        <is>
          <t>footing</t>
        </is>
      </c>
      <c r="C106" s="5" t="inlineStr">
        <is>
          <t>combined_footing</t>
        </is>
      </c>
      <c r="D106" s="5" t="inlineStr">
        <is>
          <t>SC6</t>
        </is>
      </c>
      <c r="E106" s="5">
        <f>COUNTIFS(Elements!$B$2:$B$862,$A106,Elements!$D$2:$D$862,$B106,Elements!$E$2:$E$862,$C106,Elements!$F$2:$F$862,$D106)</f>
        <v/>
      </c>
      <c r="F106" s="5">
        <f>IFERROR(_xlfn.MINIFS(Elements!$I$2:$I$862,Elements!$B$2:$B$862,$A106,Elements!$D$2:$D$862,$B106,Elements!$E$2:$E$862,$C106,Elements!$F$2:$F$862,$D106),"")</f>
        <v/>
      </c>
      <c r="G106" s="5">
        <f>IFERROR(_xlfn.MAXIFS(Elements!$I$2:$I$862,Elements!$B$2:$B$862,$A106,Elements!$D$2:$D$862,$B106,Elements!$E$2:$E$862,$C106,Elements!$F$2:$F$862,$D106),"")</f>
        <v/>
      </c>
      <c r="H106" s="5">
        <f>IFERROR(_xlfn.MINIFS(Elements!$J$2:$J$862,Elements!$B$2:$B$862,$A106,Elements!$D$2:$D$862,$B106,Elements!$E$2:$E$862,$C106,Elements!$F$2:$F$862,$D106),"")</f>
        <v/>
      </c>
      <c r="I106" s="5">
        <f>IFERROR(_xlfn.MAXIFS(Elements!$J$2:$J$862,Elements!$B$2:$B$862,$A106,Elements!$D$2:$D$862,$B106,Elements!$E$2:$E$862,$C106,Elements!$F$2:$F$862,$D106),"")</f>
        <v/>
      </c>
      <c r="J106" s="5">
        <f>IF(OR(F106="",H106=""),"",IF(OR(B106="raft",B106="sump_pit",B106="crane_foundation",D106="(none)"),"n/a",IF(OR(B106="column",B106="footing",B106="mass_concrete_pad",AND(B106="wall",C106="shear_wall",D106&lt;&gt;"(none)")),IF(AND(G106-F106&lt;=3,I106-H106&lt;=3),"yes","no"),IF(I106-H106&lt;=3,"yes (thickness)","no (thickness)"))))</f>
        <v/>
      </c>
      <c r="K106" s="6">
        <f>SUMIFS(Elements!$M$2:$M$862,Elements!$B$2:$B$862,$A106,Elements!$D$2:$D$862,$B106,Elements!$E$2:$E$862,$C106,Elements!$F$2:$F$862,$D106)</f>
        <v/>
      </c>
      <c r="L106" s="6">
        <f>SUMIFS(Elements!$L$2:$L$862,Elements!$B$2:$B$862,$A106,Elements!$D$2:$D$862,$B106,Elements!$E$2:$E$862,$C106,Elements!$F$2:$F$862,$D106)</f>
        <v/>
      </c>
      <c r="M106" s="2" t="inlineStr">
        <is>
          <t>closed outline; 350-600 x 200-450 cm; carries wall+wall (24), column+wall (3), wall+wall+wall+wall (1); grade beam crossing it 93%</t>
        </is>
      </c>
    </row>
    <row r="107">
      <c r="A107" s="5" t="inlineStr">
        <is>
          <t>124</t>
        </is>
      </c>
      <c r="B107" s="5" t="inlineStr">
        <is>
          <t>footing</t>
        </is>
      </c>
      <c r="C107" s="5" t="inlineStr">
        <is>
          <t>isolated_footing</t>
        </is>
      </c>
      <c r="D107" s="5" t="inlineStr">
        <is>
          <t>S11</t>
        </is>
      </c>
      <c r="E107" s="5">
        <f>COUNTIFS(Elements!$B$2:$B$862,$A107,Elements!$D$2:$D$862,$B107,Elements!$E$2:$E$862,$C107,Elements!$F$2:$F$862,$D107)</f>
        <v/>
      </c>
      <c r="F107" s="5">
        <f>IFERROR(_xlfn.MINIFS(Elements!$I$2:$I$862,Elements!$B$2:$B$862,$A107,Elements!$D$2:$D$862,$B107,Elements!$E$2:$E$862,$C107,Elements!$F$2:$F$862,$D107),"")</f>
        <v/>
      </c>
      <c r="G107" s="5">
        <f>IFERROR(_xlfn.MAXIFS(Elements!$I$2:$I$862,Elements!$B$2:$B$862,$A107,Elements!$D$2:$D$862,$B107,Elements!$E$2:$E$862,$C107,Elements!$F$2:$F$862,$D107),"")</f>
        <v/>
      </c>
      <c r="H107" s="5">
        <f>IFERROR(_xlfn.MINIFS(Elements!$J$2:$J$862,Elements!$B$2:$B$862,$A107,Elements!$D$2:$D$862,$B107,Elements!$E$2:$E$862,$C107,Elements!$F$2:$F$862,$D107),"")</f>
        <v/>
      </c>
      <c r="I107" s="5">
        <f>IFERROR(_xlfn.MAXIFS(Elements!$J$2:$J$862,Elements!$B$2:$B$862,$A107,Elements!$D$2:$D$862,$B107,Elements!$E$2:$E$862,$C107,Elements!$F$2:$F$862,$D107),"")</f>
        <v/>
      </c>
      <c r="J107" s="5">
        <f>IF(OR(F107="",H107=""),"",IF(OR(B107="raft",B107="sump_pit",B107="crane_foundation",D107="(none)"),"n/a",IF(OR(B107="column",B107="footing",B107="mass_concrete_pad",AND(B107="wall",C107="shear_wall",D107&lt;&gt;"(none)")),IF(AND(G107-F107&lt;=3,I107-H107&lt;=3),"yes","no"),IF(I107-H107&lt;=3,"yes (thickness)","no (thickness)"))))</f>
        <v/>
      </c>
      <c r="K107" s="6">
        <f>SUMIFS(Elements!$M$2:$M$862,Elements!$B$2:$B$862,$A107,Elements!$D$2:$D$862,$B107,Elements!$E$2:$E$862,$C107,Elements!$F$2:$F$862,$D107)</f>
        <v/>
      </c>
      <c r="L107" s="6">
        <f>SUMIFS(Elements!$L$2:$L$862,Elements!$B$2:$B$862,$A107,Elements!$D$2:$D$862,$B107,Elements!$E$2:$E$862,$C107,Elements!$F$2:$F$862,$D107)</f>
        <v/>
      </c>
      <c r="M107" s="2" t="inlineStr">
        <is>
          <t>closed outline; 150-600 x 150-450 cm; carries wall (64), column (9), wall+wall (1); grade beam crossing it 95%</t>
        </is>
      </c>
    </row>
    <row r="108">
      <c r="A108" s="5" t="inlineStr">
        <is>
          <t>124</t>
        </is>
      </c>
      <c r="B108" s="5" t="inlineStr">
        <is>
          <t>footing</t>
        </is>
      </c>
      <c r="C108" s="5" t="inlineStr">
        <is>
          <t>isolated_footing</t>
        </is>
      </c>
      <c r="D108" s="5" t="inlineStr">
        <is>
          <t>S2</t>
        </is>
      </c>
      <c r="E108" s="5">
        <f>COUNTIFS(Elements!$B$2:$B$862,$A108,Elements!$D$2:$D$862,$B108,Elements!$E$2:$E$862,$C108,Elements!$F$2:$F$862,$D108)</f>
        <v/>
      </c>
      <c r="F108" s="5">
        <f>IFERROR(_xlfn.MINIFS(Elements!$I$2:$I$862,Elements!$B$2:$B$862,$A108,Elements!$D$2:$D$862,$B108,Elements!$E$2:$E$862,$C108,Elements!$F$2:$F$862,$D108),"")</f>
        <v/>
      </c>
      <c r="G108" s="5">
        <f>IFERROR(_xlfn.MAXIFS(Elements!$I$2:$I$862,Elements!$B$2:$B$862,$A108,Elements!$D$2:$D$862,$B108,Elements!$E$2:$E$862,$C108,Elements!$F$2:$F$862,$D108),"")</f>
        <v/>
      </c>
      <c r="H108" s="5">
        <f>IFERROR(_xlfn.MINIFS(Elements!$J$2:$J$862,Elements!$B$2:$B$862,$A108,Elements!$D$2:$D$862,$B108,Elements!$E$2:$E$862,$C108,Elements!$F$2:$F$862,$D108),"")</f>
        <v/>
      </c>
      <c r="I108" s="5">
        <f>IFERROR(_xlfn.MAXIFS(Elements!$J$2:$J$862,Elements!$B$2:$B$862,$A108,Elements!$D$2:$D$862,$B108,Elements!$E$2:$E$862,$C108,Elements!$F$2:$F$862,$D108),"")</f>
        <v/>
      </c>
      <c r="J108" s="5">
        <f>IF(OR(F108="",H108=""),"",IF(OR(B108="raft",B108="sump_pit",B108="crane_foundation",D108="(none)"),"n/a",IF(OR(B108="column",B108="footing",B108="mass_concrete_pad",AND(B108="wall",C108="shear_wall",D108&lt;&gt;"(none)")),IF(AND(G108-F108&lt;=3,I108-H108&lt;=3),"yes","no"),IF(I108-H108&lt;=3,"yes (thickness)","no (thickness)"))))</f>
        <v/>
      </c>
      <c r="K108" s="6">
        <f>SUMIFS(Elements!$M$2:$M$862,Elements!$B$2:$B$862,$A108,Elements!$D$2:$D$862,$B108,Elements!$E$2:$E$862,$C108,Elements!$F$2:$F$862,$D108)</f>
        <v/>
      </c>
      <c r="L108" s="6">
        <f>SUMIFS(Elements!$L$2:$L$862,Elements!$B$2:$B$862,$A108,Elements!$D$2:$D$862,$B108,Elements!$E$2:$E$862,$C108,Elements!$F$2:$F$862,$D108)</f>
        <v/>
      </c>
      <c r="M108" s="2" t="inlineStr">
        <is>
          <t>closed outline; 150-600 x 150-450 cm; carries wall (64), column (9), wall+wall (1); grade beam crossing it 95%</t>
        </is>
      </c>
    </row>
    <row r="109">
      <c r="A109" s="5" t="inlineStr">
        <is>
          <t>124</t>
        </is>
      </c>
      <c r="B109" s="5" t="inlineStr">
        <is>
          <t>footing</t>
        </is>
      </c>
      <c r="C109" s="5" t="inlineStr">
        <is>
          <t>isolated_footing</t>
        </is>
      </c>
      <c r="D109" s="5" t="inlineStr">
        <is>
          <t>S3</t>
        </is>
      </c>
      <c r="E109" s="5">
        <f>COUNTIFS(Elements!$B$2:$B$862,$A109,Elements!$D$2:$D$862,$B109,Elements!$E$2:$E$862,$C109,Elements!$F$2:$F$862,$D109)</f>
        <v/>
      </c>
      <c r="F109" s="5">
        <f>IFERROR(_xlfn.MINIFS(Elements!$I$2:$I$862,Elements!$B$2:$B$862,$A109,Elements!$D$2:$D$862,$B109,Elements!$E$2:$E$862,$C109,Elements!$F$2:$F$862,$D109),"")</f>
        <v/>
      </c>
      <c r="G109" s="5">
        <f>IFERROR(_xlfn.MAXIFS(Elements!$I$2:$I$862,Elements!$B$2:$B$862,$A109,Elements!$D$2:$D$862,$B109,Elements!$E$2:$E$862,$C109,Elements!$F$2:$F$862,$D109),"")</f>
        <v/>
      </c>
      <c r="H109" s="5">
        <f>IFERROR(_xlfn.MINIFS(Elements!$J$2:$J$862,Elements!$B$2:$B$862,$A109,Elements!$D$2:$D$862,$B109,Elements!$E$2:$E$862,$C109,Elements!$F$2:$F$862,$D109),"")</f>
        <v/>
      </c>
      <c r="I109" s="5">
        <f>IFERROR(_xlfn.MAXIFS(Elements!$J$2:$J$862,Elements!$B$2:$B$862,$A109,Elements!$D$2:$D$862,$B109,Elements!$E$2:$E$862,$C109,Elements!$F$2:$F$862,$D109),"")</f>
        <v/>
      </c>
      <c r="J109" s="5">
        <f>IF(OR(F109="",H109=""),"",IF(OR(B109="raft",B109="sump_pit",B109="crane_foundation",D109="(none)"),"n/a",IF(OR(B109="column",B109="footing",B109="mass_concrete_pad",AND(B109="wall",C109="shear_wall",D109&lt;&gt;"(none)")),IF(AND(G109-F109&lt;=3,I109-H109&lt;=3),"yes","no"),IF(I109-H109&lt;=3,"yes (thickness)","no (thickness)"))))</f>
        <v/>
      </c>
      <c r="K109" s="6">
        <f>SUMIFS(Elements!$M$2:$M$862,Elements!$B$2:$B$862,$A109,Elements!$D$2:$D$862,$B109,Elements!$E$2:$E$862,$C109,Elements!$F$2:$F$862,$D109)</f>
        <v/>
      </c>
      <c r="L109" s="6">
        <f>SUMIFS(Elements!$L$2:$L$862,Elements!$B$2:$B$862,$A109,Elements!$D$2:$D$862,$B109,Elements!$E$2:$E$862,$C109,Elements!$F$2:$F$862,$D109)</f>
        <v/>
      </c>
      <c r="M109" s="2" t="inlineStr">
        <is>
          <t>closed outline; 150-600 x 150-450 cm; carries wall (64), column (9), wall+wall (1); grade beam crossing it 95%</t>
        </is>
      </c>
    </row>
    <row r="110">
      <c r="A110" s="5" t="inlineStr">
        <is>
          <t>124</t>
        </is>
      </c>
      <c r="B110" s="5" t="inlineStr">
        <is>
          <t>footing</t>
        </is>
      </c>
      <c r="C110" s="5" t="inlineStr">
        <is>
          <t>isolated_footing</t>
        </is>
      </c>
      <c r="D110" s="5" t="inlineStr">
        <is>
          <t>S6</t>
        </is>
      </c>
      <c r="E110" s="5">
        <f>COUNTIFS(Elements!$B$2:$B$862,$A110,Elements!$D$2:$D$862,$B110,Elements!$E$2:$E$862,$C110,Elements!$F$2:$F$862,$D110)</f>
        <v/>
      </c>
      <c r="F110" s="5">
        <f>IFERROR(_xlfn.MINIFS(Elements!$I$2:$I$862,Elements!$B$2:$B$862,$A110,Elements!$D$2:$D$862,$B110,Elements!$E$2:$E$862,$C110,Elements!$F$2:$F$862,$D110),"")</f>
        <v/>
      </c>
      <c r="G110" s="5">
        <f>IFERROR(_xlfn.MAXIFS(Elements!$I$2:$I$862,Elements!$B$2:$B$862,$A110,Elements!$D$2:$D$862,$B110,Elements!$E$2:$E$862,$C110,Elements!$F$2:$F$862,$D110),"")</f>
        <v/>
      </c>
      <c r="H110" s="5">
        <f>IFERROR(_xlfn.MINIFS(Elements!$J$2:$J$862,Elements!$B$2:$B$862,$A110,Elements!$D$2:$D$862,$B110,Elements!$E$2:$E$862,$C110,Elements!$F$2:$F$862,$D110),"")</f>
        <v/>
      </c>
      <c r="I110" s="5">
        <f>IFERROR(_xlfn.MAXIFS(Elements!$J$2:$J$862,Elements!$B$2:$B$862,$A110,Elements!$D$2:$D$862,$B110,Elements!$E$2:$E$862,$C110,Elements!$F$2:$F$862,$D110),"")</f>
        <v/>
      </c>
      <c r="J110" s="5">
        <f>IF(OR(F110="",H110=""),"",IF(OR(B110="raft",B110="sump_pit",B110="crane_foundation",D110="(none)"),"n/a",IF(OR(B110="column",B110="footing",B110="mass_concrete_pad",AND(B110="wall",C110="shear_wall",D110&lt;&gt;"(none)")),IF(AND(G110-F110&lt;=3,I110-H110&lt;=3),"yes","no"),IF(I110-H110&lt;=3,"yes (thickness)","no (thickness)"))))</f>
        <v/>
      </c>
      <c r="K110" s="6">
        <f>SUMIFS(Elements!$M$2:$M$862,Elements!$B$2:$B$862,$A110,Elements!$D$2:$D$862,$B110,Elements!$E$2:$E$862,$C110,Elements!$F$2:$F$862,$D110)</f>
        <v/>
      </c>
      <c r="L110" s="6">
        <f>SUMIFS(Elements!$L$2:$L$862,Elements!$B$2:$B$862,$A110,Elements!$D$2:$D$862,$B110,Elements!$E$2:$E$862,$C110,Elements!$F$2:$F$862,$D110)</f>
        <v/>
      </c>
      <c r="M110" s="2" t="inlineStr">
        <is>
          <t>closed outline; 150-600 x 150-450 cm; carries wall (64), column (9), wall+wall (1); grade beam crossing it 95%</t>
        </is>
      </c>
    </row>
    <row r="111">
      <c r="A111" s="5" t="inlineStr">
        <is>
          <t>124</t>
        </is>
      </c>
      <c r="B111" s="5" t="inlineStr">
        <is>
          <t>grade_beam</t>
        </is>
      </c>
      <c r="C111" s="5" t="inlineStr">
        <is>
          <t>grade_beam</t>
        </is>
      </c>
      <c r="D111" s="5" t="inlineStr">
        <is>
          <t>LG25x40</t>
        </is>
      </c>
      <c r="E111" s="5">
        <f>COUNTIFS(Elements!$B$2:$B$862,$A111,Elements!$D$2:$D$862,$B111,Elements!$E$2:$E$862,$C111,Elements!$F$2:$F$862,$D111)</f>
        <v/>
      </c>
      <c r="F111" s="5">
        <f>IFERROR(_xlfn.MINIFS(Elements!$I$2:$I$862,Elements!$B$2:$B$862,$A111,Elements!$D$2:$D$862,$B111,Elements!$E$2:$E$862,$C111,Elements!$F$2:$F$862,$D111),"")</f>
        <v/>
      </c>
      <c r="G111" s="5">
        <f>IFERROR(_xlfn.MAXIFS(Elements!$I$2:$I$862,Elements!$B$2:$B$862,$A111,Elements!$D$2:$D$862,$B111,Elements!$E$2:$E$862,$C111,Elements!$F$2:$F$862,$D111),"")</f>
        <v/>
      </c>
      <c r="H111" s="5">
        <f>IFERROR(_xlfn.MINIFS(Elements!$J$2:$J$862,Elements!$B$2:$B$862,$A111,Elements!$D$2:$D$862,$B111,Elements!$E$2:$E$862,$C111,Elements!$F$2:$F$862,$D111),"")</f>
        <v/>
      </c>
      <c r="I111" s="5">
        <f>IFERROR(_xlfn.MAXIFS(Elements!$J$2:$J$862,Elements!$B$2:$B$862,$A111,Elements!$D$2:$D$862,$B111,Elements!$E$2:$E$862,$C111,Elements!$F$2:$F$862,$D111),"")</f>
        <v/>
      </c>
      <c r="J111" s="5">
        <f>IF(OR(F111="",H111=""),"",IF(OR(B111="raft",B111="sump_pit",B111="crane_foundation",D111="(none)"),"n/a",IF(OR(B111="column",B111="footing",B111="mass_concrete_pad",AND(B111="wall",C111="shear_wall",D111&lt;&gt;"(none)")),IF(AND(G111-F111&lt;=3,I111-H111&lt;=3),"yes","no"),IF(I111-H111&lt;=3,"yes (thickness)","no (thickness)"))))</f>
        <v/>
      </c>
      <c r="K111" s="6">
        <f>SUMIFS(Elements!$M$2:$M$862,Elements!$B$2:$B$862,$A111,Elements!$D$2:$D$862,$B111,Elements!$E$2:$E$862,$C111,Elements!$F$2:$F$862,$D111)</f>
        <v/>
      </c>
      <c r="L111" s="6">
        <f>SUMIFS(Elements!$L$2:$L$862,Elements!$B$2:$B$862,$A111,Elements!$D$2:$D$862,$B111,Elements!$E$2:$E$862,$C111,Elements!$F$2:$F$862,$D111)</f>
        <v/>
      </c>
      <c r="M111" s="2" t="inlineStr">
        <is>
          <t>parallel line pair; 30-2249 x 25-40 cm; width stated in its label</t>
        </is>
      </c>
    </row>
    <row r="112">
      <c r="A112" s="5" t="inlineStr">
        <is>
          <t>124</t>
        </is>
      </c>
      <c r="B112" s="5" t="inlineStr">
        <is>
          <t>grade_beam</t>
        </is>
      </c>
      <c r="C112" s="5" t="inlineStr">
        <is>
          <t>grade_beam</t>
        </is>
      </c>
      <c r="D112" s="5" t="inlineStr">
        <is>
          <t>LG40x15</t>
        </is>
      </c>
      <c r="E112" s="5">
        <f>COUNTIFS(Elements!$B$2:$B$862,$A112,Elements!$D$2:$D$862,$B112,Elements!$E$2:$E$862,$C112,Elements!$F$2:$F$862,$D112)</f>
        <v/>
      </c>
      <c r="F112" s="5">
        <f>IFERROR(_xlfn.MINIFS(Elements!$I$2:$I$862,Elements!$B$2:$B$862,$A112,Elements!$D$2:$D$862,$B112,Elements!$E$2:$E$862,$C112,Elements!$F$2:$F$862,$D112),"")</f>
        <v/>
      </c>
      <c r="G112" s="5">
        <f>IFERROR(_xlfn.MAXIFS(Elements!$I$2:$I$862,Elements!$B$2:$B$862,$A112,Elements!$D$2:$D$862,$B112,Elements!$E$2:$E$862,$C112,Elements!$F$2:$F$862,$D112),"")</f>
        <v/>
      </c>
      <c r="H112" s="5">
        <f>IFERROR(_xlfn.MINIFS(Elements!$J$2:$J$862,Elements!$B$2:$B$862,$A112,Elements!$D$2:$D$862,$B112,Elements!$E$2:$E$862,$C112,Elements!$F$2:$F$862,$D112),"")</f>
        <v/>
      </c>
      <c r="I112" s="5">
        <f>IFERROR(_xlfn.MAXIFS(Elements!$J$2:$J$862,Elements!$B$2:$B$862,$A112,Elements!$D$2:$D$862,$B112,Elements!$E$2:$E$862,$C112,Elements!$F$2:$F$862,$D112),"")</f>
        <v/>
      </c>
      <c r="J112" s="5">
        <f>IF(OR(F112="",H112=""),"",IF(OR(B112="raft",B112="sump_pit",B112="crane_foundation",D112="(none)"),"n/a",IF(OR(B112="column",B112="footing",B112="mass_concrete_pad",AND(B112="wall",C112="shear_wall",D112&lt;&gt;"(none)")),IF(AND(G112-F112&lt;=3,I112-H112&lt;=3),"yes","no"),IF(I112-H112&lt;=3,"yes (thickness)","no (thickness)"))))</f>
        <v/>
      </c>
      <c r="K112" s="6">
        <f>SUMIFS(Elements!$M$2:$M$862,Elements!$B$2:$B$862,$A112,Elements!$D$2:$D$862,$B112,Elements!$E$2:$E$862,$C112,Elements!$F$2:$F$862,$D112)</f>
        <v/>
      </c>
      <c r="L112" s="6">
        <f>SUMIFS(Elements!$L$2:$L$862,Elements!$B$2:$B$862,$A112,Elements!$D$2:$D$862,$B112,Elements!$E$2:$E$862,$C112,Elements!$F$2:$F$862,$D112)</f>
        <v/>
      </c>
      <c r="M112" s="2" t="inlineStr">
        <is>
          <t>parallel line pair; 30-2249 x 25-40 cm; width stated in its label</t>
        </is>
      </c>
    </row>
    <row r="113">
      <c r="A113" s="5" t="inlineStr">
        <is>
          <t>124</t>
        </is>
      </c>
      <c r="B113" s="5" t="inlineStr">
        <is>
          <t>mass_concrete_pad</t>
        </is>
      </c>
      <c r="C113" s="5" t="inlineStr">
        <is>
          <t>mass_concrete_pad</t>
        </is>
      </c>
      <c r="D113" s="5" t="inlineStr">
        <is>
          <t>(none)</t>
        </is>
      </c>
      <c r="E113" s="5">
        <f>COUNTIFS(Elements!$B$2:$B$862,$A113,Elements!$D$2:$D$862,$B113,Elements!$E$2:$E$862,$C113,Elements!$F$2:$F$862,$D113)</f>
        <v/>
      </c>
      <c r="F113" s="5">
        <f>IFERROR(_xlfn.MINIFS(Elements!$I$2:$I$862,Elements!$B$2:$B$862,$A113,Elements!$D$2:$D$862,$B113,Elements!$E$2:$E$862,$C113,Elements!$F$2:$F$862,$D113),"")</f>
        <v/>
      </c>
      <c r="G113" s="5">
        <f>IFERROR(_xlfn.MAXIFS(Elements!$I$2:$I$862,Elements!$B$2:$B$862,$A113,Elements!$D$2:$D$862,$B113,Elements!$E$2:$E$862,$C113,Elements!$F$2:$F$862,$D113),"")</f>
        <v/>
      </c>
      <c r="H113" s="5">
        <f>IFERROR(_xlfn.MINIFS(Elements!$J$2:$J$862,Elements!$B$2:$B$862,$A113,Elements!$D$2:$D$862,$B113,Elements!$E$2:$E$862,$C113,Elements!$F$2:$F$862,$D113),"")</f>
        <v/>
      </c>
      <c r="I113" s="5">
        <f>IFERROR(_xlfn.MAXIFS(Elements!$J$2:$J$862,Elements!$B$2:$B$862,$A113,Elements!$D$2:$D$862,$B113,Elements!$E$2:$E$862,$C113,Elements!$F$2:$F$862,$D113),"")</f>
        <v/>
      </c>
      <c r="J113" s="5">
        <f>IF(OR(F113="",H113=""),"",IF(OR(B113="raft",B113="sump_pit",B113="crane_foundation",D113="(none)"),"n/a",IF(OR(B113="column",B113="footing",B113="mass_concrete_pad",AND(B113="wall",C113="shear_wall",D113&lt;&gt;"(none)")),IF(AND(G113-F113&lt;=3,I113-H113&lt;=3),"yes","no"),IF(I113-H113&lt;=3,"yes (thickness)","no (thickness)"))))</f>
        <v/>
      </c>
      <c r="K113" s="6">
        <f>SUMIFS(Elements!$M$2:$M$862,Elements!$B$2:$B$862,$A113,Elements!$D$2:$D$862,$B113,Elements!$E$2:$E$862,$C113,Elements!$F$2:$F$862,$D113)</f>
        <v/>
      </c>
      <c r="L113" s="6">
        <f>SUMIFS(Elements!$L$2:$L$862,Elements!$B$2:$B$862,$A113,Elements!$D$2:$D$862,$B113,Elements!$E$2:$E$862,$C113,Elements!$F$2:$F$862,$D113)</f>
        <v/>
      </c>
      <c r="M113" s="2" t="inlineStr">
        <is>
          <t>closed outline + stipple; 60-60 x 60-60 cm; 47-91 stipple dots inside; on a grade beam 100%; at a grade-beam junction 62%</t>
        </is>
      </c>
    </row>
    <row r="114">
      <c r="A114" s="5" t="inlineStr">
        <is>
          <t>124</t>
        </is>
      </c>
      <c r="B114" s="5" t="inlineStr">
        <is>
          <t>raft</t>
        </is>
      </c>
      <c r="C114" s="5" t="inlineStr">
        <is>
          <t>raft</t>
        </is>
      </c>
      <c r="D114" s="5" t="inlineStr">
        <is>
          <t>Radier 100</t>
        </is>
      </c>
      <c r="E114" s="5">
        <f>COUNTIFS(Elements!$B$2:$B$862,$A114,Elements!$D$2:$D$862,$B114,Elements!$E$2:$E$862,$C114,Elements!$F$2:$F$862,$D114)</f>
        <v/>
      </c>
      <c r="F114" s="5">
        <f>IFERROR(_xlfn.MINIFS(Elements!$I$2:$I$862,Elements!$B$2:$B$862,$A114,Elements!$D$2:$D$862,$B114,Elements!$E$2:$E$862,$C114,Elements!$F$2:$F$862,$D114),"")</f>
        <v/>
      </c>
      <c r="G114" s="5">
        <f>IFERROR(_xlfn.MAXIFS(Elements!$I$2:$I$862,Elements!$B$2:$B$862,$A114,Elements!$D$2:$D$862,$B114,Elements!$E$2:$E$862,$C114,Elements!$F$2:$F$862,$D114),"")</f>
        <v/>
      </c>
      <c r="H114" s="5">
        <f>IFERROR(_xlfn.MINIFS(Elements!$J$2:$J$862,Elements!$B$2:$B$862,$A114,Elements!$D$2:$D$862,$B114,Elements!$E$2:$E$862,$C114,Elements!$F$2:$F$862,$D114),"")</f>
        <v/>
      </c>
      <c r="I114" s="5">
        <f>IFERROR(_xlfn.MAXIFS(Elements!$J$2:$J$862,Elements!$B$2:$B$862,$A114,Elements!$D$2:$D$862,$B114,Elements!$E$2:$E$862,$C114,Elements!$F$2:$F$862,$D114),"")</f>
        <v/>
      </c>
      <c r="J114" s="5">
        <f>IF(OR(F114="",H114=""),"",IF(OR(B114="raft",B114="sump_pit",B114="crane_foundation",D114="(none)"),"n/a",IF(OR(B114="column",B114="footing",B114="mass_concrete_pad",AND(B114="wall",C114="shear_wall",D114&lt;&gt;"(none)")),IF(AND(G114-F114&lt;=3,I114-H114&lt;=3),"yes","no"),IF(I114-H114&lt;=3,"yes (thickness)","no (thickness)"))))</f>
        <v/>
      </c>
      <c r="K114" s="6">
        <f>SUMIFS(Elements!$M$2:$M$862,Elements!$B$2:$B$862,$A114,Elements!$D$2:$D$862,$B114,Elements!$E$2:$E$862,$C114,Elements!$F$2:$F$862,$D114)</f>
        <v/>
      </c>
      <c r="L114" s="6">
        <f>SUMIFS(Elements!$L$2:$L$862,Elements!$B$2:$B$862,$A114,Elements!$D$2:$D$862,$B114,Elements!$E$2:$E$862,$C114,Elements!$F$2:$F$862,$D114)</f>
        <v/>
      </c>
      <c r="M114" s="2" t="inlineStr">
        <is>
          <t>stamp + corner diagonals; 693-1971 x 450-1020 cm; circle stamp 'Radier' + thickness; diagonals from its corners to the stamp</t>
        </is>
      </c>
    </row>
    <row r="115">
      <c r="A115" s="5" t="inlineStr">
        <is>
          <t>124</t>
        </is>
      </c>
      <c r="B115" s="5" t="inlineStr">
        <is>
          <t>strip_footing</t>
        </is>
      </c>
      <c r="C115" s="5" t="inlineStr">
        <is>
          <t>strip_footing</t>
        </is>
      </c>
      <c r="D115" s="5" t="inlineStr">
        <is>
          <t>SF1</t>
        </is>
      </c>
      <c r="E115" s="5">
        <f>COUNTIFS(Elements!$B$2:$B$862,$A115,Elements!$D$2:$D$862,$B115,Elements!$E$2:$E$862,$C115,Elements!$F$2:$F$862,$D115)</f>
        <v/>
      </c>
      <c r="F115" s="5">
        <f>IFERROR(_xlfn.MINIFS(Elements!$I$2:$I$862,Elements!$B$2:$B$862,$A115,Elements!$D$2:$D$862,$B115,Elements!$E$2:$E$862,$C115,Elements!$F$2:$F$862,$D115),"")</f>
        <v/>
      </c>
      <c r="G115" s="5">
        <f>IFERROR(_xlfn.MAXIFS(Elements!$I$2:$I$862,Elements!$B$2:$B$862,$A115,Elements!$D$2:$D$862,$B115,Elements!$E$2:$E$862,$C115,Elements!$F$2:$F$862,$D115),"")</f>
        <v/>
      </c>
      <c r="H115" s="5">
        <f>IFERROR(_xlfn.MINIFS(Elements!$J$2:$J$862,Elements!$B$2:$B$862,$A115,Elements!$D$2:$D$862,$B115,Elements!$E$2:$E$862,$C115,Elements!$F$2:$F$862,$D115),"")</f>
        <v/>
      </c>
      <c r="I115" s="5">
        <f>IFERROR(_xlfn.MAXIFS(Elements!$J$2:$J$862,Elements!$B$2:$B$862,$A115,Elements!$D$2:$D$862,$B115,Elements!$E$2:$E$862,$C115,Elements!$F$2:$F$862,$D115),"")</f>
        <v/>
      </c>
      <c r="J115" s="5">
        <f>IF(OR(F115="",H115=""),"",IF(OR(B115="raft",B115="sump_pit",B115="crane_foundation",D115="(none)"),"n/a",IF(OR(B115="column",B115="footing",B115="mass_concrete_pad",AND(B115="wall",C115="shear_wall",D115&lt;&gt;"(none)")),IF(AND(G115-F115&lt;=3,I115-H115&lt;=3),"yes","no"),IF(I115-H115&lt;=3,"yes (thickness)","no (thickness)"))))</f>
        <v/>
      </c>
      <c r="K115" s="6">
        <f>SUMIFS(Elements!$M$2:$M$862,Elements!$B$2:$B$862,$A115,Elements!$D$2:$D$862,$B115,Elements!$E$2:$E$862,$C115,Elements!$F$2:$F$862,$D115)</f>
        <v/>
      </c>
      <c r="L115" s="6">
        <f>SUMIFS(Elements!$L$2:$L$862,Elements!$B$2:$B$862,$A115,Elements!$D$2:$D$862,$B115,Elements!$E$2:$E$862,$C115,Elements!$F$2:$F$862,$D115)</f>
        <v/>
      </c>
      <c r="M115" s="2" t="inlineStr">
        <is>
          <t>parallel line pair; 75-5798 x 80-120 cm; width stated in its label</t>
        </is>
      </c>
    </row>
    <row r="116">
      <c r="A116" s="5" t="inlineStr">
        <is>
          <t>124</t>
        </is>
      </c>
      <c r="B116" s="5" t="inlineStr">
        <is>
          <t>wall</t>
        </is>
      </c>
      <c r="C116" s="5" t="inlineStr">
        <is>
          <t>core_wall_hatched</t>
        </is>
      </c>
      <c r="D116" s="5" t="inlineStr">
        <is>
          <t>(none)</t>
        </is>
      </c>
      <c r="E116" s="5">
        <f>COUNTIFS(Elements!$B$2:$B$862,$A116,Elements!$D$2:$D$862,$B116,Elements!$E$2:$E$862,$C116,Elements!$F$2:$F$862,$D116)</f>
        <v/>
      </c>
      <c r="F116" s="5">
        <f>IFERROR(_xlfn.MINIFS(Elements!$I$2:$I$862,Elements!$B$2:$B$862,$A116,Elements!$D$2:$D$862,$B116,Elements!$E$2:$E$862,$C116,Elements!$F$2:$F$862,$D116),"")</f>
        <v/>
      </c>
      <c r="G116" s="5">
        <f>IFERROR(_xlfn.MAXIFS(Elements!$I$2:$I$862,Elements!$B$2:$B$862,$A116,Elements!$D$2:$D$862,$B116,Elements!$E$2:$E$862,$C116,Elements!$F$2:$F$862,$D116),"")</f>
        <v/>
      </c>
      <c r="H116" s="5">
        <f>IFERROR(_xlfn.MINIFS(Elements!$J$2:$J$862,Elements!$B$2:$B$862,$A116,Elements!$D$2:$D$862,$B116,Elements!$E$2:$E$862,$C116,Elements!$F$2:$F$862,$D116),"")</f>
        <v/>
      </c>
      <c r="I116" s="5">
        <f>IFERROR(_xlfn.MAXIFS(Elements!$J$2:$J$862,Elements!$B$2:$B$862,$A116,Elements!$D$2:$D$862,$B116,Elements!$E$2:$E$862,$C116,Elements!$F$2:$F$862,$D116),"")</f>
        <v/>
      </c>
      <c r="J116" s="5">
        <f>IF(OR(F116="",H116=""),"",IF(OR(B116="raft",B116="sump_pit",B116="crane_foundation",D116="(none)"),"n/a",IF(OR(B116="column",B116="footing",B116="mass_concrete_pad",AND(B116="wall",C116="shear_wall",D116&lt;&gt;"(none)")),IF(AND(G116-F116&lt;=3,I116-H116&lt;=3),"yes","no"),IF(I116-H116&lt;=3,"yes (thickness)","no (thickness)"))))</f>
        <v/>
      </c>
      <c r="K116" s="6">
        <f>SUMIFS(Elements!$M$2:$M$862,Elements!$B$2:$B$862,$A116,Elements!$D$2:$D$862,$B116,Elements!$E$2:$E$862,$C116,Elements!$F$2:$F$862,$D116)</f>
        <v/>
      </c>
      <c r="L116" s="6">
        <f>SUMIFS(Elements!$L$2:$L$862,Elements!$B$2:$B$862,$A116,Elements!$D$2:$D$862,$B116,Elements!$E$2:$E$862,$C116,Elements!$F$2:$F$862,$D116)</f>
        <v/>
      </c>
      <c r="M116" s="2" t="inlineStr">
        <is>
          <t>cross-hatch; 94-1044 x 20-25 cm; L/W 4.70-52.20; hatch strokes [0.24, 0.25, 0.28] m at +/-45 deg; thickness = local spread of stroke ends; on a raft 100%; no V label</t>
        </is>
      </c>
    </row>
    <row r="117">
      <c r="A117" s="5" t="inlineStr">
        <is>
          <t>124</t>
        </is>
      </c>
      <c r="B117" s="5" t="inlineStr">
        <is>
          <t>wall</t>
        </is>
      </c>
      <c r="C117" s="5" t="inlineStr">
        <is>
          <t>core_wall_solid</t>
        </is>
      </c>
      <c r="D117" s="5" t="inlineStr">
        <is>
          <t>(none)</t>
        </is>
      </c>
      <c r="E117" s="5">
        <f>COUNTIFS(Elements!$B$2:$B$862,$A117,Elements!$D$2:$D$862,$B117,Elements!$E$2:$E$862,$C117,Elements!$F$2:$F$862,$D117)</f>
        <v/>
      </c>
      <c r="F117" s="5">
        <f>IFERROR(_xlfn.MINIFS(Elements!$I$2:$I$862,Elements!$B$2:$B$862,$A117,Elements!$D$2:$D$862,$B117,Elements!$E$2:$E$862,$C117,Elements!$F$2:$F$862,$D117),"")</f>
        <v/>
      </c>
      <c r="G117" s="5">
        <f>IFERROR(_xlfn.MAXIFS(Elements!$I$2:$I$862,Elements!$B$2:$B$862,$A117,Elements!$D$2:$D$862,$B117,Elements!$E$2:$E$862,$C117,Elements!$F$2:$F$862,$D117),"")</f>
        <v/>
      </c>
      <c r="H117" s="5">
        <f>IFERROR(_xlfn.MINIFS(Elements!$J$2:$J$862,Elements!$B$2:$B$862,$A117,Elements!$D$2:$D$862,$B117,Elements!$E$2:$E$862,$C117,Elements!$F$2:$F$862,$D117),"")</f>
        <v/>
      </c>
      <c r="I117" s="5">
        <f>IFERROR(_xlfn.MAXIFS(Elements!$J$2:$J$862,Elements!$B$2:$B$862,$A117,Elements!$D$2:$D$862,$B117,Elements!$E$2:$E$862,$C117,Elements!$F$2:$F$862,$D117),"")</f>
        <v/>
      </c>
      <c r="J117" s="5">
        <f>IF(OR(F117="",H117=""),"",IF(OR(B117="raft",B117="sump_pit",B117="crane_foundation",D117="(none)"),"n/a",IF(OR(B117="column",B117="footing",B117="mass_concrete_pad",AND(B117="wall",C117="shear_wall",D117&lt;&gt;"(none)")),IF(AND(G117-F117&lt;=3,I117-H117&lt;=3),"yes","no"),IF(I117-H117&lt;=3,"yes (thickness)","no (thickness)"))))</f>
        <v/>
      </c>
      <c r="K117" s="6">
        <f>SUMIFS(Elements!$M$2:$M$862,Elements!$B$2:$B$862,$A117,Elements!$D$2:$D$862,$B117,Elements!$E$2:$E$862,$C117,Elements!$F$2:$F$862,$D117)</f>
        <v/>
      </c>
      <c r="L117" s="6">
        <f>SUMIFS(Elements!$L$2:$L$862,Elements!$B$2:$B$862,$A117,Elements!$D$2:$D$862,$B117,Elements!$E$2:$E$862,$C117,Elements!$F$2:$F$862,$D117)</f>
        <v/>
      </c>
      <c r="M117" s="2" t="inlineStr">
        <is>
          <t>solid fill; 39-816 x 20-30 cm; L/W 1.81-36.95; inside a footing outline 0%; on a raft 100%; touching a hatched core wall 24%; in a strip-footing band 0%; at a grade-beam junction 0%</t>
        </is>
      </c>
    </row>
    <row r="118">
      <c r="A118" s="5" t="inlineStr">
        <is>
          <t>124</t>
        </is>
      </c>
      <c r="B118" s="5" t="inlineStr">
        <is>
          <t>wall</t>
        </is>
      </c>
      <c r="C118" s="5" t="inlineStr">
        <is>
          <t>retaining_wall</t>
        </is>
      </c>
      <c r="D118" s="5" t="inlineStr">
        <is>
          <t>VP20</t>
        </is>
      </c>
      <c r="E118" s="5">
        <f>COUNTIFS(Elements!$B$2:$B$862,$A118,Elements!$D$2:$D$862,$B118,Elements!$E$2:$E$862,$C118,Elements!$F$2:$F$862,$D118)</f>
        <v/>
      </c>
      <c r="F118" s="5">
        <f>IFERROR(_xlfn.MINIFS(Elements!$I$2:$I$862,Elements!$B$2:$B$862,$A118,Elements!$D$2:$D$862,$B118,Elements!$E$2:$E$862,$C118,Elements!$F$2:$F$862,$D118),"")</f>
        <v/>
      </c>
      <c r="G118" s="5">
        <f>IFERROR(_xlfn.MAXIFS(Elements!$I$2:$I$862,Elements!$B$2:$B$862,$A118,Elements!$D$2:$D$862,$B118,Elements!$E$2:$E$862,$C118,Elements!$F$2:$F$862,$D118),"")</f>
        <v/>
      </c>
      <c r="H118" s="5">
        <f>IFERROR(_xlfn.MINIFS(Elements!$J$2:$J$862,Elements!$B$2:$B$862,$A118,Elements!$D$2:$D$862,$B118,Elements!$E$2:$E$862,$C118,Elements!$F$2:$F$862,$D118),"")</f>
        <v/>
      </c>
      <c r="I118" s="5">
        <f>IFERROR(_xlfn.MAXIFS(Elements!$J$2:$J$862,Elements!$B$2:$B$862,$A118,Elements!$D$2:$D$862,$B118,Elements!$E$2:$E$862,$C118,Elements!$F$2:$F$862,$D118),"")</f>
        <v/>
      </c>
      <c r="J118" s="5">
        <f>IF(OR(F118="",H118=""),"",IF(OR(B118="raft",B118="sump_pit",B118="crane_foundation",D118="(none)"),"n/a",IF(OR(B118="column",B118="footing",B118="mass_concrete_pad",AND(B118="wall",C118="shear_wall",D118&lt;&gt;"(none)")),IF(AND(G118-F118&lt;=3,I118-H118&lt;=3),"yes","no"),IF(I118-H118&lt;=3,"yes (thickness)","no (thickness)"))))</f>
        <v/>
      </c>
      <c r="K118" s="6">
        <f>SUMIFS(Elements!$M$2:$M$862,Elements!$B$2:$B$862,$A118,Elements!$D$2:$D$862,$B118,Elements!$E$2:$E$862,$C118,Elements!$F$2:$F$862,$D118)</f>
        <v/>
      </c>
      <c r="L118" s="6">
        <f>SUMIFS(Elements!$L$2:$L$862,Elements!$B$2:$B$862,$A118,Elements!$D$2:$D$862,$B118,Elements!$E$2:$E$862,$C118,Elements!$F$2:$F$862,$D118)</f>
        <v/>
      </c>
      <c r="M118" s="2" t="inlineStr">
        <is>
          <t>solid fill; 34-2869 x 20-30 cm; L/W 1.70-143.45; inside a footing outline 5%; on a raft 29%; touching a hatched core wall 12%; in a strip-footing band 69%; at a grade-beam junction 20%</t>
        </is>
      </c>
    </row>
    <row r="119">
      <c r="A119" s="5" t="inlineStr">
        <is>
          <t>124</t>
        </is>
      </c>
      <c r="B119" s="5" t="inlineStr">
        <is>
          <t>wall</t>
        </is>
      </c>
      <c r="C119" s="5" t="inlineStr">
        <is>
          <t>retaining_wall</t>
        </is>
      </c>
      <c r="D119" s="5" t="inlineStr">
        <is>
          <t>VP25</t>
        </is>
      </c>
      <c r="E119" s="5">
        <f>COUNTIFS(Elements!$B$2:$B$862,$A119,Elements!$D$2:$D$862,$B119,Elements!$E$2:$E$862,$C119,Elements!$F$2:$F$862,$D119)</f>
        <v/>
      </c>
      <c r="F119" s="5">
        <f>IFERROR(_xlfn.MINIFS(Elements!$I$2:$I$862,Elements!$B$2:$B$862,$A119,Elements!$D$2:$D$862,$B119,Elements!$E$2:$E$862,$C119,Elements!$F$2:$F$862,$D119),"")</f>
        <v/>
      </c>
      <c r="G119" s="5">
        <f>IFERROR(_xlfn.MAXIFS(Elements!$I$2:$I$862,Elements!$B$2:$B$862,$A119,Elements!$D$2:$D$862,$B119,Elements!$E$2:$E$862,$C119,Elements!$F$2:$F$862,$D119),"")</f>
        <v/>
      </c>
      <c r="H119" s="5">
        <f>IFERROR(_xlfn.MINIFS(Elements!$J$2:$J$862,Elements!$B$2:$B$862,$A119,Elements!$D$2:$D$862,$B119,Elements!$E$2:$E$862,$C119,Elements!$F$2:$F$862,$D119),"")</f>
        <v/>
      </c>
      <c r="I119" s="5">
        <f>IFERROR(_xlfn.MAXIFS(Elements!$J$2:$J$862,Elements!$B$2:$B$862,$A119,Elements!$D$2:$D$862,$B119,Elements!$E$2:$E$862,$C119,Elements!$F$2:$F$862,$D119),"")</f>
        <v/>
      </c>
      <c r="J119" s="5">
        <f>IF(OR(F119="",H119=""),"",IF(OR(B119="raft",B119="sump_pit",B119="crane_foundation",D119="(none)"),"n/a",IF(OR(B119="column",B119="footing",B119="mass_concrete_pad",AND(B119="wall",C119="shear_wall",D119&lt;&gt;"(none)")),IF(AND(G119-F119&lt;=3,I119-H119&lt;=3),"yes","no"),IF(I119-H119&lt;=3,"yes (thickness)","no (thickness)"))))</f>
        <v/>
      </c>
      <c r="K119" s="6">
        <f>SUMIFS(Elements!$M$2:$M$862,Elements!$B$2:$B$862,$A119,Elements!$D$2:$D$862,$B119,Elements!$E$2:$E$862,$C119,Elements!$F$2:$F$862,$D119)</f>
        <v/>
      </c>
      <c r="L119" s="6">
        <f>SUMIFS(Elements!$L$2:$L$862,Elements!$B$2:$B$862,$A119,Elements!$D$2:$D$862,$B119,Elements!$E$2:$E$862,$C119,Elements!$F$2:$F$862,$D119)</f>
        <v/>
      </c>
      <c r="M119" s="2" t="inlineStr">
        <is>
          <t>solid fill; 34-2869 x 20-30 cm; L/W 1.70-143.45; inside a footing outline 5%; on a raft 29%; touching a hatched core wall 12%; in a strip-footing band 69%; at a grade-beam junction 20%</t>
        </is>
      </c>
    </row>
    <row r="120">
      <c r="A120" s="5" t="inlineStr">
        <is>
          <t>124</t>
        </is>
      </c>
      <c r="B120" s="5" t="inlineStr">
        <is>
          <t>wall</t>
        </is>
      </c>
      <c r="C120" s="5" t="inlineStr">
        <is>
          <t>shear_wall</t>
        </is>
      </c>
      <c r="D120" s="5" t="inlineStr">
        <is>
          <t>V1/124</t>
        </is>
      </c>
      <c r="E120" s="5">
        <f>COUNTIFS(Elements!$B$2:$B$862,$A120,Elements!$D$2:$D$862,$B120,Elements!$E$2:$E$862,$C120,Elements!$F$2:$F$862,$D120)</f>
        <v/>
      </c>
      <c r="F120" s="5">
        <f>IFERROR(_xlfn.MINIFS(Elements!$I$2:$I$862,Elements!$B$2:$B$862,$A120,Elements!$D$2:$D$862,$B120,Elements!$E$2:$E$862,$C120,Elements!$F$2:$F$862,$D120),"")</f>
        <v/>
      </c>
      <c r="G120" s="5">
        <f>IFERROR(_xlfn.MAXIFS(Elements!$I$2:$I$862,Elements!$B$2:$B$862,$A120,Elements!$D$2:$D$862,$B120,Elements!$E$2:$E$862,$C120,Elements!$F$2:$F$862,$D120),"")</f>
        <v/>
      </c>
      <c r="H120" s="5">
        <f>IFERROR(_xlfn.MINIFS(Elements!$J$2:$J$862,Elements!$B$2:$B$862,$A120,Elements!$D$2:$D$862,$B120,Elements!$E$2:$E$862,$C120,Elements!$F$2:$F$862,$D120),"")</f>
        <v/>
      </c>
      <c r="I120" s="5">
        <f>IFERROR(_xlfn.MAXIFS(Elements!$J$2:$J$862,Elements!$B$2:$B$862,$A120,Elements!$D$2:$D$862,$B120,Elements!$E$2:$E$862,$C120,Elements!$F$2:$F$862,$D120),"")</f>
        <v/>
      </c>
      <c r="J120" s="5">
        <f>IF(OR(F120="",H120=""),"",IF(OR(B120="raft",B120="sump_pit",B120="crane_foundation",D120="(none)"),"n/a",IF(OR(B120="column",B120="footing",B120="mass_concrete_pad",AND(B120="wall",C120="shear_wall",D120&lt;&gt;"(none)")),IF(AND(G120-F120&lt;=3,I120-H120&lt;=3),"yes","no"),IF(I120-H120&lt;=3,"yes (thickness)","no (thickness)"))))</f>
        <v/>
      </c>
      <c r="K120" s="6">
        <f>SUMIFS(Elements!$M$2:$M$862,Elements!$B$2:$B$862,$A120,Elements!$D$2:$D$862,$B120,Elements!$E$2:$E$862,$C120,Elements!$F$2:$F$862,$D120)</f>
        <v/>
      </c>
      <c r="L120" s="6">
        <f>SUMIFS(Elements!$L$2:$L$862,Elements!$B$2:$B$862,$A120,Elements!$D$2:$D$862,$B120,Elements!$E$2:$E$862,$C120,Elements!$F$2:$F$862,$D120)</f>
        <v/>
      </c>
      <c r="M120" s="2" t="inlineStr">
        <is>
          <t>solid fill; 87-1849 x 20-30 cm; L/W 4.17-92.45; inside a footing outline 72%; on a raft 10%; touching a hatched core wall 1%; in a strip-footing band 5%; at a grade-beam junction 51%</t>
        </is>
      </c>
    </row>
    <row r="121">
      <c r="A121" s="5" t="inlineStr">
        <is>
          <t>124</t>
        </is>
      </c>
      <c r="B121" s="5" t="inlineStr">
        <is>
          <t>wall</t>
        </is>
      </c>
      <c r="C121" s="5" t="inlineStr">
        <is>
          <t>shear_wall</t>
        </is>
      </c>
      <c r="D121" s="5" t="inlineStr">
        <is>
          <t>V2/124</t>
        </is>
      </c>
      <c r="E121" s="5">
        <f>COUNTIFS(Elements!$B$2:$B$862,$A121,Elements!$D$2:$D$862,$B121,Elements!$E$2:$E$862,$C121,Elements!$F$2:$F$862,$D121)</f>
        <v/>
      </c>
      <c r="F121" s="5">
        <f>IFERROR(_xlfn.MINIFS(Elements!$I$2:$I$862,Elements!$B$2:$B$862,$A121,Elements!$D$2:$D$862,$B121,Elements!$E$2:$E$862,$C121,Elements!$F$2:$F$862,$D121),"")</f>
        <v/>
      </c>
      <c r="G121" s="5">
        <f>IFERROR(_xlfn.MAXIFS(Elements!$I$2:$I$862,Elements!$B$2:$B$862,$A121,Elements!$D$2:$D$862,$B121,Elements!$E$2:$E$862,$C121,Elements!$F$2:$F$862,$D121),"")</f>
        <v/>
      </c>
      <c r="H121" s="5">
        <f>IFERROR(_xlfn.MINIFS(Elements!$J$2:$J$862,Elements!$B$2:$B$862,$A121,Elements!$D$2:$D$862,$B121,Elements!$E$2:$E$862,$C121,Elements!$F$2:$F$862,$D121),"")</f>
        <v/>
      </c>
      <c r="I121" s="5">
        <f>IFERROR(_xlfn.MAXIFS(Elements!$J$2:$J$862,Elements!$B$2:$B$862,$A121,Elements!$D$2:$D$862,$B121,Elements!$E$2:$E$862,$C121,Elements!$F$2:$F$862,$D121),"")</f>
        <v/>
      </c>
      <c r="J121" s="5">
        <f>IF(OR(F121="",H121=""),"",IF(OR(B121="raft",B121="sump_pit",B121="crane_foundation",D121="(none)"),"n/a",IF(OR(B121="column",B121="footing",B121="mass_concrete_pad",AND(B121="wall",C121="shear_wall",D121&lt;&gt;"(none)")),IF(AND(G121-F121&lt;=3,I121-H121&lt;=3),"yes","no"),IF(I121-H121&lt;=3,"yes (thickness)","no (thickness)"))))</f>
        <v/>
      </c>
      <c r="K121" s="6">
        <f>SUMIFS(Elements!$M$2:$M$862,Elements!$B$2:$B$862,$A121,Elements!$D$2:$D$862,$B121,Elements!$E$2:$E$862,$C121,Elements!$F$2:$F$862,$D121)</f>
        <v/>
      </c>
      <c r="L121" s="6">
        <f>SUMIFS(Elements!$L$2:$L$862,Elements!$B$2:$B$862,$A121,Elements!$D$2:$D$862,$B121,Elements!$E$2:$E$862,$C121,Elements!$F$2:$F$862,$D121)</f>
        <v/>
      </c>
      <c r="M121" s="2" t="inlineStr">
        <is>
          <t>solid fill; 87-1849 x 20-30 cm; L/W 4.17-92.45; inside a footing outline 72%; on a raft 10%; touching a hatched core wall 1%; in a strip-footing band 5%; at a grade-beam junction 51%</t>
        </is>
      </c>
    </row>
    <row r="122">
      <c r="A122" s="5" t="inlineStr">
        <is>
          <t>124</t>
        </is>
      </c>
      <c r="B122" s="5" t="inlineStr">
        <is>
          <t>wall</t>
        </is>
      </c>
      <c r="C122" s="5" t="inlineStr">
        <is>
          <t>shear_wall</t>
        </is>
      </c>
      <c r="D122" s="5" t="inlineStr">
        <is>
          <t>V3/124</t>
        </is>
      </c>
      <c r="E122" s="5">
        <f>COUNTIFS(Elements!$B$2:$B$862,$A122,Elements!$D$2:$D$862,$B122,Elements!$E$2:$E$862,$C122,Elements!$F$2:$F$862,$D122)</f>
        <v/>
      </c>
      <c r="F122" s="5">
        <f>IFERROR(_xlfn.MINIFS(Elements!$I$2:$I$862,Elements!$B$2:$B$862,$A122,Elements!$D$2:$D$862,$B122,Elements!$E$2:$E$862,$C122,Elements!$F$2:$F$862,$D122),"")</f>
        <v/>
      </c>
      <c r="G122" s="5">
        <f>IFERROR(_xlfn.MAXIFS(Elements!$I$2:$I$862,Elements!$B$2:$B$862,$A122,Elements!$D$2:$D$862,$B122,Elements!$E$2:$E$862,$C122,Elements!$F$2:$F$862,$D122),"")</f>
        <v/>
      </c>
      <c r="H122" s="5">
        <f>IFERROR(_xlfn.MINIFS(Elements!$J$2:$J$862,Elements!$B$2:$B$862,$A122,Elements!$D$2:$D$862,$B122,Elements!$E$2:$E$862,$C122,Elements!$F$2:$F$862,$D122),"")</f>
        <v/>
      </c>
      <c r="I122" s="5">
        <f>IFERROR(_xlfn.MAXIFS(Elements!$J$2:$J$862,Elements!$B$2:$B$862,$A122,Elements!$D$2:$D$862,$B122,Elements!$E$2:$E$862,$C122,Elements!$F$2:$F$862,$D122),"")</f>
        <v/>
      </c>
      <c r="J122" s="5">
        <f>IF(OR(F122="",H122=""),"",IF(OR(B122="raft",B122="sump_pit",B122="crane_foundation",D122="(none)"),"n/a",IF(OR(B122="column",B122="footing",B122="mass_concrete_pad",AND(B122="wall",C122="shear_wall",D122&lt;&gt;"(none)")),IF(AND(G122-F122&lt;=3,I122-H122&lt;=3),"yes","no"),IF(I122-H122&lt;=3,"yes (thickness)","no (thickness)"))))</f>
        <v/>
      </c>
      <c r="K122" s="6">
        <f>SUMIFS(Elements!$M$2:$M$862,Elements!$B$2:$B$862,$A122,Elements!$D$2:$D$862,$B122,Elements!$E$2:$E$862,$C122,Elements!$F$2:$F$862,$D122)</f>
        <v/>
      </c>
      <c r="L122" s="6">
        <f>SUMIFS(Elements!$L$2:$L$862,Elements!$B$2:$B$862,$A122,Elements!$D$2:$D$862,$B122,Elements!$E$2:$E$862,$C122,Elements!$F$2:$F$862,$D122)</f>
        <v/>
      </c>
      <c r="M122" s="2" t="inlineStr">
        <is>
          <t>solid fill; 87-1849 x 20-30 cm; L/W 4.17-92.45; inside a footing outline 72%; on a raft 10%; touching a hatched core wall 1%; in a strip-footing band 5%; at a grade-beam junction 51%</t>
        </is>
      </c>
    </row>
    <row r="123">
      <c r="A123" s="5" t="inlineStr">
        <is>
          <t>124</t>
        </is>
      </c>
      <c r="B123" s="5" t="inlineStr">
        <is>
          <t>wall</t>
        </is>
      </c>
      <c r="C123" s="5" t="inlineStr">
        <is>
          <t>shear_wall</t>
        </is>
      </c>
      <c r="D123" s="5" t="inlineStr">
        <is>
          <t>V4/124</t>
        </is>
      </c>
      <c r="E123" s="5">
        <f>COUNTIFS(Elements!$B$2:$B$862,$A123,Elements!$D$2:$D$862,$B123,Elements!$E$2:$E$862,$C123,Elements!$F$2:$F$862,$D123)</f>
        <v/>
      </c>
      <c r="F123" s="5">
        <f>IFERROR(_xlfn.MINIFS(Elements!$I$2:$I$862,Elements!$B$2:$B$862,$A123,Elements!$D$2:$D$862,$B123,Elements!$E$2:$E$862,$C123,Elements!$F$2:$F$862,$D123),"")</f>
        <v/>
      </c>
      <c r="G123" s="5">
        <f>IFERROR(_xlfn.MAXIFS(Elements!$I$2:$I$862,Elements!$B$2:$B$862,$A123,Elements!$D$2:$D$862,$B123,Elements!$E$2:$E$862,$C123,Elements!$F$2:$F$862,$D123),"")</f>
        <v/>
      </c>
      <c r="H123" s="5">
        <f>IFERROR(_xlfn.MINIFS(Elements!$J$2:$J$862,Elements!$B$2:$B$862,$A123,Elements!$D$2:$D$862,$B123,Elements!$E$2:$E$862,$C123,Elements!$F$2:$F$862,$D123),"")</f>
        <v/>
      </c>
      <c r="I123" s="5">
        <f>IFERROR(_xlfn.MAXIFS(Elements!$J$2:$J$862,Elements!$B$2:$B$862,$A123,Elements!$D$2:$D$862,$B123,Elements!$E$2:$E$862,$C123,Elements!$F$2:$F$862,$D123),"")</f>
        <v/>
      </c>
      <c r="J123" s="5">
        <f>IF(OR(F123="",H123=""),"",IF(OR(B123="raft",B123="sump_pit",B123="crane_foundation",D123="(none)"),"n/a",IF(OR(B123="column",B123="footing",B123="mass_concrete_pad",AND(B123="wall",C123="shear_wall",D123&lt;&gt;"(none)")),IF(AND(G123-F123&lt;=3,I123-H123&lt;=3),"yes","no"),IF(I123-H123&lt;=3,"yes (thickness)","no (thickness)"))))</f>
        <v/>
      </c>
      <c r="K123" s="6">
        <f>SUMIFS(Elements!$M$2:$M$862,Elements!$B$2:$B$862,$A123,Elements!$D$2:$D$862,$B123,Elements!$E$2:$E$862,$C123,Elements!$F$2:$F$862,$D123)</f>
        <v/>
      </c>
      <c r="L123" s="6">
        <f>SUMIFS(Elements!$L$2:$L$862,Elements!$B$2:$B$862,$A123,Elements!$D$2:$D$862,$B123,Elements!$E$2:$E$862,$C123,Elements!$F$2:$F$862,$D123)</f>
        <v/>
      </c>
      <c r="M123" s="2" t="inlineStr">
        <is>
          <t>solid fill; 87-1849 x 20-30 cm; L/W 4.17-92.45; inside a footing outline 72%; on a raft 10%; touching a hatched core wall 1%; in a strip-footing band 5%; at a grade-beam junction 51%</t>
        </is>
      </c>
    </row>
    <row r="124">
      <c r="A124" s="5" t="inlineStr">
        <is>
          <t>124</t>
        </is>
      </c>
      <c r="B124" s="5" t="inlineStr">
        <is>
          <t>wall</t>
        </is>
      </c>
      <c r="C124" s="5" t="inlineStr">
        <is>
          <t>shear_wall</t>
        </is>
      </c>
      <c r="D124" s="5" t="inlineStr">
        <is>
          <t>V5/124</t>
        </is>
      </c>
      <c r="E124" s="5">
        <f>COUNTIFS(Elements!$B$2:$B$862,$A124,Elements!$D$2:$D$862,$B124,Elements!$E$2:$E$862,$C124,Elements!$F$2:$F$862,$D124)</f>
        <v/>
      </c>
      <c r="F124" s="5">
        <f>IFERROR(_xlfn.MINIFS(Elements!$I$2:$I$862,Elements!$B$2:$B$862,$A124,Elements!$D$2:$D$862,$B124,Elements!$E$2:$E$862,$C124,Elements!$F$2:$F$862,$D124),"")</f>
        <v/>
      </c>
      <c r="G124" s="5">
        <f>IFERROR(_xlfn.MAXIFS(Elements!$I$2:$I$862,Elements!$B$2:$B$862,$A124,Elements!$D$2:$D$862,$B124,Elements!$E$2:$E$862,$C124,Elements!$F$2:$F$862,$D124),"")</f>
        <v/>
      </c>
      <c r="H124" s="5">
        <f>IFERROR(_xlfn.MINIFS(Elements!$J$2:$J$862,Elements!$B$2:$B$862,$A124,Elements!$D$2:$D$862,$B124,Elements!$E$2:$E$862,$C124,Elements!$F$2:$F$862,$D124),"")</f>
        <v/>
      </c>
      <c r="I124" s="5">
        <f>IFERROR(_xlfn.MAXIFS(Elements!$J$2:$J$862,Elements!$B$2:$B$862,$A124,Elements!$D$2:$D$862,$B124,Elements!$E$2:$E$862,$C124,Elements!$F$2:$F$862,$D124),"")</f>
        <v/>
      </c>
      <c r="J124" s="5">
        <f>IF(OR(F124="",H124=""),"",IF(OR(B124="raft",B124="sump_pit",B124="crane_foundation",D124="(none)"),"n/a",IF(OR(B124="column",B124="footing",B124="mass_concrete_pad",AND(B124="wall",C124="shear_wall",D124&lt;&gt;"(none)")),IF(AND(G124-F124&lt;=3,I124-H124&lt;=3),"yes","no"),IF(I124-H124&lt;=3,"yes (thickness)","no (thickness)"))))</f>
        <v/>
      </c>
      <c r="K124" s="6">
        <f>SUMIFS(Elements!$M$2:$M$862,Elements!$B$2:$B$862,$A124,Elements!$D$2:$D$862,$B124,Elements!$E$2:$E$862,$C124,Elements!$F$2:$F$862,$D124)</f>
        <v/>
      </c>
      <c r="L124" s="6">
        <f>SUMIFS(Elements!$L$2:$L$862,Elements!$B$2:$B$862,$A124,Elements!$D$2:$D$862,$B124,Elements!$E$2:$E$862,$C124,Elements!$F$2:$F$862,$D124)</f>
        <v/>
      </c>
      <c r="M124" s="2" t="inlineStr">
        <is>
          <t>solid fill; 87-1849 x 20-30 cm; L/W 4.17-92.45; inside a footing outline 72%; on a raft 10%; touching a hatched core wall 1%; in a strip-footing band 5%; at a grade-beam junction 51%</t>
        </is>
      </c>
    </row>
    <row r="125">
      <c r="A125" s="5" t="inlineStr">
        <is>
          <t>124</t>
        </is>
      </c>
      <c r="B125" s="5" t="inlineStr">
        <is>
          <t>wall</t>
        </is>
      </c>
      <c r="C125" s="5" t="inlineStr">
        <is>
          <t>shear_wall</t>
        </is>
      </c>
      <c r="D125" s="5" t="inlineStr">
        <is>
          <t>V6/124</t>
        </is>
      </c>
      <c r="E125" s="5">
        <f>COUNTIFS(Elements!$B$2:$B$862,$A125,Elements!$D$2:$D$862,$B125,Elements!$E$2:$E$862,$C125,Elements!$F$2:$F$862,$D125)</f>
        <v/>
      </c>
      <c r="F125" s="5">
        <f>IFERROR(_xlfn.MINIFS(Elements!$I$2:$I$862,Elements!$B$2:$B$862,$A125,Elements!$D$2:$D$862,$B125,Elements!$E$2:$E$862,$C125,Elements!$F$2:$F$862,$D125),"")</f>
        <v/>
      </c>
      <c r="G125" s="5">
        <f>IFERROR(_xlfn.MAXIFS(Elements!$I$2:$I$862,Elements!$B$2:$B$862,$A125,Elements!$D$2:$D$862,$B125,Elements!$E$2:$E$862,$C125,Elements!$F$2:$F$862,$D125),"")</f>
        <v/>
      </c>
      <c r="H125" s="5">
        <f>IFERROR(_xlfn.MINIFS(Elements!$J$2:$J$862,Elements!$B$2:$B$862,$A125,Elements!$D$2:$D$862,$B125,Elements!$E$2:$E$862,$C125,Elements!$F$2:$F$862,$D125),"")</f>
        <v/>
      </c>
      <c r="I125" s="5">
        <f>IFERROR(_xlfn.MAXIFS(Elements!$J$2:$J$862,Elements!$B$2:$B$862,$A125,Elements!$D$2:$D$862,$B125,Elements!$E$2:$E$862,$C125,Elements!$F$2:$F$862,$D125),"")</f>
        <v/>
      </c>
      <c r="J125" s="5">
        <f>IF(OR(F125="",H125=""),"",IF(OR(B125="raft",B125="sump_pit",B125="crane_foundation",D125="(none)"),"n/a",IF(OR(B125="column",B125="footing",B125="mass_concrete_pad",AND(B125="wall",C125="shear_wall",D125&lt;&gt;"(none)")),IF(AND(G125-F125&lt;=3,I125-H125&lt;=3),"yes","no"),IF(I125-H125&lt;=3,"yes (thickness)","no (thickness)"))))</f>
        <v/>
      </c>
      <c r="K125" s="6">
        <f>SUMIFS(Elements!$M$2:$M$862,Elements!$B$2:$B$862,$A125,Elements!$D$2:$D$862,$B125,Elements!$E$2:$E$862,$C125,Elements!$F$2:$F$862,$D125)</f>
        <v/>
      </c>
      <c r="L125" s="6">
        <f>SUMIFS(Elements!$L$2:$L$862,Elements!$B$2:$B$862,$A125,Elements!$D$2:$D$862,$B125,Elements!$E$2:$E$862,$C125,Elements!$F$2:$F$862,$D125)</f>
        <v/>
      </c>
      <c r="M125" s="2" t="inlineStr">
        <is>
          <t>solid fill; 87-1849 x 20-30 cm; L/W 4.17-92.45; inside a footing outline 72%; on a raft 10%; touching a hatched core wall 1%; in a strip-footing band 5%; at a grade-beam junction 51%</t>
        </is>
      </c>
    </row>
    <row r="126">
      <c r="A126" s="5" t="inlineStr">
        <is>
          <t>124</t>
        </is>
      </c>
      <c r="B126" s="5" t="inlineStr">
        <is>
          <t>wall</t>
        </is>
      </c>
      <c r="C126" s="5" t="inlineStr">
        <is>
          <t>shear_wall</t>
        </is>
      </c>
      <c r="D126" s="5" t="inlineStr">
        <is>
          <t>V7/124</t>
        </is>
      </c>
      <c r="E126" s="5">
        <f>COUNTIFS(Elements!$B$2:$B$862,$A126,Elements!$D$2:$D$862,$B126,Elements!$E$2:$E$862,$C126,Elements!$F$2:$F$862,$D126)</f>
        <v/>
      </c>
      <c r="F126" s="5">
        <f>IFERROR(_xlfn.MINIFS(Elements!$I$2:$I$862,Elements!$B$2:$B$862,$A126,Elements!$D$2:$D$862,$B126,Elements!$E$2:$E$862,$C126,Elements!$F$2:$F$862,$D126),"")</f>
        <v/>
      </c>
      <c r="G126" s="5">
        <f>IFERROR(_xlfn.MAXIFS(Elements!$I$2:$I$862,Elements!$B$2:$B$862,$A126,Elements!$D$2:$D$862,$B126,Elements!$E$2:$E$862,$C126,Elements!$F$2:$F$862,$D126),"")</f>
        <v/>
      </c>
      <c r="H126" s="5">
        <f>IFERROR(_xlfn.MINIFS(Elements!$J$2:$J$862,Elements!$B$2:$B$862,$A126,Elements!$D$2:$D$862,$B126,Elements!$E$2:$E$862,$C126,Elements!$F$2:$F$862,$D126),"")</f>
        <v/>
      </c>
      <c r="I126" s="5">
        <f>IFERROR(_xlfn.MAXIFS(Elements!$J$2:$J$862,Elements!$B$2:$B$862,$A126,Elements!$D$2:$D$862,$B126,Elements!$E$2:$E$862,$C126,Elements!$F$2:$F$862,$D126),"")</f>
        <v/>
      </c>
      <c r="J126" s="5">
        <f>IF(OR(F126="",H126=""),"",IF(OR(B126="raft",B126="sump_pit",B126="crane_foundation",D126="(none)"),"n/a",IF(OR(B126="column",B126="footing",B126="mass_concrete_pad",AND(B126="wall",C126="shear_wall",D126&lt;&gt;"(none)")),IF(AND(G126-F126&lt;=3,I126-H126&lt;=3),"yes","no"),IF(I126-H126&lt;=3,"yes (thickness)","no (thickness)"))))</f>
        <v/>
      </c>
      <c r="K126" s="6">
        <f>SUMIFS(Elements!$M$2:$M$862,Elements!$B$2:$B$862,$A126,Elements!$D$2:$D$862,$B126,Elements!$E$2:$E$862,$C126,Elements!$F$2:$F$862,$D126)</f>
        <v/>
      </c>
      <c r="L126" s="6">
        <f>SUMIFS(Elements!$L$2:$L$862,Elements!$B$2:$B$862,$A126,Elements!$D$2:$D$862,$B126,Elements!$E$2:$E$862,$C126,Elements!$F$2:$F$862,$D126)</f>
        <v/>
      </c>
      <c r="M126" s="2" t="inlineStr">
        <is>
          <t>solid fill; 87-1849 x 20-30 cm; L/W 4.17-92.45; inside a footing outline 72%; on a raft 10%; touching a hatched core wall 1%; in a strip-footing band 5%; at a grade-beam junction 51%</t>
        </is>
      </c>
    </row>
    <row r="127">
      <c r="A127" s="5" t="inlineStr">
        <is>
          <t>124</t>
        </is>
      </c>
      <c r="B127" s="5" t="inlineStr">
        <is>
          <t>wall</t>
        </is>
      </c>
      <c r="C127" s="5" t="inlineStr">
        <is>
          <t>shear_wall</t>
        </is>
      </c>
      <c r="D127" s="5" t="inlineStr">
        <is>
          <t>V8/124</t>
        </is>
      </c>
      <c r="E127" s="5">
        <f>COUNTIFS(Elements!$B$2:$B$862,$A127,Elements!$D$2:$D$862,$B127,Elements!$E$2:$E$862,$C127,Elements!$F$2:$F$862,$D127)</f>
        <v/>
      </c>
      <c r="F127" s="5">
        <f>IFERROR(_xlfn.MINIFS(Elements!$I$2:$I$862,Elements!$B$2:$B$862,$A127,Elements!$D$2:$D$862,$B127,Elements!$E$2:$E$862,$C127,Elements!$F$2:$F$862,$D127),"")</f>
        <v/>
      </c>
      <c r="G127" s="5">
        <f>IFERROR(_xlfn.MAXIFS(Elements!$I$2:$I$862,Elements!$B$2:$B$862,$A127,Elements!$D$2:$D$862,$B127,Elements!$E$2:$E$862,$C127,Elements!$F$2:$F$862,$D127),"")</f>
        <v/>
      </c>
      <c r="H127" s="5">
        <f>IFERROR(_xlfn.MINIFS(Elements!$J$2:$J$862,Elements!$B$2:$B$862,$A127,Elements!$D$2:$D$862,$B127,Elements!$E$2:$E$862,$C127,Elements!$F$2:$F$862,$D127),"")</f>
        <v/>
      </c>
      <c r="I127" s="5">
        <f>IFERROR(_xlfn.MAXIFS(Elements!$J$2:$J$862,Elements!$B$2:$B$862,$A127,Elements!$D$2:$D$862,$B127,Elements!$E$2:$E$862,$C127,Elements!$F$2:$F$862,$D127),"")</f>
        <v/>
      </c>
      <c r="J127" s="5">
        <f>IF(OR(F127="",H127=""),"",IF(OR(B127="raft",B127="sump_pit",B127="crane_foundation",D127="(none)"),"n/a",IF(OR(B127="column",B127="footing",B127="mass_concrete_pad",AND(B127="wall",C127="shear_wall",D127&lt;&gt;"(none)")),IF(AND(G127-F127&lt;=3,I127-H127&lt;=3),"yes","no"),IF(I127-H127&lt;=3,"yes (thickness)","no (thickness)"))))</f>
        <v/>
      </c>
      <c r="K127" s="6">
        <f>SUMIFS(Elements!$M$2:$M$862,Elements!$B$2:$B$862,$A127,Elements!$D$2:$D$862,$B127,Elements!$E$2:$E$862,$C127,Elements!$F$2:$F$862,$D127)</f>
        <v/>
      </c>
      <c r="L127" s="6">
        <f>SUMIFS(Elements!$L$2:$L$862,Elements!$B$2:$B$862,$A127,Elements!$D$2:$D$862,$B127,Elements!$E$2:$E$862,$C127,Elements!$F$2:$F$862,$D127)</f>
        <v/>
      </c>
      <c r="M127" s="2" t="inlineStr">
        <is>
          <t>solid fill; 87-1849 x 20-30 cm; L/W 4.17-92.45; inside a footing outline 72%; on a raft 10%; touching a hatched core wall 1%; in a strip-footing band 5%; at a grade-beam junction 51%</t>
        </is>
      </c>
    </row>
    <row r="128">
      <c r="A128" s="5" t="inlineStr">
        <is>
          <t>125</t>
        </is>
      </c>
      <c r="B128" s="5" t="inlineStr">
        <is>
          <t>column</t>
        </is>
      </c>
      <c r="C128" s="5" t="inlineStr">
        <is>
          <t>column</t>
        </is>
      </c>
      <c r="D128" s="5" t="inlineStr">
        <is>
          <t>P1/125</t>
        </is>
      </c>
      <c r="E128" s="5">
        <f>COUNTIFS(Elements!$B$2:$B$862,$A128,Elements!$D$2:$D$862,$B128,Elements!$E$2:$E$862,$C128,Elements!$F$2:$F$862,$D128)</f>
        <v/>
      </c>
      <c r="F128" s="5">
        <f>IFERROR(_xlfn.MINIFS(Elements!$I$2:$I$862,Elements!$B$2:$B$862,$A128,Elements!$D$2:$D$862,$B128,Elements!$E$2:$E$862,$C128,Elements!$F$2:$F$862,$D128),"")</f>
        <v/>
      </c>
      <c r="G128" s="5">
        <f>IFERROR(_xlfn.MAXIFS(Elements!$I$2:$I$862,Elements!$B$2:$B$862,$A128,Elements!$D$2:$D$862,$B128,Elements!$E$2:$E$862,$C128,Elements!$F$2:$F$862,$D128),"")</f>
        <v/>
      </c>
      <c r="H128" s="5">
        <f>IFERROR(_xlfn.MINIFS(Elements!$J$2:$J$862,Elements!$B$2:$B$862,$A128,Elements!$D$2:$D$862,$B128,Elements!$E$2:$E$862,$C128,Elements!$F$2:$F$862,$D128),"")</f>
        <v/>
      </c>
      <c r="I128" s="5">
        <f>IFERROR(_xlfn.MAXIFS(Elements!$J$2:$J$862,Elements!$B$2:$B$862,$A128,Elements!$D$2:$D$862,$B128,Elements!$E$2:$E$862,$C128,Elements!$F$2:$F$862,$D128),"")</f>
        <v/>
      </c>
      <c r="J128" s="5">
        <f>IF(OR(F128="",H128=""),"",IF(OR(B128="raft",B128="sump_pit",B128="crane_foundation",D128="(none)"),"n/a",IF(OR(B128="column",B128="footing",B128="mass_concrete_pad",AND(B128="wall",C128="shear_wall",D128&lt;&gt;"(none)")),IF(AND(G128-F128&lt;=3,I128-H128&lt;=3),"yes","no"),IF(I128-H128&lt;=3,"yes (thickness)","no (thickness)"))))</f>
        <v/>
      </c>
      <c r="K128" s="6">
        <f>SUMIFS(Elements!$M$2:$M$862,Elements!$B$2:$B$862,$A128,Elements!$D$2:$D$862,$B128,Elements!$E$2:$E$862,$C128,Elements!$F$2:$F$862,$D128)</f>
        <v/>
      </c>
      <c r="L128" s="6">
        <f>SUMIFS(Elements!$L$2:$L$862,Elements!$B$2:$B$862,$A128,Elements!$D$2:$D$862,$B128,Elements!$E$2:$E$862,$C128,Elements!$F$2:$F$862,$D128)</f>
        <v/>
      </c>
      <c r="M128" s="2" t="inlineStr">
        <is>
          <t>solid fill; 40-120 x 25-50 cm; L/W 1.60-4.00; inside a footing outline 37%; on a raft 63%; touching a hatched core wall 26%; in a strip-footing band 0%; at a grade-beam junction 26%</t>
        </is>
      </c>
    </row>
    <row r="129">
      <c r="A129" s="5" t="inlineStr">
        <is>
          <t>125</t>
        </is>
      </c>
      <c r="B129" s="5" t="inlineStr">
        <is>
          <t>footing</t>
        </is>
      </c>
      <c r="C129" s="5" t="inlineStr">
        <is>
          <t>combined_footing</t>
        </is>
      </c>
      <c r="D129" s="5" t="inlineStr">
        <is>
          <t>SC1</t>
        </is>
      </c>
      <c r="E129" s="5">
        <f>COUNTIFS(Elements!$B$2:$B$862,$A129,Elements!$D$2:$D$862,$B129,Elements!$E$2:$E$862,$C129,Elements!$F$2:$F$862,$D129)</f>
        <v/>
      </c>
      <c r="F129" s="5">
        <f>IFERROR(_xlfn.MINIFS(Elements!$I$2:$I$862,Elements!$B$2:$B$862,$A129,Elements!$D$2:$D$862,$B129,Elements!$E$2:$E$862,$C129,Elements!$F$2:$F$862,$D129),"")</f>
        <v/>
      </c>
      <c r="G129" s="5">
        <f>IFERROR(_xlfn.MAXIFS(Elements!$I$2:$I$862,Elements!$B$2:$B$862,$A129,Elements!$D$2:$D$862,$B129,Elements!$E$2:$E$862,$C129,Elements!$F$2:$F$862,$D129),"")</f>
        <v/>
      </c>
      <c r="H129" s="5">
        <f>IFERROR(_xlfn.MINIFS(Elements!$J$2:$J$862,Elements!$B$2:$B$862,$A129,Elements!$D$2:$D$862,$B129,Elements!$E$2:$E$862,$C129,Elements!$F$2:$F$862,$D129),"")</f>
        <v/>
      </c>
      <c r="I129" s="5">
        <f>IFERROR(_xlfn.MAXIFS(Elements!$J$2:$J$862,Elements!$B$2:$B$862,$A129,Elements!$D$2:$D$862,$B129,Elements!$E$2:$E$862,$C129,Elements!$F$2:$F$862,$D129),"")</f>
        <v/>
      </c>
      <c r="J129" s="5">
        <f>IF(OR(F129="",H129=""),"",IF(OR(B129="raft",B129="sump_pit",B129="crane_foundation",D129="(none)"),"n/a",IF(OR(B129="column",B129="footing",B129="mass_concrete_pad",AND(B129="wall",C129="shear_wall",D129&lt;&gt;"(none)")),IF(AND(G129-F129&lt;=3,I129-H129&lt;=3),"yes","no"),IF(I129-H129&lt;=3,"yes (thickness)","no (thickness)"))))</f>
        <v/>
      </c>
      <c r="K129" s="6">
        <f>SUMIFS(Elements!$M$2:$M$862,Elements!$B$2:$B$862,$A129,Elements!$D$2:$D$862,$B129,Elements!$E$2:$E$862,$C129,Elements!$F$2:$F$862,$D129)</f>
        <v/>
      </c>
      <c r="L129" s="6">
        <f>SUMIFS(Elements!$L$2:$L$862,Elements!$B$2:$B$862,$A129,Elements!$D$2:$D$862,$B129,Elements!$E$2:$E$862,$C129,Elements!$F$2:$F$862,$D129)</f>
        <v/>
      </c>
      <c r="M129" s="2" t="inlineStr">
        <is>
          <t>closed outline; 350-600 x 200-450 cm; carries wall+wall (24), column+wall (3), wall+wall+wall+wall (1); grade beam crossing it 93%</t>
        </is>
      </c>
    </row>
    <row r="130">
      <c r="A130" s="5" t="inlineStr">
        <is>
          <t>125</t>
        </is>
      </c>
      <c r="B130" s="5" t="inlineStr">
        <is>
          <t>footing</t>
        </is>
      </c>
      <c r="C130" s="5" t="inlineStr">
        <is>
          <t>isolated_footing</t>
        </is>
      </c>
      <c r="D130" s="5" t="inlineStr">
        <is>
          <t>S10</t>
        </is>
      </c>
      <c r="E130" s="5">
        <f>COUNTIFS(Elements!$B$2:$B$862,$A130,Elements!$D$2:$D$862,$B130,Elements!$E$2:$E$862,$C130,Elements!$F$2:$F$862,$D130)</f>
        <v/>
      </c>
      <c r="F130" s="5">
        <f>IFERROR(_xlfn.MINIFS(Elements!$I$2:$I$862,Elements!$B$2:$B$862,$A130,Elements!$D$2:$D$862,$B130,Elements!$E$2:$E$862,$C130,Elements!$F$2:$F$862,$D130),"")</f>
        <v/>
      </c>
      <c r="G130" s="5">
        <f>IFERROR(_xlfn.MAXIFS(Elements!$I$2:$I$862,Elements!$B$2:$B$862,$A130,Elements!$D$2:$D$862,$B130,Elements!$E$2:$E$862,$C130,Elements!$F$2:$F$862,$D130),"")</f>
        <v/>
      </c>
      <c r="H130" s="5">
        <f>IFERROR(_xlfn.MINIFS(Elements!$J$2:$J$862,Elements!$B$2:$B$862,$A130,Elements!$D$2:$D$862,$B130,Elements!$E$2:$E$862,$C130,Elements!$F$2:$F$862,$D130),"")</f>
        <v/>
      </c>
      <c r="I130" s="5">
        <f>IFERROR(_xlfn.MAXIFS(Elements!$J$2:$J$862,Elements!$B$2:$B$862,$A130,Elements!$D$2:$D$862,$B130,Elements!$E$2:$E$862,$C130,Elements!$F$2:$F$862,$D130),"")</f>
        <v/>
      </c>
      <c r="J130" s="5">
        <f>IF(OR(F130="",H130=""),"",IF(OR(B130="raft",B130="sump_pit",B130="crane_foundation",D130="(none)"),"n/a",IF(OR(B130="column",B130="footing",B130="mass_concrete_pad",AND(B130="wall",C130="shear_wall",D130&lt;&gt;"(none)")),IF(AND(G130-F130&lt;=3,I130-H130&lt;=3),"yes","no"),IF(I130-H130&lt;=3,"yes (thickness)","no (thickness)"))))</f>
        <v/>
      </c>
      <c r="K130" s="6">
        <f>SUMIFS(Elements!$M$2:$M$862,Elements!$B$2:$B$862,$A130,Elements!$D$2:$D$862,$B130,Elements!$E$2:$E$862,$C130,Elements!$F$2:$F$862,$D130)</f>
        <v/>
      </c>
      <c r="L130" s="6">
        <f>SUMIFS(Elements!$L$2:$L$862,Elements!$B$2:$B$862,$A130,Elements!$D$2:$D$862,$B130,Elements!$E$2:$E$862,$C130,Elements!$F$2:$F$862,$D130)</f>
        <v/>
      </c>
      <c r="M130" s="2" t="inlineStr">
        <is>
          <t>closed outline; 150-600 x 150-450 cm; carries wall (64), column (9), wall+wall (1); grade beam crossing it 95%</t>
        </is>
      </c>
    </row>
    <row r="131">
      <c r="A131" s="5" t="inlineStr">
        <is>
          <t>125</t>
        </is>
      </c>
      <c r="B131" s="5" t="inlineStr">
        <is>
          <t>footing</t>
        </is>
      </c>
      <c r="C131" s="5" t="inlineStr">
        <is>
          <t>isolated_footing</t>
        </is>
      </c>
      <c r="D131" s="5" t="inlineStr">
        <is>
          <t>S11</t>
        </is>
      </c>
      <c r="E131" s="5">
        <f>COUNTIFS(Elements!$B$2:$B$862,$A131,Elements!$D$2:$D$862,$B131,Elements!$E$2:$E$862,$C131,Elements!$F$2:$F$862,$D131)</f>
        <v/>
      </c>
      <c r="F131" s="5">
        <f>IFERROR(_xlfn.MINIFS(Elements!$I$2:$I$862,Elements!$B$2:$B$862,$A131,Elements!$D$2:$D$862,$B131,Elements!$E$2:$E$862,$C131,Elements!$F$2:$F$862,$D131),"")</f>
        <v/>
      </c>
      <c r="G131" s="5">
        <f>IFERROR(_xlfn.MAXIFS(Elements!$I$2:$I$862,Elements!$B$2:$B$862,$A131,Elements!$D$2:$D$862,$B131,Elements!$E$2:$E$862,$C131,Elements!$F$2:$F$862,$D131),"")</f>
        <v/>
      </c>
      <c r="H131" s="5">
        <f>IFERROR(_xlfn.MINIFS(Elements!$J$2:$J$862,Elements!$B$2:$B$862,$A131,Elements!$D$2:$D$862,$B131,Elements!$E$2:$E$862,$C131,Elements!$F$2:$F$862,$D131),"")</f>
        <v/>
      </c>
      <c r="I131" s="5">
        <f>IFERROR(_xlfn.MAXIFS(Elements!$J$2:$J$862,Elements!$B$2:$B$862,$A131,Elements!$D$2:$D$862,$B131,Elements!$E$2:$E$862,$C131,Elements!$F$2:$F$862,$D131),"")</f>
        <v/>
      </c>
      <c r="J131" s="5">
        <f>IF(OR(F131="",H131=""),"",IF(OR(B131="raft",B131="sump_pit",B131="crane_foundation",D131="(none)"),"n/a",IF(OR(B131="column",B131="footing",B131="mass_concrete_pad",AND(B131="wall",C131="shear_wall",D131&lt;&gt;"(none)")),IF(AND(G131-F131&lt;=3,I131-H131&lt;=3),"yes","no"),IF(I131-H131&lt;=3,"yes (thickness)","no (thickness)"))))</f>
        <v/>
      </c>
      <c r="K131" s="6">
        <f>SUMIFS(Elements!$M$2:$M$862,Elements!$B$2:$B$862,$A131,Elements!$D$2:$D$862,$B131,Elements!$E$2:$E$862,$C131,Elements!$F$2:$F$862,$D131)</f>
        <v/>
      </c>
      <c r="L131" s="6">
        <f>SUMIFS(Elements!$L$2:$L$862,Elements!$B$2:$B$862,$A131,Elements!$D$2:$D$862,$B131,Elements!$E$2:$E$862,$C131,Elements!$F$2:$F$862,$D131)</f>
        <v/>
      </c>
      <c r="M131" s="2" t="inlineStr">
        <is>
          <t>closed outline; 150-600 x 150-450 cm; carries wall (64), column (9), wall+wall (1); grade beam crossing it 95%</t>
        </is>
      </c>
    </row>
    <row r="132">
      <c r="A132" s="5" t="inlineStr">
        <is>
          <t>125</t>
        </is>
      </c>
      <c r="B132" s="5" t="inlineStr">
        <is>
          <t>footing</t>
        </is>
      </c>
      <c r="C132" s="5" t="inlineStr">
        <is>
          <t>isolated_footing</t>
        </is>
      </c>
      <c r="D132" s="5" t="inlineStr">
        <is>
          <t>S2</t>
        </is>
      </c>
      <c r="E132" s="5">
        <f>COUNTIFS(Elements!$B$2:$B$862,$A132,Elements!$D$2:$D$862,$B132,Elements!$E$2:$E$862,$C132,Elements!$F$2:$F$862,$D132)</f>
        <v/>
      </c>
      <c r="F132" s="5">
        <f>IFERROR(_xlfn.MINIFS(Elements!$I$2:$I$862,Elements!$B$2:$B$862,$A132,Elements!$D$2:$D$862,$B132,Elements!$E$2:$E$862,$C132,Elements!$F$2:$F$862,$D132),"")</f>
        <v/>
      </c>
      <c r="G132" s="5">
        <f>IFERROR(_xlfn.MAXIFS(Elements!$I$2:$I$862,Elements!$B$2:$B$862,$A132,Elements!$D$2:$D$862,$B132,Elements!$E$2:$E$862,$C132,Elements!$F$2:$F$862,$D132),"")</f>
        <v/>
      </c>
      <c r="H132" s="5">
        <f>IFERROR(_xlfn.MINIFS(Elements!$J$2:$J$862,Elements!$B$2:$B$862,$A132,Elements!$D$2:$D$862,$B132,Elements!$E$2:$E$862,$C132,Elements!$F$2:$F$862,$D132),"")</f>
        <v/>
      </c>
      <c r="I132" s="5">
        <f>IFERROR(_xlfn.MAXIFS(Elements!$J$2:$J$862,Elements!$B$2:$B$862,$A132,Elements!$D$2:$D$862,$B132,Elements!$E$2:$E$862,$C132,Elements!$F$2:$F$862,$D132),"")</f>
        <v/>
      </c>
      <c r="J132" s="5">
        <f>IF(OR(F132="",H132=""),"",IF(OR(B132="raft",B132="sump_pit",B132="crane_foundation",D132="(none)"),"n/a",IF(OR(B132="column",B132="footing",B132="mass_concrete_pad",AND(B132="wall",C132="shear_wall",D132&lt;&gt;"(none)")),IF(AND(G132-F132&lt;=3,I132-H132&lt;=3),"yes","no"),IF(I132-H132&lt;=3,"yes (thickness)","no (thickness)"))))</f>
        <v/>
      </c>
      <c r="K132" s="6">
        <f>SUMIFS(Elements!$M$2:$M$862,Elements!$B$2:$B$862,$A132,Elements!$D$2:$D$862,$B132,Elements!$E$2:$E$862,$C132,Elements!$F$2:$F$862,$D132)</f>
        <v/>
      </c>
      <c r="L132" s="6">
        <f>SUMIFS(Elements!$L$2:$L$862,Elements!$B$2:$B$862,$A132,Elements!$D$2:$D$862,$B132,Elements!$E$2:$E$862,$C132,Elements!$F$2:$F$862,$D132)</f>
        <v/>
      </c>
      <c r="M132" s="2" t="inlineStr">
        <is>
          <t>closed outline; 150-600 x 150-450 cm; carries wall (64), column (9), wall+wall (1); grade beam crossing it 95%</t>
        </is>
      </c>
    </row>
    <row r="133">
      <c r="A133" s="5" t="inlineStr">
        <is>
          <t>125</t>
        </is>
      </c>
      <c r="B133" s="5" t="inlineStr">
        <is>
          <t>footing</t>
        </is>
      </c>
      <c r="C133" s="5" t="inlineStr">
        <is>
          <t>isolated_footing</t>
        </is>
      </c>
      <c r="D133" s="5" t="inlineStr">
        <is>
          <t>S7</t>
        </is>
      </c>
      <c r="E133" s="5">
        <f>COUNTIFS(Elements!$B$2:$B$862,$A133,Elements!$D$2:$D$862,$B133,Elements!$E$2:$E$862,$C133,Elements!$F$2:$F$862,$D133)</f>
        <v/>
      </c>
      <c r="F133" s="5">
        <f>IFERROR(_xlfn.MINIFS(Elements!$I$2:$I$862,Elements!$B$2:$B$862,$A133,Elements!$D$2:$D$862,$B133,Elements!$E$2:$E$862,$C133,Elements!$F$2:$F$862,$D133),"")</f>
        <v/>
      </c>
      <c r="G133" s="5">
        <f>IFERROR(_xlfn.MAXIFS(Elements!$I$2:$I$862,Elements!$B$2:$B$862,$A133,Elements!$D$2:$D$862,$B133,Elements!$E$2:$E$862,$C133,Elements!$F$2:$F$862,$D133),"")</f>
        <v/>
      </c>
      <c r="H133" s="5">
        <f>IFERROR(_xlfn.MINIFS(Elements!$J$2:$J$862,Elements!$B$2:$B$862,$A133,Elements!$D$2:$D$862,$B133,Elements!$E$2:$E$862,$C133,Elements!$F$2:$F$862,$D133),"")</f>
        <v/>
      </c>
      <c r="I133" s="5">
        <f>IFERROR(_xlfn.MAXIFS(Elements!$J$2:$J$862,Elements!$B$2:$B$862,$A133,Elements!$D$2:$D$862,$B133,Elements!$E$2:$E$862,$C133,Elements!$F$2:$F$862,$D133),"")</f>
        <v/>
      </c>
      <c r="J133" s="5">
        <f>IF(OR(F133="",H133=""),"",IF(OR(B133="raft",B133="sump_pit",B133="crane_foundation",D133="(none)"),"n/a",IF(OR(B133="column",B133="footing",B133="mass_concrete_pad",AND(B133="wall",C133="shear_wall",D133&lt;&gt;"(none)")),IF(AND(G133-F133&lt;=3,I133-H133&lt;=3),"yes","no"),IF(I133-H133&lt;=3,"yes (thickness)","no (thickness)"))))</f>
        <v/>
      </c>
      <c r="K133" s="6">
        <f>SUMIFS(Elements!$M$2:$M$862,Elements!$B$2:$B$862,$A133,Elements!$D$2:$D$862,$B133,Elements!$E$2:$E$862,$C133,Elements!$F$2:$F$862,$D133)</f>
        <v/>
      </c>
      <c r="L133" s="6">
        <f>SUMIFS(Elements!$L$2:$L$862,Elements!$B$2:$B$862,$A133,Elements!$D$2:$D$862,$B133,Elements!$E$2:$E$862,$C133,Elements!$F$2:$F$862,$D133)</f>
        <v/>
      </c>
      <c r="M133" s="2" t="inlineStr">
        <is>
          <t>closed outline; 150-600 x 150-450 cm; carries wall (64), column (9), wall+wall (1); grade beam crossing it 95%</t>
        </is>
      </c>
    </row>
    <row r="134">
      <c r="A134" s="5" t="inlineStr">
        <is>
          <t>125</t>
        </is>
      </c>
      <c r="B134" s="5" t="inlineStr">
        <is>
          <t>grade_beam</t>
        </is>
      </c>
      <c r="C134" s="5" t="inlineStr">
        <is>
          <t>grade_beam</t>
        </is>
      </c>
      <c r="D134" s="5" t="inlineStr">
        <is>
          <t>LG40x15</t>
        </is>
      </c>
      <c r="E134" s="5">
        <f>COUNTIFS(Elements!$B$2:$B$862,$A134,Elements!$D$2:$D$862,$B134,Elements!$E$2:$E$862,$C134,Elements!$F$2:$F$862,$D134)</f>
        <v/>
      </c>
      <c r="F134" s="5">
        <f>IFERROR(_xlfn.MINIFS(Elements!$I$2:$I$862,Elements!$B$2:$B$862,$A134,Elements!$D$2:$D$862,$B134,Elements!$E$2:$E$862,$C134,Elements!$F$2:$F$862,$D134),"")</f>
        <v/>
      </c>
      <c r="G134" s="5">
        <f>IFERROR(_xlfn.MAXIFS(Elements!$I$2:$I$862,Elements!$B$2:$B$862,$A134,Elements!$D$2:$D$862,$B134,Elements!$E$2:$E$862,$C134,Elements!$F$2:$F$862,$D134),"")</f>
        <v/>
      </c>
      <c r="H134" s="5">
        <f>IFERROR(_xlfn.MINIFS(Elements!$J$2:$J$862,Elements!$B$2:$B$862,$A134,Elements!$D$2:$D$862,$B134,Elements!$E$2:$E$862,$C134,Elements!$F$2:$F$862,$D134),"")</f>
        <v/>
      </c>
      <c r="I134" s="5">
        <f>IFERROR(_xlfn.MAXIFS(Elements!$J$2:$J$862,Elements!$B$2:$B$862,$A134,Elements!$D$2:$D$862,$B134,Elements!$E$2:$E$862,$C134,Elements!$F$2:$F$862,$D134),"")</f>
        <v/>
      </c>
      <c r="J134" s="5">
        <f>IF(OR(F134="",H134=""),"",IF(OR(B134="raft",B134="sump_pit",B134="crane_foundation",D134="(none)"),"n/a",IF(OR(B134="column",B134="footing",B134="mass_concrete_pad",AND(B134="wall",C134="shear_wall",D134&lt;&gt;"(none)")),IF(AND(G134-F134&lt;=3,I134-H134&lt;=3),"yes","no"),IF(I134-H134&lt;=3,"yes (thickness)","no (thickness)"))))</f>
        <v/>
      </c>
      <c r="K134" s="6">
        <f>SUMIFS(Elements!$M$2:$M$862,Elements!$B$2:$B$862,$A134,Elements!$D$2:$D$862,$B134,Elements!$E$2:$E$862,$C134,Elements!$F$2:$F$862,$D134)</f>
        <v/>
      </c>
      <c r="L134" s="6">
        <f>SUMIFS(Elements!$L$2:$L$862,Elements!$B$2:$B$862,$A134,Elements!$D$2:$D$862,$B134,Elements!$E$2:$E$862,$C134,Elements!$F$2:$F$862,$D134)</f>
        <v/>
      </c>
      <c r="M134" s="2" t="inlineStr">
        <is>
          <t>parallel line pair; 30-2249 x 25-40 cm; width stated in its label</t>
        </is>
      </c>
    </row>
    <row r="135">
      <c r="A135" s="5" t="inlineStr">
        <is>
          <t>125</t>
        </is>
      </c>
      <c r="B135" s="5" t="inlineStr">
        <is>
          <t>raft</t>
        </is>
      </c>
      <c r="C135" s="5" t="inlineStr">
        <is>
          <t>raft</t>
        </is>
      </c>
      <c r="D135" s="5" t="inlineStr">
        <is>
          <t>Radier 90</t>
        </is>
      </c>
      <c r="E135" s="5">
        <f>COUNTIFS(Elements!$B$2:$B$862,$A135,Elements!$D$2:$D$862,$B135,Elements!$E$2:$E$862,$C135,Elements!$F$2:$F$862,$D135)</f>
        <v/>
      </c>
      <c r="F135" s="5">
        <f>IFERROR(_xlfn.MINIFS(Elements!$I$2:$I$862,Elements!$B$2:$B$862,$A135,Elements!$D$2:$D$862,$B135,Elements!$E$2:$E$862,$C135,Elements!$F$2:$F$862,$D135),"")</f>
        <v/>
      </c>
      <c r="G135" s="5">
        <f>IFERROR(_xlfn.MAXIFS(Elements!$I$2:$I$862,Elements!$B$2:$B$862,$A135,Elements!$D$2:$D$862,$B135,Elements!$E$2:$E$862,$C135,Elements!$F$2:$F$862,$D135),"")</f>
        <v/>
      </c>
      <c r="H135" s="5">
        <f>IFERROR(_xlfn.MINIFS(Elements!$J$2:$J$862,Elements!$B$2:$B$862,$A135,Elements!$D$2:$D$862,$B135,Elements!$E$2:$E$862,$C135,Elements!$F$2:$F$862,$D135),"")</f>
        <v/>
      </c>
      <c r="I135" s="5">
        <f>IFERROR(_xlfn.MAXIFS(Elements!$J$2:$J$862,Elements!$B$2:$B$862,$A135,Elements!$D$2:$D$862,$B135,Elements!$E$2:$E$862,$C135,Elements!$F$2:$F$862,$D135),"")</f>
        <v/>
      </c>
      <c r="J135" s="5">
        <f>IF(OR(F135="",H135=""),"",IF(OR(B135="raft",B135="sump_pit",B135="crane_foundation",D135="(none)"),"n/a",IF(OR(B135="column",B135="footing",B135="mass_concrete_pad",AND(B135="wall",C135="shear_wall",D135&lt;&gt;"(none)")),IF(AND(G135-F135&lt;=3,I135-H135&lt;=3),"yes","no"),IF(I135-H135&lt;=3,"yes (thickness)","no (thickness)"))))</f>
        <v/>
      </c>
      <c r="K135" s="6">
        <f>SUMIFS(Elements!$M$2:$M$862,Elements!$B$2:$B$862,$A135,Elements!$D$2:$D$862,$B135,Elements!$E$2:$E$862,$C135,Elements!$F$2:$F$862,$D135)</f>
        <v/>
      </c>
      <c r="L135" s="6">
        <f>SUMIFS(Elements!$L$2:$L$862,Elements!$B$2:$B$862,$A135,Elements!$D$2:$D$862,$B135,Elements!$E$2:$E$862,$C135,Elements!$F$2:$F$862,$D135)</f>
        <v/>
      </c>
      <c r="M135" s="2" t="inlineStr">
        <is>
          <t>stamp + corner diagonals; 693-1971 x 450-1020 cm; circle stamp 'Radier' + thickness; diagonals from its corners to the stamp</t>
        </is>
      </c>
    </row>
    <row r="136">
      <c r="A136" s="5" t="inlineStr">
        <is>
          <t>125</t>
        </is>
      </c>
      <c r="B136" s="5" t="inlineStr">
        <is>
          <t>strip_footing</t>
        </is>
      </c>
      <c r="C136" s="5" t="inlineStr">
        <is>
          <t>strip_footing</t>
        </is>
      </c>
      <c r="D136" s="5" t="inlineStr">
        <is>
          <t>SF1</t>
        </is>
      </c>
      <c r="E136" s="5">
        <f>COUNTIFS(Elements!$B$2:$B$862,$A136,Elements!$D$2:$D$862,$B136,Elements!$E$2:$E$862,$C136,Elements!$F$2:$F$862,$D136)</f>
        <v/>
      </c>
      <c r="F136" s="5">
        <f>IFERROR(_xlfn.MINIFS(Elements!$I$2:$I$862,Elements!$B$2:$B$862,$A136,Elements!$D$2:$D$862,$B136,Elements!$E$2:$E$862,$C136,Elements!$F$2:$F$862,$D136),"")</f>
        <v/>
      </c>
      <c r="G136" s="5">
        <f>IFERROR(_xlfn.MAXIFS(Elements!$I$2:$I$862,Elements!$B$2:$B$862,$A136,Elements!$D$2:$D$862,$B136,Elements!$E$2:$E$862,$C136,Elements!$F$2:$F$862,$D136),"")</f>
        <v/>
      </c>
      <c r="H136" s="5">
        <f>IFERROR(_xlfn.MINIFS(Elements!$J$2:$J$862,Elements!$B$2:$B$862,$A136,Elements!$D$2:$D$862,$B136,Elements!$E$2:$E$862,$C136,Elements!$F$2:$F$862,$D136),"")</f>
        <v/>
      </c>
      <c r="I136" s="5">
        <f>IFERROR(_xlfn.MAXIFS(Elements!$J$2:$J$862,Elements!$B$2:$B$862,$A136,Elements!$D$2:$D$862,$B136,Elements!$E$2:$E$862,$C136,Elements!$F$2:$F$862,$D136),"")</f>
        <v/>
      </c>
      <c r="J136" s="5">
        <f>IF(OR(F136="",H136=""),"",IF(OR(B136="raft",B136="sump_pit",B136="crane_foundation",D136="(none)"),"n/a",IF(OR(B136="column",B136="footing",B136="mass_concrete_pad",AND(B136="wall",C136="shear_wall",D136&lt;&gt;"(none)")),IF(AND(G136-F136&lt;=3,I136-H136&lt;=3),"yes","no"),IF(I136-H136&lt;=3,"yes (thickness)","no (thickness)"))))</f>
        <v/>
      </c>
      <c r="K136" s="6">
        <f>SUMIFS(Elements!$M$2:$M$862,Elements!$B$2:$B$862,$A136,Elements!$D$2:$D$862,$B136,Elements!$E$2:$E$862,$C136,Elements!$F$2:$F$862,$D136)</f>
        <v/>
      </c>
      <c r="L136" s="6">
        <f>SUMIFS(Elements!$L$2:$L$862,Elements!$B$2:$B$862,$A136,Elements!$D$2:$D$862,$B136,Elements!$E$2:$E$862,$C136,Elements!$F$2:$F$862,$D136)</f>
        <v/>
      </c>
      <c r="M136" s="2" t="inlineStr">
        <is>
          <t>parallel line pair; 75-5798 x 80-120 cm; width stated in its label</t>
        </is>
      </c>
    </row>
    <row r="137">
      <c r="A137" s="5" t="inlineStr">
        <is>
          <t>125</t>
        </is>
      </c>
      <c r="B137" s="5" t="inlineStr">
        <is>
          <t>strip_footing</t>
        </is>
      </c>
      <c r="C137" s="5" t="inlineStr">
        <is>
          <t>strip_footing</t>
        </is>
      </c>
      <c r="D137" s="5" t="inlineStr">
        <is>
          <t>SF4</t>
        </is>
      </c>
      <c r="E137" s="5">
        <f>COUNTIFS(Elements!$B$2:$B$862,$A137,Elements!$D$2:$D$862,$B137,Elements!$E$2:$E$862,$C137,Elements!$F$2:$F$862,$D137)</f>
        <v/>
      </c>
      <c r="F137" s="5">
        <f>IFERROR(_xlfn.MINIFS(Elements!$I$2:$I$862,Elements!$B$2:$B$862,$A137,Elements!$D$2:$D$862,$B137,Elements!$E$2:$E$862,$C137,Elements!$F$2:$F$862,$D137),"")</f>
        <v/>
      </c>
      <c r="G137" s="5">
        <f>IFERROR(_xlfn.MAXIFS(Elements!$I$2:$I$862,Elements!$B$2:$B$862,$A137,Elements!$D$2:$D$862,$B137,Elements!$E$2:$E$862,$C137,Elements!$F$2:$F$862,$D137),"")</f>
        <v/>
      </c>
      <c r="H137" s="5">
        <f>IFERROR(_xlfn.MINIFS(Elements!$J$2:$J$862,Elements!$B$2:$B$862,$A137,Elements!$D$2:$D$862,$B137,Elements!$E$2:$E$862,$C137,Elements!$F$2:$F$862,$D137),"")</f>
        <v/>
      </c>
      <c r="I137" s="5">
        <f>IFERROR(_xlfn.MAXIFS(Elements!$J$2:$J$862,Elements!$B$2:$B$862,$A137,Elements!$D$2:$D$862,$B137,Elements!$E$2:$E$862,$C137,Elements!$F$2:$F$862,$D137),"")</f>
        <v/>
      </c>
      <c r="J137" s="5">
        <f>IF(OR(F137="",H137=""),"",IF(OR(B137="raft",B137="sump_pit",B137="crane_foundation",D137="(none)"),"n/a",IF(OR(B137="column",B137="footing",B137="mass_concrete_pad",AND(B137="wall",C137="shear_wall",D137&lt;&gt;"(none)")),IF(AND(G137-F137&lt;=3,I137-H137&lt;=3),"yes","no"),IF(I137-H137&lt;=3,"yes (thickness)","no (thickness)"))))</f>
        <v/>
      </c>
      <c r="K137" s="6">
        <f>SUMIFS(Elements!$M$2:$M$862,Elements!$B$2:$B$862,$A137,Elements!$D$2:$D$862,$B137,Elements!$E$2:$E$862,$C137,Elements!$F$2:$F$862,$D137)</f>
        <v/>
      </c>
      <c r="L137" s="6">
        <f>SUMIFS(Elements!$L$2:$L$862,Elements!$B$2:$B$862,$A137,Elements!$D$2:$D$862,$B137,Elements!$E$2:$E$862,$C137,Elements!$F$2:$F$862,$D137)</f>
        <v/>
      </c>
      <c r="M137" s="2" t="inlineStr">
        <is>
          <t>parallel line pair; 75-5798 x 80-120 cm; width stated in its label</t>
        </is>
      </c>
    </row>
    <row r="138">
      <c r="A138" s="5" t="inlineStr">
        <is>
          <t>125</t>
        </is>
      </c>
      <c r="B138" s="5" t="inlineStr">
        <is>
          <t>wall</t>
        </is>
      </c>
      <c r="C138" s="5" t="inlineStr">
        <is>
          <t>core_wall_hatched</t>
        </is>
      </c>
      <c r="D138" s="5" t="inlineStr">
        <is>
          <t>(none)</t>
        </is>
      </c>
      <c r="E138" s="5">
        <f>COUNTIFS(Elements!$B$2:$B$862,$A138,Elements!$D$2:$D$862,$B138,Elements!$E$2:$E$862,$C138,Elements!$F$2:$F$862,$D138)</f>
        <v/>
      </c>
      <c r="F138" s="5">
        <f>IFERROR(_xlfn.MINIFS(Elements!$I$2:$I$862,Elements!$B$2:$B$862,$A138,Elements!$D$2:$D$862,$B138,Elements!$E$2:$E$862,$C138,Elements!$F$2:$F$862,$D138),"")</f>
        <v/>
      </c>
      <c r="G138" s="5">
        <f>IFERROR(_xlfn.MAXIFS(Elements!$I$2:$I$862,Elements!$B$2:$B$862,$A138,Elements!$D$2:$D$862,$B138,Elements!$E$2:$E$862,$C138,Elements!$F$2:$F$862,$D138),"")</f>
        <v/>
      </c>
      <c r="H138" s="5">
        <f>IFERROR(_xlfn.MINIFS(Elements!$J$2:$J$862,Elements!$B$2:$B$862,$A138,Elements!$D$2:$D$862,$B138,Elements!$E$2:$E$862,$C138,Elements!$F$2:$F$862,$D138),"")</f>
        <v/>
      </c>
      <c r="I138" s="5">
        <f>IFERROR(_xlfn.MAXIFS(Elements!$J$2:$J$862,Elements!$B$2:$B$862,$A138,Elements!$D$2:$D$862,$B138,Elements!$E$2:$E$862,$C138,Elements!$F$2:$F$862,$D138),"")</f>
        <v/>
      </c>
      <c r="J138" s="5">
        <f>IF(OR(F138="",H138=""),"",IF(OR(B138="raft",B138="sump_pit",B138="crane_foundation",D138="(none)"),"n/a",IF(OR(B138="column",B138="footing",B138="mass_concrete_pad",AND(B138="wall",C138="shear_wall",D138&lt;&gt;"(none)")),IF(AND(G138-F138&lt;=3,I138-H138&lt;=3),"yes","no"),IF(I138-H138&lt;=3,"yes (thickness)","no (thickness)"))))</f>
        <v/>
      </c>
      <c r="K138" s="6">
        <f>SUMIFS(Elements!$M$2:$M$862,Elements!$B$2:$B$862,$A138,Elements!$D$2:$D$862,$B138,Elements!$E$2:$E$862,$C138,Elements!$F$2:$F$862,$D138)</f>
        <v/>
      </c>
      <c r="L138" s="6">
        <f>SUMIFS(Elements!$L$2:$L$862,Elements!$B$2:$B$862,$A138,Elements!$D$2:$D$862,$B138,Elements!$E$2:$E$862,$C138,Elements!$F$2:$F$862,$D138)</f>
        <v/>
      </c>
      <c r="M138" s="2" t="inlineStr">
        <is>
          <t>cross-hatch; 94-1044 x 20-25 cm; L/W 4.70-52.20; hatch strokes [0.24, 0.25, 0.28] m at +/-45 deg; thickness = local spread of stroke ends; on a raft 100%; no V label</t>
        </is>
      </c>
    </row>
    <row r="139">
      <c r="A139" s="5" t="inlineStr">
        <is>
          <t>125</t>
        </is>
      </c>
      <c r="B139" s="5" t="inlineStr">
        <is>
          <t>wall</t>
        </is>
      </c>
      <c r="C139" s="5" t="inlineStr">
        <is>
          <t>core_wall_solid</t>
        </is>
      </c>
      <c r="D139" s="5" t="inlineStr">
        <is>
          <t>(none)</t>
        </is>
      </c>
      <c r="E139" s="5">
        <f>COUNTIFS(Elements!$B$2:$B$862,$A139,Elements!$D$2:$D$862,$B139,Elements!$E$2:$E$862,$C139,Elements!$F$2:$F$862,$D139)</f>
        <v/>
      </c>
      <c r="F139" s="5">
        <f>IFERROR(_xlfn.MINIFS(Elements!$I$2:$I$862,Elements!$B$2:$B$862,$A139,Elements!$D$2:$D$862,$B139,Elements!$E$2:$E$862,$C139,Elements!$F$2:$F$862,$D139),"")</f>
        <v/>
      </c>
      <c r="G139" s="5">
        <f>IFERROR(_xlfn.MAXIFS(Elements!$I$2:$I$862,Elements!$B$2:$B$862,$A139,Elements!$D$2:$D$862,$B139,Elements!$E$2:$E$862,$C139,Elements!$F$2:$F$862,$D139),"")</f>
        <v/>
      </c>
      <c r="H139" s="5">
        <f>IFERROR(_xlfn.MINIFS(Elements!$J$2:$J$862,Elements!$B$2:$B$862,$A139,Elements!$D$2:$D$862,$B139,Elements!$E$2:$E$862,$C139,Elements!$F$2:$F$862,$D139),"")</f>
        <v/>
      </c>
      <c r="I139" s="5">
        <f>IFERROR(_xlfn.MAXIFS(Elements!$J$2:$J$862,Elements!$B$2:$B$862,$A139,Elements!$D$2:$D$862,$B139,Elements!$E$2:$E$862,$C139,Elements!$F$2:$F$862,$D139),"")</f>
        <v/>
      </c>
      <c r="J139" s="5">
        <f>IF(OR(F139="",H139=""),"",IF(OR(B139="raft",B139="sump_pit",B139="crane_foundation",D139="(none)"),"n/a",IF(OR(B139="column",B139="footing",B139="mass_concrete_pad",AND(B139="wall",C139="shear_wall",D139&lt;&gt;"(none)")),IF(AND(G139-F139&lt;=3,I139-H139&lt;=3),"yes","no"),IF(I139-H139&lt;=3,"yes (thickness)","no (thickness)"))))</f>
        <v/>
      </c>
      <c r="K139" s="6">
        <f>SUMIFS(Elements!$M$2:$M$862,Elements!$B$2:$B$862,$A139,Elements!$D$2:$D$862,$B139,Elements!$E$2:$E$862,$C139,Elements!$F$2:$F$862,$D139)</f>
        <v/>
      </c>
      <c r="L139" s="6">
        <f>SUMIFS(Elements!$L$2:$L$862,Elements!$B$2:$B$862,$A139,Elements!$D$2:$D$862,$B139,Elements!$E$2:$E$862,$C139,Elements!$F$2:$F$862,$D139)</f>
        <v/>
      </c>
      <c r="M139" s="2" t="inlineStr">
        <is>
          <t>solid fill; 39-816 x 20-30 cm; L/W 1.81-36.95; inside a footing outline 0%; on a raft 100%; touching a hatched core wall 24%; in a strip-footing band 0%; at a grade-beam junction 0%</t>
        </is>
      </c>
    </row>
    <row r="140">
      <c r="A140" s="5" t="inlineStr">
        <is>
          <t>125</t>
        </is>
      </c>
      <c r="B140" s="5" t="inlineStr">
        <is>
          <t>wall</t>
        </is>
      </c>
      <c r="C140" s="5" t="inlineStr">
        <is>
          <t>retaining_wall</t>
        </is>
      </c>
      <c r="D140" s="5" t="inlineStr">
        <is>
          <t>VP20</t>
        </is>
      </c>
      <c r="E140" s="5">
        <f>COUNTIFS(Elements!$B$2:$B$862,$A140,Elements!$D$2:$D$862,$B140,Elements!$E$2:$E$862,$C140,Elements!$F$2:$F$862,$D140)</f>
        <v/>
      </c>
      <c r="F140" s="5">
        <f>IFERROR(_xlfn.MINIFS(Elements!$I$2:$I$862,Elements!$B$2:$B$862,$A140,Elements!$D$2:$D$862,$B140,Elements!$E$2:$E$862,$C140,Elements!$F$2:$F$862,$D140),"")</f>
        <v/>
      </c>
      <c r="G140" s="5">
        <f>IFERROR(_xlfn.MAXIFS(Elements!$I$2:$I$862,Elements!$B$2:$B$862,$A140,Elements!$D$2:$D$862,$B140,Elements!$E$2:$E$862,$C140,Elements!$F$2:$F$862,$D140),"")</f>
        <v/>
      </c>
      <c r="H140" s="5">
        <f>IFERROR(_xlfn.MINIFS(Elements!$J$2:$J$862,Elements!$B$2:$B$862,$A140,Elements!$D$2:$D$862,$B140,Elements!$E$2:$E$862,$C140,Elements!$F$2:$F$862,$D140),"")</f>
        <v/>
      </c>
      <c r="I140" s="5">
        <f>IFERROR(_xlfn.MAXIFS(Elements!$J$2:$J$862,Elements!$B$2:$B$862,$A140,Elements!$D$2:$D$862,$B140,Elements!$E$2:$E$862,$C140,Elements!$F$2:$F$862,$D140),"")</f>
        <v/>
      </c>
      <c r="J140" s="5">
        <f>IF(OR(F140="",H140=""),"",IF(OR(B140="raft",B140="sump_pit",B140="crane_foundation",D140="(none)"),"n/a",IF(OR(B140="column",B140="footing",B140="mass_concrete_pad",AND(B140="wall",C140="shear_wall",D140&lt;&gt;"(none)")),IF(AND(G140-F140&lt;=3,I140-H140&lt;=3),"yes","no"),IF(I140-H140&lt;=3,"yes (thickness)","no (thickness)"))))</f>
        <v/>
      </c>
      <c r="K140" s="6">
        <f>SUMIFS(Elements!$M$2:$M$862,Elements!$B$2:$B$862,$A140,Elements!$D$2:$D$862,$B140,Elements!$E$2:$E$862,$C140,Elements!$F$2:$F$862,$D140)</f>
        <v/>
      </c>
      <c r="L140" s="6">
        <f>SUMIFS(Elements!$L$2:$L$862,Elements!$B$2:$B$862,$A140,Elements!$D$2:$D$862,$B140,Elements!$E$2:$E$862,$C140,Elements!$F$2:$F$862,$D140)</f>
        <v/>
      </c>
      <c r="M140" s="2" t="inlineStr">
        <is>
          <t>solid fill; 34-2869 x 20-30 cm; L/W 1.70-143.45; inside a footing outline 5%; on a raft 29%; touching a hatched core wall 12%; in a strip-footing band 69%; at a grade-beam junction 20%</t>
        </is>
      </c>
    </row>
    <row r="141">
      <c r="A141" s="5" t="inlineStr">
        <is>
          <t>125</t>
        </is>
      </c>
      <c r="B141" s="5" t="inlineStr">
        <is>
          <t>wall</t>
        </is>
      </c>
      <c r="C141" s="5" t="inlineStr">
        <is>
          <t>shear_wall</t>
        </is>
      </c>
      <c r="D141" s="5" t="inlineStr">
        <is>
          <t>V1/125</t>
        </is>
      </c>
      <c r="E141" s="5">
        <f>COUNTIFS(Elements!$B$2:$B$862,$A141,Elements!$D$2:$D$862,$B141,Elements!$E$2:$E$862,$C141,Elements!$F$2:$F$862,$D141)</f>
        <v/>
      </c>
      <c r="F141" s="5">
        <f>IFERROR(_xlfn.MINIFS(Elements!$I$2:$I$862,Elements!$B$2:$B$862,$A141,Elements!$D$2:$D$862,$B141,Elements!$E$2:$E$862,$C141,Elements!$F$2:$F$862,$D141),"")</f>
        <v/>
      </c>
      <c r="G141" s="5">
        <f>IFERROR(_xlfn.MAXIFS(Elements!$I$2:$I$862,Elements!$B$2:$B$862,$A141,Elements!$D$2:$D$862,$B141,Elements!$E$2:$E$862,$C141,Elements!$F$2:$F$862,$D141),"")</f>
        <v/>
      </c>
      <c r="H141" s="5">
        <f>IFERROR(_xlfn.MINIFS(Elements!$J$2:$J$862,Elements!$B$2:$B$862,$A141,Elements!$D$2:$D$862,$B141,Elements!$E$2:$E$862,$C141,Elements!$F$2:$F$862,$D141),"")</f>
        <v/>
      </c>
      <c r="I141" s="5">
        <f>IFERROR(_xlfn.MAXIFS(Elements!$J$2:$J$862,Elements!$B$2:$B$862,$A141,Elements!$D$2:$D$862,$B141,Elements!$E$2:$E$862,$C141,Elements!$F$2:$F$862,$D141),"")</f>
        <v/>
      </c>
      <c r="J141" s="5">
        <f>IF(OR(F141="",H141=""),"",IF(OR(B141="raft",B141="sump_pit",B141="crane_foundation",D141="(none)"),"n/a",IF(OR(B141="column",B141="footing",B141="mass_concrete_pad",AND(B141="wall",C141="shear_wall",D141&lt;&gt;"(none)")),IF(AND(G141-F141&lt;=3,I141-H141&lt;=3),"yes","no"),IF(I141-H141&lt;=3,"yes (thickness)","no (thickness)"))))</f>
        <v/>
      </c>
      <c r="K141" s="6">
        <f>SUMIFS(Elements!$M$2:$M$862,Elements!$B$2:$B$862,$A141,Elements!$D$2:$D$862,$B141,Elements!$E$2:$E$862,$C141,Elements!$F$2:$F$862,$D141)</f>
        <v/>
      </c>
      <c r="L141" s="6">
        <f>SUMIFS(Elements!$L$2:$L$862,Elements!$B$2:$B$862,$A141,Elements!$D$2:$D$862,$B141,Elements!$E$2:$E$862,$C141,Elements!$F$2:$F$862,$D141)</f>
        <v/>
      </c>
      <c r="M141" s="2" t="inlineStr">
        <is>
          <t>solid fill; 87-1849 x 20-30 cm; L/W 4.17-92.45; inside a footing outline 72%; on a raft 10%; touching a hatched core wall 1%; in a strip-footing band 5%; at a grade-beam junction 51%</t>
        </is>
      </c>
    </row>
    <row r="142">
      <c r="A142" s="5" t="inlineStr">
        <is>
          <t>125</t>
        </is>
      </c>
      <c r="B142" s="5" t="inlineStr">
        <is>
          <t>wall</t>
        </is>
      </c>
      <c r="C142" s="5" t="inlineStr">
        <is>
          <t>shear_wall</t>
        </is>
      </c>
      <c r="D142" s="5" t="inlineStr">
        <is>
          <t>V3/125</t>
        </is>
      </c>
      <c r="E142" s="5">
        <f>COUNTIFS(Elements!$B$2:$B$862,$A142,Elements!$D$2:$D$862,$B142,Elements!$E$2:$E$862,$C142,Elements!$F$2:$F$862,$D142)</f>
        <v/>
      </c>
      <c r="F142" s="5">
        <f>IFERROR(_xlfn.MINIFS(Elements!$I$2:$I$862,Elements!$B$2:$B$862,$A142,Elements!$D$2:$D$862,$B142,Elements!$E$2:$E$862,$C142,Elements!$F$2:$F$862,$D142),"")</f>
        <v/>
      </c>
      <c r="G142" s="5">
        <f>IFERROR(_xlfn.MAXIFS(Elements!$I$2:$I$862,Elements!$B$2:$B$862,$A142,Elements!$D$2:$D$862,$B142,Elements!$E$2:$E$862,$C142,Elements!$F$2:$F$862,$D142),"")</f>
        <v/>
      </c>
      <c r="H142" s="5">
        <f>IFERROR(_xlfn.MINIFS(Elements!$J$2:$J$862,Elements!$B$2:$B$862,$A142,Elements!$D$2:$D$862,$B142,Elements!$E$2:$E$862,$C142,Elements!$F$2:$F$862,$D142),"")</f>
        <v/>
      </c>
      <c r="I142" s="5">
        <f>IFERROR(_xlfn.MAXIFS(Elements!$J$2:$J$862,Elements!$B$2:$B$862,$A142,Elements!$D$2:$D$862,$B142,Elements!$E$2:$E$862,$C142,Elements!$F$2:$F$862,$D142),"")</f>
        <v/>
      </c>
      <c r="J142" s="5">
        <f>IF(OR(F142="",H142=""),"",IF(OR(B142="raft",B142="sump_pit",B142="crane_foundation",D142="(none)"),"n/a",IF(OR(B142="column",B142="footing",B142="mass_concrete_pad",AND(B142="wall",C142="shear_wall",D142&lt;&gt;"(none)")),IF(AND(G142-F142&lt;=3,I142-H142&lt;=3),"yes","no"),IF(I142-H142&lt;=3,"yes (thickness)","no (thickness)"))))</f>
        <v/>
      </c>
      <c r="K142" s="6">
        <f>SUMIFS(Elements!$M$2:$M$862,Elements!$B$2:$B$862,$A142,Elements!$D$2:$D$862,$B142,Elements!$E$2:$E$862,$C142,Elements!$F$2:$F$862,$D142)</f>
        <v/>
      </c>
      <c r="L142" s="6">
        <f>SUMIFS(Elements!$L$2:$L$862,Elements!$B$2:$B$862,$A142,Elements!$D$2:$D$862,$B142,Elements!$E$2:$E$862,$C142,Elements!$F$2:$F$862,$D142)</f>
        <v/>
      </c>
      <c r="M142" s="2" t="inlineStr">
        <is>
          <t>solid fill; 87-1849 x 20-30 cm; L/W 4.17-92.45; inside a footing outline 72%; on a raft 10%; touching a hatched core wall 1%; in a strip-footing band 5%; at a grade-beam junction 51%</t>
        </is>
      </c>
    </row>
    <row r="143">
      <c r="A143" s="5" t="inlineStr">
        <is>
          <t>125</t>
        </is>
      </c>
      <c r="B143" s="5" t="inlineStr">
        <is>
          <t>wall</t>
        </is>
      </c>
      <c r="C143" s="5" t="inlineStr">
        <is>
          <t>shear_wall</t>
        </is>
      </c>
      <c r="D143" s="5" t="inlineStr">
        <is>
          <t>V4/125</t>
        </is>
      </c>
      <c r="E143" s="5">
        <f>COUNTIFS(Elements!$B$2:$B$862,$A143,Elements!$D$2:$D$862,$B143,Elements!$E$2:$E$862,$C143,Elements!$F$2:$F$862,$D143)</f>
        <v/>
      </c>
      <c r="F143" s="5">
        <f>IFERROR(_xlfn.MINIFS(Elements!$I$2:$I$862,Elements!$B$2:$B$862,$A143,Elements!$D$2:$D$862,$B143,Elements!$E$2:$E$862,$C143,Elements!$F$2:$F$862,$D143),"")</f>
        <v/>
      </c>
      <c r="G143" s="5">
        <f>IFERROR(_xlfn.MAXIFS(Elements!$I$2:$I$862,Elements!$B$2:$B$862,$A143,Elements!$D$2:$D$862,$B143,Elements!$E$2:$E$862,$C143,Elements!$F$2:$F$862,$D143),"")</f>
        <v/>
      </c>
      <c r="H143" s="5">
        <f>IFERROR(_xlfn.MINIFS(Elements!$J$2:$J$862,Elements!$B$2:$B$862,$A143,Elements!$D$2:$D$862,$B143,Elements!$E$2:$E$862,$C143,Elements!$F$2:$F$862,$D143),"")</f>
        <v/>
      </c>
      <c r="I143" s="5">
        <f>IFERROR(_xlfn.MAXIFS(Elements!$J$2:$J$862,Elements!$B$2:$B$862,$A143,Elements!$D$2:$D$862,$B143,Elements!$E$2:$E$862,$C143,Elements!$F$2:$F$862,$D143),"")</f>
        <v/>
      </c>
      <c r="J143" s="5">
        <f>IF(OR(F143="",H143=""),"",IF(OR(B143="raft",B143="sump_pit",B143="crane_foundation",D143="(none)"),"n/a",IF(OR(B143="column",B143="footing",B143="mass_concrete_pad",AND(B143="wall",C143="shear_wall",D143&lt;&gt;"(none)")),IF(AND(G143-F143&lt;=3,I143-H143&lt;=3),"yes","no"),IF(I143-H143&lt;=3,"yes (thickness)","no (thickness)"))))</f>
        <v/>
      </c>
      <c r="K143" s="6">
        <f>SUMIFS(Elements!$M$2:$M$862,Elements!$B$2:$B$862,$A143,Elements!$D$2:$D$862,$B143,Elements!$E$2:$E$862,$C143,Elements!$F$2:$F$862,$D143)</f>
        <v/>
      </c>
      <c r="L143" s="6">
        <f>SUMIFS(Elements!$L$2:$L$862,Elements!$B$2:$B$862,$A143,Elements!$D$2:$D$862,$B143,Elements!$E$2:$E$862,$C143,Elements!$F$2:$F$862,$D143)</f>
        <v/>
      </c>
      <c r="M143" s="2" t="inlineStr">
        <is>
          <t>solid fill; 87-1849 x 20-30 cm; L/W 4.17-92.45; inside a footing outline 72%; on a raft 10%; touching a hatched core wall 1%; in a strip-footing band 5%; at a grade-beam junction 51%</t>
        </is>
      </c>
    </row>
    <row r="144">
      <c r="A144" s="5" t="inlineStr">
        <is>
          <t>125</t>
        </is>
      </c>
      <c r="B144" s="5" t="inlineStr">
        <is>
          <t>wall</t>
        </is>
      </c>
      <c r="C144" s="5" t="inlineStr">
        <is>
          <t>shear_wall</t>
        </is>
      </c>
      <c r="D144" s="5" t="inlineStr">
        <is>
          <t>V5/125</t>
        </is>
      </c>
      <c r="E144" s="5">
        <f>COUNTIFS(Elements!$B$2:$B$862,$A144,Elements!$D$2:$D$862,$B144,Elements!$E$2:$E$862,$C144,Elements!$F$2:$F$862,$D144)</f>
        <v/>
      </c>
      <c r="F144" s="5">
        <f>IFERROR(_xlfn.MINIFS(Elements!$I$2:$I$862,Elements!$B$2:$B$862,$A144,Elements!$D$2:$D$862,$B144,Elements!$E$2:$E$862,$C144,Elements!$F$2:$F$862,$D144),"")</f>
        <v/>
      </c>
      <c r="G144" s="5">
        <f>IFERROR(_xlfn.MAXIFS(Elements!$I$2:$I$862,Elements!$B$2:$B$862,$A144,Elements!$D$2:$D$862,$B144,Elements!$E$2:$E$862,$C144,Elements!$F$2:$F$862,$D144),"")</f>
        <v/>
      </c>
      <c r="H144" s="5">
        <f>IFERROR(_xlfn.MINIFS(Elements!$J$2:$J$862,Elements!$B$2:$B$862,$A144,Elements!$D$2:$D$862,$B144,Elements!$E$2:$E$862,$C144,Elements!$F$2:$F$862,$D144),"")</f>
        <v/>
      </c>
      <c r="I144" s="5">
        <f>IFERROR(_xlfn.MAXIFS(Elements!$J$2:$J$862,Elements!$B$2:$B$862,$A144,Elements!$D$2:$D$862,$B144,Elements!$E$2:$E$862,$C144,Elements!$F$2:$F$862,$D144),"")</f>
        <v/>
      </c>
      <c r="J144" s="5">
        <f>IF(OR(F144="",H144=""),"",IF(OR(B144="raft",B144="sump_pit",B144="crane_foundation",D144="(none)"),"n/a",IF(OR(B144="column",B144="footing",B144="mass_concrete_pad",AND(B144="wall",C144="shear_wall",D144&lt;&gt;"(none)")),IF(AND(G144-F144&lt;=3,I144-H144&lt;=3),"yes","no"),IF(I144-H144&lt;=3,"yes (thickness)","no (thickness)"))))</f>
        <v/>
      </c>
      <c r="K144" s="6">
        <f>SUMIFS(Elements!$M$2:$M$862,Elements!$B$2:$B$862,$A144,Elements!$D$2:$D$862,$B144,Elements!$E$2:$E$862,$C144,Elements!$F$2:$F$862,$D144)</f>
        <v/>
      </c>
      <c r="L144" s="6">
        <f>SUMIFS(Elements!$L$2:$L$862,Elements!$B$2:$B$862,$A144,Elements!$D$2:$D$862,$B144,Elements!$E$2:$E$862,$C144,Elements!$F$2:$F$862,$D144)</f>
        <v/>
      </c>
      <c r="M144" s="2" t="inlineStr">
        <is>
          <t>solid fill; 87-1849 x 20-30 cm; L/W 4.17-92.45; inside a footing outline 72%; on a raft 10%; touching a hatched core wall 1%; in a strip-footing band 5%; at a grade-beam junction 51%</t>
        </is>
      </c>
    </row>
    <row r="145">
      <c r="A145" s="5" t="inlineStr">
        <is>
          <t>125</t>
        </is>
      </c>
      <c r="B145" s="5" t="inlineStr">
        <is>
          <t>wall</t>
        </is>
      </c>
      <c r="C145" s="5" t="inlineStr">
        <is>
          <t>shear_wall</t>
        </is>
      </c>
      <c r="D145" s="5" t="inlineStr">
        <is>
          <t>V8/125</t>
        </is>
      </c>
      <c r="E145" s="5">
        <f>COUNTIFS(Elements!$B$2:$B$862,$A145,Elements!$D$2:$D$862,$B145,Elements!$E$2:$E$862,$C145,Elements!$F$2:$F$862,$D145)</f>
        <v/>
      </c>
      <c r="F145" s="5">
        <f>IFERROR(_xlfn.MINIFS(Elements!$I$2:$I$862,Elements!$B$2:$B$862,$A145,Elements!$D$2:$D$862,$B145,Elements!$E$2:$E$862,$C145,Elements!$F$2:$F$862,$D145),"")</f>
        <v/>
      </c>
      <c r="G145" s="5">
        <f>IFERROR(_xlfn.MAXIFS(Elements!$I$2:$I$862,Elements!$B$2:$B$862,$A145,Elements!$D$2:$D$862,$B145,Elements!$E$2:$E$862,$C145,Elements!$F$2:$F$862,$D145),"")</f>
        <v/>
      </c>
      <c r="H145" s="5">
        <f>IFERROR(_xlfn.MINIFS(Elements!$J$2:$J$862,Elements!$B$2:$B$862,$A145,Elements!$D$2:$D$862,$B145,Elements!$E$2:$E$862,$C145,Elements!$F$2:$F$862,$D145),"")</f>
        <v/>
      </c>
      <c r="I145" s="5">
        <f>IFERROR(_xlfn.MAXIFS(Elements!$J$2:$J$862,Elements!$B$2:$B$862,$A145,Elements!$D$2:$D$862,$B145,Elements!$E$2:$E$862,$C145,Elements!$F$2:$F$862,$D145),"")</f>
        <v/>
      </c>
      <c r="J145" s="5">
        <f>IF(OR(F145="",H145=""),"",IF(OR(B145="raft",B145="sump_pit",B145="crane_foundation",D145="(none)"),"n/a",IF(OR(B145="column",B145="footing",B145="mass_concrete_pad",AND(B145="wall",C145="shear_wall",D145&lt;&gt;"(none)")),IF(AND(G145-F145&lt;=3,I145-H145&lt;=3),"yes","no"),IF(I145-H145&lt;=3,"yes (thickness)","no (thickness)"))))</f>
        <v/>
      </c>
      <c r="K145" s="6">
        <f>SUMIFS(Elements!$M$2:$M$862,Elements!$B$2:$B$862,$A145,Elements!$D$2:$D$862,$B145,Elements!$E$2:$E$862,$C145,Elements!$F$2:$F$862,$D145)</f>
        <v/>
      </c>
      <c r="L145" s="6">
        <f>SUMIFS(Elements!$L$2:$L$862,Elements!$B$2:$B$862,$A145,Elements!$D$2:$D$862,$B145,Elements!$E$2:$E$862,$C145,Elements!$F$2:$F$862,$D145)</f>
        <v/>
      </c>
      <c r="M145" s="2" t="inlineStr">
        <is>
          <t>solid fill; 87-1849 x 20-30 cm; L/W 4.17-92.45; inside a footing outline 72%; on a raft 10%; touching a hatched core wall 1%; in a strip-footing band 5%; at a grade-beam junction 51%</t>
        </is>
      </c>
    </row>
    <row r="146">
      <c r="A146" s="5" t="inlineStr">
        <is>
          <t>126</t>
        </is>
      </c>
      <c r="B146" s="5" t="inlineStr">
        <is>
          <t>column</t>
        </is>
      </c>
      <c r="C146" s="5" t="inlineStr">
        <is>
          <t>column</t>
        </is>
      </c>
      <c r="D146" s="5" t="inlineStr">
        <is>
          <t>P1/126</t>
        </is>
      </c>
      <c r="E146" s="5">
        <f>COUNTIFS(Elements!$B$2:$B$862,$A146,Elements!$D$2:$D$862,$B146,Elements!$E$2:$E$862,$C146,Elements!$F$2:$F$862,$D146)</f>
        <v/>
      </c>
      <c r="F146" s="5">
        <f>IFERROR(_xlfn.MINIFS(Elements!$I$2:$I$862,Elements!$B$2:$B$862,$A146,Elements!$D$2:$D$862,$B146,Elements!$E$2:$E$862,$C146,Elements!$F$2:$F$862,$D146),"")</f>
        <v/>
      </c>
      <c r="G146" s="5">
        <f>IFERROR(_xlfn.MAXIFS(Elements!$I$2:$I$862,Elements!$B$2:$B$862,$A146,Elements!$D$2:$D$862,$B146,Elements!$E$2:$E$862,$C146,Elements!$F$2:$F$862,$D146),"")</f>
        <v/>
      </c>
      <c r="H146" s="5">
        <f>IFERROR(_xlfn.MINIFS(Elements!$J$2:$J$862,Elements!$B$2:$B$862,$A146,Elements!$D$2:$D$862,$B146,Elements!$E$2:$E$862,$C146,Elements!$F$2:$F$862,$D146),"")</f>
        <v/>
      </c>
      <c r="I146" s="5">
        <f>IFERROR(_xlfn.MAXIFS(Elements!$J$2:$J$862,Elements!$B$2:$B$862,$A146,Elements!$D$2:$D$862,$B146,Elements!$E$2:$E$862,$C146,Elements!$F$2:$F$862,$D146),"")</f>
        <v/>
      </c>
      <c r="J146" s="5">
        <f>IF(OR(F146="",H146=""),"",IF(OR(B146="raft",B146="sump_pit",B146="crane_foundation",D146="(none)"),"n/a",IF(OR(B146="column",B146="footing",B146="mass_concrete_pad",AND(B146="wall",C146="shear_wall",D146&lt;&gt;"(none)")),IF(AND(G146-F146&lt;=3,I146-H146&lt;=3),"yes","no"),IF(I146-H146&lt;=3,"yes (thickness)","no (thickness)"))))</f>
        <v/>
      </c>
      <c r="K146" s="6">
        <f>SUMIFS(Elements!$M$2:$M$862,Elements!$B$2:$B$862,$A146,Elements!$D$2:$D$862,$B146,Elements!$E$2:$E$862,$C146,Elements!$F$2:$F$862,$D146)</f>
        <v/>
      </c>
      <c r="L146" s="6">
        <f>SUMIFS(Elements!$L$2:$L$862,Elements!$B$2:$B$862,$A146,Elements!$D$2:$D$862,$B146,Elements!$E$2:$E$862,$C146,Elements!$F$2:$F$862,$D146)</f>
        <v/>
      </c>
      <c r="M146" s="2" t="inlineStr">
        <is>
          <t>solid fill; 40-120 x 25-50 cm; L/W 1.60-4.00; inside a footing outline 37%; on a raft 63%; touching a hatched core wall 26%; in a strip-footing band 0%; at a grade-beam junction 26%</t>
        </is>
      </c>
    </row>
    <row r="147">
      <c r="A147" s="5" t="inlineStr">
        <is>
          <t>126</t>
        </is>
      </c>
      <c r="B147" s="5" t="inlineStr">
        <is>
          <t>footing</t>
        </is>
      </c>
      <c r="C147" s="5" t="inlineStr">
        <is>
          <t>combined_footing</t>
        </is>
      </c>
      <c r="D147" s="5" t="inlineStr">
        <is>
          <t>SC1</t>
        </is>
      </c>
      <c r="E147" s="5">
        <f>COUNTIFS(Elements!$B$2:$B$862,$A147,Elements!$D$2:$D$862,$B147,Elements!$E$2:$E$862,$C147,Elements!$F$2:$F$862,$D147)</f>
        <v/>
      </c>
      <c r="F147" s="5">
        <f>IFERROR(_xlfn.MINIFS(Elements!$I$2:$I$862,Elements!$B$2:$B$862,$A147,Elements!$D$2:$D$862,$B147,Elements!$E$2:$E$862,$C147,Elements!$F$2:$F$862,$D147),"")</f>
        <v/>
      </c>
      <c r="G147" s="5">
        <f>IFERROR(_xlfn.MAXIFS(Elements!$I$2:$I$862,Elements!$B$2:$B$862,$A147,Elements!$D$2:$D$862,$B147,Elements!$E$2:$E$862,$C147,Elements!$F$2:$F$862,$D147),"")</f>
        <v/>
      </c>
      <c r="H147" s="5">
        <f>IFERROR(_xlfn.MINIFS(Elements!$J$2:$J$862,Elements!$B$2:$B$862,$A147,Elements!$D$2:$D$862,$B147,Elements!$E$2:$E$862,$C147,Elements!$F$2:$F$862,$D147),"")</f>
        <v/>
      </c>
      <c r="I147" s="5">
        <f>IFERROR(_xlfn.MAXIFS(Elements!$J$2:$J$862,Elements!$B$2:$B$862,$A147,Elements!$D$2:$D$862,$B147,Elements!$E$2:$E$862,$C147,Elements!$F$2:$F$862,$D147),"")</f>
        <v/>
      </c>
      <c r="J147" s="5">
        <f>IF(OR(F147="",H147=""),"",IF(OR(B147="raft",B147="sump_pit",B147="crane_foundation",D147="(none)"),"n/a",IF(OR(B147="column",B147="footing",B147="mass_concrete_pad",AND(B147="wall",C147="shear_wall",D147&lt;&gt;"(none)")),IF(AND(G147-F147&lt;=3,I147-H147&lt;=3),"yes","no"),IF(I147-H147&lt;=3,"yes (thickness)","no (thickness)"))))</f>
        <v/>
      </c>
      <c r="K147" s="6">
        <f>SUMIFS(Elements!$M$2:$M$862,Elements!$B$2:$B$862,$A147,Elements!$D$2:$D$862,$B147,Elements!$E$2:$E$862,$C147,Elements!$F$2:$F$862,$D147)</f>
        <v/>
      </c>
      <c r="L147" s="6">
        <f>SUMIFS(Elements!$L$2:$L$862,Elements!$B$2:$B$862,$A147,Elements!$D$2:$D$862,$B147,Elements!$E$2:$E$862,$C147,Elements!$F$2:$F$862,$D147)</f>
        <v/>
      </c>
      <c r="M147" s="2" t="inlineStr">
        <is>
          <t>closed outline; 350-600 x 200-450 cm; carries wall+wall (24), column+wall (3), wall+wall+wall+wall (1); grade beam crossing it 93%</t>
        </is>
      </c>
    </row>
    <row r="148">
      <c r="A148" s="5" t="inlineStr">
        <is>
          <t>126</t>
        </is>
      </c>
      <c r="B148" s="5" t="inlineStr">
        <is>
          <t>footing</t>
        </is>
      </c>
      <c r="C148" s="5" t="inlineStr">
        <is>
          <t>combined_footing</t>
        </is>
      </c>
      <c r="D148" s="5" t="inlineStr">
        <is>
          <t>SC2</t>
        </is>
      </c>
      <c r="E148" s="5">
        <f>COUNTIFS(Elements!$B$2:$B$862,$A148,Elements!$D$2:$D$862,$B148,Elements!$E$2:$E$862,$C148,Elements!$F$2:$F$862,$D148)</f>
        <v/>
      </c>
      <c r="F148" s="5">
        <f>IFERROR(_xlfn.MINIFS(Elements!$I$2:$I$862,Elements!$B$2:$B$862,$A148,Elements!$D$2:$D$862,$B148,Elements!$E$2:$E$862,$C148,Elements!$F$2:$F$862,$D148),"")</f>
        <v/>
      </c>
      <c r="G148" s="5">
        <f>IFERROR(_xlfn.MAXIFS(Elements!$I$2:$I$862,Elements!$B$2:$B$862,$A148,Elements!$D$2:$D$862,$B148,Elements!$E$2:$E$862,$C148,Elements!$F$2:$F$862,$D148),"")</f>
        <v/>
      </c>
      <c r="H148" s="5">
        <f>IFERROR(_xlfn.MINIFS(Elements!$J$2:$J$862,Elements!$B$2:$B$862,$A148,Elements!$D$2:$D$862,$B148,Elements!$E$2:$E$862,$C148,Elements!$F$2:$F$862,$D148),"")</f>
        <v/>
      </c>
      <c r="I148" s="5">
        <f>IFERROR(_xlfn.MAXIFS(Elements!$J$2:$J$862,Elements!$B$2:$B$862,$A148,Elements!$D$2:$D$862,$B148,Elements!$E$2:$E$862,$C148,Elements!$F$2:$F$862,$D148),"")</f>
        <v/>
      </c>
      <c r="J148" s="5">
        <f>IF(OR(F148="",H148=""),"",IF(OR(B148="raft",B148="sump_pit",B148="crane_foundation",D148="(none)"),"n/a",IF(OR(B148="column",B148="footing",B148="mass_concrete_pad",AND(B148="wall",C148="shear_wall",D148&lt;&gt;"(none)")),IF(AND(G148-F148&lt;=3,I148-H148&lt;=3),"yes","no"),IF(I148-H148&lt;=3,"yes (thickness)","no (thickness)"))))</f>
        <v/>
      </c>
      <c r="K148" s="6">
        <f>SUMIFS(Elements!$M$2:$M$862,Elements!$B$2:$B$862,$A148,Elements!$D$2:$D$862,$B148,Elements!$E$2:$E$862,$C148,Elements!$F$2:$F$862,$D148)</f>
        <v/>
      </c>
      <c r="L148" s="6">
        <f>SUMIFS(Elements!$L$2:$L$862,Elements!$B$2:$B$862,$A148,Elements!$D$2:$D$862,$B148,Elements!$E$2:$E$862,$C148,Elements!$F$2:$F$862,$D148)</f>
        <v/>
      </c>
      <c r="M148" s="2" t="inlineStr">
        <is>
          <t>closed outline; 350-600 x 200-450 cm; carries wall+wall (24), column+wall (3), wall+wall+wall+wall (1); grade beam crossing it 93%</t>
        </is>
      </c>
    </row>
    <row r="149">
      <c r="A149" s="5" t="inlineStr">
        <is>
          <t>126</t>
        </is>
      </c>
      <c r="B149" s="5" t="inlineStr">
        <is>
          <t>footing</t>
        </is>
      </c>
      <c r="C149" s="5" t="inlineStr">
        <is>
          <t>isolated_footing</t>
        </is>
      </c>
      <c r="D149" s="5" t="inlineStr">
        <is>
          <t>S10</t>
        </is>
      </c>
      <c r="E149" s="5">
        <f>COUNTIFS(Elements!$B$2:$B$862,$A149,Elements!$D$2:$D$862,$B149,Elements!$E$2:$E$862,$C149,Elements!$F$2:$F$862,$D149)</f>
        <v/>
      </c>
      <c r="F149" s="5">
        <f>IFERROR(_xlfn.MINIFS(Elements!$I$2:$I$862,Elements!$B$2:$B$862,$A149,Elements!$D$2:$D$862,$B149,Elements!$E$2:$E$862,$C149,Elements!$F$2:$F$862,$D149),"")</f>
        <v/>
      </c>
      <c r="G149" s="5">
        <f>IFERROR(_xlfn.MAXIFS(Elements!$I$2:$I$862,Elements!$B$2:$B$862,$A149,Elements!$D$2:$D$862,$B149,Elements!$E$2:$E$862,$C149,Elements!$F$2:$F$862,$D149),"")</f>
        <v/>
      </c>
      <c r="H149" s="5">
        <f>IFERROR(_xlfn.MINIFS(Elements!$J$2:$J$862,Elements!$B$2:$B$862,$A149,Elements!$D$2:$D$862,$B149,Elements!$E$2:$E$862,$C149,Elements!$F$2:$F$862,$D149),"")</f>
        <v/>
      </c>
      <c r="I149" s="5">
        <f>IFERROR(_xlfn.MAXIFS(Elements!$J$2:$J$862,Elements!$B$2:$B$862,$A149,Elements!$D$2:$D$862,$B149,Elements!$E$2:$E$862,$C149,Elements!$F$2:$F$862,$D149),"")</f>
        <v/>
      </c>
      <c r="J149" s="5">
        <f>IF(OR(F149="",H149=""),"",IF(OR(B149="raft",B149="sump_pit",B149="crane_foundation",D149="(none)"),"n/a",IF(OR(B149="column",B149="footing",B149="mass_concrete_pad",AND(B149="wall",C149="shear_wall",D149&lt;&gt;"(none)")),IF(AND(G149-F149&lt;=3,I149-H149&lt;=3),"yes","no"),IF(I149-H149&lt;=3,"yes (thickness)","no (thickness)"))))</f>
        <v/>
      </c>
      <c r="K149" s="6">
        <f>SUMIFS(Elements!$M$2:$M$862,Elements!$B$2:$B$862,$A149,Elements!$D$2:$D$862,$B149,Elements!$E$2:$E$862,$C149,Elements!$F$2:$F$862,$D149)</f>
        <v/>
      </c>
      <c r="L149" s="6">
        <f>SUMIFS(Elements!$L$2:$L$862,Elements!$B$2:$B$862,$A149,Elements!$D$2:$D$862,$B149,Elements!$E$2:$E$862,$C149,Elements!$F$2:$F$862,$D149)</f>
        <v/>
      </c>
      <c r="M149" s="2" t="inlineStr">
        <is>
          <t>closed outline; 150-600 x 150-450 cm; carries wall (64), column (9), wall+wall (1); grade beam crossing it 95%</t>
        </is>
      </c>
    </row>
    <row r="150">
      <c r="A150" s="5" t="inlineStr">
        <is>
          <t>126</t>
        </is>
      </c>
      <c r="B150" s="5" t="inlineStr">
        <is>
          <t>footing</t>
        </is>
      </c>
      <c r="C150" s="5" t="inlineStr">
        <is>
          <t>isolated_footing</t>
        </is>
      </c>
      <c r="D150" s="5" t="inlineStr">
        <is>
          <t>S11</t>
        </is>
      </c>
      <c r="E150" s="5">
        <f>COUNTIFS(Elements!$B$2:$B$862,$A150,Elements!$D$2:$D$862,$B150,Elements!$E$2:$E$862,$C150,Elements!$F$2:$F$862,$D150)</f>
        <v/>
      </c>
      <c r="F150" s="5">
        <f>IFERROR(_xlfn.MINIFS(Elements!$I$2:$I$862,Elements!$B$2:$B$862,$A150,Elements!$D$2:$D$862,$B150,Elements!$E$2:$E$862,$C150,Elements!$F$2:$F$862,$D150),"")</f>
        <v/>
      </c>
      <c r="G150" s="5">
        <f>IFERROR(_xlfn.MAXIFS(Elements!$I$2:$I$862,Elements!$B$2:$B$862,$A150,Elements!$D$2:$D$862,$B150,Elements!$E$2:$E$862,$C150,Elements!$F$2:$F$862,$D150),"")</f>
        <v/>
      </c>
      <c r="H150" s="5">
        <f>IFERROR(_xlfn.MINIFS(Elements!$J$2:$J$862,Elements!$B$2:$B$862,$A150,Elements!$D$2:$D$862,$B150,Elements!$E$2:$E$862,$C150,Elements!$F$2:$F$862,$D150),"")</f>
        <v/>
      </c>
      <c r="I150" s="5">
        <f>IFERROR(_xlfn.MAXIFS(Elements!$J$2:$J$862,Elements!$B$2:$B$862,$A150,Elements!$D$2:$D$862,$B150,Elements!$E$2:$E$862,$C150,Elements!$F$2:$F$862,$D150),"")</f>
        <v/>
      </c>
      <c r="J150" s="5">
        <f>IF(OR(F150="",H150=""),"",IF(OR(B150="raft",B150="sump_pit",B150="crane_foundation",D150="(none)"),"n/a",IF(OR(B150="column",B150="footing",B150="mass_concrete_pad",AND(B150="wall",C150="shear_wall",D150&lt;&gt;"(none)")),IF(AND(G150-F150&lt;=3,I150-H150&lt;=3),"yes","no"),IF(I150-H150&lt;=3,"yes (thickness)","no (thickness)"))))</f>
        <v/>
      </c>
      <c r="K150" s="6">
        <f>SUMIFS(Elements!$M$2:$M$862,Elements!$B$2:$B$862,$A150,Elements!$D$2:$D$862,$B150,Elements!$E$2:$E$862,$C150,Elements!$F$2:$F$862,$D150)</f>
        <v/>
      </c>
      <c r="L150" s="6">
        <f>SUMIFS(Elements!$L$2:$L$862,Elements!$B$2:$B$862,$A150,Elements!$D$2:$D$862,$B150,Elements!$E$2:$E$862,$C150,Elements!$F$2:$F$862,$D150)</f>
        <v/>
      </c>
      <c r="M150" s="2" t="inlineStr">
        <is>
          <t>closed outline; 150-600 x 150-450 cm; carries wall (64), column (9), wall+wall (1); grade beam crossing it 95%</t>
        </is>
      </c>
    </row>
    <row r="151">
      <c r="A151" s="5" t="inlineStr">
        <is>
          <t>126</t>
        </is>
      </c>
      <c r="B151" s="5" t="inlineStr">
        <is>
          <t>footing</t>
        </is>
      </c>
      <c r="C151" s="5" t="inlineStr">
        <is>
          <t>isolated_footing</t>
        </is>
      </c>
      <c r="D151" s="5" t="inlineStr">
        <is>
          <t>S2</t>
        </is>
      </c>
      <c r="E151" s="5">
        <f>COUNTIFS(Elements!$B$2:$B$862,$A151,Elements!$D$2:$D$862,$B151,Elements!$E$2:$E$862,$C151,Elements!$F$2:$F$862,$D151)</f>
        <v/>
      </c>
      <c r="F151" s="5">
        <f>IFERROR(_xlfn.MINIFS(Elements!$I$2:$I$862,Elements!$B$2:$B$862,$A151,Elements!$D$2:$D$862,$B151,Elements!$E$2:$E$862,$C151,Elements!$F$2:$F$862,$D151),"")</f>
        <v/>
      </c>
      <c r="G151" s="5">
        <f>IFERROR(_xlfn.MAXIFS(Elements!$I$2:$I$862,Elements!$B$2:$B$862,$A151,Elements!$D$2:$D$862,$B151,Elements!$E$2:$E$862,$C151,Elements!$F$2:$F$862,$D151),"")</f>
        <v/>
      </c>
      <c r="H151" s="5">
        <f>IFERROR(_xlfn.MINIFS(Elements!$J$2:$J$862,Elements!$B$2:$B$862,$A151,Elements!$D$2:$D$862,$B151,Elements!$E$2:$E$862,$C151,Elements!$F$2:$F$862,$D151),"")</f>
        <v/>
      </c>
      <c r="I151" s="5">
        <f>IFERROR(_xlfn.MAXIFS(Elements!$J$2:$J$862,Elements!$B$2:$B$862,$A151,Elements!$D$2:$D$862,$B151,Elements!$E$2:$E$862,$C151,Elements!$F$2:$F$862,$D151),"")</f>
        <v/>
      </c>
      <c r="J151" s="5">
        <f>IF(OR(F151="",H151=""),"",IF(OR(B151="raft",B151="sump_pit",B151="crane_foundation",D151="(none)"),"n/a",IF(OR(B151="column",B151="footing",B151="mass_concrete_pad",AND(B151="wall",C151="shear_wall",D151&lt;&gt;"(none)")),IF(AND(G151-F151&lt;=3,I151-H151&lt;=3),"yes","no"),IF(I151-H151&lt;=3,"yes (thickness)","no (thickness)"))))</f>
        <v/>
      </c>
      <c r="K151" s="6">
        <f>SUMIFS(Elements!$M$2:$M$862,Elements!$B$2:$B$862,$A151,Elements!$D$2:$D$862,$B151,Elements!$E$2:$E$862,$C151,Elements!$F$2:$F$862,$D151)</f>
        <v/>
      </c>
      <c r="L151" s="6">
        <f>SUMIFS(Elements!$L$2:$L$862,Elements!$B$2:$B$862,$A151,Elements!$D$2:$D$862,$B151,Elements!$E$2:$E$862,$C151,Elements!$F$2:$F$862,$D151)</f>
        <v/>
      </c>
      <c r="M151" s="2" t="inlineStr">
        <is>
          <t>closed outline; 150-600 x 150-450 cm; carries wall (64), column (9), wall+wall (1); grade beam crossing it 95%</t>
        </is>
      </c>
    </row>
    <row r="152">
      <c r="A152" s="5" t="inlineStr">
        <is>
          <t>126</t>
        </is>
      </c>
      <c r="B152" s="5" t="inlineStr">
        <is>
          <t>footing</t>
        </is>
      </c>
      <c r="C152" s="5" t="inlineStr">
        <is>
          <t>isolated_footing</t>
        </is>
      </c>
      <c r="D152" s="5" t="inlineStr">
        <is>
          <t>S7</t>
        </is>
      </c>
      <c r="E152" s="5">
        <f>COUNTIFS(Elements!$B$2:$B$862,$A152,Elements!$D$2:$D$862,$B152,Elements!$E$2:$E$862,$C152,Elements!$F$2:$F$862,$D152)</f>
        <v/>
      </c>
      <c r="F152" s="5">
        <f>IFERROR(_xlfn.MINIFS(Elements!$I$2:$I$862,Elements!$B$2:$B$862,$A152,Elements!$D$2:$D$862,$B152,Elements!$E$2:$E$862,$C152,Elements!$F$2:$F$862,$D152),"")</f>
        <v/>
      </c>
      <c r="G152" s="5">
        <f>IFERROR(_xlfn.MAXIFS(Elements!$I$2:$I$862,Elements!$B$2:$B$862,$A152,Elements!$D$2:$D$862,$B152,Elements!$E$2:$E$862,$C152,Elements!$F$2:$F$862,$D152),"")</f>
        <v/>
      </c>
      <c r="H152" s="5">
        <f>IFERROR(_xlfn.MINIFS(Elements!$J$2:$J$862,Elements!$B$2:$B$862,$A152,Elements!$D$2:$D$862,$B152,Elements!$E$2:$E$862,$C152,Elements!$F$2:$F$862,$D152),"")</f>
        <v/>
      </c>
      <c r="I152" s="5">
        <f>IFERROR(_xlfn.MAXIFS(Elements!$J$2:$J$862,Elements!$B$2:$B$862,$A152,Elements!$D$2:$D$862,$B152,Elements!$E$2:$E$862,$C152,Elements!$F$2:$F$862,$D152),"")</f>
        <v/>
      </c>
      <c r="J152" s="5">
        <f>IF(OR(F152="",H152=""),"",IF(OR(B152="raft",B152="sump_pit",B152="crane_foundation",D152="(none)"),"n/a",IF(OR(B152="column",B152="footing",B152="mass_concrete_pad",AND(B152="wall",C152="shear_wall",D152&lt;&gt;"(none)")),IF(AND(G152-F152&lt;=3,I152-H152&lt;=3),"yes","no"),IF(I152-H152&lt;=3,"yes (thickness)","no (thickness)"))))</f>
        <v/>
      </c>
      <c r="K152" s="6">
        <f>SUMIFS(Elements!$M$2:$M$862,Elements!$B$2:$B$862,$A152,Elements!$D$2:$D$862,$B152,Elements!$E$2:$E$862,$C152,Elements!$F$2:$F$862,$D152)</f>
        <v/>
      </c>
      <c r="L152" s="6">
        <f>SUMIFS(Elements!$L$2:$L$862,Elements!$B$2:$B$862,$A152,Elements!$D$2:$D$862,$B152,Elements!$E$2:$E$862,$C152,Elements!$F$2:$F$862,$D152)</f>
        <v/>
      </c>
      <c r="M152" s="2" t="inlineStr">
        <is>
          <t>closed outline; 150-600 x 150-450 cm; carries wall (64), column (9), wall+wall (1); grade beam crossing it 95%</t>
        </is>
      </c>
    </row>
    <row r="153">
      <c r="A153" s="5" t="inlineStr">
        <is>
          <t>126</t>
        </is>
      </c>
      <c r="B153" s="5" t="inlineStr">
        <is>
          <t>grade_beam</t>
        </is>
      </c>
      <c r="C153" s="5" t="inlineStr">
        <is>
          <t>grade_beam</t>
        </is>
      </c>
      <c r="D153" s="5" t="inlineStr">
        <is>
          <t>LG25x40</t>
        </is>
      </c>
      <c r="E153" s="5">
        <f>COUNTIFS(Elements!$B$2:$B$862,$A153,Elements!$D$2:$D$862,$B153,Elements!$E$2:$E$862,$C153,Elements!$F$2:$F$862,$D153)</f>
        <v/>
      </c>
      <c r="F153" s="5">
        <f>IFERROR(_xlfn.MINIFS(Elements!$I$2:$I$862,Elements!$B$2:$B$862,$A153,Elements!$D$2:$D$862,$B153,Elements!$E$2:$E$862,$C153,Elements!$F$2:$F$862,$D153),"")</f>
        <v/>
      </c>
      <c r="G153" s="5">
        <f>IFERROR(_xlfn.MAXIFS(Elements!$I$2:$I$862,Elements!$B$2:$B$862,$A153,Elements!$D$2:$D$862,$B153,Elements!$E$2:$E$862,$C153,Elements!$F$2:$F$862,$D153),"")</f>
        <v/>
      </c>
      <c r="H153" s="5">
        <f>IFERROR(_xlfn.MINIFS(Elements!$J$2:$J$862,Elements!$B$2:$B$862,$A153,Elements!$D$2:$D$862,$B153,Elements!$E$2:$E$862,$C153,Elements!$F$2:$F$862,$D153),"")</f>
        <v/>
      </c>
      <c r="I153" s="5">
        <f>IFERROR(_xlfn.MAXIFS(Elements!$J$2:$J$862,Elements!$B$2:$B$862,$A153,Elements!$D$2:$D$862,$B153,Elements!$E$2:$E$862,$C153,Elements!$F$2:$F$862,$D153),"")</f>
        <v/>
      </c>
      <c r="J153" s="5">
        <f>IF(OR(F153="",H153=""),"",IF(OR(B153="raft",B153="sump_pit",B153="crane_foundation",D153="(none)"),"n/a",IF(OR(B153="column",B153="footing",B153="mass_concrete_pad",AND(B153="wall",C153="shear_wall",D153&lt;&gt;"(none)")),IF(AND(G153-F153&lt;=3,I153-H153&lt;=3),"yes","no"),IF(I153-H153&lt;=3,"yes (thickness)","no (thickness)"))))</f>
        <v/>
      </c>
      <c r="K153" s="6">
        <f>SUMIFS(Elements!$M$2:$M$862,Elements!$B$2:$B$862,$A153,Elements!$D$2:$D$862,$B153,Elements!$E$2:$E$862,$C153,Elements!$F$2:$F$862,$D153)</f>
        <v/>
      </c>
      <c r="L153" s="6">
        <f>SUMIFS(Elements!$L$2:$L$862,Elements!$B$2:$B$862,$A153,Elements!$D$2:$D$862,$B153,Elements!$E$2:$E$862,$C153,Elements!$F$2:$F$862,$D153)</f>
        <v/>
      </c>
      <c r="M153" s="2" t="inlineStr">
        <is>
          <t>parallel line pair; 30-2249 x 25-40 cm; width stated in its label</t>
        </is>
      </c>
    </row>
    <row r="154">
      <c r="A154" s="5" t="inlineStr">
        <is>
          <t>126</t>
        </is>
      </c>
      <c r="B154" s="5" t="inlineStr">
        <is>
          <t>grade_beam</t>
        </is>
      </c>
      <c r="C154" s="5" t="inlineStr">
        <is>
          <t>grade_beam</t>
        </is>
      </c>
      <c r="D154" s="5" t="inlineStr">
        <is>
          <t>LG40x15</t>
        </is>
      </c>
      <c r="E154" s="5">
        <f>COUNTIFS(Elements!$B$2:$B$862,$A154,Elements!$D$2:$D$862,$B154,Elements!$E$2:$E$862,$C154,Elements!$F$2:$F$862,$D154)</f>
        <v/>
      </c>
      <c r="F154" s="5">
        <f>IFERROR(_xlfn.MINIFS(Elements!$I$2:$I$862,Elements!$B$2:$B$862,$A154,Elements!$D$2:$D$862,$B154,Elements!$E$2:$E$862,$C154,Elements!$F$2:$F$862,$D154),"")</f>
        <v/>
      </c>
      <c r="G154" s="5">
        <f>IFERROR(_xlfn.MAXIFS(Elements!$I$2:$I$862,Elements!$B$2:$B$862,$A154,Elements!$D$2:$D$862,$B154,Elements!$E$2:$E$862,$C154,Elements!$F$2:$F$862,$D154),"")</f>
        <v/>
      </c>
      <c r="H154" s="5">
        <f>IFERROR(_xlfn.MINIFS(Elements!$J$2:$J$862,Elements!$B$2:$B$862,$A154,Elements!$D$2:$D$862,$B154,Elements!$E$2:$E$862,$C154,Elements!$F$2:$F$862,$D154),"")</f>
        <v/>
      </c>
      <c r="I154" s="5">
        <f>IFERROR(_xlfn.MAXIFS(Elements!$J$2:$J$862,Elements!$B$2:$B$862,$A154,Elements!$D$2:$D$862,$B154,Elements!$E$2:$E$862,$C154,Elements!$F$2:$F$862,$D154),"")</f>
        <v/>
      </c>
      <c r="J154" s="5">
        <f>IF(OR(F154="",H154=""),"",IF(OR(B154="raft",B154="sump_pit",B154="crane_foundation",D154="(none)"),"n/a",IF(OR(B154="column",B154="footing",B154="mass_concrete_pad",AND(B154="wall",C154="shear_wall",D154&lt;&gt;"(none)")),IF(AND(G154-F154&lt;=3,I154-H154&lt;=3),"yes","no"),IF(I154-H154&lt;=3,"yes (thickness)","no (thickness)"))))</f>
        <v/>
      </c>
      <c r="K154" s="6">
        <f>SUMIFS(Elements!$M$2:$M$862,Elements!$B$2:$B$862,$A154,Elements!$D$2:$D$862,$B154,Elements!$E$2:$E$862,$C154,Elements!$F$2:$F$862,$D154)</f>
        <v/>
      </c>
      <c r="L154" s="6">
        <f>SUMIFS(Elements!$L$2:$L$862,Elements!$B$2:$B$862,$A154,Elements!$D$2:$D$862,$B154,Elements!$E$2:$E$862,$C154,Elements!$F$2:$F$862,$D154)</f>
        <v/>
      </c>
      <c r="M154" s="2" t="inlineStr">
        <is>
          <t>parallel line pair; 30-2249 x 25-40 cm; width stated in its label</t>
        </is>
      </c>
    </row>
    <row r="155">
      <c r="A155" s="5" t="inlineStr">
        <is>
          <t>126</t>
        </is>
      </c>
      <c r="B155" s="5" t="inlineStr">
        <is>
          <t>mass_concrete_pad</t>
        </is>
      </c>
      <c r="C155" s="5" t="inlineStr">
        <is>
          <t>mass_concrete_pad</t>
        </is>
      </c>
      <c r="D155" s="5" t="inlineStr">
        <is>
          <t>(none)</t>
        </is>
      </c>
      <c r="E155" s="5">
        <f>COUNTIFS(Elements!$B$2:$B$862,$A155,Elements!$D$2:$D$862,$B155,Elements!$E$2:$E$862,$C155,Elements!$F$2:$F$862,$D155)</f>
        <v/>
      </c>
      <c r="F155" s="5">
        <f>IFERROR(_xlfn.MINIFS(Elements!$I$2:$I$862,Elements!$B$2:$B$862,$A155,Elements!$D$2:$D$862,$B155,Elements!$E$2:$E$862,$C155,Elements!$F$2:$F$862,$D155),"")</f>
        <v/>
      </c>
      <c r="G155" s="5">
        <f>IFERROR(_xlfn.MAXIFS(Elements!$I$2:$I$862,Elements!$B$2:$B$862,$A155,Elements!$D$2:$D$862,$B155,Elements!$E$2:$E$862,$C155,Elements!$F$2:$F$862,$D155),"")</f>
        <v/>
      </c>
      <c r="H155" s="5">
        <f>IFERROR(_xlfn.MINIFS(Elements!$J$2:$J$862,Elements!$B$2:$B$862,$A155,Elements!$D$2:$D$862,$B155,Elements!$E$2:$E$862,$C155,Elements!$F$2:$F$862,$D155),"")</f>
        <v/>
      </c>
      <c r="I155" s="5">
        <f>IFERROR(_xlfn.MAXIFS(Elements!$J$2:$J$862,Elements!$B$2:$B$862,$A155,Elements!$D$2:$D$862,$B155,Elements!$E$2:$E$862,$C155,Elements!$F$2:$F$862,$D155),"")</f>
        <v/>
      </c>
      <c r="J155" s="5">
        <f>IF(OR(F155="",H155=""),"",IF(OR(B155="raft",B155="sump_pit",B155="crane_foundation",D155="(none)"),"n/a",IF(OR(B155="column",B155="footing",B155="mass_concrete_pad",AND(B155="wall",C155="shear_wall",D155&lt;&gt;"(none)")),IF(AND(G155-F155&lt;=3,I155-H155&lt;=3),"yes","no"),IF(I155-H155&lt;=3,"yes (thickness)","no (thickness)"))))</f>
        <v/>
      </c>
      <c r="K155" s="6">
        <f>SUMIFS(Elements!$M$2:$M$862,Elements!$B$2:$B$862,$A155,Elements!$D$2:$D$862,$B155,Elements!$E$2:$E$862,$C155,Elements!$F$2:$F$862,$D155)</f>
        <v/>
      </c>
      <c r="L155" s="6">
        <f>SUMIFS(Elements!$L$2:$L$862,Elements!$B$2:$B$862,$A155,Elements!$D$2:$D$862,$B155,Elements!$E$2:$E$862,$C155,Elements!$F$2:$F$862,$D155)</f>
        <v/>
      </c>
      <c r="M155" s="2" t="inlineStr">
        <is>
          <t>closed outline + stipple; 60-60 x 60-60 cm; 47-91 stipple dots inside; on a grade beam 100%; at a grade-beam junction 62%</t>
        </is>
      </c>
    </row>
    <row r="156">
      <c r="A156" s="5" t="inlineStr">
        <is>
          <t>126</t>
        </is>
      </c>
      <c r="B156" s="5" t="inlineStr">
        <is>
          <t>raft</t>
        </is>
      </c>
      <c r="C156" s="5" t="inlineStr">
        <is>
          <t>raft</t>
        </is>
      </c>
      <c r="D156" s="5" t="inlineStr">
        <is>
          <t>Radier 90</t>
        </is>
      </c>
      <c r="E156" s="5">
        <f>COUNTIFS(Elements!$B$2:$B$862,$A156,Elements!$D$2:$D$862,$B156,Elements!$E$2:$E$862,$C156,Elements!$F$2:$F$862,$D156)</f>
        <v/>
      </c>
      <c r="F156" s="5">
        <f>IFERROR(_xlfn.MINIFS(Elements!$I$2:$I$862,Elements!$B$2:$B$862,$A156,Elements!$D$2:$D$862,$B156,Elements!$E$2:$E$862,$C156,Elements!$F$2:$F$862,$D156),"")</f>
        <v/>
      </c>
      <c r="G156" s="5">
        <f>IFERROR(_xlfn.MAXIFS(Elements!$I$2:$I$862,Elements!$B$2:$B$862,$A156,Elements!$D$2:$D$862,$B156,Elements!$E$2:$E$862,$C156,Elements!$F$2:$F$862,$D156),"")</f>
        <v/>
      </c>
      <c r="H156" s="5">
        <f>IFERROR(_xlfn.MINIFS(Elements!$J$2:$J$862,Elements!$B$2:$B$862,$A156,Elements!$D$2:$D$862,$B156,Elements!$E$2:$E$862,$C156,Elements!$F$2:$F$862,$D156),"")</f>
        <v/>
      </c>
      <c r="I156" s="5">
        <f>IFERROR(_xlfn.MAXIFS(Elements!$J$2:$J$862,Elements!$B$2:$B$862,$A156,Elements!$D$2:$D$862,$B156,Elements!$E$2:$E$862,$C156,Elements!$F$2:$F$862,$D156),"")</f>
        <v/>
      </c>
      <c r="J156" s="5">
        <f>IF(OR(F156="",H156=""),"",IF(OR(B156="raft",B156="sump_pit",B156="crane_foundation",D156="(none)"),"n/a",IF(OR(B156="column",B156="footing",B156="mass_concrete_pad",AND(B156="wall",C156="shear_wall",D156&lt;&gt;"(none)")),IF(AND(G156-F156&lt;=3,I156-H156&lt;=3),"yes","no"),IF(I156-H156&lt;=3,"yes (thickness)","no (thickness)"))))</f>
        <v/>
      </c>
      <c r="K156" s="6">
        <f>SUMIFS(Elements!$M$2:$M$862,Elements!$B$2:$B$862,$A156,Elements!$D$2:$D$862,$B156,Elements!$E$2:$E$862,$C156,Elements!$F$2:$F$862,$D156)</f>
        <v/>
      </c>
      <c r="L156" s="6">
        <f>SUMIFS(Elements!$L$2:$L$862,Elements!$B$2:$B$862,$A156,Elements!$D$2:$D$862,$B156,Elements!$E$2:$E$862,$C156,Elements!$F$2:$F$862,$D156)</f>
        <v/>
      </c>
      <c r="M156" s="2" t="inlineStr">
        <is>
          <t>stamp + corner diagonals; 693-1971 x 450-1020 cm; circle stamp 'Radier' + thickness; diagonals from its corners to the stamp</t>
        </is>
      </c>
    </row>
    <row r="157">
      <c r="A157" s="5" t="inlineStr">
        <is>
          <t>126</t>
        </is>
      </c>
      <c r="B157" s="5" t="inlineStr">
        <is>
          <t>strip_footing</t>
        </is>
      </c>
      <c r="C157" s="5" t="inlineStr">
        <is>
          <t>strip_footing</t>
        </is>
      </c>
      <c r="D157" s="5" t="inlineStr">
        <is>
          <t>SF1</t>
        </is>
      </c>
      <c r="E157" s="5">
        <f>COUNTIFS(Elements!$B$2:$B$862,$A157,Elements!$D$2:$D$862,$B157,Elements!$E$2:$E$862,$C157,Elements!$F$2:$F$862,$D157)</f>
        <v/>
      </c>
      <c r="F157" s="5">
        <f>IFERROR(_xlfn.MINIFS(Elements!$I$2:$I$862,Elements!$B$2:$B$862,$A157,Elements!$D$2:$D$862,$B157,Elements!$E$2:$E$862,$C157,Elements!$F$2:$F$862,$D157),"")</f>
        <v/>
      </c>
      <c r="G157" s="5">
        <f>IFERROR(_xlfn.MAXIFS(Elements!$I$2:$I$862,Elements!$B$2:$B$862,$A157,Elements!$D$2:$D$862,$B157,Elements!$E$2:$E$862,$C157,Elements!$F$2:$F$862,$D157),"")</f>
        <v/>
      </c>
      <c r="H157" s="5">
        <f>IFERROR(_xlfn.MINIFS(Elements!$J$2:$J$862,Elements!$B$2:$B$862,$A157,Elements!$D$2:$D$862,$B157,Elements!$E$2:$E$862,$C157,Elements!$F$2:$F$862,$D157),"")</f>
        <v/>
      </c>
      <c r="I157" s="5">
        <f>IFERROR(_xlfn.MAXIFS(Elements!$J$2:$J$862,Elements!$B$2:$B$862,$A157,Elements!$D$2:$D$862,$B157,Elements!$E$2:$E$862,$C157,Elements!$F$2:$F$862,$D157),"")</f>
        <v/>
      </c>
      <c r="J157" s="5">
        <f>IF(OR(F157="",H157=""),"",IF(OR(B157="raft",B157="sump_pit",B157="crane_foundation",D157="(none)"),"n/a",IF(OR(B157="column",B157="footing",B157="mass_concrete_pad",AND(B157="wall",C157="shear_wall",D157&lt;&gt;"(none)")),IF(AND(G157-F157&lt;=3,I157-H157&lt;=3),"yes","no"),IF(I157-H157&lt;=3,"yes (thickness)","no (thickness)"))))</f>
        <v/>
      </c>
      <c r="K157" s="6">
        <f>SUMIFS(Elements!$M$2:$M$862,Elements!$B$2:$B$862,$A157,Elements!$D$2:$D$862,$B157,Elements!$E$2:$E$862,$C157,Elements!$F$2:$F$862,$D157)</f>
        <v/>
      </c>
      <c r="L157" s="6">
        <f>SUMIFS(Elements!$L$2:$L$862,Elements!$B$2:$B$862,$A157,Elements!$D$2:$D$862,$B157,Elements!$E$2:$E$862,$C157,Elements!$F$2:$F$862,$D157)</f>
        <v/>
      </c>
      <c r="M157" s="2" t="inlineStr">
        <is>
          <t>parallel line pair; 75-5798 x 80-120 cm; width stated in its label</t>
        </is>
      </c>
    </row>
    <row r="158">
      <c r="A158" s="5" t="inlineStr">
        <is>
          <t>126</t>
        </is>
      </c>
      <c r="B158" s="5" t="inlineStr">
        <is>
          <t>strip_footing</t>
        </is>
      </c>
      <c r="C158" s="5" t="inlineStr">
        <is>
          <t>strip_footing</t>
        </is>
      </c>
      <c r="D158" s="5" t="inlineStr">
        <is>
          <t>SF4</t>
        </is>
      </c>
      <c r="E158" s="5">
        <f>COUNTIFS(Elements!$B$2:$B$862,$A158,Elements!$D$2:$D$862,$B158,Elements!$E$2:$E$862,$C158,Elements!$F$2:$F$862,$D158)</f>
        <v/>
      </c>
      <c r="F158" s="5">
        <f>IFERROR(_xlfn.MINIFS(Elements!$I$2:$I$862,Elements!$B$2:$B$862,$A158,Elements!$D$2:$D$862,$B158,Elements!$E$2:$E$862,$C158,Elements!$F$2:$F$862,$D158),"")</f>
        <v/>
      </c>
      <c r="G158" s="5">
        <f>IFERROR(_xlfn.MAXIFS(Elements!$I$2:$I$862,Elements!$B$2:$B$862,$A158,Elements!$D$2:$D$862,$B158,Elements!$E$2:$E$862,$C158,Elements!$F$2:$F$862,$D158),"")</f>
        <v/>
      </c>
      <c r="H158" s="5">
        <f>IFERROR(_xlfn.MINIFS(Elements!$J$2:$J$862,Elements!$B$2:$B$862,$A158,Elements!$D$2:$D$862,$B158,Elements!$E$2:$E$862,$C158,Elements!$F$2:$F$862,$D158),"")</f>
        <v/>
      </c>
      <c r="I158" s="5">
        <f>IFERROR(_xlfn.MAXIFS(Elements!$J$2:$J$862,Elements!$B$2:$B$862,$A158,Elements!$D$2:$D$862,$B158,Elements!$E$2:$E$862,$C158,Elements!$F$2:$F$862,$D158),"")</f>
        <v/>
      </c>
      <c r="J158" s="5">
        <f>IF(OR(F158="",H158=""),"",IF(OR(B158="raft",B158="sump_pit",B158="crane_foundation",D158="(none)"),"n/a",IF(OR(B158="column",B158="footing",B158="mass_concrete_pad",AND(B158="wall",C158="shear_wall",D158&lt;&gt;"(none)")),IF(AND(G158-F158&lt;=3,I158-H158&lt;=3),"yes","no"),IF(I158-H158&lt;=3,"yes (thickness)","no (thickness)"))))</f>
        <v/>
      </c>
      <c r="K158" s="6">
        <f>SUMIFS(Elements!$M$2:$M$862,Elements!$B$2:$B$862,$A158,Elements!$D$2:$D$862,$B158,Elements!$E$2:$E$862,$C158,Elements!$F$2:$F$862,$D158)</f>
        <v/>
      </c>
      <c r="L158" s="6">
        <f>SUMIFS(Elements!$L$2:$L$862,Elements!$B$2:$B$862,$A158,Elements!$D$2:$D$862,$B158,Elements!$E$2:$E$862,$C158,Elements!$F$2:$F$862,$D158)</f>
        <v/>
      </c>
      <c r="M158" s="2" t="inlineStr">
        <is>
          <t>parallel line pair; 75-5798 x 80-120 cm; width stated in its label</t>
        </is>
      </c>
    </row>
    <row r="159">
      <c r="A159" s="5" t="inlineStr">
        <is>
          <t>126</t>
        </is>
      </c>
      <c r="B159" s="5" t="inlineStr">
        <is>
          <t>sump_pit</t>
        </is>
      </c>
      <c r="C159" s="5" t="inlineStr">
        <is>
          <t>sump_pit</t>
        </is>
      </c>
      <c r="D159" s="5" t="inlineStr">
        <is>
          <t>Fosse 2.00x1.50x1.50</t>
        </is>
      </c>
      <c r="E159" s="5">
        <f>COUNTIFS(Elements!$B$2:$B$862,$A159,Elements!$D$2:$D$862,$B159,Elements!$E$2:$E$862,$C159,Elements!$F$2:$F$862,$D159)</f>
        <v/>
      </c>
      <c r="F159" s="5">
        <f>IFERROR(_xlfn.MINIFS(Elements!$I$2:$I$862,Elements!$B$2:$B$862,$A159,Elements!$D$2:$D$862,$B159,Elements!$E$2:$E$862,$C159,Elements!$F$2:$F$862,$D159),"")</f>
        <v/>
      </c>
      <c r="G159" s="5">
        <f>IFERROR(_xlfn.MAXIFS(Elements!$I$2:$I$862,Elements!$B$2:$B$862,$A159,Elements!$D$2:$D$862,$B159,Elements!$E$2:$E$862,$C159,Elements!$F$2:$F$862,$D159),"")</f>
        <v/>
      </c>
      <c r="H159" s="5">
        <f>IFERROR(_xlfn.MINIFS(Elements!$J$2:$J$862,Elements!$B$2:$B$862,$A159,Elements!$D$2:$D$862,$B159,Elements!$E$2:$E$862,$C159,Elements!$F$2:$F$862,$D159),"")</f>
        <v/>
      </c>
      <c r="I159" s="5">
        <f>IFERROR(_xlfn.MAXIFS(Elements!$J$2:$J$862,Elements!$B$2:$B$862,$A159,Elements!$D$2:$D$862,$B159,Elements!$E$2:$E$862,$C159,Elements!$F$2:$F$862,$D159),"")</f>
        <v/>
      </c>
      <c r="J159" s="5">
        <f>IF(OR(F159="",H159=""),"",IF(OR(B159="raft",B159="sump_pit",B159="crane_foundation",D159="(none)"),"n/a",IF(OR(B159="column",B159="footing",B159="mass_concrete_pad",AND(B159="wall",C159="shear_wall",D159&lt;&gt;"(none)")),IF(AND(G159-F159&lt;=3,I159-H159&lt;=3),"yes","no"),IF(I159-H159&lt;=3,"yes (thickness)","no (thickness)"))))</f>
        <v/>
      </c>
      <c r="K159" s="6">
        <f>SUMIFS(Elements!$M$2:$M$862,Elements!$B$2:$B$862,$A159,Elements!$D$2:$D$862,$B159,Elements!$E$2:$E$862,$C159,Elements!$F$2:$F$862,$D159)</f>
        <v/>
      </c>
      <c r="L159" s="6">
        <f>SUMIFS(Elements!$L$2:$L$862,Elements!$B$2:$B$862,$A159,Elements!$D$2:$D$862,$B159,Elements!$E$2:$E$862,$C159,Elements!$F$2:$F$862,$D159)</f>
        <v/>
      </c>
      <c r="M159" s="2" t="inlineStr">
        <is>
          <t>text; 200-200 x 150-150 cm; 'FOSSE DE RELEVAGE' text with LxWxH, 'RADIER 25' stamp</t>
        </is>
      </c>
    </row>
    <row r="160">
      <c r="A160" s="5" t="inlineStr">
        <is>
          <t>126</t>
        </is>
      </c>
      <c r="B160" s="5" t="inlineStr">
        <is>
          <t>wall</t>
        </is>
      </c>
      <c r="C160" s="5" t="inlineStr">
        <is>
          <t>core_wall_hatched</t>
        </is>
      </c>
      <c r="D160" s="5" t="inlineStr">
        <is>
          <t>(none)</t>
        </is>
      </c>
      <c r="E160" s="5">
        <f>COUNTIFS(Elements!$B$2:$B$862,$A160,Elements!$D$2:$D$862,$B160,Elements!$E$2:$E$862,$C160,Elements!$F$2:$F$862,$D160)</f>
        <v/>
      </c>
      <c r="F160" s="5">
        <f>IFERROR(_xlfn.MINIFS(Elements!$I$2:$I$862,Elements!$B$2:$B$862,$A160,Elements!$D$2:$D$862,$B160,Elements!$E$2:$E$862,$C160,Elements!$F$2:$F$862,$D160),"")</f>
        <v/>
      </c>
      <c r="G160" s="5">
        <f>IFERROR(_xlfn.MAXIFS(Elements!$I$2:$I$862,Elements!$B$2:$B$862,$A160,Elements!$D$2:$D$862,$B160,Elements!$E$2:$E$862,$C160,Elements!$F$2:$F$862,$D160),"")</f>
        <v/>
      </c>
      <c r="H160" s="5">
        <f>IFERROR(_xlfn.MINIFS(Elements!$J$2:$J$862,Elements!$B$2:$B$862,$A160,Elements!$D$2:$D$862,$B160,Elements!$E$2:$E$862,$C160,Elements!$F$2:$F$862,$D160),"")</f>
        <v/>
      </c>
      <c r="I160" s="5">
        <f>IFERROR(_xlfn.MAXIFS(Elements!$J$2:$J$862,Elements!$B$2:$B$862,$A160,Elements!$D$2:$D$862,$B160,Elements!$E$2:$E$862,$C160,Elements!$F$2:$F$862,$D160),"")</f>
        <v/>
      </c>
      <c r="J160" s="5">
        <f>IF(OR(F160="",H160=""),"",IF(OR(B160="raft",B160="sump_pit",B160="crane_foundation",D160="(none)"),"n/a",IF(OR(B160="column",B160="footing",B160="mass_concrete_pad",AND(B160="wall",C160="shear_wall",D160&lt;&gt;"(none)")),IF(AND(G160-F160&lt;=3,I160-H160&lt;=3),"yes","no"),IF(I160-H160&lt;=3,"yes (thickness)","no (thickness)"))))</f>
        <v/>
      </c>
      <c r="K160" s="6">
        <f>SUMIFS(Elements!$M$2:$M$862,Elements!$B$2:$B$862,$A160,Elements!$D$2:$D$862,$B160,Elements!$E$2:$E$862,$C160,Elements!$F$2:$F$862,$D160)</f>
        <v/>
      </c>
      <c r="L160" s="6">
        <f>SUMIFS(Elements!$L$2:$L$862,Elements!$B$2:$B$862,$A160,Elements!$D$2:$D$862,$B160,Elements!$E$2:$E$862,$C160,Elements!$F$2:$F$862,$D160)</f>
        <v/>
      </c>
      <c r="M160" s="2" t="inlineStr">
        <is>
          <t>cross-hatch; 94-1044 x 20-25 cm; L/W 4.70-52.20; hatch strokes [0.24, 0.25, 0.28] m at +/-45 deg; thickness = local spread of stroke ends; on a raft 100%; no V label</t>
        </is>
      </c>
    </row>
    <row r="161">
      <c r="A161" s="5" t="inlineStr">
        <is>
          <t>126</t>
        </is>
      </c>
      <c r="B161" s="5" t="inlineStr">
        <is>
          <t>wall</t>
        </is>
      </c>
      <c r="C161" s="5" t="inlineStr">
        <is>
          <t>core_wall_solid</t>
        </is>
      </c>
      <c r="D161" s="5" t="inlineStr">
        <is>
          <t>(none)</t>
        </is>
      </c>
      <c r="E161" s="5">
        <f>COUNTIFS(Elements!$B$2:$B$862,$A161,Elements!$D$2:$D$862,$B161,Elements!$E$2:$E$862,$C161,Elements!$F$2:$F$862,$D161)</f>
        <v/>
      </c>
      <c r="F161" s="5">
        <f>IFERROR(_xlfn.MINIFS(Elements!$I$2:$I$862,Elements!$B$2:$B$862,$A161,Elements!$D$2:$D$862,$B161,Elements!$E$2:$E$862,$C161,Elements!$F$2:$F$862,$D161),"")</f>
        <v/>
      </c>
      <c r="G161" s="5">
        <f>IFERROR(_xlfn.MAXIFS(Elements!$I$2:$I$862,Elements!$B$2:$B$862,$A161,Elements!$D$2:$D$862,$B161,Elements!$E$2:$E$862,$C161,Elements!$F$2:$F$862,$D161),"")</f>
        <v/>
      </c>
      <c r="H161" s="5">
        <f>IFERROR(_xlfn.MINIFS(Elements!$J$2:$J$862,Elements!$B$2:$B$862,$A161,Elements!$D$2:$D$862,$B161,Elements!$E$2:$E$862,$C161,Elements!$F$2:$F$862,$D161),"")</f>
        <v/>
      </c>
      <c r="I161" s="5">
        <f>IFERROR(_xlfn.MAXIFS(Elements!$J$2:$J$862,Elements!$B$2:$B$862,$A161,Elements!$D$2:$D$862,$B161,Elements!$E$2:$E$862,$C161,Elements!$F$2:$F$862,$D161),"")</f>
        <v/>
      </c>
      <c r="J161" s="5">
        <f>IF(OR(F161="",H161=""),"",IF(OR(B161="raft",B161="sump_pit",B161="crane_foundation",D161="(none)"),"n/a",IF(OR(B161="column",B161="footing",B161="mass_concrete_pad",AND(B161="wall",C161="shear_wall",D161&lt;&gt;"(none)")),IF(AND(G161-F161&lt;=3,I161-H161&lt;=3),"yes","no"),IF(I161-H161&lt;=3,"yes (thickness)","no (thickness)"))))</f>
        <v/>
      </c>
      <c r="K161" s="6">
        <f>SUMIFS(Elements!$M$2:$M$862,Elements!$B$2:$B$862,$A161,Elements!$D$2:$D$862,$B161,Elements!$E$2:$E$862,$C161,Elements!$F$2:$F$862,$D161)</f>
        <v/>
      </c>
      <c r="L161" s="6">
        <f>SUMIFS(Elements!$L$2:$L$862,Elements!$B$2:$B$862,$A161,Elements!$D$2:$D$862,$B161,Elements!$E$2:$E$862,$C161,Elements!$F$2:$F$862,$D161)</f>
        <v/>
      </c>
      <c r="M161" s="2" t="inlineStr">
        <is>
          <t>solid fill; 39-816 x 20-30 cm; L/W 1.81-36.95; inside a footing outline 0%; on a raft 100%; touching a hatched core wall 24%; in a strip-footing band 0%; at a grade-beam junction 0%</t>
        </is>
      </c>
    </row>
    <row r="162">
      <c r="A162" s="5" t="inlineStr">
        <is>
          <t>126</t>
        </is>
      </c>
      <c r="B162" s="5" t="inlineStr">
        <is>
          <t>wall</t>
        </is>
      </c>
      <c r="C162" s="5" t="inlineStr">
        <is>
          <t>retaining_wall</t>
        </is>
      </c>
      <c r="D162" s="5" t="inlineStr">
        <is>
          <t>(none)</t>
        </is>
      </c>
      <c r="E162" s="5">
        <f>COUNTIFS(Elements!$B$2:$B$862,$A162,Elements!$D$2:$D$862,$B162,Elements!$E$2:$E$862,$C162,Elements!$F$2:$F$862,$D162)</f>
        <v/>
      </c>
      <c r="F162" s="5">
        <f>IFERROR(_xlfn.MINIFS(Elements!$I$2:$I$862,Elements!$B$2:$B$862,$A162,Elements!$D$2:$D$862,$B162,Elements!$E$2:$E$862,$C162,Elements!$F$2:$F$862,$D162),"")</f>
        <v/>
      </c>
      <c r="G162" s="5">
        <f>IFERROR(_xlfn.MAXIFS(Elements!$I$2:$I$862,Elements!$B$2:$B$862,$A162,Elements!$D$2:$D$862,$B162,Elements!$E$2:$E$862,$C162,Elements!$F$2:$F$862,$D162),"")</f>
        <v/>
      </c>
      <c r="H162" s="5">
        <f>IFERROR(_xlfn.MINIFS(Elements!$J$2:$J$862,Elements!$B$2:$B$862,$A162,Elements!$D$2:$D$862,$B162,Elements!$E$2:$E$862,$C162,Elements!$F$2:$F$862,$D162),"")</f>
        <v/>
      </c>
      <c r="I162" s="5">
        <f>IFERROR(_xlfn.MAXIFS(Elements!$J$2:$J$862,Elements!$B$2:$B$862,$A162,Elements!$D$2:$D$862,$B162,Elements!$E$2:$E$862,$C162,Elements!$F$2:$F$862,$D162),"")</f>
        <v/>
      </c>
      <c r="J162" s="5">
        <f>IF(OR(F162="",H162=""),"",IF(OR(B162="raft",B162="sump_pit",B162="crane_foundation",D162="(none)"),"n/a",IF(OR(B162="column",B162="footing",B162="mass_concrete_pad",AND(B162="wall",C162="shear_wall",D162&lt;&gt;"(none)")),IF(AND(G162-F162&lt;=3,I162-H162&lt;=3),"yes","no"),IF(I162-H162&lt;=3,"yes (thickness)","no (thickness)"))))</f>
        <v/>
      </c>
      <c r="K162" s="6">
        <f>SUMIFS(Elements!$M$2:$M$862,Elements!$B$2:$B$862,$A162,Elements!$D$2:$D$862,$B162,Elements!$E$2:$E$862,$C162,Elements!$F$2:$F$862,$D162)</f>
        <v/>
      </c>
      <c r="L162" s="6">
        <f>SUMIFS(Elements!$L$2:$L$862,Elements!$B$2:$B$862,$A162,Elements!$D$2:$D$862,$B162,Elements!$E$2:$E$862,$C162,Elements!$F$2:$F$862,$D162)</f>
        <v/>
      </c>
      <c r="M162" s="2" t="inlineStr">
        <is>
          <t>solid fill; 34-2869 x 20-30 cm; L/W 1.70-143.45; inside a footing outline 5%; on a raft 29%; touching a hatched core wall 12%; in a strip-footing band 69%; at a grade-beam junction 20%</t>
        </is>
      </c>
    </row>
    <row r="163">
      <c r="A163" s="5" t="inlineStr">
        <is>
          <t>126</t>
        </is>
      </c>
      <c r="B163" s="5" t="inlineStr">
        <is>
          <t>wall</t>
        </is>
      </c>
      <c r="C163" s="5" t="inlineStr">
        <is>
          <t>retaining_wall</t>
        </is>
      </c>
      <c r="D163" s="5" t="inlineStr">
        <is>
          <t>VP20</t>
        </is>
      </c>
      <c r="E163" s="5">
        <f>COUNTIFS(Elements!$B$2:$B$862,$A163,Elements!$D$2:$D$862,$B163,Elements!$E$2:$E$862,$C163,Elements!$F$2:$F$862,$D163)</f>
        <v/>
      </c>
      <c r="F163" s="5">
        <f>IFERROR(_xlfn.MINIFS(Elements!$I$2:$I$862,Elements!$B$2:$B$862,$A163,Elements!$D$2:$D$862,$B163,Elements!$E$2:$E$862,$C163,Elements!$F$2:$F$862,$D163),"")</f>
        <v/>
      </c>
      <c r="G163" s="5">
        <f>IFERROR(_xlfn.MAXIFS(Elements!$I$2:$I$862,Elements!$B$2:$B$862,$A163,Elements!$D$2:$D$862,$B163,Elements!$E$2:$E$862,$C163,Elements!$F$2:$F$862,$D163),"")</f>
        <v/>
      </c>
      <c r="H163" s="5">
        <f>IFERROR(_xlfn.MINIFS(Elements!$J$2:$J$862,Elements!$B$2:$B$862,$A163,Elements!$D$2:$D$862,$B163,Elements!$E$2:$E$862,$C163,Elements!$F$2:$F$862,$D163),"")</f>
        <v/>
      </c>
      <c r="I163" s="5">
        <f>IFERROR(_xlfn.MAXIFS(Elements!$J$2:$J$862,Elements!$B$2:$B$862,$A163,Elements!$D$2:$D$862,$B163,Elements!$E$2:$E$862,$C163,Elements!$F$2:$F$862,$D163),"")</f>
        <v/>
      </c>
      <c r="J163" s="5">
        <f>IF(OR(F163="",H163=""),"",IF(OR(B163="raft",B163="sump_pit",B163="crane_foundation",D163="(none)"),"n/a",IF(OR(B163="column",B163="footing",B163="mass_concrete_pad",AND(B163="wall",C163="shear_wall",D163&lt;&gt;"(none)")),IF(AND(G163-F163&lt;=3,I163-H163&lt;=3),"yes","no"),IF(I163-H163&lt;=3,"yes (thickness)","no (thickness)"))))</f>
        <v/>
      </c>
      <c r="K163" s="6">
        <f>SUMIFS(Elements!$M$2:$M$862,Elements!$B$2:$B$862,$A163,Elements!$D$2:$D$862,$B163,Elements!$E$2:$E$862,$C163,Elements!$F$2:$F$862,$D163)</f>
        <v/>
      </c>
      <c r="L163" s="6">
        <f>SUMIFS(Elements!$L$2:$L$862,Elements!$B$2:$B$862,$A163,Elements!$D$2:$D$862,$B163,Elements!$E$2:$E$862,$C163,Elements!$F$2:$F$862,$D163)</f>
        <v/>
      </c>
      <c r="M163" s="2" t="inlineStr">
        <is>
          <t>solid fill; 34-2869 x 20-30 cm; L/W 1.70-143.45; inside a footing outline 5%; on a raft 29%; touching a hatched core wall 12%; in a strip-footing band 69%; at a grade-beam junction 20%</t>
        </is>
      </c>
    </row>
    <row r="164">
      <c r="A164" s="5" t="inlineStr">
        <is>
          <t>126</t>
        </is>
      </c>
      <c r="B164" s="5" t="inlineStr">
        <is>
          <t>wall</t>
        </is>
      </c>
      <c r="C164" s="5" t="inlineStr">
        <is>
          <t>shear_wall</t>
        </is>
      </c>
      <c r="D164" s="5" t="inlineStr">
        <is>
          <t>(none)</t>
        </is>
      </c>
      <c r="E164" s="5">
        <f>COUNTIFS(Elements!$B$2:$B$862,$A164,Elements!$D$2:$D$862,$B164,Elements!$E$2:$E$862,$C164,Elements!$F$2:$F$862,$D164)</f>
        <v/>
      </c>
      <c r="F164" s="5">
        <f>IFERROR(_xlfn.MINIFS(Elements!$I$2:$I$862,Elements!$B$2:$B$862,$A164,Elements!$D$2:$D$862,$B164,Elements!$E$2:$E$862,$C164,Elements!$F$2:$F$862,$D164),"")</f>
        <v/>
      </c>
      <c r="G164" s="5">
        <f>IFERROR(_xlfn.MAXIFS(Elements!$I$2:$I$862,Elements!$B$2:$B$862,$A164,Elements!$D$2:$D$862,$B164,Elements!$E$2:$E$862,$C164,Elements!$F$2:$F$862,$D164),"")</f>
        <v/>
      </c>
      <c r="H164" s="5">
        <f>IFERROR(_xlfn.MINIFS(Elements!$J$2:$J$862,Elements!$B$2:$B$862,$A164,Elements!$D$2:$D$862,$B164,Elements!$E$2:$E$862,$C164,Elements!$F$2:$F$862,$D164),"")</f>
        <v/>
      </c>
      <c r="I164" s="5">
        <f>IFERROR(_xlfn.MAXIFS(Elements!$J$2:$J$862,Elements!$B$2:$B$862,$A164,Elements!$D$2:$D$862,$B164,Elements!$E$2:$E$862,$C164,Elements!$F$2:$F$862,$D164),"")</f>
        <v/>
      </c>
      <c r="J164" s="5">
        <f>IF(OR(F164="",H164=""),"",IF(OR(B164="raft",B164="sump_pit",B164="crane_foundation",D164="(none)"),"n/a",IF(OR(B164="column",B164="footing",B164="mass_concrete_pad",AND(B164="wall",C164="shear_wall",D164&lt;&gt;"(none)")),IF(AND(G164-F164&lt;=3,I164-H164&lt;=3),"yes","no"),IF(I164-H164&lt;=3,"yes (thickness)","no (thickness)"))))</f>
        <v/>
      </c>
      <c r="K164" s="6">
        <f>SUMIFS(Elements!$M$2:$M$862,Elements!$B$2:$B$862,$A164,Elements!$D$2:$D$862,$B164,Elements!$E$2:$E$862,$C164,Elements!$F$2:$F$862,$D164)</f>
        <v/>
      </c>
      <c r="L164" s="6">
        <f>SUMIFS(Elements!$L$2:$L$862,Elements!$B$2:$B$862,$A164,Elements!$D$2:$D$862,$B164,Elements!$E$2:$E$862,$C164,Elements!$F$2:$F$862,$D164)</f>
        <v/>
      </c>
      <c r="M164" s="2" t="inlineStr">
        <is>
          <t>solid fill; 87-1849 x 20-30 cm; L/W 4.17-92.45; inside a footing outline 72%; on a raft 10%; touching a hatched core wall 1%; in a strip-footing band 5%; at a grade-beam junction 51%</t>
        </is>
      </c>
    </row>
    <row r="165">
      <c r="A165" s="5" t="inlineStr">
        <is>
          <t>126</t>
        </is>
      </c>
      <c r="B165" s="5" t="inlineStr">
        <is>
          <t>wall</t>
        </is>
      </c>
      <c r="C165" s="5" t="inlineStr">
        <is>
          <t>shear_wall</t>
        </is>
      </c>
      <c r="D165" s="5" t="inlineStr">
        <is>
          <t>V3/126</t>
        </is>
      </c>
      <c r="E165" s="5">
        <f>COUNTIFS(Elements!$B$2:$B$862,$A165,Elements!$D$2:$D$862,$B165,Elements!$E$2:$E$862,$C165,Elements!$F$2:$F$862,$D165)</f>
        <v/>
      </c>
      <c r="F165" s="5">
        <f>IFERROR(_xlfn.MINIFS(Elements!$I$2:$I$862,Elements!$B$2:$B$862,$A165,Elements!$D$2:$D$862,$B165,Elements!$E$2:$E$862,$C165,Elements!$F$2:$F$862,$D165),"")</f>
        <v/>
      </c>
      <c r="G165" s="5">
        <f>IFERROR(_xlfn.MAXIFS(Elements!$I$2:$I$862,Elements!$B$2:$B$862,$A165,Elements!$D$2:$D$862,$B165,Elements!$E$2:$E$862,$C165,Elements!$F$2:$F$862,$D165),"")</f>
        <v/>
      </c>
      <c r="H165" s="5">
        <f>IFERROR(_xlfn.MINIFS(Elements!$J$2:$J$862,Elements!$B$2:$B$862,$A165,Elements!$D$2:$D$862,$B165,Elements!$E$2:$E$862,$C165,Elements!$F$2:$F$862,$D165),"")</f>
        <v/>
      </c>
      <c r="I165" s="5">
        <f>IFERROR(_xlfn.MAXIFS(Elements!$J$2:$J$862,Elements!$B$2:$B$862,$A165,Elements!$D$2:$D$862,$B165,Elements!$E$2:$E$862,$C165,Elements!$F$2:$F$862,$D165),"")</f>
        <v/>
      </c>
      <c r="J165" s="5">
        <f>IF(OR(F165="",H165=""),"",IF(OR(B165="raft",B165="sump_pit",B165="crane_foundation",D165="(none)"),"n/a",IF(OR(B165="column",B165="footing",B165="mass_concrete_pad",AND(B165="wall",C165="shear_wall",D165&lt;&gt;"(none)")),IF(AND(G165-F165&lt;=3,I165-H165&lt;=3),"yes","no"),IF(I165-H165&lt;=3,"yes (thickness)","no (thickness)"))))</f>
        <v/>
      </c>
      <c r="K165" s="6">
        <f>SUMIFS(Elements!$M$2:$M$862,Elements!$B$2:$B$862,$A165,Elements!$D$2:$D$862,$B165,Elements!$E$2:$E$862,$C165,Elements!$F$2:$F$862,$D165)</f>
        <v/>
      </c>
      <c r="L165" s="6">
        <f>SUMIFS(Elements!$L$2:$L$862,Elements!$B$2:$B$862,$A165,Elements!$D$2:$D$862,$B165,Elements!$E$2:$E$862,$C165,Elements!$F$2:$F$862,$D165)</f>
        <v/>
      </c>
      <c r="M165" s="2" t="inlineStr">
        <is>
          <t>solid fill; 87-1849 x 20-30 cm; L/W 4.17-92.45; inside a footing outline 72%; on a raft 10%; touching a hatched core wall 1%; in a strip-footing band 5%; at a grade-beam junction 51%</t>
        </is>
      </c>
    </row>
    <row r="166">
      <c r="A166" s="5" t="inlineStr">
        <is>
          <t>126</t>
        </is>
      </c>
      <c r="B166" s="5" t="inlineStr">
        <is>
          <t>wall</t>
        </is>
      </c>
      <c r="C166" s="5" t="inlineStr">
        <is>
          <t>shear_wall</t>
        </is>
      </c>
      <c r="D166" s="5" t="inlineStr">
        <is>
          <t>V4/126</t>
        </is>
      </c>
      <c r="E166" s="5">
        <f>COUNTIFS(Elements!$B$2:$B$862,$A166,Elements!$D$2:$D$862,$B166,Elements!$E$2:$E$862,$C166,Elements!$F$2:$F$862,$D166)</f>
        <v/>
      </c>
      <c r="F166" s="5">
        <f>IFERROR(_xlfn.MINIFS(Elements!$I$2:$I$862,Elements!$B$2:$B$862,$A166,Elements!$D$2:$D$862,$B166,Elements!$E$2:$E$862,$C166,Elements!$F$2:$F$862,$D166),"")</f>
        <v/>
      </c>
      <c r="G166" s="5">
        <f>IFERROR(_xlfn.MAXIFS(Elements!$I$2:$I$862,Elements!$B$2:$B$862,$A166,Elements!$D$2:$D$862,$B166,Elements!$E$2:$E$862,$C166,Elements!$F$2:$F$862,$D166),"")</f>
        <v/>
      </c>
      <c r="H166" s="5">
        <f>IFERROR(_xlfn.MINIFS(Elements!$J$2:$J$862,Elements!$B$2:$B$862,$A166,Elements!$D$2:$D$862,$B166,Elements!$E$2:$E$862,$C166,Elements!$F$2:$F$862,$D166),"")</f>
        <v/>
      </c>
      <c r="I166" s="5">
        <f>IFERROR(_xlfn.MAXIFS(Elements!$J$2:$J$862,Elements!$B$2:$B$862,$A166,Elements!$D$2:$D$862,$B166,Elements!$E$2:$E$862,$C166,Elements!$F$2:$F$862,$D166),"")</f>
        <v/>
      </c>
      <c r="J166" s="5">
        <f>IF(OR(F166="",H166=""),"",IF(OR(B166="raft",B166="sump_pit",B166="crane_foundation",D166="(none)"),"n/a",IF(OR(B166="column",B166="footing",B166="mass_concrete_pad",AND(B166="wall",C166="shear_wall",D166&lt;&gt;"(none)")),IF(AND(G166-F166&lt;=3,I166-H166&lt;=3),"yes","no"),IF(I166-H166&lt;=3,"yes (thickness)","no (thickness)"))))</f>
        <v/>
      </c>
      <c r="K166" s="6">
        <f>SUMIFS(Elements!$M$2:$M$862,Elements!$B$2:$B$862,$A166,Elements!$D$2:$D$862,$B166,Elements!$E$2:$E$862,$C166,Elements!$F$2:$F$862,$D166)</f>
        <v/>
      </c>
      <c r="L166" s="6">
        <f>SUMIFS(Elements!$L$2:$L$862,Elements!$B$2:$B$862,$A166,Elements!$D$2:$D$862,$B166,Elements!$E$2:$E$862,$C166,Elements!$F$2:$F$862,$D166)</f>
        <v/>
      </c>
      <c r="M166" s="2" t="inlineStr">
        <is>
          <t>solid fill; 87-1849 x 20-30 cm; L/W 4.17-92.45; inside a footing outline 72%; on a raft 10%; touching a hatched core wall 1%; in a strip-footing band 5%; at a grade-beam junction 51%</t>
        </is>
      </c>
    </row>
    <row r="167">
      <c r="A167" s="5" t="inlineStr">
        <is>
          <t>126</t>
        </is>
      </c>
      <c r="B167" s="5" t="inlineStr">
        <is>
          <t>wall</t>
        </is>
      </c>
      <c r="C167" s="5" t="inlineStr">
        <is>
          <t>shear_wall</t>
        </is>
      </c>
      <c r="D167" s="5" t="inlineStr">
        <is>
          <t>V5/126</t>
        </is>
      </c>
      <c r="E167" s="5">
        <f>COUNTIFS(Elements!$B$2:$B$862,$A167,Elements!$D$2:$D$862,$B167,Elements!$E$2:$E$862,$C167,Elements!$F$2:$F$862,$D167)</f>
        <v/>
      </c>
      <c r="F167" s="5">
        <f>IFERROR(_xlfn.MINIFS(Elements!$I$2:$I$862,Elements!$B$2:$B$862,$A167,Elements!$D$2:$D$862,$B167,Elements!$E$2:$E$862,$C167,Elements!$F$2:$F$862,$D167),"")</f>
        <v/>
      </c>
      <c r="G167" s="5">
        <f>IFERROR(_xlfn.MAXIFS(Elements!$I$2:$I$862,Elements!$B$2:$B$862,$A167,Elements!$D$2:$D$862,$B167,Elements!$E$2:$E$862,$C167,Elements!$F$2:$F$862,$D167),"")</f>
        <v/>
      </c>
      <c r="H167" s="5">
        <f>IFERROR(_xlfn.MINIFS(Elements!$J$2:$J$862,Elements!$B$2:$B$862,$A167,Elements!$D$2:$D$862,$B167,Elements!$E$2:$E$862,$C167,Elements!$F$2:$F$862,$D167),"")</f>
        <v/>
      </c>
      <c r="I167" s="5">
        <f>IFERROR(_xlfn.MAXIFS(Elements!$J$2:$J$862,Elements!$B$2:$B$862,$A167,Elements!$D$2:$D$862,$B167,Elements!$E$2:$E$862,$C167,Elements!$F$2:$F$862,$D167),"")</f>
        <v/>
      </c>
      <c r="J167" s="5">
        <f>IF(OR(F167="",H167=""),"",IF(OR(B167="raft",B167="sump_pit",B167="crane_foundation",D167="(none)"),"n/a",IF(OR(B167="column",B167="footing",B167="mass_concrete_pad",AND(B167="wall",C167="shear_wall",D167&lt;&gt;"(none)")),IF(AND(G167-F167&lt;=3,I167-H167&lt;=3),"yes","no"),IF(I167-H167&lt;=3,"yes (thickness)","no (thickness)"))))</f>
        <v/>
      </c>
      <c r="K167" s="6">
        <f>SUMIFS(Elements!$M$2:$M$862,Elements!$B$2:$B$862,$A167,Elements!$D$2:$D$862,$B167,Elements!$E$2:$E$862,$C167,Elements!$F$2:$F$862,$D167)</f>
        <v/>
      </c>
      <c r="L167" s="6">
        <f>SUMIFS(Elements!$L$2:$L$862,Elements!$B$2:$B$862,$A167,Elements!$D$2:$D$862,$B167,Elements!$E$2:$E$862,$C167,Elements!$F$2:$F$862,$D167)</f>
        <v/>
      </c>
      <c r="M167" s="2" t="inlineStr">
        <is>
          <t>solid fill; 87-1849 x 20-30 cm; L/W 4.17-92.45; inside a footing outline 72%; on a raft 10%; touching a hatched core wall 1%; in a strip-footing band 5%; at a grade-beam junction 51%</t>
        </is>
      </c>
    </row>
    <row r="168">
      <c r="A168" s="5" t="inlineStr">
        <is>
          <t>126</t>
        </is>
      </c>
      <c r="B168" s="5" t="inlineStr">
        <is>
          <t>wall</t>
        </is>
      </c>
      <c r="C168" s="5" t="inlineStr">
        <is>
          <t>shear_wall</t>
        </is>
      </c>
      <c r="D168" s="5" t="inlineStr">
        <is>
          <t>V8/126</t>
        </is>
      </c>
      <c r="E168" s="5">
        <f>COUNTIFS(Elements!$B$2:$B$862,$A168,Elements!$D$2:$D$862,$B168,Elements!$E$2:$E$862,$C168,Elements!$F$2:$F$862,$D168)</f>
        <v/>
      </c>
      <c r="F168" s="5">
        <f>IFERROR(_xlfn.MINIFS(Elements!$I$2:$I$862,Elements!$B$2:$B$862,$A168,Elements!$D$2:$D$862,$B168,Elements!$E$2:$E$862,$C168,Elements!$F$2:$F$862,$D168),"")</f>
        <v/>
      </c>
      <c r="G168" s="5">
        <f>IFERROR(_xlfn.MAXIFS(Elements!$I$2:$I$862,Elements!$B$2:$B$862,$A168,Elements!$D$2:$D$862,$B168,Elements!$E$2:$E$862,$C168,Elements!$F$2:$F$862,$D168),"")</f>
        <v/>
      </c>
      <c r="H168" s="5">
        <f>IFERROR(_xlfn.MINIFS(Elements!$J$2:$J$862,Elements!$B$2:$B$862,$A168,Elements!$D$2:$D$862,$B168,Elements!$E$2:$E$862,$C168,Elements!$F$2:$F$862,$D168),"")</f>
        <v/>
      </c>
      <c r="I168" s="5">
        <f>IFERROR(_xlfn.MAXIFS(Elements!$J$2:$J$862,Elements!$B$2:$B$862,$A168,Elements!$D$2:$D$862,$B168,Elements!$E$2:$E$862,$C168,Elements!$F$2:$F$862,$D168),"")</f>
        <v/>
      </c>
      <c r="J168" s="5">
        <f>IF(OR(F168="",H168=""),"",IF(OR(B168="raft",B168="sump_pit",B168="crane_foundation",D168="(none)"),"n/a",IF(OR(B168="column",B168="footing",B168="mass_concrete_pad",AND(B168="wall",C168="shear_wall",D168&lt;&gt;"(none)")),IF(AND(G168-F168&lt;=3,I168-H168&lt;=3),"yes","no"),IF(I168-H168&lt;=3,"yes (thickness)","no (thickness)"))))</f>
        <v/>
      </c>
      <c r="K168" s="6">
        <f>SUMIFS(Elements!$M$2:$M$862,Elements!$B$2:$B$862,$A168,Elements!$D$2:$D$862,$B168,Elements!$E$2:$E$862,$C168,Elements!$F$2:$F$862,$D168)</f>
        <v/>
      </c>
      <c r="L168" s="6">
        <f>SUMIFS(Elements!$L$2:$L$862,Elements!$B$2:$B$862,$A168,Elements!$D$2:$D$862,$B168,Elements!$E$2:$E$862,$C168,Elements!$F$2:$F$862,$D168)</f>
        <v/>
      </c>
      <c r="M168" s="2" t="inlineStr">
        <is>
          <t>solid fill; 87-1849 x 20-30 cm; L/W 4.17-92.45; inside a footing outline 72%; on a raft 10%; touching a hatched core wall 1%; in a strip-footing band 5%; at a grade-beam junction 51%</t>
        </is>
      </c>
    </row>
    <row r="169">
      <c r="A169" s="5" t="inlineStr">
        <is>
          <t>127</t>
        </is>
      </c>
      <c r="B169" s="5" t="inlineStr">
        <is>
          <t>column</t>
        </is>
      </c>
      <c r="C169" s="5" t="inlineStr">
        <is>
          <t>column</t>
        </is>
      </c>
      <c r="D169" s="5" t="inlineStr">
        <is>
          <t>P1/127</t>
        </is>
      </c>
      <c r="E169" s="5">
        <f>COUNTIFS(Elements!$B$2:$B$862,$A169,Elements!$D$2:$D$862,$B169,Elements!$E$2:$E$862,$C169,Elements!$F$2:$F$862,$D169)</f>
        <v/>
      </c>
      <c r="F169" s="5">
        <f>IFERROR(_xlfn.MINIFS(Elements!$I$2:$I$862,Elements!$B$2:$B$862,$A169,Elements!$D$2:$D$862,$B169,Elements!$E$2:$E$862,$C169,Elements!$F$2:$F$862,$D169),"")</f>
        <v/>
      </c>
      <c r="G169" s="5">
        <f>IFERROR(_xlfn.MAXIFS(Elements!$I$2:$I$862,Elements!$B$2:$B$862,$A169,Elements!$D$2:$D$862,$B169,Elements!$E$2:$E$862,$C169,Elements!$F$2:$F$862,$D169),"")</f>
        <v/>
      </c>
      <c r="H169" s="5">
        <f>IFERROR(_xlfn.MINIFS(Elements!$J$2:$J$862,Elements!$B$2:$B$862,$A169,Elements!$D$2:$D$862,$B169,Elements!$E$2:$E$862,$C169,Elements!$F$2:$F$862,$D169),"")</f>
        <v/>
      </c>
      <c r="I169" s="5">
        <f>IFERROR(_xlfn.MAXIFS(Elements!$J$2:$J$862,Elements!$B$2:$B$862,$A169,Elements!$D$2:$D$862,$B169,Elements!$E$2:$E$862,$C169,Elements!$F$2:$F$862,$D169),"")</f>
        <v/>
      </c>
      <c r="J169" s="5">
        <f>IF(OR(F169="",H169=""),"",IF(OR(B169="raft",B169="sump_pit",B169="crane_foundation",D169="(none)"),"n/a",IF(OR(B169="column",B169="footing",B169="mass_concrete_pad",AND(B169="wall",C169="shear_wall",D169&lt;&gt;"(none)")),IF(AND(G169-F169&lt;=3,I169-H169&lt;=3),"yes","no"),IF(I169-H169&lt;=3,"yes (thickness)","no (thickness)"))))</f>
        <v/>
      </c>
      <c r="K169" s="6">
        <f>SUMIFS(Elements!$M$2:$M$862,Elements!$B$2:$B$862,$A169,Elements!$D$2:$D$862,$B169,Elements!$E$2:$E$862,$C169,Elements!$F$2:$F$862,$D169)</f>
        <v/>
      </c>
      <c r="L169" s="6">
        <f>SUMIFS(Elements!$L$2:$L$862,Elements!$B$2:$B$862,$A169,Elements!$D$2:$D$862,$B169,Elements!$E$2:$E$862,$C169,Elements!$F$2:$F$862,$D169)</f>
        <v/>
      </c>
      <c r="M169" s="2" t="inlineStr">
        <is>
          <t>solid fill; 40-120 x 25-50 cm; L/W 1.60-4.00; inside a footing outline 37%; on a raft 63%; touching a hatched core wall 26%; in a strip-footing band 0%; at a grade-beam junction 26%</t>
        </is>
      </c>
    </row>
    <row r="170">
      <c r="A170" s="5" t="inlineStr">
        <is>
          <t>127</t>
        </is>
      </c>
      <c r="B170" s="5" t="inlineStr">
        <is>
          <t>crane_foundation</t>
        </is>
      </c>
      <c r="C170" s="5" t="inlineStr">
        <is>
          <t>crane_foundation</t>
        </is>
      </c>
      <c r="D170" s="5" t="inlineStr">
        <is>
          <t>(none)</t>
        </is>
      </c>
      <c r="E170" s="5">
        <f>COUNTIFS(Elements!$B$2:$B$862,$A170,Elements!$D$2:$D$862,$B170,Elements!$E$2:$E$862,$C170,Elements!$F$2:$F$862,$D170)</f>
        <v/>
      </c>
      <c r="F170" s="5">
        <f>IFERROR(_xlfn.MINIFS(Elements!$I$2:$I$862,Elements!$B$2:$B$862,$A170,Elements!$D$2:$D$862,$B170,Elements!$E$2:$E$862,$C170,Elements!$F$2:$F$862,$D170),"")</f>
        <v/>
      </c>
      <c r="G170" s="5">
        <f>IFERROR(_xlfn.MAXIFS(Elements!$I$2:$I$862,Elements!$B$2:$B$862,$A170,Elements!$D$2:$D$862,$B170,Elements!$E$2:$E$862,$C170,Elements!$F$2:$F$862,$D170),"")</f>
        <v/>
      </c>
      <c r="H170" s="5">
        <f>IFERROR(_xlfn.MINIFS(Elements!$J$2:$J$862,Elements!$B$2:$B$862,$A170,Elements!$D$2:$D$862,$B170,Elements!$E$2:$E$862,$C170,Elements!$F$2:$F$862,$D170),"")</f>
        <v/>
      </c>
      <c r="I170" s="5">
        <f>IFERROR(_xlfn.MAXIFS(Elements!$J$2:$J$862,Elements!$B$2:$B$862,$A170,Elements!$D$2:$D$862,$B170,Elements!$E$2:$E$862,$C170,Elements!$F$2:$F$862,$D170),"")</f>
        <v/>
      </c>
      <c r="J170" s="5">
        <f>IF(OR(F170="",H170=""),"",IF(OR(B170="raft",B170="sump_pit",B170="crane_foundation",D170="(none)"),"n/a",IF(OR(B170="column",B170="footing",B170="mass_concrete_pad",AND(B170="wall",C170="shear_wall",D170&lt;&gt;"(none)")),IF(AND(G170-F170&lt;=3,I170-H170&lt;=3),"yes","no"),IF(I170-H170&lt;=3,"yes (thickness)","no (thickness)"))))</f>
        <v/>
      </c>
      <c r="K170" s="6">
        <f>SUMIFS(Elements!$M$2:$M$862,Elements!$B$2:$B$862,$A170,Elements!$D$2:$D$862,$B170,Elements!$E$2:$E$862,$C170,Elements!$F$2:$F$862,$D170)</f>
        <v/>
      </c>
      <c r="L170" s="6">
        <f>SUMIFS(Elements!$L$2:$L$862,Elements!$B$2:$B$862,$A170,Elements!$D$2:$D$862,$B170,Elements!$E$2:$E$862,$C170,Elements!$F$2:$F$862,$D170)</f>
        <v/>
      </c>
      <c r="M170" s="2" t="inlineStr">
        <is>
          <t>group of footings; 840-840 x 840-840 cm</t>
        </is>
      </c>
    </row>
    <row r="171">
      <c r="A171" s="5" t="inlineStr">
        <is>
          <t>127</t>
        </is>
      </c>
      <c r="B171" s="5" t="inlineStr">
        <is>
          <t>footing</t>
        </is>
      </c>
      <c r="C171" s="5" t="inlineStr">
        <is>
          <t>combined_footing</t>
        </is>
      </c>
      <c r="D171" s="5" t="inlineStr">
        <is>
          <t>SC2</t>
        </is>
      </c>
      <c r="E171" s="5">
        <f>COUNTIFS(Elements!$B$2:$B$862,$A171,Elements!$D$2:$D$862,$B171,Elements!$E$2:$E$862,$C171,Elements!$F$2:$F$862,$D171)</f>
        <v/>
      </c>
      <c r="F171" s="5">
        <f>IFERROR(_xlfn.MINIFS(Elements!$I$2:$I$862,Elements!$B$2:$B$862,$A171,Elements!$D$2:$D$862,$B171,Elements!$E$2:$E$862,$C171,Elements!$F$2:$F$862,$D171),"")</f>
        <v/>
      </c>
      <c r="G171" s="5">
        <f>IFERROR(_xlfn.MAXIFS(Elements!$I$2:$I$862,Elements!$B$2:$B$862,$A171,Elements!$D$2:$D$862,$B171,Elements!$E$2:$E$862,$C171,Elements!$F$2:$F$862,$D171),"")</f>
        <v/>
      </c>
      <c r="H171" s="5">
        <f>IFERROR(_xlfn.MINIFS(Elements!$J$2:$J$862,Elements!$B$2:$B$862,$A171,Elements!$D$2:$D$862,$B171,Elements!$E$2:$E$862,$C171,Elements!$F$2:$F$862,$D171),"")</f>
        <v/>
      </c>
      <c r="I171" s="5">
        <f>IFERROR(_xlfn.MAXIFS(Elements!$J$2:$J$862,Elements!$B$2:$B$862,$A171,Elements!$D$2:$D$862,$B171,Elements!$E$2:$E$862,$C171,Elements!$F$2:$F$862,$D171),"")</f>
        <v/>
      </c>
      <c r="J171" s="5">
        <f>IF(OR(F171="",H171=""),"",IF(OR(B171="raft",B171="sump_pit",B171="crane_foundation",D171="(none)"),"n/a",IF(OR(B171="column",B171="footing",B171="mass_concrete_pad",AND(B171="wall",C171="shear_wall",D171&lt;&gt;"(none)")),IF(AND(G171-F171&lt;=3,I171-H171&lt;=3),"yes","no"),IF(I171-H171&lt;=3,"yes (thickness)","no (thickness)"))))</f>
        <v/>
      </c>
      <c r="K171" s="6">
        <f>SUMIFS(Elements!$M$2:$M$862,Elements!$B$2:$B$862,$A171,Elements!$D$2:$D$862,$B171,Elements!$E$2:$E$862,$C171,Elements!$F$2:$F$862,$D171)</f>
        <v/>
      </c>
      <c r="L171" s="6">
        <f>SUMIFS(Elements!$L$2:$L$862,Elements!$B$2:$B$862,$A171,Elements!$D$2:$D$862,$B171,Elements!$E$2:$E$862,$C171,Elements!$F$2:$F$862,$D171)</f>
        <v/>
      </c>
      <c r="M171" s="2" t="inlineStr">
        <is>
          <t>closed outline; 350-600 x 200-450 cm; carries wall+wall (24), column+wall (3), wall+wall+wall+wall (1); grade beam crossing it 93%</t>
        </is>
      </c>
    </row>
    <row r="172">
      <c r="A172" s="5" t="inlineStr">
        <is>
          <t>127</t>
        </is>
      </c>
      <c r="B172" s="5" t="inlineStr">
        <is>
          <t>footing</t>
        </is>
      </c>
      <c r="C172" s="5" t="inlineStr">
        <is>
          <t>combined_footing</t>
        </is>
      </c>
      <c r="D172" s="5" t="inlineStr">
        <is>
          <t>SC3</t>
        </is>
      </c>
      <c r="E172" s="5">
        <f>COUNTIFS(Elements!$B$2:$B$862,$A172,Elements!$D$2:$D$862,$B172,Elements!$E$2:$E$862,$C172,Elements!$F$2:$F$862,$D172)</f>
        <v/>
      </c>
      <c r="F172" s="5">
        <f>IFERROR(_xlfn.MINIFS(Elements!$I$2:$I$862,Elements!$B$2:$B$862,$A172,Elements!$D$2:$D$862,$B172,Elements!$E$2:$E$862,$C172,Elements!$F$2:$F$862,$D172),"")</f>
        <v/>
      </c>
      <c r="G172" s="5">
        <f>IFERROR(_xlfn.MAXIFS(Elements!$I$2:$I$862,Elements!$B$2:$B$862,$A172,Elements!$D$2:$D$862,$B172,Elements!$E$2:$E$862,$C172,Elements!$F$2:$F$862,$D172),"")</f>
        <v/>
      </c>
      <c r="H172" s="5">
        <f>IFERROR(_xlfn.MINIFS(Elements!$J$2:$J$862,Elements!$B$2:$B$862,$A172,Elements!$D$2:$D$862,$B172,Elements!$E$2:$E$862,$C172,Elements!$F$2:$F$862,$D172),"")</f>
        <v/>
      </c>
      <c r="I172" s="5">
        <f>IFERROR(_xlfn.MAXIFS(Elements!$J$2:$J$862,Elements!$B$2:$B$862,$A172,Elements!$D$2:$D$862,$B172,Elements!$E$2:$E$862,$C172,Elements!$F$2:$F$862,$D172),"")</f>
        <v/>
      </c>
      <c r="J172" s="5">
        <f>IF(OR(F172="",H172=""),"",IF(OR(B172="raft",B172="sump_pit",B172="crane_foundation",D172="(none)"),"n/a",IF(OR(B172="column",B172="footing",B172="mass_concrete_pad",AND(B172="wall",C172="shear_wall",D172&lt;&gt;"(none)")),IF(AND(G172-F172&lt;=3,I172-H172&lt;=3),"yes","no"),IF(I172-H172&lt;=3,"yes (thickness)","no (thickness)"))))</f>
        <v/>
      </c>
      <c r="K172" s="6">
        <f>SUMIFS(Elements!$M$2:$M$862,Elements!$B$2:$B$862,$A172,Elements!$D$2:$D$862,$B172,Elements!$E$2:$E$862,$C172,Elements!$F$2:$F$862,$D172)</f>
        <v/>
      </c>
      <c r="L172" s="6">
        <f>SUMIFS(Elements!$L$2:$L$862,Elements!$B$2:$B$862,$A172,Elements!$D$2:$D$862,$B172,Elements!$E$2:$E$862,$C172,Elements!$F$2:$F$862,$D172)</f>
        <v/>
      </c>
      <c r="M172" s="2" t="inlineStr">
        <is>
          <t>closed outline; 350-600 x 200-450 cm; carries wall+wall (24), column+wall (3), wall+wall+wall+wall (1); grade beam crossing it 93%</t>
        </is>
      </c>
    </row>
    <row r="173">
      <c r="A173" s="5" t="inlineStr">
        <is>
          <t>127</t>
        </is>
      </c>
      <c r="B173" s="5" t="inlineStr">
        <is>
          <t>footing</t>
        </is>
      </c>
      <c r="C173" s="5" t="inlineStr">
        <is>
          <t>crane_footing</t>
        </is>
      </c>
      <c r="D173" s="5" t="inlineStr">
        <is>
          <t>S0(240x240x60)</t>
        </is>
      </c>
      <c r="E173" s="5">
        <f>COUNTIFS(Elements!$B$2:$B$862,$A173,Elements!$D$2:$D$862,$B173,Elements!$E$2:$E$862,$C173,Elements!$F$2:$F$862,$D173)</f>
        <v/>
      </c>
      <c r="F173" s="5">
        <f>IFERROR(_xlfn.MINIFS(Elements!$I$2:$I$862,Elements!$B$2:$B$862,$A173,Elements!$D$2:$D$862,$B173,Elements!$E$2:$E$862,$C173,Elements!$F$2:$F$862,$D173),"")</f>
        <v/>
      </c>
      <c r="G173" s="5">
        <f>IFERROR(_xlfn.MAXIFS(Elements!$I$2:$I$862,Elements!$B$2:$B$862,$A173,Elements!$D$2:$D$862,$B173,Elements!$E$2:$E$862,$C173,Elements!$F$2:$F$862,$D173),"")</f>
        <v/>
      </c>
      <c r="H173" s="5">
        <f>IFERROR(_xlfn.MINIFS(Elements!$J$2:$J$862,Elements!$B$2:$B$862,$A173,Elements!$D$2:$D$862,$B173,Elements!$E$2:$E$862,$C173,Elements!$F$2:$F$862,$D173),"")</f>
        <v/>
      </c>
      <c r="I173" s="5">
        <f>IFERROR(_xlfn.MAXIFS(Elements!$J$2:$J$862,Elements!$B$2:$B$862,$A173,Elements!$D$2:$D$862,$B173,Elements!$E$2:$E$862,$C173,Elements!$F$2:$F$862,$D173),"")</f>
        <v/>
      </c>
      <c r="J173" s="5">
        <f>IF(OR(F173="",H173=""),"",IF(OR(B173="raft",B173="sump_pit",B173="crane_foundation",D173="(none)"),"n/a",IF(OR(B173="column",B173="footing",B173="mass_concrete_pad",AND(B173="wall",C173="shear_wall",D173&lt;&gt;"(none)")),IF(AND(G173-F173&lt;=3,I173-H173&lt;=3),"yes","no"),IF(I173-H173&lt;=3,"yes (thickness)","no (thickness)"))))</f>
        <v/>
      </c>
      <c r="K173" s="6">
        <f>SUMIFS(Elements!$M$2:$M$862,Elements!$B$2:$B$862,$A173,Elements!$D$2:$D$862,$B173,Elements!$E$2:$E$862,$C173,Elements!$F$2:$F$862,$D173)</f>
        <v/>
      </c>
      <c r="L173" s="6">
        <f>SUMIFS(Elements!$L$2:$L$862,Elements!$B$2:$B$862,$A173,Elements!$D$2:$D$862,$B173,Elements!$E$2:$E$862,$C173,Elements!$F$2:$F$862,$D173)</f>
        <v/>
      </c>
      <c r="M173" s="2" t="inlineStr">
        <is>
          <t>closed outline; 240-240 x 240-240 cm; carries none (4); grade beam crossing it 100%</t>
        </is>
      </c>
    </row>
    <row r="174">
      <c r="A174" s="5" t="inlineStr">
        <is>
          <t>127</t>
        </is>
      </c>
      <c r="B174" s="5" t="inlineStr">
        <is>
          <t>footing</t>
        </is>
      </c>
      <c r="C174" s="5" t="inlineStr">
        <is>
          <t>isolated_footing</t>
        </is>
      </c>
      <c r="D174" s="5" t="inlineStr">
        <is>
          <t>S11</t>
        </is>
      </c>
      <c r="E174" s="5">
        <f>COUNTIFS(Elements!$B$2:$B$862,$A174,Elements!$D$2:$D$862,$B174,Elements!$E$2:$E$862,$C174,Elements!$F$2:$F$862,$D174)</f>
        <v/>
      </c>
      <c r="F174" s="5">
        <f>IFERROR(_xlfn.MINIFS(Elements!$I$2:$I$862,Elements!$B$2:$B$862,$A174,Elements!$D$2:$D$862,$B174,Elements!$E$2:$E$862,$C174,Elements!$F$2:$F$862,$D174),"")</f>
        <v/>
      </c>
      <c r="G174" s="5">
        <f>IFERROR(_xlfn.MAXIFS(Elements!$I$2:$I$862,Elements!$B$2:$B$862,$A174,Elements!$D$2:$D$862,$B174,Elements!$E$2:$E$862,$C174,Elements!$F$2:$F$862,$D174),"")</f>
        <v/>
      </c>
      <c r="H174" s="5">
        <f>IFERROR(_xlfn.MINIFS(Elements!$J$2:$J$862,Elements!$B$2:$B$862,$A174,Elements!$D$2:$D$862,$B174,Elements!$E$2:$E$862,$C174,Elements!$F$2:$F$862,$D174),"")</f>
        <v/>
      </c>
      <c r="I174" s="5">
        <f>IFERROR(_xlfn.MAXIFS(Elements!$J$2:$J$862,Elements!$B$2:$B$862,$A174,Elements!$D$2:$D$862,$B174,Elements!$E$2:$E$862,$C174,Elements!$F$2:$F$862,$D174),"")</f>
        <v/>
      </c>
      <c r="J174" s="5">
        <f>IF(OR(F174="",H174=""),"",IF(OR(B174="raft",B174="sump_pit",B174="crane_foundation",D174="(none)"),"n/a",IF(OR(B174="column",B174="footing",B174="mass_concrete_pad",AND(B174="wall",C174="shear_wall",D174&lt;&gt;"(none)")),IF(AND(G174-F174&lt;=3,I174-H174&lt;=3),"yes","no"),IF(I174-H174&lt;=3,"yes (thickness)","no (thickness)"))))</f>
        <v/>
      </c>
      <c r="K174" s="6">
        <f>SUMIFS(Elements!$M$2:$M$862,Elements!$B$2:$B$862,$A174,Elements!$D$2:$D$862,$B174,Elements!$E$2:$E$862,$C174,Elements!$F$2:$F$862,$D174)</f>
        <v/>
      </c>
      <c r="L174" s="6">
        <f>SUMIFS(Elements!$L$2:$L$862,Elements!$B$2:$B$862,$A174,Elements!$D$2:$D$862,$B174,Elements!$E$2:$E$862,$C174,Elements!$F$2:$F$862,$D174)</f>
        <v/>
      </c>
      <c r="M174" s="2" t="inlineStr">
        <is>
          <t>closed outline; 150-600 x 150-450 cm; carries wall (64), column (9), wall+wall (1); grade beam crossing it 95%</t>
        </is>
      </c>
    </row>
    <row r="175">
      <c r="A175" s="5" t="inlineStr">
        <is>
          <t>127</t>
        </is>
      </c>
      <c r="B175" s="5" t="inlineStr">
        <is>
          <t>footing</t>
        </is>
      </c>
      <c r="C175" s="5" t="inlineStr">
        <is>
          <t>isolated_footing</t>
        </is>
      </c>
      <c r="D175" s="5" t="inlineStr">
        <is>
          <t>S16</t>
        </is>
      </c>
      <c r="E175" s="5">
        <f>COUNTIFS(Elements!$B$2:$B$862,$A175,Elements!$D$2:$D$862,$B175,Elements!$E$2:$E$862,$C175,Elements!$F$2:$F$862,$D175)</f>
        <v/>
      </c>
      <c r="F175" s="5">
        <f>IFERROR(_xlfn.MINIFS(Elements!$I$2:$I$862,Elements!$B$2:$B$862,$A175,Elements!$D$2:$D$862,$B175,Elements!$E$2:$E$862,$C175,Elements!$F$2:$F$862,$D175),"")</f>
        <v/>
      </c>
      <c r="G175" s="5">
        <f>IFERROR(_xlfn.MAXIFS(Elements!$I$2:$I$862,Elements!$B$2:$B$862,$A175,Elements!$D$2:$D$862,$B175,Elements!$E$2:$E$862,$C175,Elements!$F$2:$F$862,$D175),"")</f>
        <v/>
      </c>
      <c r="H175" s="5">
        <f>IFERROR(_xlfn.MINIFS(Elements!$J$2:$J$862,Elements!$B$2:$B$862,$A175,Elements!$D$2:$D$862,$B175,Elements!$E$2:$E$862,$C175,Elements!$F$2:$F$862,$D175),"")</f>
        <v/>
      </c>
      <c r="I175" s="5">
        <f>IFERROR(_xlfn.MAXIFS(Elements!$J$2:$J$862,Elements!$B$2:$B$862,$A175,Elements!$D$2:$D$862,$B175,Elements!$E$2:$E$862,$C175,Elements!$F$2:$F$862,$D175),"")</f>
        <v/>
      </c>
      <c r="J175" s="5">
        <f>IF(OR(F175="",H175=""),"",IF(OR(B175="raft",B175="sump_pit",B175="crane_foundation",D175="(none)"),"n/a",IF(OR(B175="column",B175="footing",B175="mass_concrete_pad",AND(B175="wall",C175="shear_wall",D175&lt;&gt;"(none)")),IF(AND(G175-F175&lt;=3,I175-H175&lt;=3),"yes","no"),IF(I175-H175&lt;=3,"yes (thickness)","no (thickness)"))))</f>
        <v/>
      </c>
      <c r="K175" s="6">
        <f>SUMIFS(Elements!$M$2:$M$862,Elements!$B$2:$B$862,$A175,Elements!$D$2:$D$862,$B175,Elements!$E$2:$E$862,$C175,Elements!$F$2:$F$862,$D175)</f>
        <v/>
      </c>
      <c r="L175" s="6">
        <f>SUMIFS(Elements!$L$2:$L$862,Elements!$B$2:$B$862,$A175,Elements!$D$2:$D$862,$B175,Elements!$E$2:$E$862,$C175,Elements!$F$2:$F$862,$D175)</f>
        <v/>
      </c>
      <c r="M175" s="2" t="inlineStr">
        <is>
          <t>closed outline; 150-600 x 150-450 cm; carries wall (64), column (9), wall+wall (1); grade beam crossing it 95%</t>
        </is>
      </c>
    </row>
    <row r="176">
      <c r="A176" s="5" t="inlineStr">
        <is>
          <t>127</t>
        </is>
      </c>
      <c r="B176" s="5" t="inlineStr">
        <is>
          <t>footing</t>
        </is>
      </c>
      <c r="C176" s="5" t="inlineStr">
        <is>
          <t>isolated_footing</t>
        </is>
      </c>
      <c r="D176" s="5" t="inlineStr">
        <is>
          <t>S2</t>
        </is>
      </c>
      <c r="E176" s="5">
        <f>COUNTIFS(Elements!$B$2:$B$862,$A176,Elements!$D$2:$D$862,$B176,Elements!$E$2:$E$862,$C176,Elements!$F$2:$F$862,$D176)</f>
        <v/>
      </c>
      <c r="F176" s="5">
        <f>IFERROR(_xlfn.MINIFS(Elements!$I$2:$I$862,Elements!$B$2:$B$862,$A176,Elements!$D$2:$D$862,$B176,Elements!$E$2:$E$862,$C176,Elements!$F$2:$F$862,$D176),"")</f>
        <v/>
      </c>
      <c r="G176" s="5">
        <f>IFERROR(_xlfn.MAXIFS(Elements!$I$2:$I$862,Elements!$B$2:$B$862,$A176,Elements!$D$2:$D$862,$B176,Elements!$E$2:$E$862,$C176,Elements!$F$2:$F$862,$D176),"")</f>
        <v/>
      </c>
      <c r="H176" s="5">
        <f>IFERROR(_xlfn.MINIFS(Elements!$J$2:$J$862,Elements!$B$2:$B$862,$A176,Elements!$D$2:$D$862,$B176,Elements!$E$2:$E$862,$C176,Elements!$F$2:$F$862,$D176),"")</f>
        <v/>
      </c>
      <c r="I176" s="5">
        <f>IFERROR(_xlfn.MAXIFS(Elements!$J$2:$J$862,Elements!$B$2:$B$862,$A176,Elements!$D$2:$D$862,$B176,Elements!$E$2:$E$862,$C176,Elements!$F$2:$F$862,$D176),"")</f>
        <v/>
      </c>
      <c r="J176" s="5">
        <f>IF(OR(F176="",H176=""),"",IF(OR(B176="raft",B176="sump_pit",B176="crane_foundation",D176="(none)"),"n/a",IF(OR(B176="column",B176="footing",B176="mass_concrete_pad",AND(B176="wall",C176="shear_wall",D176&lt;&gt;"(none)")),IF(AND(G176-F176&lt;=3,I176-H176&lt;=3),"yes","no"),IF(I176-H176&lt;=3,"yes (thickness)","no (thickness)"))))</f>
        <v/>
      </c>
      <c r="K176" s="6">
        <f>SUMIFS(Elements!$M$2:$M$862,Elements!$B$2:$B$862,$A176,Elements!$D$2:$D$862,$B176,Elements!$E$2:$E$862,$C176,Elements!$F$2:$F$862,$D176)</f>
        <v/>
      </c>
      <c r="L176" s="6">
        <f>SUMIFS(Elements!$L$2:$L$862,Elements!$B$2:$B$862,$A176,Elements!$D$2:$D$862,$B176,Elements!$E$2:$E$862,$C176,Elements!$F$2:$F$862,$D176)</f>
        <v/>
      </c>
      <c r="M176" s="2" t="inlineStr">
        <is>
          <t>closed outline; 150-600 x 150-450 cm; carries wall (64), column (9), wall+wall (1); grade beam crossing it 95%</t>
        </is>
      </c>
    </row>
    <row r="177">
      <c r="A177" s="5" t="inlineStr">
        <is>
          <t>127</t>
        </is>
      </c>
      <c r="B177" s="5" t="inlineStr">
        <is>
          <t>grade_beam</t>
        </is>
      </c>
      <c r="C177" s="5" t="inlineStr">
        <is>
          <t>grade_beam</t>
        </is>
      </c>
      <c r="D177" s="5" t="inlineStr">
        <is>
          <t>LG25x40</t>
        </is>
      </c>
      <c r="E177" s="5">
        <f>COUNTIFS(Elements!$B$2:$B$862,$A177,Elements!$D$2:$D$862,$B177,Elements!$E$2:$E$862,$C177,Elements!$F$2:$F$862,$D177)</f>
        <v/>
      </c>
      <c r="F177" s="5">
        <f>IFERROR(_xlfn.MINIFS(Elements!$I$2:$I$862,Elements!$B$2:$B$862,$A177,Elements!$D$2:$D$862,$B177,Elements!$E$2:$E$862,$C177,Elements!$F$2:$F$862,$D177),"")</f>
        <v/>
      </c>
      <c r="G177" s="5">
        <f>IFERROR(_xlfn.MAXIFS(Elements!$I$2:$I$862,Elements!$B$2:$B$862,$A177,Elements!$D$2:$D$862,$B177,Elements!$E$2:$E$862,$C177,Elements!$F$2:$F$862,$D177),"")</f>
        <v/>
      </c>
      <c r="H177" s="5">
        <f>IFERROR(_xlfn.MINIFS(Elements!$J$2:$J$862,Elements!$B$2:$B$862,$A177,Elements!$D$2:$D$862,$B177,Elements!$E$2:$E$862,$C177,Elements!$F$2:$F$862,$D177),"")</f>
        <v/>
      </c>
      <c r="I177" s="5">
        <f>IFERROR(_xlfn.MAXIFS(Elements!$J$2:$J$862,Elements!$B$2:$B$862,$A177,Elements!$D$2:$D$862,$B177,Elements!$E$2:$E$862,$C177,Elements!$F$2:$F$862,$D177),"")</f>
        <v/>
      </c>
      <c r="J177" s="5">
        <f>IF(OR(F177="",H177=""),"",IF(OR(B177="raft",B177="sump_pit",B177="crane_foundation",D177="(none)"),"n/a",IF(OR(B177="column",B177="footing",B177="mass_concrete_pad",AND(B177="wall",C177="shear_wall",D177&lt;&gt;"(none)")),IF(AND(G177-F177&lt;=3,I177-H177&lt;=3),"yes","no"),IF(I177-H177&lt;=3,"yes (thickness)","no (thickness)"))))</f>
        <v/>
      </c>
      <c r="K177" s="6">
        <f>SUMIFS(Elements!$M$2:$M$862,Elements!$B$2:$B$862,$A177,Elements!$D$2:$D$862,$B177,Elements!$E$2:$E$862,$C177,Elements!$F$2:$F$862,$D177)</f>
        <v/>
      </c>
      <c r="L177" s="6">
        <f>SUMIFS(Elements!$L$2:$L$862,Elements!$B$2:$B$862,$A177,Elements!$D$2:$D$862,$B177,Elements!$E$2:$E$862,$C177,Elements!$F$2:$F$862,$D177)</f>
        <v/>
      </c>
      <c r="M177" s="2" t="inlineStr">
        <is>
          <t>parallel line pair; 30-2249 x 25-40 cm; width stated in its label</t>
        </is>
      </c>
    </row>
    <row r="178">
      <c r="A178" s="5" t="inlineStr">
        <is>
          <t>127</t>
        </is>
      </c>
      <c r="B178" s="5" t="inlineStr">
        <is>
          <t>grade_beam</t>
        </is>
      </c>
      <c r="C178" s="5" t="inlineStr">
        <is>
          <t>grade_beam</t>
        </is>
      </c>
      <c r="D178" s="5" t="inlineStr">
        <is>
          <t>LG40x15</t>
        </is>
      </c>
      <c r="E178" s="5">
        <f>COUNTIFS(Elements!$B$2:$B$862,$A178,Elements!$D$2:$D$862,$B178,Elements!$E$2:$E$862,$C178,Elements!$F$2:$F$862,$D178)</f>
        <v/>
      </c>
      <c r="F178" s="5">
        <f>IFERROR(_xlfn.MINIFS(Elements!$I$2:$I$862,Elements!$B$2:$B$862,$A178,Elements!$D$2:$D$862,$B178,Elements!$E$2:$E$862,$C178,Elements!$F$2:$F$862,$D178),"")</f>
        <v/>
      </c>
      <c r="G178" s="5">
        <f>IFERROR(_xlfn.MAXIFS(Elements!$I$2:$I$862,Elements!$B$2:$B$862,$A178,Elements!$D$2:$D$862,$B178,Elements!$E$2:$E$862,$C178,Elements!$F$2:$F$862,$D178),"")</f>
        <v/>
      </c>
      <c r="H178" s="5">
        <f>IFERROR(_xlfn.MINIFS(Elements!$J$2:$J$862,Elements!$B$2:$B$862,$A178,Elements!$D$2:$D$862,$B178,Elements!$E$2:$E$862,$C178,Elements!$F$2:$F$862,$D178),"")</f>
        <v/>
      </c>
      <c r="I178" s="5">
        <f>IFERROR(_xlfn.MAXIFS(Elements!$J$2:$J$862,Elements!$B$2:$B$862,$A178,Elements!$D$2:$D$862,$B178,Elements!$E$2:$E$862,$C178,Elements!$F$2:$F$862,$D178),"")</f>
        <v/>
      </c>
      <c r="J178" s="5">
        <f>IF(OR(F178="",H178=""),"",IF(OR(B178="raft",B178="sump_pit",B178="crane_foundation",D178="(none)"),"n/a",IF(OR(B178="column",B178="footing",B178="mass_concrete_pad",AND(B178="wall",C178="shear_wall",D178&lt;&gt;"(none)")),IF(AND(G178-F178&lt;=3,I178-H178&lt;=3),"yes","no"),IF(I178-H178&lt;=3,"yes (thickness)","no (thickness)"))))</f>
        <v/>
      </c>
      <c r="K178" s="6">
        <f>SUMIFS(Elements!$M$2:$M$862,Elements!$B$2:$B$862,$A178,Elements!$D$2:$D$862,$B178,Elements!$E$2:$E$862,$C178,Elements!$F$2:$F$862,$D178)</f>
        <v/>
      </c>
      <c r="L178" s="6">
        <f>SUMIFS(Elements!$L$2:$L$862,Elements!$B$2:$B$862,$A178,Elements!$D$2:$D$862,$B178,Elements!$E$2:$E$862,$C178,Elements!$F$2:$F$862,$D178)</f>
        <v/>
      </c>
      <c r="M178" s="2" t="inlineStr">
        <is>
          <t>parallel line pair; 30-2249 x 25-40 cm; width stated in its label</t>
        </is>
      </c>
    </row>
    <row r="179">
      <c r="A179" s="5" t="inlineStr">
        <is>
          <t>127</t>
        </is>
      </c>
      <c r="B179" s="5" t="inlineStr">
        <is>
          <t>mass_concrete_pad</t>
        </is>
      </c>
      <c r="C179" s="5" t="inlineStr">
        <is>
          <t>mass_concrete_pad</t>
        </is>
      </c>
      <c r="D179" s="5" t="inlineStr">
        <is>
          <t>(none)</t>
        </is>
      </c>
      <c r="E179" s="5">
        <f>COUNTIFS(Elements!$B$2:$B$862,$A179,Elements!$D$2:$D$862,$B179,Elements!$E$2:$E$862,$C179,Elements!$F$2:$F$862,$D179)</f>
        <v/>
      </c>
      <c r="F179" s="5">
        <f>IFERROR(_xlfn.MINIFS(Elements!$I$2:$I$862,Elements!$B$2:$B$862,$A179,Elements!$D$2:$D$862,$B179,Elements!$E$2:$E$862,$C179,Elements!$F$2:$F$862,$D179),"")</f>
        <v/>
      </c>
      <c r="G179" s="5">
        <f>IFERROR(_xlfn.MAXIFS(Elements!$I$2:$I$862,Elements!$B$2:$B$862,$A179,Elements!$D$2:$D$862,$B179,Elements!$E$2:$E$862,$C179,Elements!$F$2:$F$862,$D179),"")</f>
        <v/>
      </c>
      <c r="H179" s="5">
        <f>IFERROR(_xlfn.MINIFS(Elements!$J$2:$J$862,Elements!$B$2:$B$862,$A179,Elements!$D$2:$D$862,$B179,Elements!$E$2:$E$862,$C179,Elements!$F$2:$F$862,$D179),"")</f>
        <v/>
      </c>
      <c r="I179" s="5">
        <f>IFERROR(_xlfn.MAXIFS(Elements!$J$2:$J$862,Elements!$B$2:$B$862,$A179,Elements!$D$2:$D$862,$B179,Elements!$E$2:$E$862,$C179,Elements!$F$2:$F$862,$D179),"")</f>
        <v/>
      </c>
      <c r="J179" s="5">
        <f>IF(OR(F179="",H179=""),"",IF(OR(B179="raft",B179="sump_pit",B179="crane_foundation",D179="(none)"),"n/a",IF(OR(B179="column",B179="footing",B179="mass_concrete_pad",AND(B179="wall",C179="shear_wall",D179&lt;&gt;"(none)")),IF(AND(G179-F179&lt;=3,I179-H179&lt;=3),"yes","no"),IF(I179-H179&lt;=3,"yes (thickness)","no (thickness)"))))</f>
        <v/>
      </c>
      <c r="K179" s="6">
        <f>SUMIFS(Elements!$M$2:$M$862,Elements!$B$2:$B$862,$A179,Elements!$D$2:$D$862,$B179,Elements!$E$2:$E$862,$C179,Elements!$F$2:$F$862,$D179)</f>
        <v/>
      </c>
      <c r="L179" s="6">
        <f>SUMIFS(Elements!$L$2:$L$862,Elements!$B$2:$B$862,$A179,Elements!$D$2:$D$862,$B179,Elements!$E$2:$E$862,$C179,Elements!$F$2:$F$862,$D179)</f>
        <v/>
      </c>
      <c r="M179" s="2" t="inlineStr">
        <is>
          <t>closed outline + stipple; 60-60 x 60-60 cm; 47-91 stipple dots inside; on a grade beam 100%; at a grade-beam junction 62%</t>
        </is>
      </c>
    </row>
    <row r="180">
      <c r="A180" s="5" t="inlineStr">
        <is>
          <t>127</t>
        </is>
      </c>
      <c r="B180" s="5" t="inlineStr">
        <is>
          <t>raft</t>
        </is>
      </c>
      <c r="C180" s="5" t="inlineStr">
        <is>
          <t>raft</t>
        </is>
      </c>
      <c r="D180" s="5" t="inlineStr">
        <is>
          <t>Radier 100</t>
        </is>
      </c>
      <c r="E180" s="5">
        <f>COUNTIFS(Elements!$B$2:$B$862,$A180,Elements!$D$2:$D$862,$B180,Elements!$E$2:$E$862,$C180,Elements!$F$2:$F$862,$D180)</f>
        <v/>
      </c>
      <c r="F180" s="5">
        <f>IFERROR(_xlfn.MINIFS(Elements!$I$2:$I$862,Elements!$B$2:$B$862,$A180,Elements!$D$2:$D$862,$B180,Elements!$E$2:$E$862,$C180,Elements!$F$2:$F$862,$D180),"")</f>
        <v/>
      </c>
      <c r="G180" s="5">
        <f>IFERROR(_xlfn.MAXIFS(Elements!$I$2:$I$862,Elements!$B$2:$B$862,$A180,Elements!$D$2:$D$862,$B180,Elements!$E$2:$E$862,$C180,Elements!$F$2:$F$862,$D180),"")</f>
        <v/>
      </c>
      <c r="H180" s="5">
        <f>IFERROR(_xlfn.MINIFS(Elements!$J$2:$J$862,Elements!$B$2:$B$862,$A180,Elements!$D$2:$D$862,$B180,Elements!$E$2:$E$862,$C180,Elements!$F$2:$F$862,$D180),"")</f>
        <v/>
      </c>
      <c r="I180" s="5">
        <f>IFERROR(_xlfn.MAXIFS(Elements!$J$2:$J$862,Elements!$B$2:$B$862,$A180,Elements!$D$2:$D$862,$B180,Elements!$E$2:$E$862,$C180,Elements!$F$2:$F$862,$D180),"")</f>
        <v/>
      </c>
      <c r="J180" s="5">
        <f>IF(OR(F180="",H180=""),"",IF(OR(B180="raft",B180="sump_pit",B180="crane_foundation",D180="(none)"),"n/a",IF(OR(B180="column",B180="footing",B180="mass_concrete_pad",AND(B180="wall",C180="shear_wall",D180&lt;&gt;"(none)")),IF(AND(G180-F180&lt;=3,I180-H180&lt;=3),"yes","no"),IF(I180-H180&lt;=3,"yes (thickness)","no (thickness)"))))</f>
        <v/>
      </c>
      <c r="K180" s="6">
        <f>SUMIFS(Elements!$M$2:$M$862,Elements!$B$2:$B$862,$A180,Elements!$D$2:$D$862,$B180,Elements!$E$2:$E$862,$C180,Elements!$F$2:$F$862,$D180)</f>
        <v/>
      </c>
      <c r="L180" s="6">
        <f>SUMIFS(Elements!$L$2:$L$862,Elements!$B$2:$B$862,$A180,Elements!$D$2:$D$862,$B180,Elements!$E$2:$E$862,$C180,Elements!$F$2:$F$862,$D180)</f>
        <v/>
      </c>
      <c r="M180" s="2" t="inlineStr">
        <is>
          <t>stamp + corner diagonals; 693-1971 x 450-1020 cm; circle stamp 'Radier' + thickness; diagonals from its corners to the stamp</t>
        </is>
      </c>
    </row>
    <row r="181">
      <c r="A181" s="5" t="inlineStr">
        <is>
          <t>127</t>
        </is>
      </c>
      <c r="B181" s="5" t="inlineStr">
        <is>
          <t>strip_footing</t>
        </is>
      </c>
      <c r="C181" s="5" t="inlineStr">
        <is>
          <t>strip_footing</t>
        </is>
      </c>
      <c r="D181" s="5" t="inlineStr">
        <is>
          <t>SF1</t>
        </is>
      </c>
      <c r="E181" s="5">
        <f>COUNTIFS(Elements!$B$2:$B$862,$A181,Elements!$D$2:$D$862,$B181,Elements!$E$2:$E$862,$C181,Elements!$F$2:$F$862,$D181)</f>
        <v/>
      </c>
      <c r="F181" s="5">
        <f>IFERROR(_xlfn.MINIFS(Elements!$I$2:$I$862,Elements!$B$2:$B$862,$A181,Elements!$D$2:$D$862,$B181,Elements!$E$2:$E$862,$C181,Elements!$F$2:$F$862,$D181),"")</f>
        <v/>
      </c>
      <c r="G181" s="5">
        <f>IFERROR(_xlfn.MAXIFS(Elements!$I$2:$I$862,Elements!$B$2:$B$862,$A181,Elements!$D$2:$D$862,$B181,Elements!$E$2:$E$862,$C181,Elements!$F$2:$F$862,$D181),"")</f>
        <v/>
      </c>
      <c r="H181" s="5">
        <f>IFERROR(_xlfn.MINIFS(Elements!$J$2:$J$862,Elements!$B$2:$B$862,$A181,Elements!$D$2:$D$862,$B181,Elements!$E$2:$E$862,$C181,Elements!$F$2:$F$862,$D181),"")</f>
        <v/>
      </c>
      <c r="I181" s="5">
        <f>IFERROR(_xlfn.MAXIFS(Elements!$J$2:$J$862,Elements!$B$2:$B$862,$A181,Elements!$D$2:$D$862,$B181,Elements!$E$2:$E$862,$C181,Elements!$F$2:$F$862,$D181),"")</f>
        <v/>
      </c>
      <c r="J181" s="5">
        <f>IF(OR(F181="",H181=""),"",IF(OR(B181="raft",B181="sump_pit",B181="crane_foundation",D181="(none)"),"n/a",IF(OR(B181="column",B181="footing",B181="mass_concrete_pad",AND(B181="wall",C181="shear_wall",D181&lt;&gt;"(none)")),IF(AND(G181-F181&lt;=3,I181-H181&lt;=3),"yes","no"),IF(I181-H181&lt;=3,"yes (thickness)","no (thickness)"))))</f>
        <v/>
      </c>
      <c r="K181" s="6">
        <f>SUMIFS(Elements!$M$2:$M$862,Elements!$B$2:$B$862,$A181,Elements!$D$2:$D$862,$B181,Elements!$E$2:$E$862,$C181,Elements!$F$2:$F$862,$D181)</f>
        <v/>
      </c>
      <c r="L181" s="6">
        <f>SUMIFS(Elements!$L$2:$L$862,Elements!$B$2:$B$862,$A181,Elements!$D$2:$D$862,$B181,Elements!$E$2:$E$862,$C181,Elements!$F$2:$F$862,$D181)</f>
        <v/>
      </c>
      <c r="M181" s="2" t="inlineStr">
        <is>
          <t>parallel line pair; 75-5798 x 80-120 cm; width stated in its label</t>
        </is>
      </c>
    </row>
    <row r="182">
      <c r="A182" s="5" t="inlineStr">
        <is>
          <t>127</t>
        </is>
      </c>
      <c r="B182" s="5" t="inlineStr">
        <is>
          <t>strip_footing</t>
        </is>
      </c>
      <c r="C182" s="5" t="inlineStr">
        <is>
          <t>strip_footing</t>
        </is>
      </c>
      <c r="D182" s="5" t="inlineStr">
        <is>
          <t>SF4</t>
        </is>
      </c>
      <c r="E182" s="5">
        <f>COUNTIFS(Elements!$B$2:$B$862,$A182,Elements!$D$2:$D$862,$B182,Elements!$E$2:$E$862,$C182,Elements!$F$2:$F$862,$D182)</f>
        <v/>
      </c>
      <c r="F182" s="5">
        <f>IFERROR(_xlfn.MINIFS(Elements!$I$2:$I$862,Elements!$B$2:$B$862,$A182,Elements!$D$2:$D$862,$B182,Elements!$E$2:$E$862,$C182,Elements!$F$2:$F$862,$D182),"")</f>
        <v/>
      </c>
      <c r="G182" s="5">
        <f>IFERROR(_xlfn.MAXIFS(Elements!$I$2:$I$862,Elements!$B$2:$B$862,$A182,Elements!$D$2:$D$862,$B182,Elements!$E$2:$E$862,$C182,Elements!$F$2:$F$862,$D182),"")</f>
        <v/>
      </c>
      <c r="H182" s="5">
        <f>IFERROR(_xlfn.MINIFS(Elements!$J$2:$J$862,Elements!$B$2:$B$862,$A182,Elements!$D$2:$D$862,$B182,Elements!$E$2:$E$862,$C182,Elements!$F$2:$F$862,$D182),"")</f>
        <v/>
      </c>
      <c r="I182" s="5">
        <f>IFERROR(_xlfn.MAXIFS(Elements!$J$2:$J$862,Elements!$B$2:$B$862,$A182,Elements!$D$2:$D$862,$B182,Elements!$E$2:$E$862,$C182,Elements!$F$2:$F$862,$D182),"")</f>
        <v/>
      </c>
      <c r="J182" s="5">
        <f>IF(OR(F182="",H182=""),"",IF(OR(B182="raft",B182="sump_pit",B182="crane_foundation",D182="(none)"),"n/a",IF(OR(B182="column",B182="footing",B182="mass_concrete_pad",AND(B182="wall",C182="shear_wall",D182&lt;&gt;"(none)")),IF(AND(G182-F182&lt;=3,I182-H182&lt;=3),"yes","no"),IF(I182-H182&lt;=3,"yes (thickness)","no (thickness)"))))</f>
        <v/>
      </c>
      <c r="K182" s="6">
        <f>SUMIFS(Elements!$M$2:$M$862,Elements!$B$2:$B$862,$A182,Elements!$D$2:$D$862,$B182,Elements!$E$2:$E$862,$C182,Elements!$F$2:$F$862,$D182)</f>
        <v/>
      </c>
      <c r="L182" s="6">
        <f>SUMIFS(Elements!$L$2:$L$862,Elements!$B$2:$B$862,$A182,Elements!$D$2:$D$862,$B182,Elements!$E$2:$E$862,$C182,Elements!$F$2:$F$862,$D182)</f>
        <v/>
      </c>
      <c r="M182" s="2" t="inlineStr">
        <is>
          <t>parallel line pair; 75-5798 x 80-120 cm; width stated in its label</t>
        </is>
      </c>
    </row>
    <row r="183">
      <c r="A183" s="5" t="inlineStr">
        <is>
          <t>127</t>
        </is>
      </c>
      <c r="B183" s="5" t="inlineStr">
        <is>
          <t>wall</t>
        </is>
      </c>
      <c r="C183" s="5" t="inlineStr">
        <is>
          <t>core_wall_hatched</t>
        </is>
      </c>
      <c r="D183" s="5" t="inlineStr">
        <is>
          <t>(none)</t>
        </is>
      </c>
      <c r="E183" s="5">
        <f>COUNTIFS(Elements!$B$2:$B$862,$A183,Elements!$D$2:$D$862,$B183,Elements!$E$2:$E$862,$C183,Elements!$F$2:$F$862,$D183)</f>
        <v/>
      </c>
      <c r="F183" s="5">
        <f>IFERROR(_xlfn.MINIFS(Elements!$I$2:$I$862,Elements!$B$2:$B$862,$A183,Elements!$D$2:$D$862,$B183,Elements!$E$2:$E$862,$C183,Elements!$F$2:$F$862,$D183),"")</f>
        <v/>
      </c>
      <c r="G183" s="5">
        <f>IFERROR(_xlfn.MAXIFS(Elements!$I$2:$I$862,Elements!$B$2:$B$862,$A183,Elements!$D$2:$D$862,$B183,Elements!$E$2:$E$862,$C183,Elements!$F$2:$F$862,$D183),"")</f>
        <v/>
      </c>
      <c r="H183" s="5">
        <f>IFERROR(_xlfn.MINIFS(Elements!$J$2:$J$862,Elements!$B$2:$B$862,$A183,Elements!$D$2:$D$862,$B183,Elements!$E$2:$E$862,$C183,Elements!$F$2:$F$862,$D183),"")</f>
        <v/>
      </c>
      <c r="I183" s="5">
        <f>IFERROR(_xlfn.MAXIFS(Elements!$J$2:$J$862,Elements!$B$2:$B$862,$A183,Elements!$D$2:$D$862,$B183,Elements!$E$2:$E$862,$C183,Elements!$F$2:$F$862,$D183),"")</f>
        <v/>
      </c>
      <c r="J183" s="5">
        <f>IF(OR(F183="",H183=""),"",IF(OR(B183="raft",B183="sump_pit",B183="crane_foundation",D183="(none)"),"n/a",IF(OR(B183="column",B183="footing",B183="mass_concrete_pad",AND(B183="wall",C183="shear_wall",D183&lt;&gt;"(none)")),IF(AND(G183-F183&lt;=3,I183-H183&lt;=3),"yes","no"),IF(I183-H183&lt;=3,"yes (thickness)","no (thickness)"))))</f>
        <v/>
      </c>
      <c r="K183" s="6">
        <f>SUMIFS(Elements!$M$2:$M$862,Elements!$B$2:$B$862,$A183,Elements!$D$2:$D$862,$B183,Elements!$E$2:$E$862,$C183,Elements!$F$2:$F$862,$D183)</f>
        <v/>
      </c>
      <c r="L183" s="6">
        <f>SUMIFS(Elements!$L$2:$L$862,Elements!$B$2:$B$862,$A183,Elements!$D$2:$D$862,$B183,Elements!$E$2:$E$862,$C183,Elements!$F$2:$F$862,$D183)</f>
        <v/>
      </c>
      <c r="M183" s="2" t="inlineStr">
        <is>
          <t>cross-hatch; 94-1044 x 20-25 cm; L/W 4.70-52.20; hatch strokes [0.24, 0.25, 0.28] m at +/-45 deg; thickness = local spread of stroke ends; on a raft 100%; no V label</t>
        </is>
      </c>
    </row>
    <row r="184">
      <c r="A184" s="5" t="inlineStr">
        <is>
          <t>127</t>
        </is>
      </c>
      <c r="B184" s="5" t="inlineStr">
        <is>
          <t>wall</t>
        </is>
      </c>
      <c r="C184" s="5" t="inlineStr">
        <is>
          <t>core_wall_solid</t>
        </is>
      </c>
      <c r="D184" s="5" t="inlineStr">
        <is>
          <t>(none)</t>
        </is>
      </c>
      <c r="E184" s="5">
        <f>COUNTIFS(Elements!$B$2:$B$862,$A184,Elements!$D$2:$D$862,$B184,Elements!$E$2:$E$862,$C184,Elements!$F$2:$F$862,$D184)</f>
        <v/>
      </c>
      <c r="F184" s="5">
        <f>IFERROR(_xlfn.MINIFS(Elements!$I$2:$I$862,Elements!$B$2:$B$862,$A184,Elements!$D$2:$D$862,$B184,Elements!$E$2:$E$862,$C184,Elements!$F$2:$F$862,$D184),"")</f>
        <v/>
      </c>
      <c r="G184" s="5">
        <f>IFERROR(_xlfn.MAXIFS(Elements!$I$2:$I$862,Elements!$B$2:$B$862,$A184,Elements!$D$2:$D$862,$B184,Elements!$E$2:$E$862,$C184,Elements!$F$2:$F$862,$D184),"")</f>
        <v/>
      </c>
      <c r="H184" s="5">
        <f>IFERROR(_xlfn.MINIFS(Elements!$J$2:$J$862,Elements!$B$2:$B$862,$A184,Elements!$D$2:$D$862,$B184,Elements!$E$2:$E$862,$C184,Elements!$F$2:$F$862,$D184),"")</f>
        <v/>
      </c>
      <c r="I184" s="5">
        <f>IFERROR(_xlfn.MAXIFS(Elements!$J$2:$J$862,Elements!$B$2:$B$862,$A184,Elements!$D$2:$D$862,$B184,Elements!$E$2:$E$862,$C184,Elements!$F$2:$F$862,$D184),"")</f>
        <v/>
      </c>
      <c r="J184" s="5">
        <f>IF(OR(F184="",H184=""),"",IF(OR(B184="raft",B184="sump_pit",B184="crane_foundation",D184="(none)"),"n/a",IF(OR(B184="column",B184="footing",B184="mass_concrete_pad",AND(B184="wall",C184="shear_wall",D184&lt;&gt;"(none)")),IF(AND(G184-F184&lt;=3,I184-H184&lt;=3),"yes","no"),IF(I184-H184&lt;=3,"yes (thickness)","no (thickness)"))))</f>
        <v/>
      </c>
      <c r="K184" s="6">
        <f>SUMIFS(Elements!$M$2:$M$862,Elements!$B$2:$B$862,$A184,Elements!$D$2:$D$862,$B184,Elements!$E$2:$E$862,$C184,Elements!$F$2:$F$862,$D184)</f>
        <v/>
      </c>
      <c r="L184" s="6">
        <f>SUMIFS(Elements!$L$2:$L$862,Elements!$B$2:$B$862,$A184,Elements!$D$2:$D$862,$B184,Elements!$E$2:$E$862,$C184,Elements!$F$2:$F$862,$D184)</f>
        <v/>
      </c>
      <c r="M184" s="2" t="inlineStr">
        <is>
          <t>solid fill; 39-816 x 20-30 cm; L/W 1.81-36.95; inside a footing outline 0%; on a raft 100%; touching a hatched core wall 24%; in a strip-footing band 0%; at a grade-beam junction 0%</t>
        </is>
      </c>
    </row>
    <row r="185">
      <c r="A185" s="5" t="inlineStr">
        <is>
          <t>127</t>
        </is>
      </c>
      <c r="B185" s="5" t="inlineStr">
        <is>
          <t>wall</t>
        </is>
      </c>
      <c r="C185" s="5" t="inlineStr">
        <is>
          <t>retaining_wall</t>
        </is>
      </c>
      <c r="D185" s="5" t="inlineStr">
        <is>
          <t>VP20</t>
        </is>
      </c>
      <c r="E185" s="5">
        <f>COUNTIFS(Elements!$B$2:$B$862,$A185,Elements!$D$2:$D$862,$B185,Elements!$E$2:$E$862,$C185,Elements!$F$2:$F$862,$D185)</f>
        <v/>
      </c>
      <c r="F185" s="5">
        <f>IFERROR(_xlfn.MINIFS(Elements!$I$2:$I$862,Elements!$B$2:$B$862,$A185,Elements!$D$2:$D$862,$B185,Elements!$E$2:$E$862,$C185,Elements!$F$2:$F$862,$D185),"")</f>
        <v/>
      </c>
      <c r="G185" s="5">
        <f>IFERROR(_xlfn.MAXIFS(Elements!$I$2:$I$862,Elements!$B$2:$B$862,$A185,Elements!$D$2:$D$862,$B185,Elements!$E$2:$E$862,$C185,Elements!$F$2:$F$862,$D185),"")</f>
        <v/>
      </c>
      <c r="H185" s="5">
        <f>IFERROR(_xlfn.MINIFS(Elements!$J$2:$J$862,Elements!$B$2:$B$862,$A185,Elements!$D$2:$D$862,$B185,Elements!$E$2:$E$862,$C185,Elements!$F$2:$F$862,$D185),"")</f>
        <v/>
      </c>
      <c r="I185" s="5">
        <f>IFERROR(_xlfn.MAXIFS(Elements!$J$2:$J$862,Elements!$B$2:$B$862,$A185,Elements!$D$2:$D$862,$B185,Elements!$E$2:$E$862,$C185,Elements!$F$2:$F$862,$D185),"")</f>
        <v/>
      </c>
      <c r="J185" s="5">
        <f>IF(OR(F185="",H185=""),"",IF(OR(B185="raft",B185="sump_pit",B185="crane_foundation",D185="(none)"),"n/a",IF(OR(B185="column",B185="footing",B185="mass_concrete_pad",AND(B185="wall",C185="shear_wall",D185&lt;&gt;"(none)")),IF(AND(G185-F185&lt;=3,I185-H185&lt;=3),"yes","no"),IF(I185-H185&lt;=3,"yes (thickness)","no (thickness)"))))</f>
        <v/>
      </c>
      <c r="K185" s="6">
        <f>SUMIFS(Elements!$M$2:$M$862,Elements!$B$2:$B$862,$A185,Elements!$D$2:$D$862,$B185,Elements!$E$2:$E$862,$C185,Elements!$F$2:$F$862,$D185)</f>
        <v/>
      </c>
      <c r="L185" s="6">
        <f>SUMIFS(Elements!$L$2:$L$862,Elements!$B$2:$B$862,$A185,Elements!$D$2:$D$862,$B185,Elements!$E$2:$E$862,$C185,Elements!$F$2:$F$862,$D185)</f>
        <v/>
      </c>
      <c r="M185" s="2" t="inlineStr">
        <is>
          <t>solid fill; 34-2869 x 20-30 cm; L/W 1.70-143.45; inside a footing outline 5%; on a raft 29%; touching a hatched core wall 12%; in a strip-footing band 69%; at a grade-beam junction 20%</t>
        </is>
      </c>
    </row>
    <row r="186">
      <c r="A186" s="5" t="inlineStr">
        <is>
          <t>127</t>
        </is>
      </c>
      <c r="B186" s="5" t="inlineStr">
        <is>
          <t>wall</t>
        </is>
      </c>
      <c r="C186" s="5" t="inlineStr">
        <is>
          <t>retaining_wall</t>
        </is>
      </c>
      <c r="D186" s="5" t="inlineStr">
        <is>
          <t>VP25</t>
        </is>
      </c>
      <c r="E186" s="5">
        <f>COUNTIFS(Elements!$B$2:$B$862,$A186,Elements!$D$2:$D$862,$B186,Elements!$E$2:$E$862,$C186,Elements!$F$2:$F$862,$D186)</f>
        <v/>
      </c>
      <c r="F186" s="5">
        <f>IFERROR(_xlfn.MINIFS(Elements!$I$2:$I$862,Elements!$B$2:$B$862,$A186,Elements!$D$2:$D$862,$B186,Elements!$E$2:$E$862,$C186,Elements!$F$2:$F$862,$D186),"")</f>
        <v/>
      </c>
      <c r="G186" s="5">
        <f>IFERROR(_xlfn.MAXIFS(Elements!$I$2:$I$862,Elements!$B$2:$B$862,$A186,Elements!$D$2:$D$862,$B186,Elements!$E$2:$E$862,$C186,Elements!$F$2:$F$862,$D186),"")</f>
        <v/>
      </c>
      <c r="H186" s="5">
        <f>IFERROR(_xlfn.MINIFS(Elements!$J$2:$J$862,Elements!$B$2:$B$862,$A186,Elements!$D$2:$D$862,$B186,Elements!$E$2:$E$862,$C186,Elements!$F$2:$F$862,$D186),"")</f>
        <v/>
      </c>
      <c r="I186" s="5">
        <f>IFERROR(_xlfn.MAXIFS(Elements!$J$2:$J$862,Elements!$B$2:$B$862,$A186,Elements!$D$2:$D$862,$B186,Elements!$E$2:$E$862,$C186,Elements!$F$2:$F$862,$D186),"")</f>
        <v/>
      </c>
      <c r="J186" s="5">
        <f>IF(OR(F186="",H186=""),"",IF(OR(B186="raft",B186="sump_pit",B186="crane_foundation",D186="(none)"),"n/a",IF(OR(B186="column",B186="footing",B186="mass_concrete_pad",AND(B186="wall",C186="shear_wall",D186&lt;&gt;"(none)")),IF(AND(G186-F186&lt;=3,I186-H186&lt;=3),"yes","no"),IF(I186-H186&lt;=3,"yes (thickness)","no (thickness)"))))</f>
        <v/>
      </c>
      <c r="K186" s="6">
        <f>SUMIFS(Elements!$M$2:$M$862,Elements!$B$2:$B$862,$A186,Elements!$D$2:$D$862,$B186,Elements!$E$2:$E$862,$C186,Elements!$F$2:$F$862,$D186)</f>
        <v/>
      </c>
      <c r="L186" s="6">
        <f>SUMIFS(Elements!$L$2:$L$862,Elements!$B$2:$B$862,$A186,Elements!$D$2:$D$862,$B186,Elements!$E$2:$E$862,$C186,Elements!$F$2:$F$862,$D186)</f>
        <v/>
      </c>
      <c r="M186" s="2" t="inlineStr">
        <is>
          <t>solid fill; 34-2869 x 20-30 cm; L/W 1.70-143.45; inside a footing outline 5%; on a raft 29%; touching a hatched core wall 12%; in a strip-footing band 69%; at a grade-beam junction 20%</t>
        </is>
      </c>
    </row>
    <row r="187">
      <c r="A187" s="5" t="inlineStr">
        <is>
          <t>127</t>
        </is>
      </c>
      <c r="B187" s="5" t="inlineStr">
        <is>
          <t>wall</t>
        </is>
      </c>
      <c r="C187" s="5" t="inlineStr">
        <is>
          <t>shear_wall</t>
        </is>
      </c>
      <c r="D187" s="5" t="inlineStr">
        <is>
          <t>V3/127</t>
        </is>
      </c>
      <c r="E187" s="5">
        <f>COUNTIFS(Elements!$B$2:$B$862,$A187,Elements!$D$2:$D$862,$B187,Elements!$E$2:$E$862,$C187,Elements!$F$2:$F$862,$D187)</f>
        <v/>
      </c>
      <c r="F187" s="5">
        <f>IFERROR(_xlfn.MINIFS(Elements!$I$2:$I$862,Elements!$B$2:$B$862,$A187,Elements!$D$2:$D$862,$B187,Elements!$E$2:$E$862,$C187,Elements!$F$2:$F$862,$D187),"")</f>
        <v/>
      </c>
      <c r="G187" s="5">
        <f>IFERROR(_xlfn.MAXIFS(Elements!$I$2:$I$862,Elements!$B$2:$B$862,$A187,Elements!$D$2:$D$862,$B187,Elements!$E$2:$E$862,$C187,Elements!$F$2:$F$862,$D187),"")</f>
        <v/>
      </c>
      <c r="H187" s="5">
        <f>IFERROR(_xlfn.MINIFS(Elements!$J$2:$J$862,Elements!$B$2:$B$862,$A187,Elements!$D$2:$D$862,$B187,Elements!$E$2:$E$862,$C187,Elements!$F$2:$F$862,$D187),"")</f>
        <v/>
      </c>
      <c r="I187" s="5">
        <f>IFERROR(_xlfn.MAXIFS(Elements!$J$2:$J$862,Elements!$B$2:$B$862,$A187,Elements!$D$2:$D$862,$B187,Elements!$E$2:$E$862,$C187,Elements!$F$2:$F$862,$D187),"")</f>
        <v/>
      </c>
      <c r="J187" s="5">
        <f>IF(OR(F187="",H187=""),"",IF(OR(B187="raft",B187="sump_pit",B187="crane_foundation",D187="(none)"),"n/a",IF(OR(B187="column",B187="footing",B187="mass_concrete_pad",AND(B187="wall",C187="shear_wall",D187&lt;&gt;"(none)")),IF(AND(G187-F187&lt;=3,I187-H187&lt;=3),"yes","no"),IF(I187-H187&lt;=3,"yes (thickness)","no (thickness)"))))</f>
        <v/>
      </c>
      <c r="K187" s="6">
        <f>SUMIFS(Elements!$M$2:$M$862,Elements!$B$2:$B$862,$A187,Elements!$D$2:$D$862,$B187,Elements!$E$2:$E$862,$C187,Elements!$F$2:$F$862,$D187)</f>
        <v/>
      </c>
      <c r="L187" s="6">
        <f>SUMIFS(Elements!$L$2:$L$862,Elements!$B$2:$B$862,$A187,Elements!$D$2:$D$862,$B187,Elements!$E$2:$E$862,$C187,Elements!$F$2:$F$862,$D187)</f>
        <v/>
      </c>
      <c r="M187" s="2" t="inlineStr">
        <is>
          <t>solid fill; 87-1849 x 20-30 cm; L/W 4.17-92.45; inside a footing outline 72%; on a raft 10%; touching a hatched core wall 1%; in a strip-footing band 5%; at a grade-beam junction 51%</t>
        </is>
      </c>
    </row>
    <row r="188">
      <c r="A188" s="5" t="inlineStr">
        <is>
          <t>127</t>
        </is>
      </c>
      <c r="B188" s="5" t="inlineStr">
        <is>
          <t>wall</t>
        </is>
      </c>
      <c r="C188" s="5" t="inlineStr">
        <is>
          <t>shear_wall</t>
        </is>
      </c>
      <c r="D188" s="5" t="inlineStr">
        <is>
          <t>V4/127</t>
        </is>
      </c>
      <c r="E188" s="5">
        <f>COUNTIFS(Elements!$B$2:$B$862,$A188,Elements!$D$2:$D$862,$B188,Elements!$E$2:$E$862,$C188,Elements!$F$2:$F$862,$D188)</f>
        <v/>
      </c>
      <c r="F188" s="5">
        <f>IFERROR(_xlfn.MINIFS(Elements!$I$2:$I$862,Elements!$B$2:$B$862,$A188,Elements!$D$2:$D$862,$B188,Elements!$E$2:$E$862,$C188,Elements!$F$2:$F$862,$D188),"")</f>
        <v/>
      </c>
      <c r="G188" s="5">
        <f>IFERROR(_xlfn.MAXIFS(Elements!$I$2:$I$862,Elements!$B$2:$B$862,$A188,Elements!$D$2:$D$862,$B188,Elements!$E$2:$E$862,$C188,Elements!$F$2:$F$862,$D188),"")</f>
        <v/>
      </c>
      <c r="H188" s="5">
        <f>IFERROR(_xlfn.MINIFS(Elements!$J$2:$J$862,Elements!$B$2:$B$862,$A188,Elements!$D$2:$D$862,$B188,Elements!$E$2:$E$862,$C188,Elements!$F$2:$F$862,$D188),"")</f>
        <v/>
      </c>
      <c r="I188" s="5">
        <f>IFERROR(_xlfn.MAXIFS(Elements!$J$2:$J$862,Elements!$B$2:$B$862,$A188,Elements!$D$2:$D$862,$B188,Elements!$E$2:$E$862,$C188,Elements!$F$2:$F$862,$D188),"")</f>
        <v/>
      </c>
      <c r="J188" s="5">
        <f>IF(OR(F188="",H188=""),"",IF(OR(B188="raft",B188="sump_pit",B188="crane_foundation",D188="(none)"),"n/a",IF(OR(B188="column",B188="footing",B188="mass_concrete_pad",AND(B188="wall",C188="shear_wall",D188&lt;&gt;"(none)")),IF(AND(G188-F188&lt;=3,I188-H188&lt;=3),"yes","no"),IF(I188-H188&lt;=3,"yes (thickness)","no (thickness)"))))</f>
        <v/>
      </c>
      <c r="K188" s="6">
        <f>SUMIFS(Elements!$M$2:$M$862,Elements!$B$2:$B$862,$A188,Elements!$D$2:$D$862,$B188,Elements!$E$2:$E$862,$C188,Elements!$F$2:$F$862,$D188)</f>
        <v/>
      </c>
      <c r="L188" s="6">
        <f>SUMIFS(Elements!$L$2:$L$862,Elements!$B$2:$B$862,$A188,Elements!$D$2:$D$862,$B188,Elements!$E$2:$E$862,$C188,Elements!$F$2:$F$862,$D188)</f>
        <v/>
      </c>
      <c r="M188" s="2" t="inlineStr">
        <is>
          <t>solid fill; 87-1849 x 20-30 cm; L/W 4.17-92.45; inside a footing outline 72%; on a raft 10%; touching a hatched core wall 1%; in a strip-footing band 5%; at a grade-beam junction 51%</t>
        </is>
      </c>
    </row>
    <row r="189">
      <c r="A189" s="5" t="inlineStr">
        <is>
          <t>127</t>
        </is>
      </c>
      <c r="B189" s="5" t="inlineStr">
        <is>
          <t>wall</t>
        </is>
      </c>
      <c r="C189" s="5" t="inlineStr">
        <is>
          <t>shear_wall</t>
        </is>
      </c>
      <c r="D189" s="5" t="inlineStr">
        <is>
          <t>V5/127</t>
        </is>
      </c>
      <c r="E189" s="5">
        <f>COUNTIFS(Elements!$B$2:$B$862,$A189,Elements!$D$2:$D$862,$B189,Elements!$E$2:$E$862,$C189,Elements!$F$2:$F$862,$D189)</f>
        <v/>
      </c>
      <c r="F189" s="5">
        <f>IFERROR(_xlfn.MINIFS(Elements!$I$2:$I$862,Elements!$B$2:$B$862,$A189,Elements!$D$2:$D$862,$B189,Elements!$E$2:$E$862,$C189,Elements!$F$2:$F$862,$D189),"")</f>
        <v/>
      </c>
      <c r="G189" s="5">
        <f>IFERROR(_xlfn.MAXIFS(Elements!$I$2:$I$862,Elements!$B$2:$B$862,$A189,Elements!$D$2:$D$862,$B189,Elements!$E$2:$E$862,$C189,Elements!$F$2:$F$862,$D189),"")</f>
        <v/>
      </c>
      <c r="H189" s="5">
        <f>IFERROR(_xlfn.MINIFS(Elements!$J$2:$J$862,Elements!$B$2:$B$862,$A189,Elements!$D$2:$D$862,$B189,Elements!$E$2:$E$862,$C189,Elements!$F$2:$F$862,$D189),"")</f>
        <v/>
      </c>
      <c r="I189" s="5">
        <f>IFERROR(_xlfn.MAXIFS(Elements!$J$2:$J$862,Elements!$B$2:$B$862,$A189,Elements!$D$2:$D$862,$B189,Elements!$E$2:$E$862,$C189,Elements!$F$2:$F$862,$D189),"")</f>
        <v/>
      </c>
      <c r="J189" s="5">
        <f>IF(OR(F189="",H189=""),"",IF(OR(B189="raft",B189="sump_pit",B189="crane_foundation",D189="(none)"),"n/a",IF(OR(B189="column",B189="footing",B189="mass_concrete_pad",AND(B189="wall",C189="shear_wall",D189&lt;&gt;"(none)")),IF(AND(G189-F189&lt;=3,I189-H189&lt;=3),"yes","no"),IF(I189-H189&lt;=3,"yes (thickness)","no (thickness)"))))</f>
        <v/>
      </c>
      <c r="K189" s="6">
        <f>SUMIFS(Elements!$M$2:$M$862,Elements!$B$2:$B$862,$A189,Elements!$D$2:$D$862,$B189,Elements!$E$2:$E$862,$C189,Elements!$F$2:$F$862,$D189)</f>
        <v/>
      </c>
      <c r="L189" s="6">
        <f>SUMIFS(Elements!$L$2:$L$862,Elements!$B$2:$B$862,$A189,Elements!$D$2:$D$862,$B189,Elements!$E$2:$E$862,$C189,Elements!$F$2:$F$862,$D189)</f>
        <v/>
      </c>
      <c r="M189" s="2" t="inlineStr">
        <is>
          <t>solid fill; 87-1849 x 20-30 cm; L/W 4.17-92.45; inside a footing outline 72%; on a raft 10%; touching a hatched core wall 1%; in a strip-footing band 5%; at a grade-beam junction 51%</t>
        </is>
      </c>
    </row>
    <row r="190">
      <c r="A190" s="5" t="inlineStr">
        <is>
          <t>127</t>
        </is>
      </c>
      <c r="B190" s="5" t="inlineStr">
        <is>
          <t>wall</t>
        </is>
      </c>
      <c r="C190" s="5" t="inlineStr">
        <is>
          <t>shear_wall</t>
        </is>
      </c>
      <c r="D190" s="5" t="inlineStr">
        <is>
          <t>V6/127</t>
        </is>
      </c>
      <c r="E190" s="5">
        <f>COUNTIFS(Elements!$B$2:$B$862,$A190,Elements!$D$2:$D$862,$B190,Elements!$E$2:$E$862,$C190,Elements!$F$2:$F$862,$D190)</f>
        <v/>
      </c>
      <c r="F190" s="5">
        <f>IFERROR(_xlfn.MINIFS(Elements!$I$2:$I$862,Elements!$B$2:$B$862,$A190,Elements!$D$2:$D$862,$B190,Elements!$E$2:$E$862,$C190,Elements!$F$2:$F$862,$D190),"")</f>
        <v/>
      </c>
      <c r="G190" s="5">
        <f>IFERROR(_xlfn.MAXIFS(Elements!$I$2:$I$862,Elements!$B$2:$B$862,$A190,Elements!$D$2:$D$862,$B190,Elements!$E$2:$E$862,$C190,Elements!$F$2:$F$862,$D190),"")</f>
        <v/>
      </c>
      <c r="H190" s="5">
        <f>IFERROR(_xlfn.MINIFS(Elements!$J$2:$J$862,Elements!$B$2:$B$862,$A190,Elements!$D$2:$D$862,$B190,Elements!$E$2:$E$862,$C190,Elements!$F$2:$F$862,$D190),"")</f>
        <v/>
      </c>
      <c r="I190" s="5">
        <f>IFERROR(_xlfn.MAXIFS(Elements!$J$2:$J$862,Elements!$B$2:$B$862,$A190,Elements!$D$2:$D$862,$B190,Elements!$E$2:$E$862,$C190,Elements!$F$2:$F$862,$D190),"")</f>
        <v/>
      </c>
      <c r="J190" s="5">
        <f>IF(OR(F190="",H190=""),"",IF(OR(B190="raft",B190="sump_pit",B190="crane_foundation",D190="(none)"),"n/a",IF(OR(B190="column",B190="footing",B190="mass_concrete_pad",AND(B190="wall",C190="shear_wall",D190&lt;&gt;"(none)")),IF(AND(G190-F190&lt;=3,I190-H190&lt;=3),"yes","no"),IF(I190-H190&lt;=3,"yes (thickness)","no (thickness)"))))</f>
        <v/>
      </c>
      <c r="K190" s="6">
        <f>SUMIFS(Elements!$M$2:$M$862,Elements!$B$2:$B$862,$A190,Elements!$D$2:$D$862,$B190,Elements!$E$2:$E$862,$C190,Elements!$F$2:$F$862,$D190)</f>
        <v/>
      </c>
      <c r="L190" s="6">
        <f>SUMIFS(Elements!$L$2:$L$862,Elements!$B$2:$B$862,$A190,Elements!$D$2:$D$862,$B190,Elements!$E$2:$E$862,$C190,Elements!$F$2:$F$862,$D190)</f>
        <v/>
      </c>
      <c r="M190" s="2" t="inlineStr">
        <is>
          <t>solid fill; 87-1849 x 20-30 cm; L/W 4.17-92.45; inside a footing outline 72%; on a raft 10%; touching a hatched core wall 1%; in a strip-footing band 5%; at a grade-beam junction 51%</t>
        </is>
      </c>
    </row>
    <row r="191">
      <c r="A191" s="5" t="inlineStr">
        <is>
          <t>128</t>
        </is>
      </c>
      <c r="B191" s="5" t="inlineStr">
        <is>
          <t>column</t>
        </is>
      </c>
      <c r="C191" s="5" t="inlineStr">
        <is>
          <t>column</t>
        </is>
      </c>
      <c r="D191" s="5" t="inlineStr">
        <is>
          <t>P1/128</t>
        </is>
      </c>
      <c r="E191" s="5">
        <f>COUNTIFS(Elements!$B$2:$B$862,$A191,Elements!$D$2:$D$862,$B191,Elements!$E$2:$E$862,$C191,Elements!$F$2:$F$862,$D191)</f>
        <v/>
      </c>
      <c r="F191" s="5">
        <f>IFERROR(_xlfn.MINIFS(Elements!$I$2:$I$862,Elements!$B$2:$B$862,$A191,Elements!$D$2:$D$862,$B191,Elements!$E$2:$E$862,$C191,Elements!$F$2:$F$862,$D191),"")</f>
        <v/>
      </c>
      <c r="G191" s="5">
        <f>IFERROR(_xlfn.MAXIFS(Elements!$I$2:$I$862,Elements!$B$2:$B$862,$A191,Elements!$D$2:$D$862,$B191,Elements!$E$2:$E$862,$C191,Elements!$F$2:$F$862,$D191),"")</f>
        <v/>
      </c>
      <c r="H191" s="5">
        <f>IFERROR(_xlfn.MINIFS(Elements!$J$2:$J$862,Elements!$B$2:$B$862,$A191,Elements!$D$2:$D$862,$B191,Elements!$E$2:$E$862,$C191,Elements!$F$2:$F$862,$D191),"")</f>
        <v/>
      </c>
      <c r="I191" s="5">
        <f>IFERROR(_xlfn.MAXIFS(Elements!$J$2:$J$862,Elements!$B$2:$B$862,$A191,Elements!$D$2:$D$862,$B191,Elements!$E$2:$E$862,$C191,Elements!$F$2:$F$862,$D191),"")</f>
        <v/>
      </c>
      <c r="J191" s="5">
        <f>IF(OR(F191="",H191=""),"",IF(OR(B191="raft",B191="sump_pit",B191="crane_foundation",D191="(none)"),"n/a",IF(OR(B191="column",B191="footing",B191="mass_concrete_pad",AND(B191="wall",C191="shear_wall",D191&lt;&gt;"(none)")),IF(AND(G191-F191&lt;=3,I191-H191&lt;=3),"yes","no"),IF(I191-H191&lt;=3,"yes (thickness)","no (thickness)"))))</f>
        <v/>
      </c>
      <c r="K191" s="6">
        <f>SUMIFS(Elements!$M$2:$M$862,Elements!$B$2:$B$862,$A191,Elements!$D$2:$D$862,$B191,Elements!$E$2:$E$862,$C191,Elements!$F$2:$F$862,$D191)</f>
        <v/>
      </c>
      <c r="L191" s="6">
        <f>SUMIFS(Elements!$L$2:$L$862,Elements!$B$2:$B$862,$A191,Elements!$D$2:$D$862,$B191,Elements!$E$2:$E$862,$C191,Elements!$F$2:$F$862,$D191)</f>
        <v/>
      </c>
      <c r="M191" s="2" t="inlineStr">
        <is>
          <t>solid fill; 40-120 x 25-50 cm; L/W 1.60-4.00; inside a footing outline 37%; on a raft 63%; touching a hatched core wall 26%; in a strip-footing band 0%; at a grade-beam junction 26%</t>
        </is>
      </c>
    </row>
    <row r="192">
      <c r="A192" s="5" t="inlineStr">
        <is>
          <t>128</t>
        </is>
      </c>
      <c r="B192" s="5" t="inlineStr">
        <is>
          <t>column</t>
        </is>
      </c>
      <c r="C192" s="5" t="inlineStr">
        <is>
          <t>column</t>
        </is>
      </c>
      <c r="D192" s="5" t="inlineStr">
        <is>
          <t>P2/128</t>
        </is>
      </c>
      <c r="E192" s="5">
        <f>COUNTIFS(Elements!$B$2:$B$862,$A192,Elements!$D$2:$D$862,$B192,Elements!$E$2:$E$862,$C192,Elements!$F$2:$F$862,$D192)</f>
        <v/>
      </c>
      <c r="F192" s="5">
        <f>IFERROR(_xlfn.MINIFS(Elements!$I$2:$I$862,Elements!$B$2:$B$862,$A192,Elements!$D$2:$D$862,$B192,Elements!$E$2:$E$862,$C192,Elements!$F$2:$F$862,$D192),"")</f>
        <v/>
      </c>
      <c r="G192" s="5">
        <f>IFERROR(_xlfn.MAXIFS(Elements!$I$2:$I$862,Elements!$B$2:$B$862,$A192,Elements!$D$2:$D$862,$B192,Elements!$E$2:$E$862,$C192,Elements!$F$2:$F$862,$D192),"")</f>
        <v/>
      </c>
      <c r="H192" s="5">
        <f>IFERROR(_xlfn.MINIFS(Elements!$J$2:$J$862,Elements!$B$2:$B$862,$A192,Elements!$D$2:$D$862,$B192,Elements!$E$2:$E$862,$C192,Elements!$F$2:$F$862,$D192),"")</f>
        <v/>
      </c>
      <c r="I192" s="5">
        <f>IFERROR(_xlfn.MAXIFS(Elements!$J$2:$J$862,Elements!$B$2:$B$862,$A192,Elements!$D$2:$D$862,$B192,Elements!$E$2:$E$862,$C192,Elements!$F$2:$F$862,$D192),"")</f>
        <v/>
      </c>
      <c r="J192" s="5">
        <f>IF(OR(F192="",H192=""),"",IF(OR(B192="raft",B192="sump_pit",B192="crane_foundation",D192="(none)"),"n/a",IF(OR(B192="column",B192="footing",B192="mass_concrete_pad",AND(B192="wall",C192="shear_wall",D192&lt;&gt;"(none)")),IF(AND(G192-F192&lt;=3,I192-H192&lt;=3),"yes","no"),IF(I192-H192&lt;=3,"yes (thickness)","no (thickness)"))))</f>
        <v/>
      </c>
      <c r="K192" s="6">
        <f>SUMIFS(Elements!$M$2:$M$862,Elements!$B$2:$B$862,$A192,Elements!$D$2:$D$862,$B192,Elements!$E$2:$E$862,$C192,Elements!$F$2:$F$862,$D192)</f>
        <v/>
      </c>
      <c r="L192" s="6">
        <f>SUMIFS(Elements!$L$2:$L$862,Elements!$B$2:$B$862,$A192,Elements!$D$2:$D$862,$B192,Elements!$E$2:$E$862,$C192,Elements!$F$2:$F$862,$D192)</f>
        <v/>
      </c>
      <c r="M192" s="2" t="inlineStr">
        <is>
          <t>solid fill; 40-120 x 25-50 cm; L/W 1.60-4.00; inside a footing outline 37%; on a raft 63%; touching a hatched core wall 26%; in a strip-footing band 0%; at a grade-beam junction 26%</t>
        </is>
      </c>
    </row>
    <row r="193">
      <c r="A193" s="5" t="inlineStr">
        <is>
          <t>128</t>
        </is>
      </c>
      <c r="B193" s="5" t="inlineStr">
        <is>
          <t>footing</t>
        </is>
      </c>
      <c r="C193" s="5" t="inlineStr">
        <is>
          <t>combined_footing</t>
        </is>
      </c>
      <c r="D193" s="5" t="inlineStr">
        <is>
          <t>SC1</t>
        </is>
      </c>
      <c r="E193" s="5">
        <f>COUNTIFS(Elements!$B$2:$B$862,$A193,Elements!$D$2:$D$862,$B193,Elements!$E$2:$E$862,$C193,Elements!$F$2:$F$862,$D193)</f>
        <v/>
      </c>
      <c r="F193" s="5">
        <f>IFERROR(_xlfn.MINIFS(Elements!$I$2:$I$862,Elements!$B$2:$B$862,$A193,Elements!$D$2:$D$862,$B193,Elements!$E$2:$E$862,$C193,Elements!$F$2:$F$862,$D193),"")</f>
        <v/>
      </c>
      <c r="G193" s="5">
        <f>IFERROR(_xlfn.MAXIFS(Elements!$I$2:$I$862,Elements!$B$2:$B$862,$A193,Elements!$D$2:$D$862,$B193,Elements!$E$2:$E$862,$C193,Elements!$F$2:$F$862,$D193),"")</f>
        <v/>
      </c>
      <c r="H193" s="5">
        <f>IFERROR(_xlfn.MINIFS(Elements!$J$2:$J$862,Elements!$B$2:$B$862,$A193,Elements!$D$2:$D$862,$B193,Elements!$E$2:$E$862,$C193,Elements!$F$2:$F$862,$D193),"")</f>
        <v/>
      </c>
      <c r="I193" s="5">
        <f>IFERROR(_xlfn.MAXIFS(Elements!$J$2:$J$862,Elements!$B$2:$B$862,$A193,Elements!$D$2:$D$862,$B193,Elements!$E$2:$E$862,$C193,Elements!$F$2:$F$862,$D193),"")</f>
        <v/>
      </c>
      <c r="J193" s="5">
        <f>IF(OR(F193="",H193=""),"",IF(OR(B193="raft",B193="sump_pit",B193="crane_foundation",D193="(none)"),"n/a",IF(OR(B193="column",B193="footing",B193="mass_concrete_pad",AND(B193="wall",C193="shear_wall",D193&lt;&gt;"(none)")),IF(AND(G193-F193&lt;=3,I193-H193&lt;=3),"yes","no"),IF(I193-H193&lt;=3,"yes (thickness)","no (thickness)"))))</f>
        <v/>
      </c>
      <c r="K193" s="6">
        <f>SUMIFS(Elements!$M$2:$M$862,Elements!$B$2:$B$862,$A193,Elements!$D$2:$D$862,$B193,Elements!$E$2:$E$862,$C193,Elements!$F$2:$F$862,$D193)</f>
        <v/>
      </c>
      <c r="L193" s="6">
        <f>SUMIFS(Elements!$L$2:$L$862,Elements!$B$2:$B$862,$A193,Elements!$D$2:$D$862,$B193,Elements!$E$2:$E$862,$C193,Elements!$F$2:$F$862,$D193)</f>
        <v/>
      </c>
      <c r="M193" s="2" t="inlineStr">
        <is>
          <t>closed outline; 350-600 x 200-450 cm; carries wall+wall (24), column+wall (3), wall+wall+wall+wall (1); grade beam crossing it 93%</t>
        </is>
      </c>
    </row>
    <row r="194">
      <c r="A194" s="5" t="inlineStr">
        <is>
          <t>128</t>
        </is>
      </c>
      <c r="B194" s="5" t="inlineStr">
        <is>
          <t>footing</t>
        </is>
      </c>
      <c r="C194" s="5" t="inlineStr">
        <is>
          <t>combined_footing</t>
        </is>
      </c>
      <c r="D194" s="5" t="inlineStr">
        <is>
          <t>SC2</t>
        </is>
      </c>
      <c r="E194" s="5">
        <f>COUNTIFS(Elements!$B$2:$B$862,$A194,Elements!$D$2:$D$862,$B194,Elements!$E$2:$E$862,$C194,Elements!$F$2:$F$862,$D194)</f>
        <v/>
      </c>
      <c r="F194" s="5">
        <f>IFERROR(_xlfn.MINIFS(Elements!$I$2:$I$862,Elements!$B$2:$B$862,$A194,Elements!$D$2:$D$862,$B194,Elements!$E$2:$E$862,$C194,Elements!$F$2:$F$862,$D194),"")</f>
        <v/>
      </c>
      <c r="G194" s="5">
        <f>IFERROR(_xlfn.MAXIFS(Elements!$I$2:$I$862,Elements!$B$2:$B$862,$A194,Elements!$D$2:$D$862,$B194,Elements!$E$2:$E$862,$C194,Elements!$F$2:$F$862,$D194),"")</f>
        <v/>
      </c>
      <c r="H194" s="5">
        <f>IFERROR(_xlfn.MINIFS(Elements!$J$2:$J$862,Elements!$B$2:$B$862,$A194,Elements!$D$2:$D$862,$B194,Elements!$E$2:$E$862,$C194,Elements!$F$2:$F$862,$D194),"")</f>
        <v/>
      </c>
      <c r="I194" s="5">
        <f>IFERROR(_xlfn.MAXIFS(Elements!$J$2:$J$862,Elements!$B$2:$B$862,$A194,Elements!$D$2:$D$862,$B194,Elements!$E$2:$E$862,$C194,Elements!$F$2:$F$862,$D194),"")</f>
        <v/>
      </c>
      <c r="J194" s="5">
        <f>IF(OR(F194="",H194=""),"",IF(OR(B194="raft",B194="sump_pit",B194="crane_foundation",D194="(none)"),"n/a",IF(OR(B194="column",B194="footing",B194="mass_concrete_pad",AND(B194="wall",C194="shear_wall",D194&lt;&gt;"(none)")),IF(AND(G194-F194&lt;=3,I194-H194&lt;=3),"yes","no"),IF(I194-H194&lt;=3,"yes (thickness)","no (thickness)"))))</f>
        <v/>
      </c>
      <c r="K194" s="6">
        <f>SUMIFS(Elements!$M$2:$M$862,Elements!$B$2:$B$862,$A194,Elements!$D$2:$D$862,$B194,Elements!$E$2:$E$862,$C194,Elements!$F$2:$F$862,$D194)</f>
        <v/>
      </c>
      <c r="L194" s="6">
        <f>SUMIFS(Elements!$L$2:$L$862,Elements!$B$2:$B$862,$A194,Elements!$D$2:$D$862,$B194,Elements!$E$2:$E$862,$C194,Elements!$F$2:$F$862,$D194)</f>
        <v/>
      </c>
      <c r="M194" s="2" t="inlineStr">
        <is>
          <t>closed outline; 350-600 x 200-450 cm; carries wall+wall (24), column+wall (3), wall+wall+wall+wall (1); grade beam crossing it 93%</t>
        </is>
      </c>
    </row>
    <row r="195">
      <c r="A195" s="5" t="inlineStr">
        <is>
          <t>128</t>
        </is>
      </c>
      <c r="B195" s="5" t="inlineStr">
        <is>
          <t>footing</t>
        </is>
      </c>
      <c r="C195" s="5" t="inlineStr">
        <is>
          <t>combined_footing</t>
        </is>
      </c>
      <c r="D195" s="5" t="inlineStr">
        <is>
          <t>SC3</t>
        </is>
      </c>
      <c r="E195" s="5">
        <f>COUNTIFS(Elements!$B$2:$B$862,$A195,Elements!$D$2:$D$862,$B195,Elements!$E$2:$E$862,$C195,Elements!$F$2:$F$862,$D195)</f>
        <v/>
      </c>
      <c r="F195" s="5">
        <f>IFERROR(_xlfn.MINIFS(Elements!$I$2:$I$862,Elements!$B$2:$B$862,$A195,Elements!$D$2:$D$862,$B195,Elements!$E$2:$E$862,$C195,Elements!$F$2:$F$862,$D195),"")</f>
        <v/>
      </c>
      <c r="G195" s="5">
        <f>IFERROR(_xlfn.MAXIFS(Elements!$I$2:$I$862,Elements!$B$2:$B$862,$A195,Elements!$D$2:$D$862,$B195,Elements!$E$2:$E$862,$C195,Elements!$F$2:$F$862,$D195),"")</f>
        <v/>
      </c>
      <c r="H195" s="5">
        <f>IFERROR(_xlfn.MINIFS(Elements!$J$2:$J$862,Elements!$B$2:$B$862,$A195,Elements!$D$2:$D$862,$B195,Elements!$E$2:$E$862,$C195,Elements!$F$2:$F$862,$D195),"")</f>
        <v/>
      </c>
      <c r="I195" s="5">
        <f>IFERROR(_xlfn.MAXIFS(Elements!$J$2:$J$862,Elements!$B$2:$B$862,$A195,Elements!$D$2:$D$862,$B195,Elements!$E$2:$E$862,$C195,Elements!$F$2:$F$862,$D195),"")</f>
        <v/>
      </c>
      <c r="J195" s="5">
        <f>IF(OR(F195="",H195=""),"",IF(OR(B195="raft",B195="sump_pit",B195="crane_foundation",D195="(none)"),"n/a",IF(OR(B195="column",B195="footing",B195="mass_concrete_pad",AND(B195="wall",C195="shear_wall",D195&lt;&gt;"(none)")),IF(AND(G195-F195&lt;=3,I195-H195&lt;=3),"yes","no"),IF(I195-H195&lt;=3,"yes (thickness)","no (thickness)"))))</f>
        <v/>
      </c>
      <c r="K195" s="6">
        <f>SUMIFS(Elements!$M$2:$M$862,Elements!$B$2:$B$862,$A195,Elements!$D$2:$D$862,$B195,Elements!$E$2:$E$862,$C195,Elements!$F$2:$F$862,$D195)</f>
        <v/>
      </c>
      <c r="L195" s="6">
        <f>SUMIFS(Elements!$L$2:$L$862,Elements!$B$2:$B$862,$A195,Elements!$D$2:$D$862,$B195,Elements!$E$2:$E$862,$C195,Elements!$F$2:$F$862,$D195)</f>
        <v/>
      </c>
      <c r="M195" s="2" t="inlineStr">
        <is>
          <t>closed outline; 350-600 x 200-450 cm; carries wall+wall (24), column+wall (3), wall+wall+wall+wall (1); grade beam crossing it 93%</t>
        </is>
      </c>
    </row>
    <row r="196">
      <c r="A196" s="5" t="inlineStr">
        <is>
          <t>128</t>
        </is>
      </c>
      <c r="B196" s="5" t="inlineStr">
        <is>
          <t>footing</t>
        </is>
      </c>
      <c r="C196" s="5" t="inlineStr">
        <is>
          <t>combined_footing</t>
        </is>
      </c>
      <c r="D196" s="5" t="inlineStr">
        <is>
          <t>SC7</t>
        </is>
      </c>
      <c r="E196" s="5">
        <f>COUNTIFS(Elements!$B$2:$B$862,$A196,Elements!$D$2:$D$862,$B196,Elements!$E$2:$E$862,$C196,Elements!$F$2:$F$862,$D196)</f>
        <v/>
      </c>
      <c r="F196" s="5">
        <f>IFERROR(_xlfn.MINIFS(Elements!$I$2:$I$862,Elements!$B$2:$B$862,$A196,Elements!$D$2:$D$862,$B196,Elements!$E$2:$E$862,$C196,Elements!$F$2:$F$862,$D196),"")</f>
        <v/>
      </c>
      <c r="G196" s="5">
        <f>IFERROR(_xlfn.MAXIFS(Elements!$I$2:$I$862,Elements!$B$2:$B$862,$A196,Elements!$D$2:$D$862,$B196,Elements!$E$2:$E$862,$C196,Elements!$F$2:$F$862,$D196),"")</f>
        <v/>
      </c>
      <c r="H196" s="5">
        <f>IFERROR(_xlfn.MINIFS(Elements!$J$2:$J$862,Elements!$B$2:$B$862,$A196,Elements!$D$2:$D$862,$B196,Elements!$E$2:$E$862,$C196,Elements!$F$2:$F$862,$D196),"")</f>
        <v/>
      </c>
      <c r="I196" s="5">
        <f>IFERROR(_xlfn.MAXIFS(Elements!$J$2:$J$862,Elements!$B$2:$B$862,$A196,Elements!$D$2:$D$862,$B196,Elements!$E$2:$E$862,$C196,Elements!$F$2:$F$862,$D196),"")</f>
        <v/>
      </c>
      <c r="J196" s="5">
        <f>IF(OR(F196="",H196=""),"",IF(OR(B196="raft",B196="sump_pit",B196="crane_foundation",D196="(none)"),"n/a",IF(OR(B196="column",B196="footing",B196="mass_concrete_pad",AND(B196="wall",C196="shear_wall",D196&lt;&gt;"(none)")),IF(AND(G196-F196&lt;=3,I196-H196&lt;=3),"yes","no"),IF(I196-H196&lt;=3,"yes (thickness)","no (thickness)"))))</f>
        <v/>
      </c>
      <c r="K196" s="6">
        <f>SUMIFS(Elements!$M$2:$M$862,Elements!$B$2:$B$862,$A196,Elements!$D$2:$D$862,$B196,Elements!$E$2:$E$862,$C196,Elements!$F$2:$F$862,$D196)</f>
        <v/>
      </c>
      <c r="L196" s="6">
        <f>SUMIFS(Elements!$L$2:$L$862,Elements!$B$2:$B$862,$A196,Elements!$D$2:$D$862,$B196,Elements!$E$2:$E$862,$C196,Elements!$F$2:$F$862,$D196)</f>
        <v/>
      </c>
      <c r="M196" s="2" t="inlineStr">
        <is>
          <t>closed outline; 350-600 x 200-450 cm; carries wall+wall (24), column+wall (3), wall+wall+wall+wall (1); grade beam crossing it 93%</t>
        </is>
      </c>
    </row>
    <row r="197">
      <c r="A197" s="5" t="inlineStr">
        <is>
          <t>128</t>
        </is>
      </c>
      <c r="B197" s="5" t="inlineStr">
        <is>
          <t>footing</t>
        </is>
      </c>
      <c r="C197" s="5" t="inlineStr">
        <is>
          <t>isolated_footing</t>
        </is>
      </c>
      <c r="D197" s="5" t="inlineStr">
        <is>
          <t>S11</t>
        </is>
      </c>
      <c r="E197" s="5">
        <f>COUNTIFS(Elements!$B$2:$B$862,$A197,Elements!$D$2:$D$862,$B197,Elements!$E$2:$E$862,$C197,Elements!$F$2:$F$862,$D197)</f>
        <v/>
      </c>
      <c r="F197" s="5">
        <f>IFERROR(_xlfn.MINIFS(Elements!$I$2:$I$862,Elements!$B$2:$B$862,$A197,Elements!$D$2:$D$862,$B197,Elements!$E$2:$E$862,$C197,Elements!$F$2:$F$862,$D197),"")</f>
        <v/>
      </c>
      <c r="G197" s="5">
        <f>IFERROR(_xlfn.MAXIFS(Elements!$I$2:$I$862,Elements!$B$2:$B$862,$A197,Elements!$D$2:$D$862,$B197,Elements!$E$2:$E$862,$C197,Elements!$F$2:$F$862,$D197),"")</f>
        <v/>
      </c>
      <c r="H197" s="5">
        <f>IFERROR(_xlfn.MINIFS(Elements!$J$2:$J$862,Elements!$B$2:$B$862,$A197,Elements!$D$2:$D$862,$B197,Elements!$E$2:$E$862,$C197,Elements!$F$2:$F$862,$D197),"")</f>
        <v/>
      </c>
      <c r="I197" s="5">
        <f>IFERROR(_xlfn.MAXIFS(Elements!$J$2:$J$862,Elements!$B$2:$B$862,$A197,Elements!$D$2:$D$862,$B197,Elements!$E$2:$E$862,$C197,Elements!$F$2:$F$862,$D197),"")</f>
        <v/>
      </c>
      <c r="J197" s="5">
        <f>IF(OR(F197="",H197=""),"",IF(OR(B197="raft",B197="sump_pit",B197="crane_foundation",D197="(none)"),"n/a",IF(OR(B197="column",B197="footing",B197="mass_concrete_pad",AND(B197="wall",C197="shear_wall",D197&lt;&gt;"(none)")),IF(AND(G197-F197&lt;=3,I197-H197&lt;=3),"yes","no"),IF(I197-H197&lt;=3,"yes (thickness)","no (thickness)"))))</f>
        <v/>
      </c>
      <c r="K197" s="6">
        <f>SUMIFS(Elements!$M$2:$M$862,Elements!$B$2:$B$862,$A197,Elements!$D$2:$D$862,$B197,Elements!$E$2:$E$862,$C197,Elements!$F$2:$F$862,$D197)</f>
        <v/>
      </c>
      <c r="L197" s="6">
        <f>SUMIFS(Elements!$L$2:$L$862,Elements!$B$2:$B$862,$A197,Elements!$D$2:$D$862,$B197,Elements!$E$2:$E$862,$C197,Elements!$F$2:$F$862,$D197)</f>
        <v/>
      </c>
      <c r="M197" s="2" t="inlineStr">
        <is>
          <t>closed outline; 150-600 x 150-450 cm; carries wall (64), column (9), wall+wall (1); grade beam crossing it 95%</t>
        </is>
      </c>
    </row>
    <row r="198">
      <c r="A198" s="5" t="inlineStr">
        <is>
          <t>128</t>
        </is>
      </c>
      <c r="B198" s="5" t="inlineStr">
        <is>
          <t>footing</t>
        </is>
      </c>
      <c r="C198" s="5" t="inlineStr">
        <is>
          <t>isolated_footing</t>
        </is>
      </c>
      <c r="D198" s="5" t="inlineStr">
        <is>
          <t>S2</t>
        </is>
      </c>
      <c r="E198" s="5">
        <f>COUNTIFS(Elements!$B$2:$B$862,$A198,Elements!$D$2:$D$862,$B198,Elements!$E$2:$E$862,$C198,Elements!$F$2:$F$862,$D198)</f>
        <v/>
      </c>
      <c r="F198" s="5">
        <f>IFERROR(_xlfn.MINIFS(Elements!$I$2:$I$862,Elements!$B$2:$B$862,$A198,Elements!$D$2:$D$862,$B198,Elements!$E$2:$E$862,$C198,Elements!$F$2:$F$862,$D198),"")</f>
        <v/>
      </c>
      <c r="G198" s="5">
        <f>IFERROR(_xlfn.MAXIFS(Elements!$I$2:$I$862,Elements!$B$2:$B$862,$A198,Elements!$D$2:$D$862,$B198,Elements!$E$2:$E$862,$C198,Elements!$F$2:$F$862,$D198),"")</f>
        <v/>
      </c>
      <c r="H198" s="5">
        <f>IFERROR(_xlfn.MINIFS(Elements!$J$2:$J$862,Elements!$B$2:$B$862,$A198,Elements!$D$2:$D$862,$B198,Elements!$E$2:$E$862,$C198,Elements!$F$2:$F$862,$D198),"")</f>
        <v/>
      </c>
      <c r="I198" s="5">
        <f>IFERROR(_xlfn.MAXIFS(Elements!$J$2:$J$862,Elements!$B$2:$B$862,$A198,Elements!$D$2:$D$862,$B198,Elements!$E$2:$E$862,$C198,Elements!$F$2:$F$862,$D198),"")</f>
        <v/>
      </c>
      <c r="J198" s="5">
        <f>IF(OR(F198="",H198=""),"",IF(OR(B198="raft",B198="sump_pit",B198="crane_foundation",D198="(none)"),"n/a",IF(OR(B198="column",B198="footing",B198="mass_concrete_pad",AND(B198="wall",C198="shear_wall",D198&lt;&gt;"(none)")),IF(AND(G198-F198&lt;=3,I198-H198&lt;=3),"yes","no"),IF(I198-H198&lt;=3,"yes (thickness)","no (thickness)"))))</f>
        <v/>
      </c>
      <c r="K198" s="6">
        <f>SUMIFS(Elements!$M$2:$M$862,Elements!$B$2:$B$862,$A198,Elements!$D$2:$D$862,$B198,Elements!$E$2:$E$862,$C198,Elements!$F$2:$F$862,$D198)</f>
        <v/>
      </c>
      <c r="L198" s="6">
        <f>SUMIFS(Elements!$L$2:$L$862,Elements!$B$2:$B$862,$A198,Elements!$D$2:$D$862,$B198,Elements!$E$2:$E$862,$C198,Elements!$F$2:$F$862,$D198)</f>
        <v/>
      </c>
      <c r="M198" s="2" t="inlineStr">
        <is>
          <t>closed outline; 150-600 x 150-450 cm; carries wall (64), column (9), wall+wall (1); grade beam crossing it 95%</t>
        </is>
      </c>
    </row>
    <row r="199">
      <c r="A199" s="5" t="inlineStr">
        <is>
          <t>128</t>
        </is>
      </c>
      <c r="B199" s="5" t="inlineStr">
        <is>
          <t>footing</t>
        </is>
      </c>
      <c r="C199" s="5" t="inlineStr">
        <is>
          <t>isolated_footing</t>
        </is>
      </c>
      <c r="D199" s="5" t="inlineStr">
        <is>
          <t>S5</t>
        </is>
      </c>
      <c r="E199" s="5">
        <f>COUNTIFS(Elements!$B$2:$B$862,$A199,Elements!$D$2:$D$862,$B199,Elements!$E$2:$E$862,$C199,Elements!$F$2:$F$862,$D199)</f>
        <v/>
      </c>
      <c r="F199" s="5">
        <f>IFERROR(_xlfn.MINIFS(Elements!$I$2:$I$862,Elements!$B$2:$B$862,$A199,Elements!$D$2:$D$862,$B199,Elements!$E$2:$E$862,$C199,Elements!$F$2:$F$862,$D199),"")</f>
        <v/>
      </c>
      <c r="G199" s="5">
        <f>IFERROR(_xlfn.MAXIFS(Elements!$I$2:$I$862,Elements!$B$2:$B$862,$A199,Elements!$D$2:$D$862,$B199,Elements!$E$2:$E$862,$C199,Elements!$F$2:$F$862,$D199),"")</f>
        <v/>
      </c>
      <c r="H199" s="5">
        <f>IFERROR(_xlfn.MINIFS(Elements!$J$2:$J$862,Elements!$B$2:$B$862,$A199,Elements!$D$2:$D$862,$B199,Elements!$E$2:$E$862,$C199,Elements!$F$2:$F$862,$D199),"")</f>
        <v/>
      </c>
      <c r="I199" s="5">
        <f>IFERROR(_xlfn.MAXIFS(Elements!$J$2:$J$862,Elements!$B$2:$B$862,$A199,Elements!$D$2:$D$862,$B199,Elements!$E$2:$E$862,$C199,Elements!$F$2:$F$862,$D199),"")</f>
        <v/>
      </c>
      <c r="J199" s="5">
        <f>IF(OR(F199="",H199=""),"",IF(OR(B199="raft",B199="sump_pit",B199="crane_foundation",D199="(none)"),"n/a",IF(OR(B199="column",B199="footing",B199="mass_concrete_pad",AND(B199="wall",C199="shear_wall",D199&lt;&gt;"(none)")),IF(AND(G199-F199&lt;=3,I199-H199&lt;=3),"yes","no"),IF(I199-H199&lt;=3,"yes (thickness)","no (thickness)"))))</f>
        <v/>
      </c>
      <c r="K199" s="6">
        <f>SUMIFS(Elements!$M$2:$M$862,Elements!$B$2:$B$862,$A199,Elements!$D$2:$D$862,$B199,Elements!$E$2:$E$862,$C199,Elements!$F$2:$F$862,$D199)</f>
        <v/>
      </c>
      <c r="L199" s="6">
        <f>SUMIFS(Elements!$L$2:$L$862,Elements!$B$2:$B$862,$A199,Elements!$D$2:$D$862,$B199,Elements!$E$2:$E$862,$C199,Elements!$F$2:$F$862,$D199)</f>
        <v/>
      </c>
      <c r="M199" s="2" t="inlineStr">
        <is>
          <t>closed outline; 150-600 x 150-450 cm; carries wall (64), column (9), wall+wall (1); grade beam crossing it 95%</t>
        </is>
      </c>
    </row>
    <row r="200">
      <c r="A200" s="5" t="inlineStr">
        <is>
          <t>128</t>
        </is>
      </c>
      <c r="B200" s="5" t="inlineStr">
        <is>
          <t>grade_beam</t>
        </is>
      </c>
      <c r="C200" s="5" t="inlineStr">
        <is>
          <t>grade_beam</t>
        </is>
      </c>
      <c r="D200" s="5" t="inlineStr">
        <is>
          <t>LG25x40</t>
        </is>
      </c>
      <c r="E200" s="5">
        <f>COUNTIFS(Elements!$B$2:$B$862,$A200,Elements!$D$2:$D$862,$B200,Elements!$E$2:$E$862,$C200,Elements!$F$2:$F$862,$D200)</f>
        <v/>
      </c>
      <c r="F200" s="5">
        <f>IFERROR(_xlfn.MINIFS(Elements!$I$2:$I$862,Elements!$B$2:$B$862,$A200,Elements!$D$2:$D$862,$B200,Elements!$E$2:$E$862,$C200,Elements!$F$2:$F$862,$D200),"")</f>
        <v/>
      </c>
      <c r="G200" s="5">
        <f>IFERROR(_xlfn.MAXIFS(Elements!$I$2:$I$862,Elements!$B$2:$B$862,$A200,Elements!$D$2:$D$862,$B200,Elements!$E$2:$E$862,$C200,Elements!$F$2:$F$862,$D200),"")</f>
        <v/>
      </c>
      <c r="H200" s="5">
        <f>IFERROR(_xlfn.MINIFS(Elements!$J$2:$J$862,Elements!$B$2:$B$862,$A200,Elements!$D$2:$D$862,$B200,Elements!$E$2:$E$862,$C200,Elements!$F$2:$F$862,$D200),"")</f>
        <v/>
      </c>
      <c r="I200" s="5">
        <f>IFERROR(_xlfn.MAXIFS(Elements!$J$2:$J$862,Elements!$B$2:$B$862,$A200,Elements!$D$2:$D$862,$B200,Elements!$E$2:$E$862,$C200,Elements!$F$2:$F$862,$D200),"")</f>
        <v/>
      </c>
      <c r="J200" s="5">
        <f>IF(OR(F200="",H200=""),"",IF(OR(B200="raft",B200="sump_pit",B200="crane_foundation",D200="(none)"),"n/a",IF(OR(B200="column",B200="footing",B200="mass_concrete_pad",AND(B200="wall",C200="shear_wall",D200&lt;&gt;"(none)")),IF(AND(G200-F200&lt;=3,I200-H200&lt;=3),"yes","no"),IF(I200-H200&lt;=3,"yes (thickness)","no (thickness)"))))</f>
        <v/>
      </c>
      <c r="K200" s="6">
        <f>SUMIFS(Elements!$M$2:$M$862,Elements!$B$2:$B$862,$A200,Elements!$D$2:$D$862,$B200,Elements!$E$2:$E$862,$C200,Elements!$F$2:$F$862,$D200)</f>
        <v/>
      </c>
      <c r="L200" s="6">
        <f>SUMIFS(Elements!$L$2:$L$862,Elements!$B$2:$B$862,$A200,Elements!$D$2:$D$862,$B200,Elements!$E$2:$E$862,$C200,Elements!$F$2:$F$862,$D200)</f>
        <v/>
      </c>
      <c r="M200" s="2" t="inlineStr">
        <is>
          <t>parallel line pair; 30-2249 x 25-40 cm; width stated in its label</t>
        </is>
      </c>
    </row>
    <row r="201">
      <c r="A201" s="5" t="inlineStr">
        <is>
          <t>128</t>
        </is>
      </c>
      <c r="B201" s="5" t="inlineStr">
        <is>
          <t>grade_beam</t>
        </is>
      </c>
      <c r="C201" s="5" t="inlineStr">
        <is>
          <t>grade_beam</t>
        </is>
      </c>
      <c r="D201" s="5" t="inlineStr">
        <is>
          <t>LG40x15</t>
        </is>
      </c>
      <c r="E201" s="5">
        <f>COUNTIFS(Elements!$B$2:$B$862,$A201,Elements!$D$2:$D$862,$B201,Elements!$E$2:$E$862,$C201,Elements!$F$2:$F$862,$D201)</f>
        <v/>
      </c>
      <c r="F201" s="5">
        <f>IFERROR(_xlfn.MINIFS(Elements!$I$2:$I$862,Elements!$B$2:$B$862,$A201,Elements!$D$2:$D$862,$B201,Elements!$E$2:$E$862,$C201,Elements!$F$2:$F$862,$D201),"")</f>
        <v/>
      </c>
      <c r="G201" s="5">
        <f>IFERROR(_xlfn.MAXIFS(Elements!$I$2:$I$862,Elements!$B$2:$B$862,$A201,Elements!$D$2:$D$862,$B201,Elements!$E$2:$E$862,$C201,Elements!$F$2:$F$862,$D201),"")</f>
        <v/>
      </c>
      <c r="H201" s="5">
        <f>IFERROR(_xlfn.MINIFS(Elements!$J$2:$J$862,Elements!$B$2:$B$862,$A201,Elements!$D$2:$D$862,$B201,Elements!$E$2:$E$862,$C201,Elements!$F$2:$F$862,$D201),"")</f>
        <v/>
      </c>
      <c r="I201" s="5">
        <f>IFERROR(_xlfn.MAXIFS(Elements!$J$2:$J$862,Elements!$B$2:$B$862,$A201,Elements!$D$2:$D$862,$B201,Elements!$E$2:$E$862,$C201,Elements!$F$2:$F$862,$D201),"")</f>
        <v/>
      </c>
      <c r="J201" s="5">
        <f>IF(OR(F201="",H201=""),"",IF(OR(B201="raft",B201="sump_pit",B201="crane_foundation",D201="(none)"),"n/a",IF(OR(B201="column",B201="footing",B201="mass_concrete_pad",AND(B201="wall",C201="shear_wall",D201&lt;&gt;"(none)")),IF(AND(G201-F201&lt;=3,I201-H201&lt;=3),"yes","no"),IF(I201-H201&lt;=3,"yes (thickness)","no (thickness)"))))</f>
        <v/>
      </c>
      <c r="K201" s="6">
        <f>SUMIFS(Elements!$M$2:$M$862,Elements!$B$2:$B$862,$A201,Elements!$D$2:$D$862,$B201,Elements!$E$2:$E$862,$C201,Elements!$F$2:$F$862,$D201)</f>
        <v/>
      </c>
      <c r="L201" s="6">
        <f>SUMIFS(Elements!$L$2:$L$862,Elements!$B$2:$B$862,$A201,Elements!$D$2:$D$862,$B201,Elements!$E$2:$E$862,$C201,Elements!$F$2:$F$862,$D201)</f>
        <v/>
      </c>
      <c r="M201" s="2" t="inlineStr">
        <is>
          <t>parallel line pair; 30-2249 x 25-40 cm; width stated in its label</t>
        </is>
      </c>
    </row>
    <row r="202">
      <c r="A202" s="5" t="inlineStr">
        <is>
          <t>128</t>
        </is>
      </c>
      <c r="B202" s="5" t="inlineStr">
        <is>
          <t>mass_concrete_pad</t>
        </is>
      </c>
      <c r="C202" s="5" t="inlineStr">
        <is>
          <t>mass_concrete_pad</t>
        </is>
      </c>
      <c r="D202" s="5" t="inlineStr">
        <is>
          <t>(none)</t>
        </is>
      </c>
      <c r="E202" s="5">
        <f>COUNTIFS(Elements!$B$2:$B$862,$A202,Elements!$D$2:$D$862,$B202,Elements!$E$2:$E$862,$C202,Elements!$F$2:$F$862,$D202)</f>
        <v/>
      </c>
      <c r="F202" s="5">
        <f>IFERROR(_xlfn.MINIFS(Elements!$I$2:$I$862,Elements!$B$2:$B$862,$A202,Elements!$D$2:$D$862,$B202,Elements!$E$2:$E$862,$C202,Elements!$F$2:$F$862,$D202),"")</f>
        <v/>
      </c>
      <c r="G202" s="5">
        <f>IFERROR(_xlfn.MAXIFS(Elements!$I$2:$I$862,Elements!$B$2:$B$862,$A202,Elements!$D$2:$D$862,$B202,Elements!$E$2:$E$862,$C202,Elements!$F$2:$F$862,$D202),"")</f>
        <v/>
      </c>
      <c r="H202" s="5">
        <f>IFERROR(_xlfn.MINIFS(Elements!$J$2:$J$862,Elements!$B$2:$B$862,$A202,Elements!$D$2:$D$862,$B202,Elements!$E$2:$E$862,$C202,Elements!$F$2:$F$862,$D202),"")</f>
        <v/>
      </c>
      <c r="I202" s="5">
        <f>IFERROR(_xlfn.MAXIFS(Elements!$J$2:$J$862,Elements!$B$2:$B$862,$A202,Elements!$D$2:$D$862,$B202,Elements!$E$2:$E$862,$C202,Elements!$F$2:$F$862,$D202),"")</f>
        <v/>
      </c>
      <c r="J202" s="5">
        <f>IF(OR(F202="",H202=""),"",IF(OR(B202="raft",B202="sump_pit",B202="crane_foundation",D202="(none)"),"n/a",IF(OR(B202="column",B202="footing",B202="mass_concrete_pad",AND(B202="wall",C202="shear_wall",D202&lt;&gt;"(none)")),IF(AND(G202-F202&lt;=3,I202-H202&lt;=3),"yes","no"),IF(I202-H202&lt;=3,"yes (thickness)","no (thickness)"))))</f>
        <v/>
      </c>
      <c r="K202" s="6">
        <f>SUMIFS(Elements!$M$2:$M$862,Elements!$B$2:$B$862,$A202,Elements!$D$2:$D$862,$B202,Elements!$E$2:$E$862,$C202,Elements!$F$2:$F$862,$D202)</f>
        <v/>
      </c>
      <c r="L202" s="6">
        <f>SUMIFS(Elements!$L$2:$L$862,Elements!$B$2:$B$862,$A202,Elements!$D$2:$D$862,$B202,Elements!$E$2:$E$862,$C202,Elements!$F$2:$F$862,$D202)</f>
        <v/>
      </c>
      <c r="M202" s="2" t="inlineStr">
        <is>
          <t>closed outline + stipple; 60-60 x 60-60 cm; 47-91 stipple dots inside; on a grade beam 100%; at a grade-beam junction 62%</t>
        </is>
      </c>
    </row>
    <row r="203">
      <c r="A203" s="5" t="inlineStr">
        <is>
          <t>128</t>
        </is>
      </c>
      <c r="B203" s="5" t="inlineStr">
        <is>
          <t>raft</t>
        </is>
      </c>
      <c r="C203" s="5" t="inlineStr">
        <is>
          <t>raft</t>
        </is>
      </c>
      <c r="D203" s="5" t="inlineStr">
        <is>
          <t>Radier 100</t>
        </is>
      </c>
      <c r="E203" s="5">
        <f>COUNTIFS(Elements!$B$2:$B$862,$A203,Elements!$D$2:$D$862,$B203,Elements!$E$2:$E$862,$C203,Elements!$F$2:$F$862,$D203)</f>
        <v/>
      </c>
      <c r="F203" s="5">
        <f>IFERROR(_xlfn.MINIFS(Elements!$I$2:$I$862,Elements!$B$2:$B$862,$A203,Elements!$D$2:$D$862,$B203,Elements!$E$2:$E$862,$C203,Elements!$F$2:$F$862,$D203),"")</f>
        <v/>
      </c>
      <c r="G203" s="5">
        <f>IFERROR(_xlfn.MAXIFS(Elements!$I$2:$I$862,Elements!$B$2:$B$862,$A203,Elements!$D$2:$D$862,$B203,Elements!$E$2:$E$862,$C203,Elements!$F$2:$F$862,$D203),"")</f>
        <v/>
      </c>
      <c r="H203" s="5">
        <f>IFERROR(_xlfn.MINIFS(Elements!$J$2:$J$862,Elements!$B$2:$B$862,$A203,Elements!$D$2:$D$862,$B203,Elements!$E$2:$E$862,$C203,Elements!$F$2:$F$862,$D203),"")</f>
        <v/>
      </c>
      <c r="I203" s="5">
        <f>IFERROR(_xlfn.MAXIFS(Elements!$J$2:$J$862,Elements!$B$2:$B$862,$A203,Elements!$D$2:$D$862,$B203,Elements!$E$2:$E$862,$C203,Elements!$F$2:$F$862,$D203),"")</f>
        <v/>
      </c>
      <c r="J203" s="5">
        <f>IF(OR(F203="",H203=""),"",IF(OR(B203="raft",B203="sump_pit",B203="crane_foundation",D203="(none)"),"n/a",IF(OR(B203="column",B203="footing",B203="mass_concrete_pad",AND(B203="wall",C203="shear_wall",D203&lt;&gt;"(none)")),IF(AND(G203-F203&lt;=3,I203-H203&lt;=3),"yes","no"),IF(I203-H203&lt;=3,"yes (thickness)","no (thickness)"))))</f>
        <v/>
      </c>
      <c r="K203" s="6">
        <f>SUMIFS(Elements!$M$2:$M$862,Elements!$B$2:$B$862,$A203,Elements!$D$2:$D$862,$B203,Elements!$E$2:$E$862,$C203,Elements!$F$2:$F$862,$D203)</f>
        <v/>
      </c>
      <c r="L203" s="6">
        <f>SUMIFS(Elements!$L$2:$L$862,Elements!$B$2:$B$862,$A203,Elements!$D$2:$D$862,$B203,Elements!$E$2:$E$862,$C203,Elements!$F$2:$F$862,$D203)</f>
        <v/>
      </c>
      <c r="M203" s="2" t="inlineStr">
        <is>
          <t>stamp + corner diagonals; 693-1971 x 450-1020 cm; circle stamp 'Radier' + thickness; diagonals from its corners to the stamp</t>
        </is>
      </c>
    </row>
    <row r="204">
      <c r="A204" s="5" t="inlineStr">
        <is>
          <t>128</t>
        </is>
      </c>
      <c r="B204" s="5" t="inlineStr">
        <is>
          <t>strip_footing</t>
        </is>
      </c>
      <c r="C204" s="5" t="inlineStr">
        <is>
          <t>strip_footing</t>
        </is>
      </c>
      <c r="D204" s="5" t="inlineStr">
        <is>
          <t>SF1</t>
        </is>
      </c>
      <c r="E204" s="5">
        <f>COUNTIFS(Elements!$B$2:$B$862,$A204,Elements!$D$2:$D$862,$B204,Elements!$E$2:$E$862,$C204,Elements!$F$2:$F$862,$D204)</f>
        <v/>
      </c>
      <c r="F204" s="5">
        <f>IFERROR(_xlfn.MINIFS(Elements!$I$2:$I$862,Elements!$B$2:$B$862,$A204,Elements!$D$2:$D$862,$B204,Elements!$E$2:$E$862,$C204,Elements!$F$2:$F$862,$D204),"")</f>
        <v/>
      </c>
      <c r="G204" s="5">
        <f>IFERROR(_xlfn.MAXIFS(Elements!$I$2:$I$862,Elements!$B$2:$B$862,$A204,Elements!$D$2:$D$862,$B204,Elements!$E$2:$E$862,$C204,Elements!$F$2:$F$862,$D204),"")</f>
        <v/>
      </c>
      <c r="H204" s="5">
        <f>IFERROR(_xlfn.MINIFS(Elements!$J$2:$J$862,Elements!$B$2:$B$862,$A204,Elements!$D$2:$D$862,$B204,Elements!$E$2:$E$862,$C204,Elements!$F$2:$F$862,$D204),"")</f>
        <v/>
      </c>
      <c r="I204" s="5">
        <f>IFERROR(_xlfn.MAXIFS(Elements!$J$2:$J$862,Elements!$B$2:$B$862,$A204,Elements!$D$2:$D$862,$B204,Elements!$E$2:$E$862,$C204,Elements!$F$2:$F$862,$D204),"")</f>
        <v/>
      </c>
      <c r="J204" s="5">
        <f>IF(OR(F204="",H204=""),"",IF(OR(B204="raft",B204="sump_pit",B204="crane_foundation",D204="(none)"),"n/a",IF(OR(B204="column",B204="footing",B204="mass_concrete_pad",AND(B204="wall",C204="shear_wall",D204&lt;&gt;"(none)")),IF(AND(G204-F204&lt;=3,I204-H204&lt;=3),"yes","no"),IF(I204-H204&lt;=3,"yes (thickness)","no (thickness)"))))</f>
        <v/>
      </c>
      <c r="K204" s="6">
        <f>SUMIFS(Elements!$M$2:$M$862,Elements!$B$2:$B$862,$A204,Elements!$D$2:$D$862,$B204,Elements!$E$2:$E$862,$C204,Elements!$F$2:$F$862,$D204)</f>
        <v/>
      </c>
      <c r="L204" s="6">
        <f>SUMIFS(Elements!$L$2:$L$862,Elements!$B$2:$B$862,$A204,Elements!$D$2:$D$862,$B204,Elements!$E$2:$E$862,$C204,Elements!$F$2:$F$862,$D204)</f>
        <v/>
      </c>
      <c r="M204" s="2" t="inlineStr">
        <is>
          <t>parallel line pair; 75-5798 x 80-120 cm; width stated in its label</t>
        </is>
      </c>
    </row>
    <row r="205">
      <c r="A205" s="5" t="inlineStr">
        <is>
          <t>128</t>
        </is>
      </c>
      <c r="B205" s="5" t="inlineStr">
        <is>
          <t>strip_footing</t>
        </is>
      </c>
      <c r="C205" s="5" t="inlineStr">
        <is>
          <t>strip_footing</t>
        </is>
      </c>
      <c r="D205" s="5" t="inlineStr">
        <is>
          <t>SF4</t>
        </is>
      </c>
      <c r="E205" s="5">
        <f>COUNTIFS(Elements!$B$2:$B$862,$A205,Elements!$D$2:$D$862,$B205,Elements!$E$2:$E$862,$C205,Elements!$F$2:$F$862,$D205)</f>
        <v/>
      </c>
      <c r="F205" s="5">
        <f>IFERROR(_xlfn.MINIFS(Elements!$I$2:$I$862,Elements!$B$2:$B$862,$A205,Elements!$D$2:$D$862,$B205,Elements!$E$2:$E$862,$C205,Elements!$F$2:$F$862,$D205),"")</f>
        <v/>
      </c>
      <c r="G205" s="5">
        <f>IFERROR(_xlfn.MAXIFS(Elements!$I$2:$I$862,Elements!$B$2:$B$862,$A205,Elements!$D$2:$D$862,$B205,Elements!$E$2:$E$862,$C205,Elements!$F$2:$F$862,$D205),"")</f>
        <v/>
      </c>
      <c r="H205" s="5">
        <f>IFERROR(_xlfn.MINIFS(Elements!$J$2:$J$862,Elements!$B$2:$B$862,$A205,Elements!$D$2:$D$862,$B205,Elements!$E$2:$E$862,$C205,Elements!$F$2:$F$862,$D205),"")</f>
        <v/>
      </c>
      <c r="I205" s="5">
        <f>IFERROR(_xlfn.MAXIFS(Elements!$J$2:$J$862,Elements!$B$2:$B$862,$A205,Elements!$D$2:$D$862,$B205,Elements!$E$2:$E$862,$C205,Elements!$F$2:$F$862,$D205),"")</f>
        <v/>
      </c>
      <c r="J205" s="5">
        <f>IF(OR(F205="",H205=""),"",IF(OR(B205="raft",B205="sump_pit",B205="crane_foundation",D205="(none)"),"n/a",IF(OR(B205="column",B205="footing",B205="mass_concrete_pad",AND(B205="wall",C205="shear_wall",D205&lt;&gt;"(none)")),IF(AND(G205-F205&lt;=3,I205-H205&lt;=3),"yes","no"),IF(I205-H205&lt;=3,"yes (thickness)","no (thickness)"))))</f>
        <v/>
      </c>
      <c r="K205" s="6">
        <f>SUMIFS(Elements!$M$2:$M$862,Elements!$B$2:$B$862,$A205,Elements!$D$2:$D$862,$B205,Elements!$E$2:$E$862,$C205,Elements!$F$2:$F$862,$D205)</f>
        <v/>
      </c>
      <c r="L205" s="6">
        <f>SUMIFS(Elements!$L$2:$L$862,Elements!$B$2:$B$862,$A205,Elements!$D$2:$D$862,$B205,Elements!$E$2:$E$862,$C205,Elements!$F$2:$F$862,$D205)</f>
        <v/>
      </c>
      <c r="M205" s="2" t="inlineStr">
        <is>
          <t>parallel line pair; 75-5798 x 80-120 cm; width stated in its label</t>
        </is>
      </c>
    </row>
    <row r="206">
      <c r="A206" s="5" t="inlineStr">
        <is>
          <t>128</t>
        </is>
      </c>
      <c r="B206" s="5" t="inlineStr">
        <is>
          <t>sump_pit</t>
        </is>
      </c>
      <c r="C206" s="5" t="inlineStr">
        <is>
          <t>sump_pit</t>
        </is>
      </c>
      <c r="D206" s="5" t="inlineStr">
        <is>
          <t>Fosse 2.00x1.50x1.50</t>
        </is>
      </c>
      <c r="E206" s="5">
        <f>COUNTIFS(Elements!$B$2:$B$862,$A206,Elements!$D$2:$D$862,$B206,Elements!$E$2:$E$862,$C206,Elements!$F$2:$F$862,$D206)</f>
        <v/>
      </c>
      <c r="F206" s="5">
        <f>IFERROR(_xlfn.MINIFS(Elements!$I$2:$I$862,Elements!$B$2:$B$862,$A206,Elements!$D$2:$D$862,$B206,Elements!$E$2:$E$862,$C206,Elements!$F$2:$F$862,$D206),"")</f>
        <v/>
      </c>
      <c r="G206" s="5">
        <f>IFERROR(_xlfn.MAXIFS(Elements!$I$2:$I$862,Elements!$B$2:$B$862,$A206,Elements!$D$2:$D$862,$B206,Elements!$E$2:$E$862,$C206,Elements!$F$2:$F$862,$D206),"")</f>
        <v/>
      </c>
      <c r="H206" s="5">
        <f>IFERROR(_xlfn.MINIFS(Elements!$J$2:$J$862,Elements!$B$2:$B$862,$A206,Elements!$D$2:$D$862,$B206,Elements!$E$2:$E$862,$C206,Elements!$F$2:$F$862,$D206),"")</f>
        <v/>
      </c>
      <c r="I206" s="5">
        <f>IFERROR(_xlfn.MAXIFS(Elements!$J$2:$J$862,Elements!$B$2:$B$862,$A206,Elements!$D$2:$D$862,$B206,Elements!$E$2:$E$862,$C206,Elements!$F$2:$F$862,$D206),"")</f>
        <v/>
      </c>
      <c r="J206" s="5">
        <f>IF(OR(F206="",H206=""),"",IF(OR(B206="raft",B206="sump_pit",B206="crane_foundation",D206="(none)"),"n/a",IF(OR(B206="column",B206="footing",B206="mass_concrete_pad",AND(B206="wall",C206="shear_wall",D206&lt;&gt;"(none)")),IF(AND(G206-F206&lt;=3,I206-H206&lt;=3),"yes","no"),IF(I206-H206&lt;=3,"yes (thickness)","no (thickness)"))))</f>
        <v/>
      </c>
      <c r="K206" s="6">
        <f>SUMIFS(Elements!$M$2:$M$862,Elements!$B$2:$B$862,$A206,Elements!$D$2:$D$862,$B206,Elements!$E$2:$E$862,$C206,Elements!$F$2:$F$862,$D206)</f>
        <v/>
      </c>
      <c r="L206" s="6">
        <f>SUMIFS(Elements!$L$2:$L$862,Elements!$B$2:$B$862,$A206,Elements!$D$2:$D$862,$B206,Elements!$E$2:$E$862,$C206,Elements!$F$2:$F$862,$D206)</f>
        <v/>
      </c>
      <c r="M206" s="2" t="inlineStr">
        <is>
          <t>text; 200-200 x 150-150 cm; 'FOSSE DE RELEVAGE' text with LxWxH, 'RADIER 25' stamp</t>
        </is>
      </c>
    </row>
    <row r="207">
      <c r="A207" s="5" t="inlineStr">
        <is>
          <t>128</t>
        </is>
      </c>
      <c r="B207" s="5" t="inlineStr">
        <is>
          <t>wall</t>
        </is>
      </c>
      <c r="C207" s="5" t="inlineStr">
        <is>
          <t>core_wall_hatched</t>
        </is>
      </c>
      <c r="D207" s="5" t="inlineStr">
        <is>
          <t>(none)</t>
        </is>
      </c>
      <c r="E207" s="5">
        <f>COUNTIFS(Elements!$B$2:$B$862,$A207,Elements!$D$2:$D$862,$B207,Elements!$E$2:$E$862,$C207,Elements!$F$2:$F$862,$D207)</f>
        <v/>
      </c>
      <c r="F207" s="5">
        <f>IFERROR(_xlfn.MINIFS(Elements!$I$2:$I$862,Elements!$B$2:$B$862,$A207,Elements!$D$2:$D$862,$B207,Elements!$E$2:$E$862,$C207,Elements!$F$2:$F$862,$D207),"")</f>
        <v/>
      </c>
      <c r="G207" s="5">
        <f>IFERROR(_xlfn.MAXIFS(Elements!$I$2:$I$862,Elements!$B$2:$B$862,$A207,Elements!$D$2:$D$862,$B207,Elements!$E$2:$E$862,$C207,Elements!$F$2:$F$862,$D207),"")</f>
        <v/>
      </c>
      <c r="H207" s="5">
        <f>IFERROR(_xlfn.MINIFS(Elements!$J$2:$J$862,Elements!$B$2:$B$862,$A207,Elements!$D$2:$D$862,$B207,Elements!$E$2:$E$862,$C207,Elements!$F$2:$F$862,$D207),"")</f>
        <v/>
      </c>
      <c r="I207" s="5">
        <f>IFERROR(_xlfn.MAXIFS(Elements!$J$2:$J$862,Elements!$B$2:$B$862,$A207,Elements!$D$2:$D$862,$B207,Elements!$E$2:$E$862,$C207,Elements!$F$2:$F$862,$D207),"")</f>
        <v/>
      </c>
      <c r="J207" s="5">
        <f>IF(OR(F207="",H207=""),"",IF(OR(B207="raft",B207="sump_pit",B207="crane_foundation",D207="(none)"),"n/a",IF(OR(B207="column",B207="footing",B207="mass_concrete_pad",AND(B207="wall",C207="shear_wall",D207&lt;&gt;"(none)")),IF(AND(G207-F207&lt;=3,I207-H207&lt;=3),"yes","no"),IF(I207-H207&lt;=3,"yes (thickness)","no (thickness)"))))</f>
        <v/>
      </c>
      <c r="K207" s="6">
        <f>SUMIFS(Elements!$M$2:$M$862,Elements!$B$2:$B$862,$A207,Elements!$D$2:$D$862,$B207,Elements!$E$2:$E$862,$C207,Elements!$F$2:$F$862,$D207)</f>
        <v/>
      </c>
      <c r="L207" s="6">
        <f>SUMIFS(Elements!$L$2:$L$862,Elements!$B$2:$B$862,$A207,Elements!$D$2:$D$862,$B207,Elements!$E$2:$E$862,$C207,Elements!$F$2:$F$862,$D207)</f>
        <v/>
      </c>
      <c r="M207" s="2" t="inlineStr">
        <is>
          <t>cross-hatch; 94-1044 x 20-25 cm; L/W 4.70-52.20; hatch strokes [0.24, 0.25, 0.28] m at +/-45 deg; thickness = local spread of stroke ends; on a raft 100%; no V label</t>
        </is>
      </c>
    </row>
    <row r="208">
      <c r="A208" s="5" t="inlineStr">
        <is>
          <t>128</t>
        </is>
      </c>
      <c r="B208" s="5" t="inlineStr">
        <is>
          <t>wall</t>
        </is>
      </c>
      <c r="C208" s="5" t="inlineStr">
        <is>
          <t>core_wall_solid</t>
        </is>
      </c>
      <c r="D208" s="5" t="inlineStr">
        <is>
          <t>(none)</t>
        </is>
      </c>
      <c r="E208" s="5">
        <f>COUNTIFS(Elements!$B$2:$B$862,$A208,Elements!$D$2:$D$862,$B208,Elements!$E$2:$E$862,$C208,Elements!$F$2:$F$862,$D208)</f>
        <v/>
      </c>
      <c r="F208" s="5">
        <f>IFERROR(_xlfn.MINIFS(Elements!$I$2:$I$862,Elements!$B$2:$B$862,$A208,Elements!$D$2:$D$862,$B208,Elements!$E$2:$E$862,$C208,Elements!$F$2:$F$862,$D208),"")</f>
        <v/>
      </c>
      <c r="G208" s="5">
        <f>IFERROR(_xlfn.MAXIFS(Elements!$I$2:$I$862,Elements!$B$2:$B$862,$A208,Elements!$D$2:$D$862,$B208,Elements!$E$2:$E$862,$C208,Elements!$F$2:$F$862,$D208),"")</f>
        <v/>
      </c>
      <c r="H208" s="5">
        <f>IFERROR(_xlfn.MINIFS(Elements!$J$2:$J$862,Elements!$B$2:$B$862,$A208,Elements!$D$2:$D$862,$B208,Elements!$E$2:$E$862,$C208,Elements!$F$2:$F$862,$D208),"")</f>
        <v/>
      </c>
      <c r="I208" s="5">
        <f>IFERROR(_xlfn.MAXIFS(Elements!$J$2:$J$862,Elements!$B$2:$B$862,$A208,Elements!$D$2:$D$862,$B208,Elements!$E$2:$E$862,$C208,Elements!$F$2:$F$862,$D208),"")</f>
        <v/>
      </c>
      <c r="J208" s="5">
        <f>IF(OR(F208="",H208=""),"",IF(OR(B208="raft",B208="sump_pit",B208="crane_foundation",D208="(none)"),"n/a",IF(OR(B208="column",B208="footing",B208="mass_concrete_pad",AND(B208="wall",C208="shear_wall",D208&lt;&gt;"(none)")),IF(AND(G208-F208&lt;=3,I208-H208&lt;=3),"yes","no"),IF(I208-H208&lt;=3,"yes (thickness)","no (thickness)"))))</f>
        <v/>
      </c>
      <c r="K208" s="6">
        <f>SUMIFS(Elements!$M$2:$M$862,Elements!$B$2:$B$862,$A208,Elements!$D$2:$D$862,$B208,Elements!$E$2:$E$862,$C208,Elements!$F$2:$F$862,$D208)</f>
        <v/>
      </c>
      <c r="L208" s="6">
        <f>SUMIFS(Elements!$L$2:$L$862,Elements!$B$2:$B$862,$A208,Elements!$D$2:$D$862,$B208,Elements!$E$2:$E$862,$C208,Elements!$F$2:$F$862,$D208)</f>
        <v/>
      </c>
      <c r="M208" s="2" t="inlineStr">
        <is>
          <t>solid fill; 39-816 x 20-30 cm; L/W 1.81-36.95; inside a footing outline 0%; on a raft 100%; touching a hatched core wall 24%; in a strip-footing band 0%; at a grade-beam junction 0%</t>
        </is>
      </c>
    </row>
    <row r="209">
      <c r="A209" s="5" t="inlineStr">
        <is>
          <t>128</t>
        </is>
      </c>
      <c r="B209" s="5" t="inlineStr">
        <is>
          <t>wall</t>
        </is>
      </c>
      <c r="C209" s="5" t="inlineStr">
        <is>
          <t>retaining_wall</t>
        </is>
      </c>
      <c r="D209" s="5" t="inlineStr">
        <is>
          <t>VP20</t>
        </is>
      </c>
      <c r="E209" s="5">
        <f>COUNTIFS(Elements!$B$2:$B$862,$A209,Elements!$D$2:$D$862,$B209,Elements!$E$2:$E$862,$C209,Elements!$F$2:$F$862,$D209)</f>
        <v/>
      </c>
      <c r="F209" s="5">
        <f>IFERROR(_xlfn.MINIFS(Elements!$I$2:$I$862,Elements!$B$2:$B$862,$A209,Elements!$D$2:$D$862,$B209,Elements!$E$2:$E$862,$C209,Elements!$F$2:$F$862,$D209),"")</f>
        <v/>
      </c>
      <c r="G209" s="5">
        <f>IFERROR(_xlfn.MAXIFS(Elements!$I$2:$I$862,Elements!$B$2:$B$862,$A209,Elements!$D$2:$D$862,$B209,Elements!$E$2:$E$862,$C209,Elements!$F$2:$F$862,$D209),"")</f>
        <v/>
      </c>
      <c r="H209" s="5">
        <f>IFERROR(_xlfn.MINIFS(Elements!$J$2:$J$862,Elements!$B$2:$B$862,$A209,Elements!$D$2:$D$862,$B209,Elements!$E$2:$E$862,$C209,Elements!$F$2:$F$862,$D209),"")</f>
        <v/>
      </c>
      <c r="I209" s="5">
        <f>IFERROR(_xlfn.MAXIFS(Elements!$J$2:$J$862,Elements!$B$2:$B$862,$A209,Elements!$D$2:$D$862,$B209,Elements!$E$2:$E$862,$C209,Elements!$F$2:$F$862,$D209),"")</f>
        <v/>
      </c>
      <c r="J209" s="5">
        <f>IF(OR(F209="",H209=""),"",IF(OR(B209="raft",B209="sump_pit",B209="crane_foundation",D209="(none)"),"n/a",IF(OR(B209="column",B209="footing",B209="mass_concrete_pad",AND(B209="wall",C209="shear_wall",D209&lt;&gt;"(none)")),IF(AND(G209-F209&lt;=3,I209-H209&lt;=3),"yes","no"),IF(I209-H209&lt;=3,"yes (thickness)","no (thickness)"))))</f>
        <v/>
      </c>
      <c r="K209" s="6">
        <f>SUMIFS(Elements!$M$2:$M$862,Elements!$B$2:$B$862,$A209,Elements!$D$2:$D$862,$B209,Elements!$E$2:$E$862,$C209,Elements!$F$2:$F$862,$D209)</f>
        <v/>
      </c>
      <c r="L209" s="6">
        <f>SUMIFS(Elements!$L$2:$L$862,Elements!$B$2:$B$862,$A209,Elements!$D$2:$D$862,$B209,Elements!$E$2:$E$862,$C209,Elements!$F$2:$F$862,$D209)</f>
        <v/>
      </c>
      <c r="M209" s="2" t="inlineStr">
        <is>
          <t>solid fill; 34-2869 x 20-30 cm; L/W 1.70-143.45; inside a footing outline 5%; on a raft 29%; touching a hatched core wall 12%; in a strip-footing band 69%; at a grade-beam junction 20%</t>
        </is>
      </c>
    </row>
    <row r="210">
      <c r="A210" s="5" t="inlineStr">
        <is>
          <t>128</t>
        </is>
      </c>
      <c r="B210" s="5" t="inlineStr">
        <is>
          <t>wall</t>
        </is>
      </c>
      <c r="C210" s="5" t="inlineStr">
        <is>
          <t>shear_wall</t>
        </is>
      </c>
      <c r="D210" s="5" t="inlineStr">
        <is>
          <t>(none)</t>
        </is>
      </c>
      <c r="E210" s="5">
        <f>COUNTIFS(Elements!$B$2:$B$862,$A210,Elements!$D$2:$D$862,$B210,Elements!$E$2:$E$862,$C210,Elements!$F$2:$F$862,$D210)</f>
        <v/>
      </c>
      <c r="F210" s="5">
        <f>IFERROR(_xlfn.MINIFS(Elements!$I$2:$I$862,Elements!$B$2:$B$862,$A210,Elements!$D$2:$D$862,$B210,Elements!$E$2:$E$862,$C210,Elements!$F$2:$F$862,$D210),"")</f>
        <v/>
      </c>
      <c r="G210" s="5">
        <f>IFERROR(_xlfn.MAXIFS(Elements!$I$2:$I$862,Elements!$B$2:$B$862,$A210,Elements!$D$2:$D$862,$B210,Elements!$E$2:$E$862,$C210,Elements!$F$2:$F$862,$D210),"")</f>
        <v/>
      </c>
      <c r="H210" s="5">
        <f>IFERROR(_xlfn.MINIFS(Elements!$J$2:$J$862,Elements!$B$2:$B$862,$A210,Elements!$D$2:$D$862,$B210,Elements!$E$2:$E$862,$C210,Elements!$F$2:$F$862,$D210),"")</f>
        <v/>
      </c>
      <c r="I210" s="5">
        <f>IFERROR(_xlfn.MAXIFS(Elements!$J$2:$J$862,Elements!$B$2:$B$862,$A210,Elements!$D$2:$D$862,$B210,Elements!$E$2:$E$862,$C210,Elements!$F$2:$F$862,$D210),"")</f>
        <v/>
      </c>
      <c r="J210" s="5">
        <f>IF(OR(F210="",H210=""),"",IF(OR(B210="raft",B210="sump_pit",B210="crane_foundation",D210="(none)"),"n/a",IF(OR(B210="column",B210="footing",B210="mass_concrete_pad",AND(B210="wall",C210="shear_wall",D210&lt;&gt;"(none)")),IF(AND(G210-F210&lt;=3,I210-H210&lt;=3),"yes","no"),IF(I210-H210&lt;=3,"yes (thickness)","no (thickness)"))))</f>
        <v/>
      </c>
      <c r="K210" s="6">
        <f>SUMIFS(Elements!$M$2:$M$862,Elements!$B$2:$B$862,$A210,Elements!$D$2:$D$862,$B210,Elements!$E$2:$E$862,$C210,Elements!$F$2:$F$862,$D210)</f>
        <v/>
      </c>
      <c r="L210" s="6">
        <f>SUMIFS(Elements!$L$2:$L$862,Elements!$B$2:$B$862,$A210,Elements!$D$2:$D$862,$B210,Elements!$E$2:$E$862,$C210,Elements!$F$2:$F$862,$D210)</f>
        <v/>
      </c>
      <c r="M210" s="2" t="inlineStr">
        <is>
          <t>solid fill; 87-1849 x 20-30 cm; L/W 4.17-92.45; inside a footing outline 72%; on a raft 10%; touching a hatched core wall 1%; in a strip-footing band 5%; at a grade-beam junction 51%</t>
        </is>
      </c>
    </row>
    <row r="211">
      <c r="A211" s="5" t="inlineStr">
        <is>
          <t>128</t>
        </is>
      </c>
      <c r="B211" s="5" t="inlineStr">
        <is>
          <t>wall</t>
        </is>
      </c>
      <c r="C211" s="5" t="inlineStr">
        <is>
          <t>shear_wall</t>
        </is>
      </c>
      <c r="D211" s="5" t="inlineStr">
        <is>
          <t>V3/128</t>
        </is>
      </c>
      <c r="E211" s="5">
        <f>COUNTIFS(Elements!$B$2:$B$862,$A211,Elements!$D$2:$D$862,$B211,Elements!$E$2:$E$862,$C211,Elements!$F$2:$F$862,$D211)</f>
        <v/>
      </c>
      <c r="F211" s="5">
        <f>IFERROR(_xlfn.MINIFS(Elements!$I$2:$I$862,Elements!$B$2:$B$862,$A211,Elements!$D$2:$D$862,$B211,Elements!$E$2:$E$862,$C211,Elements!$F$2:$F$862,$D211),"")</f>
        <v/>
      </c>
      <c r="G211" s="5">
        <f>IFERROR(_xlfn.MAXIFS(Elements!$I$2:$I$862,Elements!$B$2:$B$862,$A211,Elements!$D$2:$D$862,$B211,Elements!$E$2:$E$862,$C211,Elements!$F$2:$F$862,$D211),"")</f>
        <v/>
      </c>
      <c r="H211" s="5">
        <f>IFERROR(_xlfn.MINIFS(Elements!$J$2:$J$862,Elements!$B$2:$B$862,$A211,Elements!$D$2:$D$862,$B211,Elements!$E$2:$E$862,$C211,Elements!$F$2:$F$862,$D211),"")</f>
        <v/>
      </c>
      <c r="I211" s="5">
        <f>IFERROR(_xlfn.MAXIFS(Elements!$J$2:$J$862,Elements!$B$2:$B$862,$A211,Elements!$D$2:$D$862,$B211,Elements!$E$2:$E$862,$C211,Elements!$F$2:$F$862,$D211),"")</f>
        <v/>
      </c>
      <c r="J211" s="5">
        <f>IF(OR(F211="",H211=""),"",IF(OR(B211="raft",B211="sump_pit",B211="crane_foundation",D211="(none)"),"n/a",IF(OR(B211="column",B211="footing",B211="mass_concrete_pad",AND(B211="wall",C211="shear_wall",D211&lt;&gt;"(none)")),IF(AND(G211-F211&lt;=3,I211-H211&lt;=3),"yes","no"),IF(I211-H211&lt;=3,"yes (thickness)","no (thickness)"))))</f>
        <v/>
      </c>
      <c r="K211" s="6">
        <f>SUMIFS(Elements!$M$2:$M$862,Elements!$B$2:$B$862,$A211,Elements!$D$2:$D$862,$B211,Elements!$E$2:$E$862,$C211,Elements!$F$2:$F$862,$D211)</f>
        <v/>
      </c>
      <c r="L211" s="6">
        <f>SUMIFS(Elements!$L$2:$L$862,Elements!$B$2:$B$862,$A211,Elements!$D$2:$D$862,$B211,Elements!$E$2:$E$862,$C211,Elements!$F$2:$F$862,$D211)</f>
        <v/>
      </c>
      <c r="M211" s="2" t="inlineStr">
        <is>
          <t>solid fill; 87-1849 x 20-30 cm; L/W 4.17-92.45; inside a footing outline 72%; on a raft 10%; touching a hatched core wall 1%; in a strip-footing band 5%; at a grade-beam junction 51%</t>
        </is>
      </c>
    </row>
    <row r="212">
      <c r="A212" s="5" t="inlineStr">
        <is>
          <t>128</t>
        </is>
      </c>
      <c r="B212" s="5" t="inlineStr">
        <is>
          <t>wall</t>
        </is>
      </c>
      <c r="C212" s="5" t="inlineStr">
        <is>
          <t>shear_wall</t>
        </is>
      </c>
      <c r="D212" s="5" t="inlineStr">
        <is>
          <t>V4/128</t>
        </is>
      </c>
      <c r="E212" s="5">
        <f>COUNTIFS(Elements!$B$2:$B$862,$A212,Elements!$D$2:$D$862,$B212,Elements!$E$2:$E$862,$C212,Elements!$F$2:$F$862,$D212)</f>
        <v/>
      </c>
      <c r="F212" s="5">
        <f>IFERROR(_xlfn.MINIFS(Elements!$I$2:$I$862,Elements!$B$2:$B$862,$A212,Elements!$D$2:$D$862,$B212,Elements!$E$2:$E$862,$C212,Elements!$F$2:$F$862,$D212),"")</f>
        <v/>
      </c>
      <c r="G212" s="5">
        <f>IFERROR(_xlfn.MAXIFS(Elements!$I$2:$I$862,Elements!$B$2:$B$862,$A212,Elements!$D$2:$D$862,$B212,Elements!$E$2:$E$862,$C212,Elements!$F$2:$F$862,$D212),"")</f>
        <v/>
      </c>
      <c r="H212" s="5">
        <f>IFERROR(_xlfn.MINIFS(Elements!$J$2:$J$862,Elements!$B$2:$B$862,$A212,Elements!$D$2:$D$862,$B212,Elements!$E$2:$E$862,$C212,Elements!$F$2:$F$862,$D212),"")</f>
        <v/>
      </c>
      <c r="I212" s="5">
        <f>IFERROR(_xlfn.MAXIFS(Elements!$J$2:$J$862,Elements!$B$2:$B$862,$A212,Elements!$D$2:$D$862,$B212,Elements!$E$2:$E$862,$C212,Elements!$F$2:$F$862,$D212),"")</f>
        <v/>
      </c>
      <c r="J212" s="5">
        <f>IF(OR(F212="",H212=""),"",IF(OR(B212="raft",B212="sump_pit",B212="crane_foundation",D212="(none)"),"n/a",IF(OR(B212="column",B212="footing",B212="mass_concrete_pad",AND(B212="wall",C212="shear_wall",D212&lt;&gt;"(none)")),IF(AND(G212-F212&lt;=3,I212-H212&lt;=3),"yes","no"),IF(I212-H212&lt;=3,"yes (thickness)","no (thickness)"))))</f>
        <v/>
      </c>
      <c r="K212" s="6">
        <f>SUMIFS(Elements!$M$2:$M$862,Elements!$B$2:$B$862,$A212,Elements!$D$2:$D$862,$B212,Elements!$E$2:$E$862,$C212,Elements!$F$2:$F$862,$D212)</f>
        <v/>
      </c>
      <c r="L212" s="6">
        <f>SUMIFS(Elements!$L$2:$L$862,Elements!$B$2:$B$862,$A212,Elements!$D$2:$D$862,$B212,Elements!$E$2:$E$862,$C212,Elements!$F$2:$F$862,$D212)</f>
        <v/>
      </c>
      <c r="M212" s="2" t="inlineStr">
        <is>
          <t>solid fill; 87-1849 x 20-30 cm; L/W 4.17-92.45; inside a footing outline 72%; on a raft 10%; touching a hatched core wall 1%; in a strip-footing band 5%; at a grade-beam junction 51%</t>
        </is>
      </c>
    </row>
    <row r="213">
      <c r="A213" s="5" t="inlineStr">
        <is>
          <t>128</t>
        </is>
      </c>
      <c r="B213" s="5" t="inlineStr">
        <is>
          <t>wall</t>
        </is>
      </c>
      <c r="C213" s="5" t="inlineStr">
        <is>
          <t>shear_wall</t>
        </is>
      </c>
      <c r="D213" s="5" t="inlineStr">
        <is>
          <t>V5/128</t>
        </is>
      </c>
      <c r="E213" s="5">
        <f>COUNTIFS(Elements!$B$2:$B$862,$A213,Elements!$D$2:$D$862,$B213,Elements!$E$2:$E$862,$C213,Elements!$F$2:$F$862,$D213)</f>
        <v/>
      </c>
      <c r="F213" s="5">
        <f>IFERROR(_xlfn.MINIFS(Elements!$I$2:$I$862,Elements!$B$2:$B$862,$A213,Elements!$D$2:$D$862,$B213,Elements!$E$2:$E$862,$C213,Elements!$F$2:$F$862,$D213),"")</f>
        <v/>
      </c>
      <c r="G213" s="5">
        <f>IFERROR(_xlfn.MAXIFS(Elements!$I$2:$I$862,Elements!$B$2:$B$862,$A213,Elements!$D$2:$D$862,$B213,Elements!$E$2:$E$862,$C213,Elements!$F$2:$F$862,$D213),"")</f>
        <v/>
      </c>
      <c r="H213" s="5">
        <f>IFERROR(_xlfn.MINIFS(Elements!$J$2:$J$862,Elements!$B$2:$B$862,$A213,Elements!$D$2:$D$862,$B213,Elements!$E$2:$E$862,$C213,Elements!$F$2:$F$862,$D213),"")</f>
        <v/>
      </c>
      <c r="I213" s="5">
        <f>IFERROR(_xlfn.MAXIFS(Elements!$J$2:$J$862,Elements!$B$2:$B$862,$A213,Elements!$D$2:$D$862,$B213,Elements!$E$2:$E$862,$C213,Elements!$F$2:$F$862,$D213),"")</f>
        <v/>
      </c>
      <c r="J213" s="5">
        <f>IF(OR(F213="",H213=""),"",IF(OR(B213="raft",B213="sump_pit",B213="crane_foundation",D213="(none)"),"n/a",IF(OR(B213="column",B213="footing",B213="mass_concrete_pad",AND(B213="wall",C213="shear_wall",D213&lt;&gt;"(none)")),IF(AND(G213-F213&lt;=3,I213-H213&lt;=3),"yes","no"),IF(I213-H213&lt;=3,"yes (thickness)","no (thickness)"))))</f>
        <v/>
      </c>
      <c r="K213" s="6">
        <f>SUMIFS(Elements!$M$2:$M$862,Elements!$B$2:$B$862,$A213,Elements!$D$2:$D$862,$B213,Elements!$E$2:$E$862,$C213,Elements!$F$2:$F$862,$D213)</f>
        <v/>
      </c>
      <c r="L213" s="6">
        <f>SUMIFS(Elements!$L$2:$L$862,Elements!$B$2:$B$862,$A213,Elements!$D$2:$D$862,$B213,Elements!$E$2:$E$862,$C213,Elements!$F$2:$F$862,$D213)</f>
        <v/>
      </c>
      <c r="M213" s="2" t="inlineStr">
        <is>
          <t>solid fill; 87-1849 x 20-30 cm; L/W 4.17-92.45; inside a footing outline 72%; on a raft 10%; touching a hatched core wall 1%; in a strip-footing band 5%; at a grade-beam junction 51%</t>
        </is>
      </c>
    </row>
    <row r="214">
      <c r="A214" s="5" t="inlineStr">
        <is>
          <t>128</t>
        </is>
      </c>
      <c r="B214" s="5" t="inlineStr">
        <is>
          <t>wall</t>
        </is>
      </c>
      <c r="C214" s="5" t="inlineStr">
        <is>
          <t>shear_wall</t>
        </is>
      </c>
      <c r="D214" s="5" t="inlineStr">
        <is>
          <t>V6/128</t>
        </is>
      </c>
      <c r="E214" s="5">
        <f>COUNTIFS(Elements!$B$2:$B$862,$A214,Elements!$D$2:$D$862,$B214,Elements!$E$2:$E$862,$C214,Elements!$F$2:$F$862,$D214)</f>
        <v/>
      </c>
      <c r="F214" s="5">
        <f>IFERROR(_xlfn.MINIFS(Elements!$I$2:$I$862,Elements!$B$2:$B$862,$A214,Elements!$D$2:$D$862,$B214,Elements!$E$2:$E$862,$C214,Elements!$F$2:$F$862,$D214),"")</f>
        <v/>
      </c>
      <c r="G214" s="5">
        <f>IFERROR(_xlfn.MAXIFS(Elements!$I$2:$I$862,Elements!$B$2:$B$862,$A214,Elements!$D$2:$D$862,$B214,Elements!$E$2:$E$862,$C214,Elements!$F$2:$F$862,$D214),"")</f>
        <v/>
      </c>
      <c r="H214" s="5">
        <f>IFERROR(_xlfn.MINIFS(Elements!$J$2:$J$862,Elements!$B$2:$B$862,$A214,Elements!$D$2:$D$862,$B214,Elements!$E$2:$E$862,$C214,Elements!$F$2:$F$862,$D214),"")</f>
        <v/>
      </c>
      <c r="I214" s="5">
        <f>IFERROR(_xlfn.MAXIFS(Elements!$J$2:$J$862,Elements!$B$2:$B$862,$A214,Elements!$D$2:$D$862,$B214,Elements!$E$2:$E$862,$C214,Elements!$F$2:$F$862,$D214),"")</f>
        <v/>
      </c>
      <c r="J214" s="5">
        <f>IF(OR(F214="",H214=""),"",IF(OR(B214="raft",B214="sump_pit",B214="crane_foundation",D214="(none)"),"n/a",IF(OR(B214="column",B214="footing",B214="mass_concrete_pad",AND(B214="wall",C214="shear_wall",D214&lt;&gt;"(none)")),IF(AND(G214-F214&lt;=3,I214-H214&lt;=3),"yes","no"),IF(I214-H214&lt;=3,"yes (thickness)","no (thickness)"))))</f>
        <v/>
      </c>
      <c r="K214" s="6">
        <f>SUMIFS(Elements!$M$2:$M$862,Elements!$B$2:$B$862,$A214,Elements!$D$2:$D$862,$B214,Elements!$E$2:$E$862,$C214,Elements!$F$2:$F$862,$D214)</f>
        <v/>
      </c>
      <c r="L214" s="6">
        <f>SUMIFS(Elements!$L$2:$L$862,Elements!$B$2:$B$862,$A214,Elements!$D$2:$D$862,$B214,Elements!$E$2:$E$862,$C214,Elements!$F$2:$F$862,$D214)</f>
        <v/>
      </c>
      <c r="M214" s="2" t="inlineStr">
        <is>
          <t>solid fill; 87-1849 x 20-30 cm; L/W 4.17-92.45; inside a footing outline 72%; on a raft 10%; touching a hatched core wall 1%; in a strip-footing band 5%; at a grade-beam junction 51%</t>
        </is>
      </c>
    </row>
    <row r="215">
      <c r="A215" s="5" t="inlineStr">
        <is>
          <t>128</t>
        </is>
      </c>
      <c r="B215" s="5" t="inlineStr">
        <is>
          <t>wall</t>
        </is>
      </c>
      <c r="C215" s="5" t="inlineStr">
        <is>
          <t>shear_wall</t>
        </is>
      </c>
      <c r="D215" s="5" t="inlineStr">
        <is>
          <t>V7a/128</t>
        </is>
      </c>
      <c r="E215" s="5">
        <f>COUNTIFS(Elements!$B$2:$B$862,$A215,Elements!$D$2:$D$862,$B215,Elements!$E$2:$E$862,$C215,Elements!$F$2:$F$862,$D215)</f>
        <v/>
      </c>
      <c r="F215" s="5">
        <f>IFERROR(_xlfn.MINIFS(Elements!$I$2:$I$862,Elements!$B$2:$B$862,$A215,Elements!$D$2:$D$862,$B215,Elements!$E$2:$E$862,$C215,Elements!$F$2:$F$862,$D215),"")</f>
        <v/>
      </c>
      <c r="G215" s="5">
        <f>IFERROR(_xlfn.MAXIFS(Elements!$I$2:$I$862,Elements!$B$2:$B$862,$A215,Elements!$D$2:$D$862,$B215,Elements!$E$2:$E$862,$C215,Elements!$F$2:$F$862,$D215),"")</f>
        <v/>
      </c>
      <c r="H215" s="5">
        <f>IFERROR(_xlfn.MINIFS(Elements!$J$2:$J$862,Elements!$B$2:$B$862,$A215,Elements!$D$2:$D$862,$B215,Elements!$E$2:$E$862,$C215,Elements!$F$2:$F$862,$D215),"")</f>
        <v/>
      </c>
      <c r="I215" s="5">
        <f>IFERROR(_xlfn.MAXIFS(Elements!$J$2:$J$862,Elements!$B$2:$B$862,$A215,Elements!$D$2:$D$862,$B215,Elements!$E$2:$E$862,$C215,Elements!$F$2:$F$862,$D215),"")</f>
        <v/>
      </c>
      <c r="J215" s="5">
        <f>IF(OR(F215="",H215=""),"",IF(OR(B215="raft",B215="sump_pit",B215="crane_foundation",D215="(none)"),"n/a",IF(OR(B215="column",B215="footing",B215="mass_concrete_pad",AND(B215="wall",C215="shear_wall",D215&lt;&gt;"(none)")),IF(AND(G215-F215&lt;=3,I215-H215&lt;=3),"yes","no"),IF(I215-H215&lt;=3,"yes (thickness)","no (thickness)"))))</f>
        <v/>
      </c>
      <c r="K215" s="6">
        <f>SUMIFS(Elements!$M$2:$M$862,Elements!$B$2:$B$862,$A215,Elements!$D$2:$D$862,$B215,Elements!$E$2:$E$862,$C215,Elements!$F$2:$F$862,$D215)</f>
        <v/>
      </c>
      <c r="L215" s="6">
        <f>SUMIFS(Elements!$L$2:$L$862,Elements!$B$2:$B$862,$A215,Elements!$D$2:$D$862,$B215,Elements!$E$2:$E$862,$C215,Elements!$F$2:$F$862,$D215)</f>
        <v/>
      </c>
      <c r="M215" s="2" t="inlineStr">
        <is>
          <t>solid fill; 87-1849 x 20-30 cm; L/W 4.17-92.45; inside a footing outline 72%; on a raft 10%; touching a hatched core wall 1%; in a strip-footing band 5%; at a grade-beam junction 51%</t>
        </is>
      </c>
    </row>
    <row r="216">
      <c r="A216" s="5" t="inlineStr">
        <is>
          <t>128</t>
        </is>
      </c>
      <c r="B216" s="5" t="inlineStr">
        <is>
          <t>wall</t>
        </is>
      </c>
      <c r="C216" s="5" t="inlineStr">
        <is>
          <t>shear_wall</t>
        </is>
      </c>
      <c r="D216" s="5" t="inlineStr">
        <is>
          <t>V9/128</t>
        </is>
      </c>
      <c r="E216" s="5">
        <f>COUNTIFS(Elements!$B$2:$B$862,$A216,Elements!$D$2:$D$862,$B216,Elements!$E$2:$E$862,$C216,Elements!$F$2:$F$862,$D216)</f>
        <v/>
      </c>
      <c r="F216" s="5">
        <f>IFERROR(_xlfn.MINIFS(Elements!$I$2:$I$862,Elements!$B$2:$B$862,$A216,Elements!$D$2:$D$862,$B216,Elements!$E$2:$E$862,$C216,Elements!$F$2:$F$862,$D216),"")</f>
        <v/>
      </c>
      <c r="G216" s="5">
        <f>IFERROR(_xlfn.MAXIFS(Elements!$I$2:$I$862,Elements!$B$2:$B$862,$A216,Elements!$D$2:$D$862,$B216,Elements!$E$2:$E$862,$C216,Elements!$F$2:$F$862,$D216),"")</f>
        <v/>
      </c>
      <c r="H216" s="5">
        <f>IFERROR(_xlfn.MINIFS(Elements!$J$2:$J$862,Elements!$B$2:$B$862,$A216,Elements!$D$2:$D$862,$B216,Elements!$E$2:$E$862,$C216,Elements!$F$2:$F$862,$D216),"")</f>
        <v/>
      </c>
      <c r="I216" s="5">
        <f>IFERROR(_xlfn.MAXIFS(Elements!$J$2:$J$862,Elements!$B$2:$B$862,$A216,Elements!$D$2:$D$862,$B216,Elements!$E$2:$E$862,$C216,Elements!$F$2:$F$862,$D216),"")</f>
        <v/>
      </c>
      <c r="J216" s="5">
        <f>IF(OR(F216="",H216=""),"",IF(OR(B216="raft",B216="sump_pit",B216="crane_foundation",D216="(none)"),"n/a",IF(OR(B216="column",B216="footing",B216="mass_concrete_pad",AND(B216="wall",C216="shear_wall",D216&lt;&gt;"(none)")),IF(AND(G216-F216&lt;=3,I216-H216&lt;=3),"yes","no"),IF(I216-H216&lt;=3,"yes (thickness)","no (thickness)"))))</f>
        <v/>
      </c>
      <c r="K216" s="6">
        <f>SUMIFS(Elements!$M$2:$M$862,Elements!$B$2:$B$862,$A216,Elements!$D$2:$D$862,$B216,Elements!$E$2:$E$862,$C216,Elements!$F$2:$F$862,$D216)</f>
        <v/>
      </c>
      <c r="L216" s="6">
        <f>SUMIFS(Elements!$L$2:$L$862,Elements!$B$2:$B$862,$A216,Elements!$D$2:$D$862,$B216,Elements!$E$2:$E$862,$C216,Elements!$F$2:$F$862,$D216)</f>
        <v/>
      </c>
      <c r="M216" s="2" t="inlineStr">
        <is>
          <t>solid fill; 87-1849 x 20-30 cm; L/W 4.17-92.45; inside a footing outline 72%; on a raft 10%; touching a hatched core wall 1%; in a strip-footing band 5%; at a grade-beam junction 51%</t>
        </is>
      </c>
    </row>
    <row r="217">
      <c r="A217" s="5" t="inlineStr">
        <is>
          <t>129</t>
        </is>
      </c>
      <c r="B217" s="5" t="inlineStr">
        <is>
          <t>column</t>
        </is>
      </c>
      <c r="C217" s="5" t="inlineStr">
        <is>
          <t>column</t>
        </is>
      </c>
      <c r="D217" s="5" t="inlineStr">
        <is>
          <t>P1/129</t>
        </is>
      </c>
      <c r="E217" s="5">
        <f>COUNTIFS(Elements!$B$2:$B$862,$A217,Elements!$D$2:$D$862,$B217,Elements!$E$2:$E$862,$C217,Elements!$F$2:$F$862,$D217)</f>
        <v/>
      </c>
      <c r="F217" s="5">
        <f>IFERROR(_xlfn.MINIFS(Elements!$I$2:$I$862,Elements!$B$2:$B$862,$A217,Elements!$D$2:$D$862,$B217,Elements!$E$2:$E$862,$C217,Elements!$F$2:$F$862,$D217),"")</f>
        <v/>
      </c>
      <c r="G217" s="5">
        <f>IFERROR(_xlfn.MAXIFS(Elements!$I$2:$I$862,Elements!$B$2:$B$862,$A217,Elements!$D$2:$D$862,$B217,Elements!$E$2:$E$862,$C217,Elements!$F$2:$F$862,$D217),"")</f>
        <v/>
      </c>
      <c r="H217" s="5">
        <f>IFERROR(_xlfn.MINIFS(Elements!$J$2:$J$862,Elements!$B$2:$B$862,$A217,Elements!$D$2:$D$862,$B217,Elements!$E$2:$E$862,$C217,Elements!$F$2:$F$862,$D217),"")</f>
        <v/>
      </c>
      <c r="I217" s="5">
        <f>IFERROR(_xlfn.MAXIFS(Elements!$J$2:$J$862,Elements!$B$2:$B$862,$A217,Elements!$D$2:$D$862,$B217,Elements!$E$2:$E$862,$C217,Elements!$F$2:$F$862,$D217),"")</f>
        <v/>
      </c>
      <c r="J217" s="5">
        <f>IF(OR(F217="",H217=""),"",IF(OR(B217="raft",B217="sump_pit",B217="crane_foundation",D217="(none)"),"n/a",IF(OR(B217="column",B217="footing",B217="mass_concrete_pad",AND(B217="wall",C217="shear_wall",D217&lt;&gt;"(none)")),IF(AND(G217-F217&lt;=3,I217-H217&lt;=3),"yes","no"),IF(I217-H217&lt;=3,"yes (thickness)","no (thickness)"))))</f>
        <v/>
      </c>
      <c r="K217" s="6">
        <f>SUMIFS(Elements!$M$2:$M$862,Elements!$B$2:$B$862,$A217,Elements!$D$2:$D$862,$B217,Elements!$E$2:$E$862,$C217,Elements!$F$2:$F$862,$D217)</f>
        <v/>
      </c>
      <c r="L217" s="6">
        <f>SUMIFS(Elements!$L$2:$L$862,Elements!$B$2:$B$862,$A217,Elements!$D$2:$D$862,$B217,Elements!$E$2:$E$862,$C217,Elements!$F$2:$F$862,$D217)</f>
        <v/>
      </c>
      <c r="M217" s="2" t="inlineStr">
        <is>
          <t>solid fill; 40-120 x 25-50 cm; L/W 1.60-4.00; inside a footing outline 37%; on a raft 63%; touching a hatched core wall 26%; in a strip-footing band 0%; at a grade-beam junction 26%</t>
        </is>
      </c>
    </row>
    <row r="218">
      <c r="A218" s="5" t="inlineStr">
        <is>
          <t>129</t>
        </is>
      </c>
      <c r="B218" s="5" t="inlineStr">
        <is>
          <t>column</t>
        </is>
      </c>
      <c r="C218" s="5" t="inlineStr">
        <is>
          <t>column</t>
        </is>
      </c>
      <c r="D218" s="5" t="inlineStr">
        <is>
          <t>P2/129</t>
        </is>
      </c>
      <c r="E218" s="5">
        <f>COUNTIFS(Elements!$B$2:$B$862,$A218,Elements!$D$2:$D$862,$B218,Elements!$E$2:$E$862,$C218,Elements!$F$2:$F$862,$D218)</f>
        <v/>
      </c>
      <c r="F218" s="5">
        <f>IFERROR(_xlfn.MINIFS(Elements!$I$2:$I$862,Elements!$B$2:$B$862,$A218,Elements!$D$2:$D$862,$B218,Elements!$E$2:$E$862,$C218,Elements!$F$2:$F$862,$D218),"")</f>
        <v/>
      </c>
      <c r="G218" s="5">
        <f>IFERROR(_xlfn.MAXIFS(Elements!$I$2:$I$862,Elements!$B$2:$B$862,$A218,Elements!$D$2:$D$862,$B218,Elements!$E$2:$E$862,$C218,Elements!$F$2:$F$862,$D218),"")</f>
        <v/>
      </c>
      <c r="H218" s="5">
        <f>IFERROR(_xlfn.MINIFS(Elements!$J$2:$J$862,Elements!$B$2:$B$862,$A218,Elements!$D$2:$D$862,$B218,Elements!$E$2:$E$862,$C218,Elements!$F$2:$F$862,$D218),"")</f>
        <v/>
      </c>
      <c r="I218" s="5">
        <f>IFERROR(_xlfn.MAXIFS(Elements!$J$2:$J$862,Elements!$B$2:$B$862,$A218,Elements!$D$2:$D$862,$B218,Elements!$E$2:$E$862,$C218,Elements!$F$2:$F$862,$D218),"")</f>
        <v/>
      </c>
      <c r="J218" s="5">
        <f>IF(OR(F218="",H218=""),"",IF(OR(B218="raft",B218="sump_pit",B218="crane_foundation",D218="(none)"),"n/a",IF(OR(B218="column",B218="footing",B218="mass_concrete_pad",AND(B218="wall",C218="shear_wall",D218&lt;&gt;"(none)")),IF(AND(G218-F218&lt;=3,I218-H218&lt;=3),"yes","no"),IF(I218-H218&lt;=3,"yes (thickness)","no (thickness)"))))</f>
        <v/>
      </c>
      <c r="K218" s="6">
        <f>SUMIFS(Elements!$M$2:$M$862,Elements!$B$2:$B$862,$A218,Elements!$D$2:$D$862,$B218,Elements!$E$2:$E$862,$C218,Elements!$F$2:$F$862,$D218)</f>
        <v/>
      </c>
      <c r="L218" s="6">
        <f>SUMIFS(Elements!$L$2:$L$862,Elements!$B$2:$B$862,$A218,Elements!$D$2:$D$862,$B218,Elements!$E$2:$E$862,$C218,Elements!$F$2:$F$862,$D218)</f>
        <v/>
      </c>
      <c r="M218" s="2" t="inlineStr">
        <is>
          <t>solid fill; 40-120 x 25-50 cm; L/W 1.60-4.00; inside a footing outline 37%; on a raft 63%; touching a hatched core wall 26%; in a strip-footing band 0%; at a grade-beam junction 26%</t>
        </is>
      </c>
    </row>
    <row r="219">
      <c r="A219" s="5" t="inlineStr">
        <is>
          <t>129</t>
        </is>
      </c>
      <c r="B219" s="5" t="inlineStr">
        <is>
          <t>footing</t>
        </is>
      </c>
      <c r="C219" s="5" t="inlineStr">
        <is>
          <t>combined_footing</t>
        </is>
      </c>
      <c r="D219" s="5" t="inlineStr">
        <is>
          <t>SC1</t>
        </is>
      </c>
      <c r="E219" s="5">
        <f>COUNTIFS(Elements!$B$2:$B$862,$A219,Elements!$D$2:$D$862,$B219,Elements!$E$2:$E$862,$C219,Elements!$F$2:$F$862,$D219)</f>
        <v/>
      </c>
      <c r="F219" s="5">
        <f>IFERROR(_xlfn.MINIFS(Elements!$I$2:$I$862,Elements!$B$2:$B$862,$A219,Elements!$D$2:$D$862,$B219,Elements!$E$2:$E$862,$C219,Elements!$F$2:$F$862,$D219),"")</f>
        <v/>
      </c>
      <c r="G219" s="5">
        <f>IFERROR(_xlfn.MAXIFS(Elements!$I$2:$I$862,Elements!$B$2:$B$862,$A219,Elements!$D$2:$D$862,$B219,Elements!$E$2:$E$862,$C219,Elements!$F$2:$F$862,$D219),"")</f>
        <v/>
      </c>
      <c r="H219" s="5">
        <f>IFERROR(_xlfn.MINIFS(Elements!$J$2:$J$862,Elements!$B$2:$B$862,$A219,Elements!$D$2:$D$862,$B219,Elements!$E$2:$E$862,$C219,Elements!$F$2:$F$862,$D219),"")</f>
        <v/>
      </c>
      <c r="I219" s="5">
        <f>IFERROR(_xlfn.MAXIFS(Elements!$J$2:$J$862,Elements!$B$2:$B$862,$A219,Elements!$D$2:$D$862,$B219,Elements!$E$2:$E$862,$C219,Elements!$F$2:$F$862,$D219),"")</f>
        <v/>
      </c>
      <c r="J219" s="5">
        <f>IF(OR(F219="",H219=""),"",IF(OR(B219="raft",B219="sump_pit",B219="crane_foundation",D219="(none)"),"n/a",IF(OR(B219="column",B219="footing",B219="mass_concrete_pad",AND(B219="wall",C219="shear_wall",D219&lt;&gt;"(none)")),IF(AND(G219-F219&lt;=3,I219-H219&lt;=3),"yes","no"),IF(I219-H219&lt;=3,"yes (thickness)","no (thickness)"))))</f>
        <v/>
      </c>
      <c r="K219" s="6">
        <f>SUMIFS(Elements!$M$2:$M$862,Elements!$B$2:$B$862,$A219,Elements!$D$2:$D$862,$B219,Elements!$E$2:$E$862,$C219,Elements!$F$2:$F$862,$D219)</f>
        <v/>
      </c>
      <c r="L219" s="6">
        <f>SUMIFS(Elements!$L$2:$L$862,Elements!$B$2:$B$862,$A219,Elements!$D$2:$D$862,$B219,Elements!$E$2:$E$862,$C219,Elements!$F$2:$F$862,$D219)</f>
        <v/>
      </c>
      <c r="M219" s="2" t="inlineStr">
        <is>
          <t>closed outline; 350-600 x 200-450 cm; carries wall+wall (24), column+wall (3), wall+wall+wall+wall (1); grade beam crossing it 93%</t>
        </is>
      </c>
    </row>
    <row r="220">
      <c r="A220" s="5" t="inlineStr">
        <is>
          <t>129</t>
        </is>
      </c>
      <c r="B220" s="5" t="inlineStr">
        <is>
          <t>footing</t>
        </is>
      </c>
      <c r="C220" s="5" t="inlineStr">
        <is>
          <t>isolated_footing</t>
        </is>
      </c>
      <c r="D220" s="5" t="inlineStr">
        <is>
          <t>S11</t>
        </is>
      </c>
      <c r="E220" s="5">
        <f>COUNTIFS(Elements!$B$2:$B$862,$A220,Elements!$D$2:$D$862,$B220,Elements!$E$2:$E$862,$C220,Elements!$F$2:$F$862,$D220)</f>
        <v/>
      </c>
      <c r="F220" s="5">
        <f>IFERROR(_xlfn.MINIFS(Elements!$I$2:$I$862,Elements!$B$2:$B$862,$A220,Elements!$D$2:$D$862,$B220,Elements!$E$2:$E$862,$C220,Elements!$F$2:$F$862,$D220),"")</f>
        <v/>
      </c>
      <c r="G220" s="5">
        <f>IFERROR(_xlfn.MAXIFS(Elements!$I$2:$I$862,Elements!$B$2:$B$862,$A220,Elements!$D$2:$D$862,$B220,Elements!$E$2:$E$862,$C220,Elements!$F$2:$F$862,$D220),"")</f>
        <v/>
      </c>
      <c r="H220" s="5">
        <f>IFERROR(_xlfn.MINIFS(Elements!$J$2:$J$862,Elements!$B$2:$B$862,$A220,Elements!$D$2:$D$862,$B220,Elements!$E$2:$E$862,$C220,Elements!$F$2:$F$862,$D220),"")</f>
        <v/>
      </c>
      <c r="I220" s="5">
        <f>IFERROR(_xlfn.MAXIFS(Elements!$J$2:$J$862,Elements!$B$2:$B$862,$A220,Elements!$D$2:$D$862,$B220,Elements!$E$2:$E$862,$C220,Elements!$F$2:$F$862,$D220),"")</f>
        <v/>
      </c>
      <c r="J220" s="5">
        <f>IF(OR(F220="",H220=""),"",IF(OR(B220="raft",B220="sump_pit",B220="crane_foundation",D220="(none)"),"n/a",IF(OR(B220="column",B220="footing",B220="mass_concrete_pad",AND(B220="wall",C220="shear_wall",D220&lt;&gt;"(none)")),IF(AND(G220-F220&lt;=3,I220-H220&lt;=3),"yes","no"),IF(I220-H220&lt;=3,"yes (thickness)","no (thickness)"))))</f>
        <v/>
      </c>
      <c r="K220" s="6">
        <f>SUMIFS(Elements!$M$2:$M$862,Elements!$B$2:$B$862,$A220,Elements!$D$2:$D$862,$B220,Elements!$E$2:$E$862,$C220,Elements!$F$2:$F$862,$D220)</f>
        <v/>
      </c>
      <c r="L220" s="6">
        <f>SUMIFS(Elements!$L$2:$L$862,Elements!$B$2:$B$862,$A220,Elements!$D$2:$D$862,$B220,Elements!$E$2:$E$862,$C220,Elements!$F$2:$F$862,$D220)</f>
        <v/>
      </c>
      <c r="M220" s="2" t="inlineStr">
        <is>
          <t>closed outline; 150-600 x 150-450 cm; carries wall (64), column (9), wall+wall (1); grade beam crossing it 95%</t>
        </is>
      </c>
    </row>
    <row r="221">
      <c r="A221" s="5" t="inlineStr">
        <is>
          <t>129</t>
        </is>
      </c>
      <c r="B221" s="5" t="inlineStr">
        <is>
          <t>footing</t>
        </is>
      </c>
      <c r="C221" s="5" t="inlineStr">
        <is>
          <t>isolated_footing</t>
        </is>
      </c>
      <c r="D221" s="5" t="inlineStr">
        <is>
          <t>S18</t>
        </is>
      </c>
      <c r="E221" s="5">
        <f>COUNTIFS(Elements!$B$2:$B$862,$A221,Elements!$D$2:$D$862,$B221,Elements!$E$2:$E$862,$C221,Elements!$F$2:$F$862,$D221)</f>
        <v/>
      </c>
      <c r="F221" s="5">
        <f>IFERROR(_xlfn.MINIFS(Elements!$I$2:$I$862,Elements!$B$2:$B$862,$A221,Elements!$D$2:$D$862,$B221,Elements!$E$2:$E$862,$C221,Elements!$F$2:$F$862,$D221),"")</f>
        <v/>
      </c>
      <c r="G221" s="5">
        <f>IFERROR(_xlfn.MAXIFS(Elements!$I$2:$I$862,Elements!$B$2:$B$862,$A221,Elements!$D$2:$D$862,$B221,Elements!$E$2:$E$862,$C221,Elements!$F$2:$F$862,$D221),"")</f>
        <v/>
      </c>
      <c r="H221" s="5">
        <f>IFERROR(_xlfn.MINIFS(Elements!$J$2:$J$862,Elements!$B$2:$B$862,$A221,Elements!$D$2:$D$862,$B221,Elements!$E$2:$E$862,$C221,Elements!$F$2:$F$862,$D221),"")</f>
        <v/>
      </c>
      <c r="I221" s="5">
        <f>IFERROR(_xlfn.MAXIFS(Elements!$J$2:$J$862,Elements!$B$2:$B$862,$A221,Elements!$D$2:$D$862,$B221,Elements!$E$2:$E$862,$C221,Elements!$F$2:$F$862,$D221),"")</f>
        <v/>
      </c>
      <c r="J221" s="5">
        <f>IF(OR(F221="",H221=""),"",IF(OR(B221="raft",B221="sump_pit",B221="crane_foundation",D221="(none)"),"n/a",IF(OR(B221="column",B221="footing",B221="mass_concrete_pad",AND(B221="wall",C221="shear_wall",D221&lt;&gt;"(none)")),IF(AND(G221-F221&lt;=3,I221-H221&lt;=3),"yes","no"),IF(I221-H221&lt;=3,"yes (thickness)","no (thickness)"))))</f>
        <v/>
      </c>
      <c r="K221" s="6">
        <f>SUMIFS(Elements!$M$2:$M$862,Elements!$B$2:$B$862,$A221,Elements!$D$2:$D$862,$B221,Elements!$E$2:$E$862,$C221,Elements!$F$2:$F$862,$D221)</f>
        <v/>
      </c>
      <c r="L221" s="6">
        <f>SUMIFS(Elements!$L$2:$L$862,Elements!$B$2:$B$862,$A221,Elements!$D$2:$D$862,$B221,Elements!$E$2:$E$862,$C221,Elements!$F$2:$F$862,$D221)</f>
        <v/>
      </c>
      <c r="M221" s="2" t="inlineStr">
        <is>
          <t>closed outline; 150-600 x 150-450 cm; carries wall (64), column (9), wall+wall (1); grade beam crossing it 95%</t>
        </is>
      </c>
    </row>
    <row r="222">
      <c r="A222" s="5" t="inlineStr">
        <is>
          <t>129</t>
        </is>
      </c>
      <c r="B222" s="5" t="inlineStr">
        <is>
          <t>footing</t>
        </is>
      </c>
      <c r="C222" s="5" t="inlineStr">
        <is>
          <t>isolated_footing</t>
        </is>
      </c>
      <c r="D222" s="5" t="inlineStr">
        <is>
          <t>S19</t>
        </is>
      </c>
      <c r="E222" s="5">
        <f>COUNTIFS(Elements!$B$2:$B$862,$A222,Elements!$D$2:$D$862,$B222,Elements!$E$2:$E$862,$C222,Elements!$F$2:$F$862,$D222)</f>
        <v/>
      </c>
      <c r="F222" s="5">
        <f>IFERROR(_xlfn.MINIFS(Elements!$I$2:$I$862,Elements!$B$2:$B$862,$A222,Elements!$D$2:$D$862,$B222,Elements!$E$2:$E$862,$C222,Elements!$F$2:$F$862,$D222),"")</f>
        <v/>
      </c>
      <c r="G222" s="5">
        <f>IFERROR(_xlfn.MAXIFS(Elements!$I$2:$I$862,Elements!$B$2:$B$862,$A222,Elements!$D$2:$D$862,$B222,Elements!$E$2:$E$862,$C222,Elements!$F$2:$F$862,$D222),"")</f>
        <v/>
      </c>
      <c r="H222" s="5">
        <f>IFERROR(_xlfn.MINIFS(Elements!$J$2:$J$862,Elements!$B$2:$B$862,$A222,Elements!$D$2:$D$862,$B222,Elements!$E$2:$E$862,$C222,Elements!$F$2:$F$862,$D222),"")</f>
        <v/>
      </c>
      <c r="I222" s="5">
        <f>IFERROR(_xlfn.MAXIFS(Elements!$J$2:$J$862,Elements!$B$2:$B$862,$A222,Elements!$D$2:$D$862,$B222,Elements!$E$2:$E$862,$C222,Elements!$F$2:$F$862,$D222),"")</f>
        <v/>
      </c>
      <c r="J222" s="5">
        <f>IF(OR(F222="",H222=""),"",IF(OR(B222="raft",B222="sump_pit",B222="crane_foundation",D222="(none)"),"n/a",IF(OR(B222="column",B222="footing",B222="mass_concrete_pad",AND(B222="wall",C222="shear_wall",D222&lt;&gt;"(none)")),IF(AND(G222-F222&lt;=3,I222-H222&lt;=3),"yes","no"),IF(I222-H222&lt;=3,"yes (thickness)","no (thickness)"))))</f>
        <v/>
      </c>
      <c r="K222" s="6">
        <f>SUMIFS(Elements!$M$2:$M$862,Elements!$B$2:$B$862,$A222,Elements!$D$2:$D$862,$B222,Elements!$E$2:$E$862,$C222,Elements!$F$2:$F$862,$D222)</f>
        <v/>
      </c>
      <c r="L222" s="6">
        <f>SUMIFS(Elements!$L$2:$L$862,Elements!$B$2:$B$862,$A222,Elements!$D$2:$D$862,$B222,Elements!$E$2:$E$862,$C222,Elements!$F$2:$F$862,$D222)</f>
        <v/>
      </c>
      <c r="M222" s="2" t="inlineStr">
        <is>
          <t>closed outline; 150-600 x 150-450 cm; carries wall (64), column (9), wall+wall (1); grade beam crossing it 95%</t>
        </is>
      </c>
    </row>
    <row r="223">
      <c r="A223" s="5" t="inlineStr">
        <is>
          <t>129</t>
        </is>
      </c>
      <c r="B223" s="5" t="inlineStr">
        <is>
          <t>footing</t>
        </is>
      </c>
      <c r="C223" s="5" t="inlineStr">
        <is>
          <t>isolated_footing</t>
        </is>
      </c>
      <c r="D223" s="5" t="inlineStr">
        <is>
          <t>S2</t>
        </is>
      </c>
      <c r="E223" s="5">
        <f>COUNTIFS(Elements!$B$2:$B$862,$A223,Elements!$D$2:$D$862,$B223,Elements!$E$2:$E$862,$C223,Elements!$F$2:$F$862,$D223)</f>
        <v/>
      </c>
      <c r="F223" s="5">
        <f>IFERROR(_xlfn.MINIFS(Elements!$I$2:$I$862,Elements!$B$2:$B$862,$A223,Elements!$D$2:$D$862,$B223,Elements!$E$2:$E$862,$C223,Elements!$F$2:$F$862,$D223),"")</f>
        <v/>
      </c>
      <c r="G223" s="5">
        <f>IFERROR(_xlfn.MAXIFS(Elements!$I$2:$I$862,Elements!$B$2:$B$862,$A223,Elements!$D$2:$D$862,$B223,Elements!$E$2:$E$862,$C223,Elements!$F$2:$F$862,$D223),"")</f>
        <v/>
      </c>
      <c r="H223" s="5">
        <f>IFERROR(_xlfn.MINIFS(Elements!$J$2:$J$862,Elements!$B$2:$B$862,$A223,Elements!$D$2:$D$862,$B223,Elements!$E$2:$E$862,$C223,Elements!$F$2:$F$862,$D223),"")</f>
        <v/>
      </c>
      <c r="I223" s="5">
        <f>IFERROR(_xlfn.MAXIFS(Elements!$J$2:$J$862,Elements!$B$2:$B$862,$A223,Elements!$D$2:$D$862,$B223,Elements!$E$2:$E$862,$C223,Elements!$F$2:$F$862,$D223),"")</f>
        <v/>
      </c>
      <c r="J223" s="5">
        <f>IF(OR(F223="",H223=""),"",IF(OR(B223="raft",B223="sump_pit",B223="crane_foundation",D223="(none)"),"n/a",IF(OR(B223="column",B223="footing",B223="mass_concrete_pad",AND(B223="wall",C223="shear_wall",D223&lt;&gt;"(none)")),IF(AND(G223-F223&lt;=3,I223-H223&lt;=3),"yes","no"),IF(I223-H223&lt;=3,"yes (thickness)","no (thickness)"))))</f>
        <v/>
      </c>
      <c r="K223" s="6">
        <f>SUMIFS(Elements!$M$2:$M$862,Elements!$B$2:$B$862,$A223,Elements!$D$2:$D$862,$B223,Elements!$E$2:$E$862,$C223,Elements!$F$2:$F$862,$D223)</f>
        <v/>
      </c>
      <c r="L223" s="6">
        <f>SUMIFS(Elements!$L$2:$L$862,Elements!$B$2:$B$862,$A223,Elements!$D$2:$D$862,$B223,Elements!$E$2:$E$862,$C223,Elements!$F$2:$F$862,$D223)</f>
        <v/>
      </c>
      <c r="M223" s="2" t="inlineStr">
        <is>
          <t>closed outline; 150-600 x 150-450 cm; carries wall (64), column (9), wall+wall (1); grade beam crossing it 95%</t>
        </is>
      </c>
    </row>
    <row r="224">
      <c r="A224" s="5" t="inlineStr">
        <is>
          <t>129</t>
        </is>
      </c>
      <c r="B224" s="5" t="inlineStr">
        <is>
          <t>grade_beam</t>
        </is>
      </c>
      <c r="C224" s="5" t="inlineStr">
        <is>
          <t>grade_beam</t>
        </is>
      </c>
      <c r="D224" s="5" t="inlineStr">
        <is>
          <t>LG25x40</t>
        </is>
      </c>
      <c r="E224" s="5">
        <f>COUNTIFS(Elements!$B$2:$B$862,$A224,Elements!$D$2:$D$862,$B224,Elements!$E$2:$E$862,$C224,Elements!$F$2:$F$862,$D224)</f>
        <v/>
      </c>
      <c r="F224" s="5">
        <f>IFERROR(_xlfn.MINIFS(Elements!$I$2:$I$862,Elements!$B$2:$B$862,$A224,Elements!$D$2:$D$862,$B224,Elements!$E$2:$E$862,$C224,Elements!$F$2:$F$862,$D224),"")</f>
        <v/>
      </c>
      <c r="G224" s="5">
        <f>IFERROR(_xlfn.MAXIFS(Elements!$I$2:$I$862,Elements!$B$2:$B$862,$A224,Elements!$D$2:$D$862,$B224,Elements!$E$2:$E$862,$C224,Elements!$F$2:$F$862,$D224),"")</f>
        <v/>
      </c>
      <c r="H224" s="5">
        <f>IFERROR(_xlfn.MINIFS(Elements!$J$2:$J$862,Elements!$B$2:$B$862,$A224,Elements!$D$2:$D$862,$B224,Elements!$E$2:$E$862,$C224,Elements!$F$2:$F$862,$D224),"")</f>
        <v/>
      </c>
      <c r="I224" s="5">
        <f>IFERROR(_xlfn.MAXIFS(Elements!$J$2:$J$862,Elements!$B$2:$B$862,$A224,Elements!$D$2:$D$862,$B224,Elements!$E$2:$E$862,$C224,Elements!$F$2:$F$862,$D224),"")</f>
        <v/>
      </c>
      <c r="J224" s="5">
        <f>IF(OR(F224="",H224=""),"",IF(OR(B224="raft",B224="sump_pit",B224="crane_foundation",D224="(none)"),"n/a",IF(OR(B224="column",B224="footing",B224="mass_concrete_pad",AND(B224="wall",C224="shear_wall",D224&lt;&gt;"(none)")),IF(AND(G224-F224&lt;=3,I224-H224&lt;=3),"yes","no"),IF(I224-H224&lt;=3,"yes (thickness)","no (thickness)"))))</f>
        <v/>
      </c>
      <c r="K224" s="6">
        <f>SUMIFS(Elements!$M$2:$M$862,Elements!$B$2:$B$862,$A224,Elements!$D$2:$D$862,$B224,Elements!$E$2:$E$862,$C224,Elements!$F$2:$F$862,$D224)</f>
        <v/>
      </c>
      <c r="L224" s="6">
        <f>SUMIFS(Elements!$L$2:$L$862,Elements!$B$2:$B$862,$A224,Elements!$D$2:$D$862,$B224,Elements!$E$2:$E$862,$C224,Elements!$F$2:$F$862,$D224)</f>
        <v/>
      </c>
      <c r="M224" s="2" t="inlineStr">
        <is>
          <t>parallel line pair; 30-2249 x 25-40 cm; width stated in its label</t>
        </is>
      </c>
    </row>
    <row r="225">
      <c r="A225" s="5" t="inlineStr">
        <is>
          <t>129</t>
        </is>
      </c>
      <c r="B225" s="5" t="inlineStr">
        <is>
          <t>grade_beam</t>
        </is>
      </c>
      <c r="C225" s="5" t="inlineStr">
        <is>
          <t>grade_beam</t>
        </is>
      </c>
      <c r="D225" s="5" t="inlineStr">
        <is>
          <t>LG40x15</t>
        </is>
      </c>
      <c r="E225" s="5">
        <f>COUNTIFS(Elements!$B$2:$B$862,$A225,Elements!$D$2:$D$862,$B225,Elements!$E$2:$E$862,$C225,Elements!$F$2:$F$862,$D225)</f>
        <v/>
      </c>
      <c r="F225" s="5">
        <f>IFERROR(_xlfn.MINIFS(Elements!$I$2:$I$862,Elements!$B$2:$B$862,$A225,Elements!$D$2:$D$862,$B225,Elements!$E$2:$E$862,$C225,Elements!$F$2:$F$862,$D225),"")</f>
        <v/>
      </c>
      <c r="G225" s="5">
        <f>IFERROR(_xlfn.MAXIFS(Elements!$I$2:$I$862,Elements!$B$2:$B$862,$A225,Elements!$D$2:$D$862,$B225,Elements!$E$2:$E$862,$C225,Elements!$F$2:$F$862,$D225),"")</f>
        <v/>
      </c>
      <c r="H225" s="5">
        <f>IFERROR(_xlfn.MINIFS(Elements!$J$2:$J$862,Elements!$B$2:$B$862,$A225,Elements!$D$2:$D$862,$B225,Elements!$E$2:$E$862,$C225,Elements!$F$2:$F$862,$D225),"")</f>
        <v/>
      </c>
      <c r="I225" s="5">
        <f>IFERROR(_xlfn.MAXIFS(Elements!$J$2:$J$862,Elements!$B$2:$B$862,$A225,Elements!$D$2:$D$862,$B225,Elements!$E$2:$E$862,$C225,Elements!$F$2:$F$862,$D225),"")</f>
        <v/>
      </c>
      <c r="J225" s="5">
        <f>IF(OR(F225="",H225=""),"",IF(OR(B225="raft",B225="sump_pit",B225="crane_foundation",D225="(none)"),"n/a",IF(OR(B225="column",B225="footing",B225="mass_concrete_pad",AND(B225="wall",C225="shear_wall",D225&lt;&gt;"(none)")),IF(AND(G225-F225&lt;=3,I225-H225&lt;=3),"yes","no"),IF(I225-H225&lt;=3,"yes (thickness)","no (thickness)"))))</f>
        <v/>
      </c>
      <c r="K225" s="6">
        <f>SUMIFS(Elements!$M$2:$M$862,Elements!$B$2:$B$862,$A225,Elements!$D$2:$D$862,$B225,Elements!$E$2:$E$862,$C225,Elements!$F$2:$F$862,$D225)</f>
        <v/>
      </c>
      <c r="L225" s="6">
        <f>SUMIFS(Elements!$L$2:$L$862,Elements!$B$2:$B$862,$A225,Elements!$D$2:$D$862,$B225,Elements!$E$2:$E$862,$C225,Elements!$F$2:$F$862,$D225)</f>
        <v/>
      </c>
      <c r="M225" s="2" t="inlineStr">
        <is>
          <t>parallel line pair; 30-2249 x 25-40 cm; width stated in its label</t>
        </is>
      </c>
    </row>
    <row r="226">
      <c r="A226" s="5" t="inlineStr">
        <is>
          <t>129</t>
        </is>
      </c>
      <c r="B226" s="5" t="inlineStr">
        <is>
          <t>raft</t>
        </is>
      </c>
      <c r="C226" s="5" t="inlineStr">
        <is>
          <t>raft</t>
        </is>
      </c>
      <c r="D226" s="5" t="inlineStr">
        <is>
          <t>Radier 100</t>
        </is>
      </c>
      <c r="E226" s="5">
        <f>COUNTIFS(Elements!$B$2:$B$862,$A226,Elements!$D$2:$D$862,$B226,Elements!$E$2:$E$862,$C226,Elements!$F$2:$F$862,$D226)</f>
        <v/>
      </c>
      <c r="F226" s="5">
        <f>IFERROR(_xlfn.MINIFS(Elements!$I$2:$I$862,Elements!$B$2:$B$862,$A226,Elements!$D$2:$D$862,$B226,Elements!$E$2:$E$862,$C226,Elements!$F$2:$F$862,$D226),"")</f>
        <v/>
      </c>
      <c r="G226" s="5">
        <f>IFERROR(_xlfn.MAXIFS(Elements!$I$2:$I$862,Elements!$B$2:$B$862,$A226,Elements!$D$2:$D$862,$B226,Elements!$E$2:$E$862,$C226,Elements!$F$2:$F$862,$D226),"")</f>
        <v/>
      </c>
      <c r="H226" s="5">
        <f>IFERROR(_xlfn.MINIFS(Elements!$J$2:$J$862,Elements!$B$2:$B$862,$A226,Elements!$D$2:$D$862,$B226,Elements!$E$2:$E$862,$C226,Elements!$F$2:$F$862,$D226),"")</f>
        <v/>
      </c>
      <c r="I226" s="5">
        <f>IFERROR(_xlfn.MAXIFS(Elements!$J$2:$J$862,Elements!$B$2:$B$862,$A226,Elements!$D$2:$D$862,$B226,Elements!$E$2:$E$862,$C226,Elements!$F$2:$F$862,$D226),"")</f>
        <v/>
      </c>
      <c r="J226" s="5">
        <f>IF(OR(F226="",H226=""),"",IF(OR(B226="raft",B226="sump_pit",B226="crane_foundation",D226="(none)"),"n/a",IF(OR(B226="column",B226="footing",B226="mass_concrete_pad",AND(B226="wall",C226="shear_wall",D226&lt;&gt;"(none)")),IF(AND(G226-F226&lt;=3,I226-H226&lt;=3),"yes","no"),IF(I226-H226&lt;=3,"yes (thickness)","no (thickness)"))))</f>
        <v/>
      </c>
      <c r="K226" s="6">
        <f>SUMIFS(Elements!$M$2:$M$862,Elements!$B$2:$B$862,$A226,Elements!$D$2:$D$862,$B226,Elements!$E$2:$E$862,$C226,Elements!$F$2:$F$862,$D226)</f>
        <v/>
      </c>
      <c r="L226" s="6">
        <f>SUMIFS(Elements!$L$2:$L$862,Elements!$B$2:$B$862,$A226,Elements!$D$2:$D$862,$B226,Elements!$E$2:$E$862,$C226,Elements!$F$2:$F$862,$D226)</f>
        <v/>
      </c>
      <c r="M226" s="2" t="inlineStr">
        <is>
          <t>stamp + corner diagonals; 693-1971 x 450-1020 cm; circle stamp 'Radier' + thickness; diagonals from its corners to the stamp</t>
        </is>
      </c>
    </row>
    <row r="227">
      <c r="A227" s="5" t="inlineStr">
        <is>
          <t>129</t>
        </is>
      </c>
      <c r="B227" s="5" t="inlineStr">
        <is>
          <t>strip_footing</t>
        </is>
      </c>
      <c r="C227" s="5" t="inlineStr">
        <is>
          <t>strip_footing</t>
        </is>
      </c>
      <c r="D227" s="5" t="inlineStr">
        <is>
          <t>SF1</t>
        </is>
      </c>
      <c r="E227" s="5">
        <f>COUNTIFS(Elements!$B$2:$B$862,$A227,Elements!$D$2:$D$862,$B227,Elements!$E$2:$E$862,$C227,Elements!$F$2:$F$862,$D227)</f>
        <v/>
      </c>
      <c r="F227" s="5">
        <f>IFERROR(_xlfn.MINIFS(Elements!$I$2:$I$862,Elements!$B$2:$B$862,$A227,Elements!$D$2:$D$862,$B227,Elements!$E$2:$E$862,$C227,Elements!$F$2:$F$862,$D227),"")</f>
        <v/>
      </c>
      <c r="G227" s="5">
        <f>IFERROR(_xlfn.MAXIFS(Elements!$I$2:$I$862,Elements!$B$2:$B$862,$A227,Elements!$D$2:$D$862,$B227,Elements!$E$2:$E$862,$C227,Elements!$F$2:$F$862,$D227),"")</f>
        <v/>
      </c>
      <c r="H227" s="5">
        <f>IFERROR(_xlfn.MINIFS(Elements!$J$2:$J$862,Elements!$B$2:$B$862,$A227,Elements!$D$2:$D$862,$B227,Elements!$E$2:$E$862,$C227,Elements!$F$2:$F$862,$D227),"")</f>
        <v/>
      </c>
      <c r="I227" s="5">
        <f>IFERROR(_xlfn.MAXIFS(Elements!$J$2:$J$862,Elements!$B$2:$B$862,$A227,Elements!$D$2:$D$862,$B227,Elements!$E$2:$E$862,$C227,Elements!$F$2:$F$862,$D227),"")</f>
        <v/>
      </c>
      <c r="J227" s="5">
        <f>IF(OR(F227="",H227=""),"",IF(OR(B227="raft",B227="sump_pit",B227="crane_foundation",D227="(none)"),"n/a",IF(OR(B227="column",B227="footing",B227="mass_concrete_pad",AND(B227="wall",C227="shear_wall",D227&lt;&gt;"(none)")),IF(AND(G227-F227&lt;=3,I227-H227&lt;=3),"yes","no"),IF(I227-H227&lt;=3,"yes (thickness)","no (thickness)"))))</f>
        <v/>
      </c>
      <c r="K227" s="6">
        <f>SUMIFS(Elements!$M$2:$M$862,Elements!$B$2:$B$862,$A227,Elements!$D$2:$D$862,$B227,Elements!$E$2:$E$862,$C227,Elements!$F$2:$F$862,$D227)</f>
        <v/>
      </c>
      <c r="L227" s="6">
        <f>SUMIFS(Elements!$L$2:$L$862,Elements!$B$2:$B$862,$A227,Elements!$D$2:$D$862,$B227,Elements!$E$2:$E$862,$C227,Elements!$F$2:$F$862,$D227)</f>
        <v/>
      </c>
      <c r="M227" s="2" t="inlineStr">
        <is>
          <t>parallel line pair; 75-5798 x 80-120 cm; width stated in its label</t>
        </is>
      </c>
    </row>
    <row r="228">
      <c r="A228" s="5" t="inlineStr">
        <is>
          <t>129</t>
        </is>
      </c>
      <c r="B228" s="5" t="inlineStr">
        <is>
          <t>strip_footing</t>
        </is>
      </c>
      <c r="C228" s="5" t="inlineStr">
        <is>
          <t>strip_footing</t>
        </is>
      </c>
      <c r="D228" s="5" t="inlineStr">
        <is>
          <t>SF4</t>
        </is>
      </c>
      <c r="E228" s="5">
        <f>COUNTIFS(Elements!$B$2:$B$862,$A228,Elements!$D$2:$D$862,$B228,Elements!$E$2:$E$862,$C228,Elements!$F$2:$F$862,$D228)</f>
        <v/>
      </c>
      <c r="F228" s="5">
        <f>IFERROR(_xlfn.MINIFS(Elements!$I$2:$I$862,Elements!$B$2:$B$862,$A228,Elements!$D$2:$D$862,$B228,Elements!$E$2:$E$862,$C228,Elements!$F$2:$F$862,$D228),"")</f>
        <v/>
      </c>
      <c r="G228" s="5">
        <f>IFERROR(_xlfn.MAXIFS(Elements!$I$2:$I$862,Elements!$B$2:$B$862,$A228,Elements!$D$2:$D$862,$B228,Elements!$E$2:$E$862,$C228,Elements!$F$2:$F$862,$D228),"")</f>
        <v/>
      </c>
      <c r="H228" s="5">
        <f>IFERROR(_xlfn.MINIFS(Elements!$J$2:$J$862,Elements!$B$2:$B$862,$A228,Elements!$D$2:$D$862,$B228,Elements!$E$2:$E$862,$C228,Elements!$F$2:$F$862,$D228),"")</f>
        <v/>
      </c>
      <c r="I228" s="5">
        <f>IFERROR(_xlfn.MAXIFS(Elements!$J$2:$J$862,Elements!$B$2:$B$862,$A228,Elements!$D$2:$D$862,$B228,Elements!$E$2:$E$862,$C228,Elements!$F$2:$F$862,$D228),"")</f>
        <v/>
      </c>
      <c r="J228" s="5">
        <f>IF(OR(F228="",H228=""),"",IF(OR(B228="raft",B228="sump_pit",B228="crane_foundation",D228="(none)"),"n/a",IF(OR(B228="column",B228="footing",B228="mass_concrete_pad",AND(B228="wall",C228="shear_wall",D228&lt;&gt;"(none)")),IF(AND(G228-F228&lt;=3,I228-H228&lt;=3),"yes","no"),IF(I228-H228&lt;=3,"yes (thickness)","no (thickness)"))))</f>
        <v/>
      </c>
      <c r="K228" s="6">
        <f>SUMIFS(Elements!$M$2:$M$862,Elements!$B$2:$B$862,$A228,Elements!$D$2:$D$862,$B228,Elements!$E$2:$E$862,$C228,Elements!$F$2:$F$862,$D228)</f>
        <v/>
      </c>
      <c r="L228" s="6">
        <f>SUMIFS(Elements!$L$2:$L$862,Elements!$B$2:$B$862,$A228,Elements!$D$2:$D$862,$B228,Elements!$E$2:$E$862,$C228,Elements!$F$2:$F$862,$D228)</f>
        <v/>
      </c>
      <c r="M228" s="2" t="inlineStr">
        <is>
          <t>parallel line pair; 75-5798 x 80-120 cm; width stated in its label</t>
        </is>
      </c>
    </row>
    <row r="229">
      <c r="A229" s="5" t="inlineStr">
        <is>
          <t>129</t>
        </is>
      </c>
      <c r="B229" s="5" t="inlineStr">
        <is>
          <t>wall</t>
        </is>
      </c>
      <c r="C229" s="5" t="inlineStr">
        <is>
          <t>core_wall_hatched</t>
        </is>
      </c>
      <c r="D229" s="5" t="inlineStr">
        <is>
          <t>(none)</t>
        </is>
      </c>
      <c r="E229" s="5">
        <f>COUNTIFS(Elements!$B$2:$B$862,$A229,Elements!$D$2:$D$862,$B229,Elements!$E$2:$E$862,$C229,Elements!$F$2:$F$862,$D229)</f>
        <v/>
      </c>
      <c r="F229" s="5">
        <f>IFERROR(_xlfn.MINIFS(Elements!$I$2:$I$862,Elements!$B$2:$B$862,$A229,Elements!$D$2:$D$862,$B229,Elements!$E$2:$E$862,$C229,Elements!$F$2:$F$862,$D229),"")</f>
        <v/>
      </c>
      <c r="G229" s="5">
        <f>IFERROR(_xlfn.MAXIFS(Elements!$I$2:$I$862,Elements!$B$2:$B$862,$A229,Elements!$D$2:$D$862,$B229,Elements!$E$2:$E$862,$C229,Elements!$F$2:$F$862,$D229),"")</f>
        <v/>
      </c>
      <c r="H229" s="5">
        <f>IFERROR(_xlfn.MINIFS(Elements!$J$2:$J$862,Elements!$B$2:$B$862,$A229,Elements!$D$2:$D$862,$B229,Elements!$E$2:$E$862,$C229,Elements!$F$2:$F$862,$D229),"")</f>
        <v/>
      </c>
      <c r="I229" s="5">
        <f>IFERROR(_xlfn.MAXIFS(Elements!$J$2:$J$862,Elements!$B$2:$B$862,$A229,Elements!$D$2:$D$862,$B229,Elements!$E$2:$E$862,$C229,Elements!$F$2:$F$862,$D229),"")</f>
        <v/>
      </c>
      <c r="J229" s="5">
        <f>IF(OR(F229="",H229=""),"",IF(OR(B229="raft",B229="sump_pit",B229="crane_foundation",D229="(none)"),"n/a",IF(OR(B229="column",B229="footing",B229="mass_concrete_pad",AND(B229="wall",C229="shear_wall",D229&lt;&gt;"(none)")),IF(AND(G229-F229&lt;=3,I229-H229&lt;=3),"yes","no"),IF(I229-H229&lt;=3,"yes (thickness)","no (thickness)"))))</f>
        <v/>
      </c>
      <c r="K229" s="6">
        <f>SUMIFS(Elements!$M$2:$M$862,Elements!$B$2:$B$862,$A229,Elements!$D$2:$D$862,$B229,Elements!$E$2:$E$862,$C229,Elements!$F$2:$F$862,$D229)</f>
        <v/>
      </c>
      <c r="L229" s="6">
        <f>SUMIFS(Elements!$L$2:$L$862,Elements!$B$2:$B$862,$A229,Elements!$D$2:$D$862,$B229,Elements!$E$2:$E$862,$C229,Elements!$F$2:$F$862,$D229)</f>
        <v/>
      </c>
      <c r="M229" s="2" t="inlineStr">
        <is>
          <t>cross-hatch; 94-1044 x 20-25 cm; L/W 4.70-52.20; hatch strokes [0.24, 0.25, 0.28] m at +/-45 deg; thickness = local spread of stroke ends; on a raft 100%; no V label</t>
        </is>
      </c>
    </row>
    <row r="230">
      <c r="A230" s="5" t="inlineStr">
        <is>
          <t>129</t>
        </is>
      </c>
      <c r="B230" s="5" t="inlineStr">
        <is>
          <t>wall</t>
        </is>
      </c>
      <c r="C230" s="5" t="inlineStr">
        <is>
          <t>core_wall_solid</t>
        </is>
      </c>
      <c r="D230" s="5" t="inlineStr">
        <is>
          <t>(none)</t>
        </is>
      </c>
      <c r="E230" s="5">
        <f>COUNTIFS(Elements!$B$2:$B$862,$A230,Elements!$D$2:$D$862,$B230,Elements!$E$2:$E$862,$C230,Elements!$F$2:$F$862,$D230)</f>
        <v/>
      </c>
      <c r="F230" s="5">
        <f>IFERROR(_xlfn.MINIFS(Elements!$I$2:$I$862,Elements!$B$2:$B$862,$A230,Elements!$D$2:$D$862,$B230,Elements!$E$2:$E$862,$C230,Elements!$F$2:$F$862,$D230),"")</f>
        <v/>
      </c>
      <c r="G230" s="5">
        <f>IFERROR(_xlfn.MAXIFS(Elements!$I$2:$I$862,Elements!$B$2:$B$862,$A230,Elements!$D$2:$D$862,$B230,Elements!$E$2:$E$862,$C230,Elements!$F$2:$F$862,$D230),"")</f>
        <v/>
      </c>
      <c r="H230" s="5">
        <f>IFERROR(_xlfn.MINIFS(Elements!$J$2:$J$862,Elements!$B$2:$B$862,$A230,Elements!$D$2:$D$862,$B230,Elements!$E$2:$E$862,$C230,Elements!$F$2:$F$862,$D230),"")</f>
        <v/>
      </c>
      <c r="I230" s="5">
        <f>IFERROR(_xlfn.MAXIFS(Elements!$J$2:$J$862,Elements!$B$2:$B$862,$A230,Elements!$D$2:$D$862,$B230,Elements!$E$2:$E$862,$C230,Elements!$F$2:$F$862,$D230),"")</f>
        <v/>
      </c>
      <c r="J230" s="5">
        <f>IF(OR(F230="",H230=""),"",IF(OR(B230="raft",B230="sump_pit",B230="crane_foundation",D230="(none)"),"n/a",IF(OR(B230="column",B230="footing",B230="mass_concrete_pad",AND(B230="wall",C230="shear_wall",D230&lt;&gt;"(none)")),IF(AND(G230-F230&lt;=3,I230-H230&lt;=3),"yes","no"),IF(I230-H230&lt;=3,"yes (thickness)","no (thickness)"))))</f>
        <v/>
      </c>
      <c r="K230" s="6">
        <f>SUMIFS(Elements!$M$2:$M$862,Elements!$B$2:$B$862,$A230,Elements!$D$2:$D$862,$B230,Elements!$E$2:$E$862,$C230,Elements!$F$2:$F$862,$D230)</f>
        <v/>
      </c>
      <c r="L230" s="6">
        <f>SUMIFS(Elements!$L$2:$L$862,Elements!$B$2:$B$862,$A230,Elements!$D$2:$D$862,$B230,Elements!$E$2:$E$862,$C230,Elements!$F$2:$F$862,$D230)</f>
        <v/>
      </c>
      <c r="M230" s="2" t="inlineStr">
        <is>
          <t>solid fill; 39-816 x 20-30 cm; L/W 1.81-36.95; inside a footing outline 0%; on a raft 100%; touching a hatched core wall 24%; in a strip-footing band 0%; at a grade-beam junction 0%</t>
        </is>
      </c>
    </row>
    <row r="231">
      <c r="A231" s="5" t="inlineStr">
        <is>
          <t>129</t>
        </is>
      </c>
      <c r="B231" s="5" t="inlineStr">
        <is>
          <t>wall</t>
        </is>
      </c>
      <c r="C231" s="5" t="inlineStr">
        <is>
          <t>retaining_wall</t>
        </is>
      </c>
      <c r="D231" s="5" t="inlineStr">
        <is>
          <t>VP20</t>
        </is>
      </c>
      <c r="E231" s="5">
        <f>COUNTIFS(Elements!$B$2:$B$862,$A231,Elements!$D$2:$D$862,$B231,Elements!$E$2:$E$862,$C231,Elements!$F$2:$F$862,$D231)</f>
        <v/>
      </c>
      <c r="F231" s="5">
        <f>IFERROR(_xlfn.MINIFS(Elements!$I$2:$I$862,Elements!$B$2:$B$862,$A231,Elements!$D$2:$D$862,$B231,Elements!$E$2:$E$862,$C231,Elements!$F$2:$F$862,$D231),"")</f>
        <v/>
      </c>
      <c r="G231" s="5">
        <f>IFERROR(_xlfn.MAXIFS(Elements!$I$2:$I$862,Elements!$B$2:$B$862,$A231,Elements!$D$2:$D$862,$B231,Elements!$E$2:$E$862,$C231,Elements!$F$2:$F$862,$D231),"")</f>
        <v/>
      </c>
      <c r="H231" s="5">
        <f>IFERROR(_xlfn.MINIFS(Elements!$J$2:$J$862,Elements!$B$2:$B$862,$A231,Elements!$D$2:$D$862,$B231,Elements!$E$2:$E$862,$C231,Elements!$F$2:$F$862,$D231),"")</f>
        <v/>
      </c>
      <c r="I231" s="5">
        <f>IFERROR(_xlfn.MAXIFS(Elements!$J$2:$J$862,Elements!$B$2:$B$862,$A231,Elements!$D$2:$D$862,$B231,Elements!$E$2:$E$862,$C231,Elements!$F$2:$F$862,$D231),"")</f>
        <v/>
      </c>
      <c r="J231" s="5">
        <f>IF(OR(F231="",H231=""),"",IF(OR(B231="raft",B231="sump_pit",B231="crane_foundation",D231="(none)"),"n/a",IF(OR(B231="column",B231="footing",B231="mass_concrete_pad",AND(B231="wall",C231="shear_wall",D231&lt;&gt;"(none)")),IF(AND(G231-F231&lt;=3,I231-H231&lt;=3),"yes","no"),IF(I231-H231&lt;=3,"yes (thickness)","no (thickness)"))))</f>
        <v/>
      </c>
      <c r="K231" s="6">
        <f>SUMIFS(Elements!$M$2:$M$862,Elements!$B$2:$B$862,$A231,Elements!$D$2:$D$862,$B231,Elements!$E$2:$E$862,$C231,Elements!$F$2:$F$862,$D231)</f>
        <v/>
      </c>
      <c r="L231" s="6">
        <f>SUMIFS(Elements!$L$2:$L$862,Elements!$B$2:$B$862,$A231,Elements!$D$2:$D$862,$B231,Elements!$E$2:$E$862,$C231,Elements!$F$2:$F$862,$D231)</f>
        <v/>
      </c>
      <c r="M231" s="2" t="inlineStr">
        <is>
          <t>solid fill; 34-2869 x 20-30 cm; L/W 1.70-143.45; inside a footing outline 5%; on a raft 29%; touching a hatched core wall 12%; in a strip-footing band 69%; at a grade-beam junction 20%</t>
        </is>
      </c>
    </row>
    <row r="232">
      <c r="A232" s="5" t="inlineStr">
        <is>
          <t>129</t>
        </is>
      </c>
      <c r="B232" s="5" t="inlineStr">
        <is>
          <t>wall</t>
        </is>
      </c>
      <c r="C232" s="5" t="inlineStr">
        <is>
          <t>retaining_wall</t>
        </is>
      </c>
      <c r="D232" s="5" t="inlineStr">
        <is>
          <t>VP25</t>
        </is>
      </c>
      <c r="E232" s="5">
        <f>COUNTIFS(Elements!$B$2:$B$862,$A232,Elements!$D$2:$D$862,$B232,Elements!$E$2:$E$862,$C232,Elements!$F$2:$F$862,$D232)</f>
        <v/>
      </c>
      <c r="F232" s="5">
        <f>IFERROR(_xlfn.MINIFS(Elements!$I$2:$I$862,Elements!$B$2:$B$862,$A232,Elements!$D$2:$D$862,$B232,Elements!$E$2:$E$862,$C232,Elements!$F$2:$F$862,$D232),"")</f>
        <v/>
      </c>
      <c r="G232" s="5">
        <f>IFERROR(_xlfn.MAXIFS(Elements!$I$2:$I$862,Elements!$B$2:$B$862,$A232,Elements!$D$2:$D$862,$B232,Elements!$E$2:$E$862,$C232,Elements!$F$2:$F$862,$D232),"")</f>
        <v/>
      </c>
      <c r="H232" s="5">
        <f>IFERROR(_xlfn.MINIFS(Elements!$J$2:$J$862,Elements!$B$2:$B$862,$A232,Elements!$D$2:$D$862,$B232,Elements!$E$2:$E$862,$C232,Elements!$F$2:$F$862,$D232),"")</f>
        <v/>
      </c>
      <c r="I232" s="5">
        <f>IFERROR(_xlfn.MAXIFS(Elements!$J$2:$J$862,Elements!$B$2:$B$862,$A232,Elements!$D$2:$D$862,$B232,Elements!$E$2:$E$862,$C232,Elements!$F$2:$F$862,$D232),"")</f>
        <v/>
      </c>
      <c r="J232" s="5">
        <f>IF(OR(F232="",H232=""),"",IF(OR(B232="raft",B232="sump_pit",B232="crane_foundation",D232="(none)"),"n/a",IF(OR(B232="column",B232="footing",B232="mass_concrete_pad",AND(B232="wall",C232="shear_wall",D232&lt;&gt;"(none)")),IF(AND(G232-F232&lt;=3,I232-H232&lt;=3),"yes","no"),IF(I232-H232&lt;=3,"yes (thickness)","no (thickness)"))))</f>
        <v/>
      </c>
      <c r="K232" s="6">
        <f>SUMIFS(Elements!$M$2:$M$862,Elements!$B$2:$B$862,$A232,Elements!$D$2:$D$862,$B232,Elements!$E$2:$E$862,$C232,Elements!$F$2:$F$862,$D232)</f>
        <v/>
      </c>
      <c r="L232" s="6">
        <f>SUMIFS(Elements!$L$2:$L$862,Elements!$B$2:$B$862,$A232,Elements!$D$2:$D$862,$B232,Elements!$E$2:$E$862,$C232,Elements!$F$2:$F$862,$D232)</f>
        <v/>
      </c>
      <c r="M232" s="2" t="inlineStr">
        <is>
          <t>solid fill; 34-2869 x 20-30 cm; L/W 1.70-143.45; inside a footing outline 5%; on a raft 29%; touching a hatched core wall 12%; in a strip-footing band 69%; at a grade-beam junction 20%</t>
        </is>
      </c>
    </row>
    <row r="233">
      <c r="A233" s="5" t="inlineStr">
        <is>
          <t>129</t>
        </is>
      </c>
      <c r="B233" s="5" t="inlineStr">
        <is>
          <t>wall</t>
        </is>
      </c>
      <c r="C233" s="5" t="inlineStr">
        <is>
          <t>shear_wall</t>
        </is>
      </c>
      <c r="D233" s="5" t="inlineStr">
        <is>
          <t>(none)</t>
        </is>
      </c>
      <c r="E233" s="5">
        <f>COUNTIFS(Elements!$B$2:$B$862,$A233,Elements!$D$2:$D$862,$B233,Elements!$E$2:$E$862,$C233,Elements!$F$2:$F$862,$D233)</f>
        <v/>
      </c>
      <c r="F233" s="5">
        <f>IFERROR(_xlfn.MINIFS(Elements!$I$2:$I$862,Elements!$B$2:$B$862,$A233,Elements!$D$2:$D$862,$B233,Elements!$E$2:$E$862,$C233,Elements!$F$2:$F$862,$D233),"")</f>
        <v/>
      </c>
      <c r="G233" s="5">
        <f>IFERROR(_xlfn.MAXIFS(Elements!$I$2:$I$862,Elements!$B$2:$B$862,$A233,Elements!$D$2:$D$862,$B233,Elements!$E$2:$E$862,$C233,Elements!$F$2:$F$862,$D233),"")</f>
        <v/>
      </c>
      <c r="H233" s="5">
        <f>IFERROR(_xlfn.MINIFS(Elements!$J$2:$J$862,Elements!$B$2:$B$862,$A233,Elements!$D$2:$D$862,$B233,Elements!$E$2:$E$862,$C233,Elements!$F$2:$F$862,$D233),"")</f>
        <v/>
      </c>
      <c r="I233" s="5">
        <f>IFERROR(_xlfn.MAXIFS(Elements!$J$2:$J$862,Elements!$B$2:$B$862,$A233,Elements!$D$2:$D$862,$B233,Elements!$E$2:$E$862,$C233,Elements!$F$2:$F$862,$D233),"")</f>
        <v/>
      </c>
      <c r="J233" s="5">
        <f>IF(OR(F233="",H233=""),"",IF(OR(B233="raft",B233="sump_pit",B233="crane_foundation",D233="(none)"),"n/a",IF(OR(B233="column",B233="footing",B233="mass_concrete_pad",AND(B233="wall",C233="shear_wall",D233&lt;&gt;"(none)")),IF(AND(G233-F233&lt;=3,I233-H233&lt;=3),"yes","no"),IF(I233-H233&lt;=3,"yes (thickness)","no (thickness)"))))</f>
        <v/>
      </c>
      <c r="K233" s="6">
        <f>SUMIFS(Elements!$M$2:$M$862,Elements!$B$2:$B$862,$A233,Elements!$D$2:$D$862,$B233,Elements!$E$2:$E$862,$C233,Elements!$F$2:$F$862,$D233)</f>
        <v/>
      </c>
      <c r="L233" s="6">
        <f>SUMIFS(Elements!$L$2:$L$862,Elements!$B$2:$B$862,$A233,Elements!$D$2:$D$862,$B233,Elements!$E$2:$E$862,$C233,Elements!$F$2:$F$862,$D233)</f>
        <v/>
      </c>
      <c r="M233" s="2" t="inlineStr">
        <is>
          <t>solid fill; 87-1849 x 20-30 cm; L/W 4.17-92.45; inside a footing outline 72%; on a raft 10%; touching a hatched core wall 1%; in a strip-footing band 5%; at a grade-beam junction 51%</t>
        </is>
      </c>
    </row>
    <row r="234">
      <c r="A234" s="5" t="inlineStr">
        <is>
          <t>129</t>
        </is>
      </c>
      <c r="B234" s="5" t="inlineStr">
        <is>
          <t>wall</t>
        </is>
      </c>
      <c r="C234" s="5" t="inlineStr">
        <is>
          <t>shear_wall</t>
        </is>
      </c>
      <c r="D234" s="5" t="inlineStr">
        <is>
          <t>V1/129</t>
        </is>
      </c>
      <c r="E234" s="5">
        <f>COUNTIFS(Elements!$B$2:$B$862,$A234,Elements!$D$2:$D$862,$B234,Elements!$E$2:$E$862,$C234,Elements!$F$2:$F$862,$D234)</f>
        <v/>
      </c>
      <c r="F234" s="5">
        <f>IFERROR(_xlfn.MINIFS(Elements!$I$2:$I$862,Elements!$B$2:$B$862,$A234,Elements!$D$2:$D$862,$B234,Elements!$E$2:$E$862,$C234,Elements!$F$2:$F$862,$D234),"")</f>
        <v/>
      </c>
      <c r="G234" s="5">
        <f>IFERROR(_xlfn.MAXIFS(Elements!$I$2:$I$862,Elements!$B$2:$B$862,$A234,Elements!$D$2:$D$862,$B234,Elements!$E$2:$E$862,$C234,Elements!$F$2:$F$862,$D234),"")</f>
        <v/>
      </c>
      <c r="H234" s="5">
        <f>IFERROR(_xlfn.MINIFS(Elements!$J$2:$J$862,Elements!$B$2:$B$862,$A234,Elements!$D$2:$D$862,$B234,Elements!$E$2:$E$862,$C234,Elements!$F$2:$F$862,$D234),"")</f>
        <v/>
      </c>
      <c r="I234" s="5">
        <f>IFERROR(_xlfn.MAXIFS(Elements!$J$2:$J$862,Elements!$B$2:$B$862,$A234,Elements!$D$2:$D$862,$B234,Elements!$E$2:$E$862,$C234,Elements!$F$2:$F$862,$D234),"")</f>
        <v/>
      </c>
      <c r="J234" s="5">
        <f>IF(OR(F234="",H234=""),"",IF(OR(B234="raft",B234="sump_pit",B234="crane_foundation",D234="(none)"),"n/a",IF(OR(B234="column",B234="footing",B234="mass_concrete_pad",AND(B234="wall",C234="shear_wall",D234&lt;&gt;"(none)")),IF(AND(G234-F234&lt;=3,I234-H234&lt;=3),"yes","no"),IF(I234-H234&lt;=3,"yes (thickness)","no (thickness)"))))</f>
        <v/>
      </c>
      <c r="K234" s="6">
        <f>SUMIFS(Elements!$M$2:$M$862,Elements!$B$2:$B$862,$A234,Elements!$D$2:$D$862,$B234,Elements!$E$2:$E$862,$C234,Elements!$F$2:$F$862,$D234)</f>
        <v/>
      </c>
      <c r="L234" s="6">
        <f>SUMIFS(Elements!$L$2:$L$862,Elements!$B$2:$B$862,$A234,Elements!$D$2:$D$862,$B234,Elements!$E$2:$E$862,$C234,Elements!$F$2:$F$862,$D234)</f>
        <v/>
      </c>
      <c r="M234" s="2" t="inlineStr">
        <is>
          <t>solid fill; 87-1849 x 20-30 cm; L/W 4.17-92.45; inside a footing outline 72%; on a raft 10%; touching a hatched core wall 1%; in a strip-footing band 5%; at a grade-beam junction 51%</t>
        </is>
      </c>
    </row>
    <row r="235">
      <c r="A235" s="5" t="inlineStr">
        <is>
          <t>129</t>
        </is>
      </c>
      <c r="B235" s="5" t="inlineStr">
        <is>
          <t>wall</t>
        </is>
      </c>
      <c r="C235" s="5" t="inlineStr">
        <is>
          <t>shear_wall</t>
        </is>
      </c>
      <c r="D235" s="5" t="inlineStr">
        <is>
          <t>V3/129</t>
        </is>
      </c>
      <c r="E235" s="5">
        <f>COUNTIFS(Elements!$B$2:$B$862,$A235,Elements!$D$2:$D$862,$B235,Elements!$E$2:$E$862,$C235,Elements!$F$2:$F$862,$D235)</f>
        <v/>
      </c>
      <c r="F235" s="5">
        <f>IFERROR(_xlfn.MINIFS(Elements!$I$2:$I$862,Elements!$B$2:$B$862,$A235,Elements!$D$2:$D$862,$B235,Elements!$E$2:$E$862,$C235,Elements!$F$2:$F$862,$D235),"")</f>
        <v/>
      </c>
      <c r="G235" s="5">
        <f>IFERROR(_xlfn.MAXIFS(Elements!$I$2:$I$862,Elements!$B$2:$B$862,$A235,Elements!$D$2:$D$862,$B235,Elements!$E$2:$E$862,$C235,Elements!$F$2:$F$862,$D235),"")</f>
        <v/>
      </c>
      <c r="H235" s="5">
        <f>IFERROR(_xlfn.MINIFS(Elements!$J$2:$J$862,Elements!$B$2:$B$862,$A235,Elements!$D$2:$D$862,$B235,Elements!$E$2:$E$862,$C235,Elements!$F$2:$F$862,$D235),"")</f>
        <v/>
      </c>
      <c r="I235" s="5">
        <f>IFERROR(_xlfn.MAXIFS(Elements!$J$2:$J$862,Elements!$B$2:$B$862,$A235,Elements!$D$2:$D$862,$B235,Elements!$E$2:$E$862,$C235,Elements!$F$2:$F$862,$D235),"")</f>
        <v/>
      </c>
      <c r="J235" s="5">
        <f>IF(OR(F235="",H235=""),"",IF(OR(B235="raft",B235="sump_pit",B235="crane_foundation",D235="(none)"),"n/a",IF(OR(B235="column",B235="footing",B235="mass_concrete_pad",AND(B235="wall",C235="shear_wall",D235&lt;&gt;"(none)")),IF(AND(G235-F235&lt;=3,I235-H235&lt;=3),"yes","no"),IF(I235-H235&lt;=3,"yes (thickness)","no (thickness)"))))</f>
        <v/>
      </c>
      <c r="K235" s="6">
        <f>SUMIFS(Elements!$M$2:$M$862,Elements!$B$2:$B$862,$A235,Elements!$D$2:$D$862,$B235,Elements!$E$2:$E$862,$C235,Elements!$F$2:$F$862,$D235)</f>
        <v/>
      </c>
      <c r="L235" s="6">
        <f>SUMIFS(Elements!$L$2:$L$862,Elements!$B$2:$B$862,$A235,Elements!$D$2:$D$862,$B235,Elements!$E$2:$E$862,$C235,Elements!$F$2:$F$862,$D235)</f>
        <v/>
      </c>
      <c r="M235" s="2" t="inlineStr">
        <is>
          <t>solid fill; 87-1849 x 20-30 cm; L/W 4.17-92.45; inside a footing outline 72%; on a raft 10%; touching a hatched core wall 1%; in a strip-footing band 5%; at a grade-beam junction 51%</t>
        </is>
      </c>
    </row>
    <row r="236">
      <c r="A236" s="5" t="inlineStr">
        <is>
          <t>129</t>
        </is>
      </c>
      <c r="B236" s="5" t="inlineStr">
        <is>
          <t>wall</t>
        </is>
      </c>
      <c r="C236" s="5" t="inlineStr">
        <is>
          <t>shear_wall</t>
        </is>
      </c>
      <c r="D236" s="5" t="inlineStr">
        <is>
          <t>V5/129</t>
        </is>
      </c>
      <c r="E236" s="5">
        <f>COUNTIFS(Elements!$B$2:$B$862,$A236,Elements!$D$2:$D$862,$B236,Elements!$E$2:$E$862,$C236,Elements!$F$2:$F$862,$D236)</f>
        <v/>
      </c>
      <c r="F236" s="5">
        <f>IFERROR(_xlfn.MINIFS(Elements!$I$2:$I$862,Elements!$B$2:$B$862,$A236,Elements!$D$2:$D$862,$B236,Elements!$E$2:$E$862,$C236,Elements!$F$2:$F$862,$D236),"")</f>
        <v/>
      </c>
      <c r="G236" s="5">
        <f>IFERROR(_xlfn.MAXIFS(Elements!$I$2:$I$862,Elements!$B$2:$B$862,$A236,Elements!$D$2:$D$862,$B236,Elements!$E$2:$E$862,$C236,Elements!$F$2:$F$862,$D236),"")</f>
        <v/>
      </c>
      <c r="H236" s="5">
        <f>IFERROR(_xlfn.MINIFS(Elements!$J$2:$J$862,Elements!$B$2:$B$862,$A236,Elements!$D$2:$D$862,$B236,Elements!$E$2:$E$862,$C236,Elements!$F$2:$F$862,$D236),"")</f>
        <v/>
      </c>
      <c r="I236" s="5">
        <f>IFERROR(_xlfn.MAXIFS(Elements!$J$2:$J$862,Elements!$B$2:$B$862,$A236,Elements!$D$2:$D$862,$B236,Elements!$E$2:$E$862,$C236,Elements!$F$2:$F$862,$D236),"")</f>
        <v/>
      </c>
      <c r="J236" s="5">
        <f>IF(OR(F236="",H236=""),"",IF(OR(B236="raft",B236="sump_pit",B236="crane_foundation",D236="(none)"),"n/a",IF(OR(B236="column",B236="footing",B236="mass_concrete_pad",AND(B236="wall",C236="shear_wall",D236&lt;&gt;"(none)")),IF(AND(G236-F236&lt;=3,I236-H236&lt;=3),"yes","no"),IF(I236-H236&lt;=3,"yes (thickness)","no (thickness)"))))</f>
        <v/>
      </c>
      <c r="K236" s="6">
        <f>SUMIFS(Elements!$M$2:$M$862,Elements!$B$2:$B$862,$A236,Elements!$D$2:$D$862,$B236,Elements!$E$2:$E$862,$C236,Elements!$F$2:$F$862,$D236)</f>
        <v/>
      </c>
      <c r="L236" s="6">
        <f>SUMIFS(Elements!$L$2:$L$862,Elements!$B$2:$B$862,$A236,Elements!$D$2:$D$862,$B236,Elements!$E$2:$E$862,$C236,Elements!$F$2:$F$862,$D236)</f>
        <v/>
      </c>
      <c r="M236" s="2" t="inlineStr">
        <is>
          <t>solid fill; 87-1849 x 20-30 cm; L/W 4.17-92.45; inside a footing outline 72%; on a raft 10%; touching a hatched core wall 1%; in a strip-footing band 5%; at a grade-beam junction 51%</t>
        </is>
      </c>
    </row>
    <row r="237">
      <c r="A237" s="5" t="inlineStr">
        <is>
          <t>129</t>
        </is>
      </c>
      <c r="B237" s="5" t="inlineStr">
        <is>
          <t>wall</t>
        </is>
      </c>
      <c r="C237" s="5" t="inlineStr">
        <is>
          <t>shear_wall</t>
        </is>
      </c>
      <c r="D237" s="5" t="inlineStr">
        <is>
          <t>V6/129</t>
        </is>
      </c>
      <c r="E237" s="5">
        <f>COUNTIFS(Elements!$B$2:$B$862,$A237,Elements!$D$2:$D$862,$B237,Elements!$E$2:$E$862,$C237,Elements!$F$2:$F$862,$D237)</f>
        <v/>
      </c>
      <c r="F237" s="5">
        <f>IFERROR(_xlfn.MINIFS(Elements!$I$2:$I$862,Elements!$B$2:$B$862,$A237,Elements!$D$2:$D$862,$B237,Elements!$E$2:$E$862,$C237,Elements!$F$2:$F$862,$D237),"")</f>
        <v/>
      </c>
      <c r="G237" s="5">
        <f>IFERROR(_xlfn.MAXIFS(Elements!$I$2:$I$862,Elements!$B$2:$B$862,$A237,Elements!$D$2:$D$862,$B237,Elements!$E$2:$E$862,$C237,Elements!$F$2:$F$862,$D237),"")</f>
        <v/>
      </c>
      <c r="H237" s="5">
        <f>IFERROR(_xlfn.MINIFS(Elements!$J$2:$J$862,Elements!$B$2:$B$862,$A237,Elements!$D$2:$D$862,$B237,Elements!$E$2:$E$862,$C237,Elements!$F$2:$F$862,$D237),"")</f>
        <v/>
      </c>
      <c r="I237" s="5">
        <f>IFERROR(_xlfn.MAXIFS(Elements!$J$2:$J$862,Elements!$B$2:$B$862,$A237,Elements!$D$2:$D$862,$B237,Elements!$E$2:$E$862,$C237,Elements!$F$2:$F$862,$D237),"")</f>
        <v/>
      </c>
      <c r="J237" s="5">
        <f>IF(OR(F237="",H237=""),"",IF(OR(B237="raft",B237="sump_pit",B237="crane_foundation",D237="(none)"),"n/a",IF(OR(B237="column",B237="footing",B237="mass_concrete_pad",AND(B237="wall",C237="shear_wall",D237&lt;&gt;"(none)")),IF(AND(G237-F237&lt;=3,I237-H237&lt;=3),"yes","no"),IF(I237-H237&lt;=3,"yes (thickness)","no (thickness)"))))</f>
        <v/>
      </c>
      <c r="K237" s="6">
        <f>SUMIFS(Elements!$M$2:$M$862,Elements!$B$2:$B$862,$A237,Elements!$D$2:$D$862,$B237,Elements!$E$2:$E$862,$C237,Elements!$F$2:$F$862,$D237)</f>
        <v/>
      </c>
      <c r="L237" s="6">
        <f>SUMIFS(Elements!$L$2:$L$862,Elements!$B$2:$B$862,$A237,Elements!$D$2:$D$862,$B237,Elements!$E$2:$E$862,$C237,Elements!$F$2:$F$862,$D237)</f>
        <v/>
      </c>
      <c r="M237" s="2" t="inlineStr">
        <is>
          <t>solid fill; 87-1849 x 20-30 cm; L/W 4.17-92.45; inside a footing outline 72%; on a raft 10%; touching a hatched core wall 1%; in a strip-footing band 5%; at a grade-beam junction 51%</t>
        </is>
      </c>
    </row>
    <row r="238">
      <c r="A238" s="5" t="inlineStr">
        <is>
          <t>129</t>
        </is>
      </c>
      <c r="B238" s="5" t="inlineStr">
        <is>
          <t>wall</t>
        </is>
      </c>
      <c r="C238" s="5" t="inlineStr">
        <is>
          <t>shear_wall</t>
        </is>
      </c>
      <c r="D238" s="5" t="inlineStr">
        <is>
          <t>V8/129</t>
        </is>
      </c>
      <c r="E238" s="5">
        <f>COUNTIFS(Elements!$B$2:$B$862,$A238,Elements!$D$2:$D$862,$B238,Elements!$E$2:$E$862,$C238,Elements!$F$2:$F$862,$D238)</f>
        <v/>
      </c>
      <c r="F238" s="5">
        <f>IFERROR(_xlfn.MINIFS(Elements!$I$2:$I$862,Elements!$B$2:$B$862,$A238,Elements!$D$2:$D$862,$B238,Elements!$E$2:$E$862,$C238,Elements!$F$2:$F$862,$D238),"")</f>
        <v/>
      </c>
      <c r="G238" s="5">
        <f>IFERROR(_xlfn.MAXIFS(Elements!$I$2:$I$862,Elements!$B$2:$B$862,$A238,Elements!$D$2:$D$862,$B238,Elements!$E$2:$E$862,$C238,Elements!$F$2:$F$862,$D238),"")</f>
        <v/>
      </c>
      <c r="H238" s="5">
        <f>IFERROR(_xlfn.MINIFS(Elements!$J$2:$J$862,Elements!$B$2:$B$862,$A238,Elements!$D$2:$D$862,$B238,Elements!$E$2:$E$862,$C238,Elements!$F$2:$F$862,$D238),"")</f>
        <v/>
      </c>
      <c r="I238" s="5">
        <f>IFERROR(_xlfn.MAXIFS(Elements!$J$2:$J$862,Elements!$B$2:$B$862,$A238,Elements!$D$2:$D$862,$B238,Elements!$E$2:$E$862,$C238,Elements!$F$2:$F$862,$D238),"")</f>
        <v/>
      </c>
      <c r="J238" s="5">
        <f>IF(OR(F238="",H238=""),"",IF(OR(B238="raft",B238="sump_pit",B238="crane_foundation",D238="(none)"),"n/a",IF(OR(B238="column",B238="footing",B238="mass_concrete_pad",AND(B238="wall",C238="shear_wall",D238&lt;&gt;"(none)")),IF(AND(G238-F238&lt;=3,I238-H238&lt;=3),"yes","no"),IF(I238-H238&lt;=3,"yes (thickness)","no (thickness)"))))</f>
        <v/>
      </c>
      <c r="K238" s="6">
        <f>SUMIFS(Elements!$M$2:$M$862,Elements!$B$2:$B$862,$A238,Elements!$D$2:$D$862,$B238,Elements!$E$2:$E$862,$C238,Elements!$F$2:$F$862,$D238)</f>
        <v/>
      </c>
      <c r="L238" s="6">
        <f>SUMIFS(Elements!$L$2:$L$862,Elements!$B$2:$B$862,$A238,Elements!$D$2:$D$862,$B238,Elements!$E$2:$E$862,$C238,Elements!$F$2:$F$862,$D238)</f>
        <v/>
      </c>
      <c r="M238" s="2" t="inlineStr">
        <is>
          <t>solid fill; 87-1849 x 20-30 cm; L/W 4.17-92.45; inside a footing outline 72%; on a raft 10%; touching a hatched core wall 1%; in a strip-footing band 5%; at a grade-beam junction 51%</t>
        </is>
      </c>
    </row>
    <row r="239">
      <c r="A239" s="5" t="inlineStr">
        <is>
          <t>130</t>
        </is>
      </c>
      <c r="B239" s="5" t="inlineStr">
        <is>
          <t>column</t>
        </is>
      </c>
      <c r="C239" s="5" t="inlineStr">
        <is>
          <t>column</t>
        </is>
      </c>
      <c r="D239" s="5" t="inlineStr">
        <is>
          <t>P1/130</t>
        </is>
      </c>
      <c r="E239" s="5">
        <f>COUNTIFS(Elements!$B$2:$B$862,$A239,Elements!$D$2:$D$862,$B239,Elements!$E$2:$E$862,$C239,Elements!$F$2:$F$862,$D239)</f>
        <v/>
      </c>
      <c r="F239" s="5">
        <f>IFERROR(_xlfn.MINIFS(Elements!$I$2:$I$862,Elements!$B$2:$B$862,$A239,Elements!$D$2:$D$862,$B239,Elements!$E$2:$E$862,$C239,Elements!$F$2:$F$862,$D239),"")</f>
        <v/>
      </c>
      <c r="G239" s="5">
        <f>IFERROR(_xlfn.MAXIFS(Elements!$I$2:$I$862,Elements!$B$2:$B$862,$A239,Elements!$D$2:$D$862,$B239,Elements!$E$2:$E$862,$C239,Elements!$F$2:$F$862,$D239),"")</f>
        <v/>
      </c>
      <c r="H239" s="5">
        <f>IFERROR(_xlfn.MINIFS(Elements!$J$2:$J$862,Elements!$B$2:$B$862,$A239,Elements!$D$2:$D$862,$B239,Elements!$E$2:$E$862,$C239,Elements!$F$2:$F$862,$D239),"")</f>
        <v/>
      </c>
      <c r="I239" s="5">
        <f>IFERROR(_xlfn.MAXIFS(Elements!$J$2:$J$862,Elements!$B$2:$B$862,$A239,Elements!$D$2:$D$862,$B239,Elements!$E$2:$E$862,$C239,Elements!$F$2:$F$862,$D239),"")</f>
        <v/>
      </c>
      <c r="J239" s="5">
        <f>IF(OR(F239="",H239=""),"",IF(OR(B239="raft",B239="sump_pit",B239="crane_foundation",D239="(none)"),"n/a",IF(OR(B239="column",B239="footing",B239="mass_concrete_pad",AND(B239="wall",C239="shear_wall",D239&lt;&gt;"(none)")),IF(AND(G239-F239&lt;=3,I239-H239&lt;=3),"yes","no"),IF(I239-H239&lt;=3,"yes (thickness)","no (thickness)"))))</f>
        <v/>
      </c>
      <c r="K239" s="6">
        <f>SUMIFS(Elements!$M$2:$M$862,Elements!$B$2:$B$862,$A239,Elements!$D$2:$D$862,$B239,Elements!$E$2:$E$862,$C239,Elements!$F$2:$F$862,$D239)</f>
        <v/>
      </c>
      <c r="L239" s="6">
        <f>SUMIFS(Elements!$L$2:$L$862,Elements!$B$2:$B$862,$A239,Elements!$D$2:$D$862,$B239,Elements!$E$2:$E$862,$C239,Elements!$F$2:$F$862,$D239)</f>
        <v/>
      </c>
      <c r="M239" s="2" t="inlineStr">
        <is>
          <t>solid fill; 40-120 x 25-50 cm; L/W 1.60-4.00; inside a footing outline 37%; on a raft 63%; touching a hatched core wall 26%; in a strip-footing band 0%; at a grade-beam junction 26%</t>
        </is>
      </c>
    </row>
    <row r="240">
      <c r="A240" s="5" t="inlineStr">
        <is>
          <t>130</t>
        </is>
      </c>
      <c r="B240" s="5" t="inlineStr">
        <is>
          <t>column</t>
        </is>
      </c>
      <c r="C240" s="5" t="inlineStr">
        <is>
          <t>column</t>
        </is>
      </c>
      <c r="D240" s="5" t="inlineStr">
        <is>
          <t>P3/130</t>
        </is>
      </c>
      <c r="E240" s="5">
        <f>COUNTIFS(Elements!$B$2:$B$862,$A240,Elements!$D$2:$D$862,$B240,Elements!$E$2:$E$862,$C240,Elements!$F$2:$F$862,$D240)</f>
        <v/>
      </c>
      <c r="F240" s="5">
        <f>IFERROR(_xlfn.MINIFS(Elements!$I$2:$I$862,Elements!$B$2:$B$862,$A240,Elements!$D$2:$D$862,$B240,Elements!$E$2:$E$862,$C240,Elements!$F$2:$F$862,$D240),"")</f>
        <v/>
      </c>
      <c r="G240" s="5">
        <f>IFERROR(_xlfn.MAXIFS(Elements!$I$2:$I$862,Elements!$B$2:$B$862,$A240,Elements!$D$2:$D$862,$B240,Elements!$E$2:$E$862,$C240,Elements!$F$2:$F$862,$D240),"")</f>
        <v/>
      </c>
      <c r="H240" s="5">
        <f>IFERROR(_xlfn.MINIFS(Elements!$J$2:$J$862,Elements!$B$2:$B$862,$A240,Elements!$D$2:$D$862,$B240,Elements!$E$2:$E$862,$C240,Elements!$F$2:$F$862,$D240),"")</f>
        <v/>
      </c>
      <c r="I240" s="5">
        <f>IFERROR(_xlfn.MAXIFS(Elements!$J$2:$J$862,Elements!$B$2:$B$862,$A240,Elements!$D$2:$D$862,$B240,Elements!$E$2:$E$862,$C240,Elements!$F$2:$F$862,$D240),"")</f>
        <v/>
      </c>
      <c r="J240" s="5">
        <f>IF(OR(F240="",H240=""),"",IF(OR(B240="raft",B240="sump_pit",B240="crane_foundation",D240="(none)"),"n/a",IF(OR(B240="column",B240="footing",B240="mass_concrete_pad",AND(B240="wall",C240="shear_wall",D240&lt;&gt;"(none)")),IF(AND(G240-F240&lt;=3,I240-H240&lt;=3),"yes","no"),IF(I240-H240&lt;=3,"yes (thickness)","no (thickness)"))))</f>
        <v/>
      </c>
      <c r="K240" s="6">
        <f>SUMIFS(Elements!$M$2:$M$862,Elements!$B$2:$B$862,$A240,Elements!$D$2:$D$862,$B240,Elements!$E$2:$E$862,$C240,Elements!$F$2:$F$862,$D240)</f>
        <v/>
      </c>
      <c r="L240" s="6">
        <f>SUMIFS(Elements!$L$2:$L$862,Elements!$B$2:$B$862,$A240,Elements!$D$2:$D$862,$B240,Elements!$E$2:$E$862,$C240,Elements!$F$2:$F$862,$D240)</f>
        <v/>
      </c>
      <c r="M240" s="2" t="inlineStr">
        <is>
          <t>solid fill; 40-120 x 25-50 cm; L/W 1.60-4.00; inside a footing outline 37%; on a raft 63%; touching a hatched core wall 26%; in a strip-footing band 0%; at a grade-beam junction 26%</t>
        </is>
      </c>
    </row>
    <row r="241">
      <c r="A241" s="5" t="inlineStr">
        <is>
          <t>130</t>
        </is>
      </c>
      <c r="B241" s="5" t="inlineStr">
        <is>
          <t>footing</t>
        </is>
      </c>
      <c r="C241" s="5" t="inlineStr">
        <is>
          <t>combined_footing</t>
        </is>
      </c>
      <c r="D241" s="5" t="inlineStr">
        <is>
          <t>SC1</t>
        </is>
      </c>
      <c r="E241" s="5">
        <f>COUNTIFS(Elements!$B$2:$B$862,$A241,Elements!$D$2:$D$862,$B241,Elements!$E$2:$E$862,$C241,Elements!$F$2:$F$862,$D241)</f>
        <v/>
      </c>
      <c r="F241" s="5">
        <f>IFERROR(_xlfn.MINIFS(Elements!$I$2:$I$862,Elements!$B$2:$B$862,$A241,Elements!$D$2:$D$862,$B241,Elements!$E$2:$E$862,$C241,Elements!$F$2:$F$862,$D241),"")</f>
        <v/>
      </c>
      <c r="G241" s="5">
        <f>IFERROR(_xlfn.MAXIFS(Elements!$I$2:$I$862,Elements!$B$2:$B$862,$A241,Elements!$D$2:$D$862,$B241,Elements!$E$2:$E$862,$C241,Elements!$F$2:$F$862,$D241),"")</f>
        <v/>
      </c>
      <c r="H241" s="5">
        <f>IFERROR(_xlfn.MINIFS(Elements!$J$2:$J$862,Elements!$B$2:$B$862,$A241,Elements!$D$2:$D$862,$B241,Elements!$E$2:$E$862,$C241,Elements!$F$2:$F$862,$D241),"")</f>
        <v/>
      </c>
      <c r="I241" s="5">
        <f>IFERROR(_xlfn.MAXIFS(Elements!$J$2:$J$862,Elements!$B$2:$B$862,$A241,Elements!$D$2:$D$862,$B241,Elements!$E$2:$E$862,$C241,Elements!$F$2:$F$862,$D241),"")</f>
        <v/>
      </c>
      <c r="J241" s="5">
        <f>IF(OR(F241="",H241=""),"",IF(OR(B241="raft",B241="sump_pit",B241="crane_foundation",D241="(none)"),"n/a",IF(OR(B241="column",B241="footing",B241="mass_concrete_pad",AND(B241="wall",C241="shear_wall",D241&lt;&gt;"(none)")),IF(AND(G241-F241&lt;=3,I241-H241&lt;=3),"yes","no"),IF(I241-H241&lt;=3,"yes (thickness)","no (thickness)"))))</f>
        <v/>
      </c>
      <c r="K241" s="6">
        <f>SUMIFS(Elements!$M$2:$M$862,Elements!$B$2:$B$862,$A241,Elements!$D$2:$D$862,$B241,Elements!$E$2:$E$862,$C241,Elements!$F$2:$F$862,$D241)</f>
        <v/>
      </c>
      <c r="L241" s="6">
        <f>SUMIFS(Elements!$L$2:$L$862,Elements!$B$2:$B$862,$A241,Elements!$D$2:$D$862,$B241,Elements!$E$2:$E$862,$C241,Elements!$F$2:$F$862,$D241)</f>
        <v/>
      </c>
      <c r="M241" s="2" t="inlineStr">
        <is>
          <t>closed outline; 350-600 x 200-450 cm; carries wall+wall (24), column+wall (3), wall+wall+wall+wall (1); grade beam crossing it 93%</t>
        </is>
      </c>
    </row>
    <row r="242">
      <c r="A242" s="5" t="inlineStr">
        <is>
          <t>130</t>
        </is>
      </c>
      <c r="B242" s="5" t="inlineStr">
        <is>
          <t>footing</t>
        </is>
      </c>
      <c r="C242" s="5" t="inlineStr">
        <is>
          <t>combined_footing</t>
        </is>
      </c>
      <c r="D242" s="5" t="inlineStr">
        <is>
          <t>SC2</t>
        </is>
      </c>
      <c r="E242" s="5">
        <f>COUNTIFS(Elements!$B$2:$B$862,$A242,Elements!$D$2:$D$862,$B242,Elements!$E$2:$E$862,$C242,Elements!$F$2:$F$862,$D242)</f>
        <v/>
      </c>
      <c r="F242" s="5">
        <f>IFERROR(_xlfn.MINIFS(Elements!$I$2:$I$862,Elements!$B$2:$B$862,$A242,Elements!$D$2:$D$862,$B242,Elements!$E$2:$E$862,$C242,Elements!$F$2:$F$862,$D242),"")</f>
        <v/>
      </c>
      <c r="G242" s="5">
        <f>IFERROR(_xlfn.MAXIFS(Elements!$I$2:$I$862,Elements!$B$2:$B$862,$A242,Elements!$D$2:$D$862,$B242,Elements!$E$2:$E$862,$C242,Elements!$F$2:$F$862,$D242),"")</f>
        <v/>
      </c>
      <c r="H242" s="5">
        <f>IFERROR(_xlfn.MINIFS(Elements!$J$2:$J$862,Elements!$B$2:$B$862,$A242,Elements!$D$2:$D$862,$B242,Elements!$E$2:$E$862,$C242,Elements!$F$2:$F$862,$D242),"")</f>
        <v/>
      </c>
      <c r="I242" s="5">
        <f>IFERROR(_xlfn.MAXIFS(Elements!$J$2:$J$862,Elements!$B$2:$B$862,$A242,Elements!$D$2:$D$862,$B242,Elements!$E$2:$E$862,$C242,Elements!$F$2:$F$862,$D242),"")</f>
        <v/>
      </c>
      <c r="J242" s="5">
        <f>IF(OR(F242="",H242=""),"",IF(OR(B242="raft",B242="sump_pit",B242="crane_foundation",D242="(none)"),"n/a",IF(OR(B242="column",B242="footing",B242="mass_concrete_pad",AND(B242="wall",C242="shear_wall",D242&lt;&gt;"(none)")),IF(AND(G242-F242&lt;=3,I242-H242&lt;=3),"yes","no"),IF(I242-H242&lt;=3,"yes (thickness)","no (thickness)"))))</f>
        <v/>
      </c>
      <c r="K242" s="6">
        <f>SUMIFS(Elements!$M$2:$M$862,Elements!$B$2:$B$862,$A242,Elements!$D$2:$D$862,$B242,Elements!$E$2:$E$862,$C242,Elements!$F$2:$F$862,$D242)</f>
        <v/>
      </c>
      <c r="L242" s="6">
        <f>SUMIFS(Elements!$L$2:$L$862,Elements!$B$2:$B$862,$A242,Elements!$D$2:$D$862,$B242,Elements!$E$2:$E$862,$C242,Elements!$F$2:$F$862,$D242)</f>
        <v/>
      </c>
      <c r="M242" s="2" t="inlineStr">
        <is>
          <t>closed outline; 350-600 x 200-450 cm; carries wall+wall (24), column+wall (3), wall+wall+wall+wall (1); grade beam crossing it 93%</t>
        </is>
      </c>
    </row>
    <row r="243">
      <c r="A243" s="5" t="inlineStr">
        <is>
          <t>130</t>
        </is>
      </c>
      <c r="B243" s="5" t="inlineStr">
        <is>
          <t>footing</t>
        </is>
      </c>
      <c r="C243" s="5" t="inlineStr">
        <is>
          <t>combined_footing</t>
        </is>
      </c>
      <c r="D243" s="5" t="inlineStr">
        <is>
          <t>SC9</t>
        </is>
      </c>
      <c r="E243" s="5">
        <f>COUNTIFS(Elements!$B$2:$B$862,$A243,Elements!$D$2:$D$862,$B243,Elements!$E$2:$E$862,$C243,Elements!$F$2:$F$862,$D243)</f>
        <v/>
      </c>
      <c r="F243" s="5">
        <f>IFERROR(_xlfn.MINIFS(Elements!$I$2:$I$862,Elements!$B$2:$B$862,$A243,Elements!$D$2:$D$862,$B243,Elements!$E$2:$E$862,$C243,Elements!$F$2:$F$862,$D243),"")</f>
        <v/>
      </c>
      <c r="G243" s="5">
        <f>IFERROR(_xlfn.MAXIFS(Elements!$I$2:$I$862,Elements!$B$2:$B$862,$A243,Elements!$D$2:$D$862,$B243,Elements!$E$2:$E$862,$C243,Elements!$F$2:$F$862,$D243),"")</f>
        <v/>
      </c>
      <c r="H243" s="5">
        <f>IFERROR(_xlfn.MINIFS(Elements!$J$2:$J$862,Elements!$B$2:$B$862,$A243,Elements!$D$2:$D$862,$B243,Elements!$E$2:$E$862,$C243,Elements!$F$2:$F$862,$D243),"")</f>
        <v/>
      </c>
      <c r="I243" s="5">
        <f>IFERROR(_xlfn.MAXIFS(Elements!$J$2:$J$862,Elements!$B$2:$B$862,$A243,Elements!$D$2:$D$862,$B243,Elements!$E$2:$E$862,$C243,Elements!$F$2:$F$862,$D243),"")</f>
        <v/>
      </c>
      <c r="J243" s="5">
        <f>IF(OR(F243="",H243=""),"",IF(OR(B243="raft",B243="sump_pit",B243="crane_foundation",D243="(none)"),"n/a",IF(OR(B243="column",B243="footing",B243="mass_concrete_pad",AND(B243="wall",C243="shear_wall",D243&lt;&gt;"(none)")),IF(AND(G243-F243&lt;=3,I243-H243&lt;=3),"yes","no"),IF(I243-H243&lt;=3,"yes (thickness)","no (thickness)"))))</f>
        <v/>
      </c>
      <c r="K243" s="6">
        <f>SUMIFS(Elements!$M$2:$M$862,Elements!$B$2:$B$862,$A243,Elements!$D$2:$D$862,$B243,Elements!$E$2:$E$862,$C243,Elements!$F$2:$F$862,$D243)</f>
        <v/>
      </c>
      <c r="L243" s="6">
        <f>SUMIFS(Elements!$L$2:$L$862,Elements!$B$2:$B$862,$A243,Elements!$D$2:$D$862,$B243,Elements!$E$2:$E$862,$C243,Elements!$F$2:$F$862,$D243)</f>
        <v/>
      </c>
      <c r="M243" s="2" t="inlineStr">
        <is>
          <t>closed outline; 350-600 x 200-450 cm; carries wall+wall (24), column+wall (3), wall+wall+wall+wall (1); grade beam crossing it 93%</t>
        </is>
      </c>
    </row>
    <row r="244">
      <c r="A244" s="5" t="inlineStr">
        <is>
          <t>130</t>
        </is>
      </c>
      <c r="B244" s="5" t="inlineStr">
        <is>
          <t>footing</t>
        </is>
      </c>
      <c r="C244" s="5" t="inlineStr">
        <is>
          <t>isolated_footing</t>
        </is>
      </c>
      <c r="D244" s="5" t="inlineStr">
        <is>
          <t>S18</t>
        </is>
      </c>
      <c r="E244" s="5">
        <f>COUNTIFS(Elements!$B$2:$B$862,$A244,Elements!$D$2:$D$862,$B244,Elements!$E$2:$E$862,$C244,Elements!$F$2:$F$862,$D244)</f>
        <v/>
      </c>
      <c r="F244" s="5">
        <f>IFERROR(_xlfn.MINIFS(Elements!$I$2:$I$862,Elements!$B$2:$B$862,$A244,Elements!$D$2:$D$862,$B244,Elements!$E$2:$E$862,$C244,Elements!$F$2:$F$862,$D244),"")</f>
        <v/>
      </c>
      <c r="G244" s="5">
        <f>IFERROR(_xlfn.MAXIFS(Elements!$I$2:$I$862,Elements!$B$2:$B$862,$A244,Elements!$D$2:$D$862,$B244,Elements!$E$2:$E$862,$C244,Elements!$F$2:$F$862,$D244),"")</f>
        <v/>
      </c>
      <c r="H244" s="5">
        <f>IFERROR(_xlfn.MINIFS(Elements!$J$2:$J$862,Elements!$B$2:$B$862,$A244,Elements!$D$2:$D$862,$B244,Elements!$E$2:$E$862,$C244,Elements!$F$2:$F$862,$D244),"")</f>
        <v/>
      </c>
      <c r="I244" s="5">
        <f>IFERROR(_xlfn.MAXIFS(Elements!$J$2:$J$862,Elements!$B$2:$B$862,$A244,Elements!$D$2:$D$862,$B244,Elements!$E$2:$E$862,$C244,Elements!$F$2:$F$862,$D244),"")</f>
        <v/>
      </c>
      <c r="J244" s="5">
        <f>IF(OR(F244="",H244=""),"",IF(OR(B244="raft",B244="sump_pit",B244="crane_foundation",D244="(none)"),"n/a",IF(OR(B244="column",B244="footing",B244="mass_concrete_pad",AND(B244="wall",C244="shear_wall",D244&lt;&gt;"(none)")),IF(AND(G244-F244&lt;=3,I244-H244&lt;=3),"yes","no"),IF(I244-H244&lt;=3,"yes (thickness)","no (thickness)"))))</f>
        <v/>
      </c>
      <c r="K244" s="6">
        <f>SUMIFS(Elements!$M$2:$M$862,Elements!$B$2:$B$862,$A244,Elements!$D$2:$D$862,$B244,Elements!$E$2:$E$862,$C244,Elements!$F$2:$F$862,$D244)</f>
        <v/>
      </c>
      <c r="L244" s="6">
        <f>SUMIFS(Elements!$L$2:$L$862,Elements!$B$2:$B$862,$A244,Elements!$D$2:$D$862,$B244,Elements!$E$2:$E$862,$C244,Elements!$F$2:$F$862,$D244)</f>
        <v/>
      </c>
      <c r="M244" s="2" t="inlineStr">
        <is>
          <t>closed outline; 150-600 x 150-450 cm; carries wall (64), column (9), wall+wall (1); grade beam crossing it 95%</t>
        </is>
      </c>
    </row>
    <row r="245">
      <c r="A245" s="5" t="inlineStr">
        <is>
          <t>130</t>
        </is>
      </c>
      <c r="B245" s="5" t="inlineStr">
        <is>
          <t>footing</t>
        </is>
      </c>
      <c r="C245" s="5" t="inlineStr">
        <is>
          <t>isolated_footing</t>
        </is>
      </c>
      <c r="D245" s="5" t="inlineStr">
        <is>
          <t>S2</t>
        </is>
      </c>
      <c r="E245" s="5">
        <f>COUNTIFS(Elements!$B$2:$B$862,$A245,Elements!$D$2:$D$862,$B245,Elements!$E$2:$E$862,$C245,Elements!$F$2:$F$862,$D245)</f>
        <v/>
      </c>
      <c r="F245" s="5">
        <f>IFERROR(_xlfn.MINIFS(Elements!$I$2:$I$862,Elements!$B$2:$B$862,$A245,Elements!$D$2:$D$862,$B245,Elements!$E$2:$E$862,$C245,Elements!$F$2:$F$862,$D245),"")</f>
        <v/>
      </c>
      <c r="G245" s="5">
        <f>IFERROR(_xlfn.MAXIFS(Elements!$I$2:$I$862,Elements!$B$2:$B$862,$A245,Elements!$D$2:$D$862,$B245,Elements!$E$2:$E$862,$C245,Elements!$F$2:$F$862,$D245),"")</f>
        <v/>
      </c>
      <c r="H245" s="5">
        <f>IFERROR(_xlfn.MINIFS(Elements!$J$2:$J$862,Elements!$B$2:$B$862,$A245,Elements!$D$2:$D$862,$B245,Elements!$E$2:$E$862,$C245,Elements!$F$2:$F$862,$D245),"")</f>
        <v/>
      </c>
      <c r="I245" s="5">
        <f>IFERROR(_xlfn.MAXIFS(Elements!$J$2:$J$862,Elements!$B$2:$B$862,$A245,Elements!$D$2:$D$862,$B245,Elements!$E$2:$E$862,$C245,Elements!$F$2:$F$862,$D245),"")</f>
        <v/>
      </c>
      <c r="J245" s="5">
        <f>IF(OR(F245="",H245=""),"",IF(OR(B245="raft",B245="sump_pit",B245="crane_foundation",D245="(none)"),"n/a",IF(OR(B245="column",B245="footing",B245="mass_concrete_pad",AND(B245="wall",C245="shear_wall",D245&lt;&gt;"(none)")),IF(AND(G245-F245&lt;=3,I245-H245&lt;=3),"yes","no"),IF(I245-H245&lt;=3,"yes (thickness)","no (thickness)"))))</f>
        <v/>
      </c>
      <c r="K245" s="6">
        <f>SUMIFS(Elements!$M$2:$M$862,Elements!$B$2:$B$862,$A245,Elements!$D$2:$D$862,$B245,Elements!$E$2:$E$862,$C245,Elements!$F$2:$F$862,$D245)</f>
        <v/>
      </c>
      <c r="L245" s="6">
        <f>SUMIFS(Elements!$L$2:$L$862,Elements!$B$2:$B$862,$A245,Elements!$D$2:$D$862,$B245,Elements!$E$2:$E$862,$C245,Elements!$F$2:$F$862,$D245)</f>
        <v/>
      </c>
      <c r="M245" s="2" t="inlineStr">
        <is>
          <t>closed outline; 150-600 x 150-450 cm; carries wall (64), column (9), wall+wall (1); grade beam crossing it 95%</t>
        </is>
      </c>
    </row>
    <row r="246">
      <c r="A246" s="5" t="inlineStr">
        <is>
          <t>130</t>
        </is>
      </c>
      <c r="B246" s="5" t="inlineStr">
        <is>
          <t>footing</t>
        </is>
      </c>
      <c r="C246" s="5" t="inlineStr">
        <is>
          <t>isolated_footing</t>
        </is>
      </c>
      <c r="D246" s="5" t="inlineStr">
        <is>
          <t>S20</t>
        </is>
      </c>
      <c r="E246" s="5">
        <f>COUNTIFS(Elements!$B$2:$B$862,$A246,Elements!$D$2:$D$862,$B246,Elements!$E$2:$E$862,$C246,Elements!$F$2:$F$862,$D246)</f>
        <v/>
      </c>
      <c r="F246" s="5">
        <f>IFERROR(_xlfn.MINIFS(Elements!$I$2:$I$862,Elements!$B$2:$B$862,$A246,Elements!$D$2:$D$862,$B246,Elements!$E$2:$E$862,$C246,Elements!$F$2:$F$862,$D246),"")</f>
        <v/>
      </c>
      <c r="G246" s="5">
        <f>IFERROR(_xlfn.MAXIFS(Elements!$I$2:$I$862,Elements!$B$2:$B$862,$A246,Elements!$D$2:$D$862,$B246,Elements!$E$2:$E$862,$C246,Elements!$F$2:$F$862,$D246),"")</f>
        <v/>
      </c>
      <c r="H246" s="5">
        <f>IFERROR(_xlfn.MINIFS(Elements!$J$2:$J$862,Elements!$B$2:$B$862,$A246,Elements!$D$2:$D$862,$B246,Elements!$E$2:$E$862,$C246,Elements!$F$2:$F$862,$D246),"")</f>
        <v/>
      </c>
      <c r="I246" s="5">
        <f>IFERROR(_xlfn.MAXIFS(Elements!$J$2:$J$862,Elements!$B$2:$B$862,$A246,Elements!$D$2:$D$862,$B246,Elements!$E$2:$E$862,$C246,Elements!$F$2:$F$862,$D246),"")</f>
        <v/>
      </c>
      <c r="J246" s="5">
        <f>IF(OR(F246="",H246=""),"",IF(OR(B246="raft",B246="sump_pit",B246="crane_foundation",D246="(none)"),"n/a",IF(OR(B246="column",B246="footing",B246="mass_concrete_pad",AND(B246="wall",C246="shear_wall",D246&lt;&gt;"(none)")),IF(AND(G246-F246&lt;=3,I246-H246&lt;=3),"yes","no"),IF(I246-H246&lt;=3,"yes (thickness)","no (thickness)"))))</f>
        <v/>
      </c>
      <c r="K246" s="6">
        <f>SUMIFS(Elements!$M$2:$M$862,Elements!$B$2:$B$862,$A246,Elements!$D$2:$D$862,$B246,Elements!$E$2:$E$862,$C246,Elements!$F$2:$F$862,$D246)</f>
        <v/>
      </c>
      <c r="L246" s="6">
        <f>SUMIFS(Elements!$L$2:$L$862,Elements!$B$2:$B$862,$A246,Elements!$D$2:$D$862,$B246,Elements!$E$2:$E$862,$C246,Elements!$F$2:$F$862,$D246)</f>
        <v/>
      </c>
      <c r="M246" s="2" t="inlineStr">
        <is>
          <t>closed outline; 150-600 x 150-450 cm; carries wall (64), column (9), wall+wall (1); grade beam crossing it 95%</t>
        </is>
      </c>
    </row>
    <row r="247">
      <c r="A247" s="5" t="inlineStr">
        <is>
          <t>130</t>
        </is>
      </c>
      <c r="B247" s="5" t="inlineStr">
        <is>
          <t>footing</t>
        </is>
      </c>
      <c r="C247" s="5" t="inlineStr">
        <is>
          <t>isolated_footing</t>
        </is>
      </c>
      <c r="D247" s="5" t="inlineStr">
        <is>
          <t>S4</t>
        </is>
      </c>
      <c r="E247" s="5">
        <f>COUNTIFS(Elements!$B$2:$B$862,$A247,Elements!$D$2:$D$862,$B247,Elements!$E$2:$E$862,$C247,Elements!$F$2:$F$862,$D247)</f>
        <v/>
      </c>
      <c r="F247" s="5">
        <f>IFERROR(_xlfn.MINIFS(Elements!$I$2:$I$862,Elements!$B$2:$B$862,$A247,Elements!$D$2:$D$862,$B247,Elements!$E$2:$E$862,$C247,Elements!$F$2:$F$862,$D247),"")</f>
        <v/>
      </c>
      <c r="G247" s="5">
        <f>IFERROR(_xlfn.MAXIFS(Elements!$I$2:$I$862,Elements!$B$2:$B$862,$A247,Elements!$D$2:$D$862,$B247,Elements!$E$2:$E$862,$C247,Elements!$F$2:$F$862,$D247),"")</f>
        <v/>
      </c>
      <c r="H247" s="5">
        <f>IFERROR(_xlfn.MINIFS(Elements!$J$2:$J$862,Elements!$B$2:$B$862,$A247,Elements!$D$2:$D$862,$B247,Elements!$E$2:$E$862,$C247,Elements!$F$2:$F$862,$D247),"")</f>
        <v/>
      </c>
      <c r="I247" s="5">
        <f>IFERROR(_xlfn.MAXIFS(Elements!$J$2:$J$862,Elements!$B$2:$B$862,$A247,Elements!$D$2:$D$862,$B247,Elements!$E$2:$E$862,$C247,Elements!$F$2:$F$862,$D247),"")</f>
        <v/>
      </c>
      <c r="J247" s="5">
        <f>IF(OR(F247="",H247=""),"",IF(OR(B247="raft",B247="sump_pit",B247="crane_foundation",D247="(none)"),"n/a",IF(OR(B247="column",B247="footing",B247="mass_concrete_pad",AND(B247="wall",C247="shear_wall",D247&lt;&gt;"(none)")),IF(AND(G247-F247&lt;=3,I247-H247&lt;=3),"yes","no"),IF(I247-H247&lt;=3,"yes (thickness)","no (thickness)"))))</f>
        <v/>
      </c>
      <c r="K247" s="6">
        <f>SUMIFS(Elements!$M$2:$M$862,Elements!$B$2:$B$862,$A247,Elements!$D$2:$D$862,$B247,Elements!$E$2:$E$862,$C247,Elements!$F$2:$F$862,$D247)</f>
        <v/>
      </c>
      <c r="L247" s="6">
        <f>SUMIFS(Elements!$L$2:$L$862,Elements!$B$2:$B$862,$A247,Elements!$D$2:$D$862,$B247,Elements!$E$2:$E$862,$C247,Elements!$F$2:$F$862,$D247)</f>
        <v/>
      </c>
      <c r="M247" s="2" t="inlineStr">
        <is>
          <t>closed outline; 150-600 x 150-450 cm; carries wall (64), column (9), wall+wall (1); grade beam crossing it 95%</t>
        </is>
      </c>
    </row>
    <row r="248">
      <c r="A248" s="5" t="inlineStr">
        <is>
          <t>130</t>
        </is>
      </c>
      <c r="B248" s="5" t="inlineStr">
        <is>
          <t>grade_beam</t>
        </is>
      </c>
      <c r="C248" s="5" t="inlineStr">
        <is>
          <t>grade_beam</t>
        </is>
      </c>
      <c r="D248" s="5" t="inlineStr">
        <is>
          <t>LG25x40</t>
        </is>
      </c>
      <c r="E248" s="5">
        <f>COUNTIFS(Elements!$B$2:$B$862,$A248,Elements!$D$2:$D$862,$B248,Elements!$E$2:$E$862,$C248,Elements!$F$2:$F$862,$D248)</f>
        <v/>
      </c>
      <c r="F248" s="5">
        <f>IFERROR(_xlfn.MINIFS(Elements!$I$2:$I$862,Elements!$B$2:$B$862,$A248,Elements!$D$2:$D$862,$B248,Elements!$E$2:$E$862,$C248,Elements!$F$2:$F$862,$D248),"")</f>
        <v/>
      </c>
      <c r="G248" s="5">
        <f>IFERROR(_xlfn.MAXIFS(Elements!$I$2:$I$862,Elements!$B$2:$B$862,$A248,Elements!$D$2:$D$862,$B248,Elements!$E$2:$E$862,$C248,Elements!$F$2:$F$862,$D248),"")</f>
        <v/>
      </c>
      <c r="H248" s="5">
        <f>IFERROR(_xlfn.MINIFS(Elements!$J$2:$J$862,Elements!$B$2:$B$862,$A248,Elements!$D$2:$D$862,$B248,Elements!$E$2:$E$862,$C248,Elements!$F$2:$F$862,$D248),"")</f>
        <v/>
      </c>
      <c r="I248" s="5">
        <f>IFERROR(_xlfn.MAXIFS(Elements!$J$2:$J$862,Elements!$B$2:$B$862,$A248,Elements!$D$2:$D$862,$B248,Elements!$E$2:$E$862,$C248,Elements!$F$2:$F$862,$D248),"")</f>
        <v/>
      </c>
      <c r="J248" s="5">
        <f>IF(OR(F248="",H248=""),"",IF(OR(B248="raft",B248="sump_pit",B248="crane_foundation",D248="(none)"),"n/a",IF(OR(B248="column",B248="footing",B248="mass_concrete_pad",AND(B248="wall",C248="shear_wall",D248&lt;&gt;"(none)")),IF(AND(G248-F248&lt;=3,I248-H248&lt;=3),"yes","no"),IF(I248-H248&lt;=3,"yes (thickness)","no (thickness)"))))</f>
        <v/>
      </c>
      <c r="K248" s="6">
        <f>SUMIFS(Elements!$M$2:$M$862,Elements!$B$2:$B$862,$A248,Elements!$D$2:$D$862,$B248,Elements!$E$2:$E$862,$C248,Elements!$F$2:$F$862,$D248)</f>
        <v/>
      </c>
      <c r="L248" s="6">
        <f>SUMIFS(Elements!$L$2:$L$862,Elements!$B$2:$B$862,$A248,Elements!$D$2:$D$862,$B248,Elements!$E$2:$E$862,$C248,Elements!$F$2:$F$862,$D248)</f>
        <v/>
      </c>
      <c r="M248" s="2" t="inlineStr">
        <is>
          <t>parallel line pair; 30-2249 x 25-40 cm; width stated in its label</t>
        </is>
      </c>
    </row>
    <row r="249">
      <c r="A249" s="5" t="inlineStr">
        <is>
          <t>130</t>
        </is>
      </c>
      <c r="B249" s="5" t="inlineStr">
        <is>
          <t>grade_beam</t>
        </is>
      </c>
      <c r="C249" s="5" t="inlineStr">
        <is>
          <t>grade_beam</t>
        </is>
      </c>
      <c r="D249" s="5" t="inlineStr">
        <is>
          <t>LG40x15</t>
        </is>
      </c>
      <c r="E249" s="5">
        <f>COUNTIFS(Elements!$B$2:$B$862,$A249,Elements!$D$2:$D$862,$B249,Elements!$E$2:$E$862,$C249,Elements!$F$2:$F$862,$D249)</f>
        <v/>
      </c>
      <c r="F249" s="5">
        <f>IFERROR(_xlfn.MINIFS(Elements!$I$2:$I$862,Elements!$B$2:$B$862,$A249,Elements!$D$2:$D$862,$B249,Elements!$E$2:$E$862,$C249,Elements!$F$2:$F$862,$D249),"")</f>
        <v/>
      </c>
      <c r="G249" s="5">
        <f>IFERROR(_xlfn.MAXIFS(Elements!$I$2:$I$862,Elements!$B$2:$B$862,$A249,Elements!$D$2:$D$862,$B249,Elements!$E$2:$E$862,$C249,Elements!$F$2:$F$862,$D249),"")</f>
        <v/>
      </c>
      <c r="H249" s="5">
        <f>IFERROR(_xlfn.MINIFS(Elements!$J$2:$J$862,Elements!$B$2:$B$862,$A249,Elements!$D$2:$D$862,$B249,Elements!$E$2:$E$862,$C249,Elements!$F$2:$F$862,$D249),"")</f>
        <v/>
      </c>
      <c r="I249" s="5">
        <f>IFERROR(_xlfn.MAXIFS(Elements!$J$2:$J$862,Elements!$B$2:$B$862,$A249,Elements!$D$2:$D$862,$B249,Elements!$E$2:$E$862,$C249,Elements!$F$2:$F$862,$D249),"")</f>
        <v/>
      </c>
      <c r="J249" s="5">
        <f>IF(OR(F249="",H249=""),"",IF(OR(B249="raft",B249="sump_pit",B249="crane_foundation",D249="(none)"),"n/a",IF(OR(B249="column",B249="footing",B249="mass_concrete_pad",AND(B249="wall",C249="shear_wall",D249&lt;&gt;"(none)")),IF(AND(G249-F249&lt;=3,I249-H249&lt;=3),"yes","no"),IF(I249-H249&lt;=3,"yes (thickness)","no (thickness)"))))</f>
        <v/>
      </c>
      <c r="K249" s="6">
        <f>SUMIFS(Elements!$M$2:$M$862,Elements!$B$2:$B$862,$A249,Elements!$D$2:$D$862,$B249,Elements!$E$2:$E$862,$C249,Elements!$F$2:$F$862,$D249)</f>
        <v/>
      </c>
      <c r="L249" s="6">
        <f>SUMIFS(Elements!$L$2:$L$862,Elements!$B$2:$B$862,$A249,Elements!$D$2:$D$862,$B249,Elements!$E$2:$E$862,$C249,Elements!$F$2:$F$862,$D249)</f>
        <v/>
      </c>
      <c r="M249" s="2" t="inlineStr">
        <is>
          <t>parallel line pair; 30-2249 x 25-40 cm; width stated in its label</t>
        </is>
      </c>
    </row>
    <row r="250">
      <c r="A250" s="5" t="inlineStr">
        <is>
          <t>130</t>
        </is>
      </c>
      <c r="B250" s="5" t="inlineStr">
        <is>
          <t>raft</t>
        </is>
      </c>
      <c r="C250" s="5" t="inlineStr">
        <is>
          <t>crane_raft (probable)</t>
        </is>
      </c>
      <c r="D250" s="5" t="inlineStr">
        <is>
          <t>Radier 190</t>
        </is>
      </c>
      <c r="E250" s="5">
        <f>COUNTIFS(Elements!$B$2:$B$862,$A250,Elements!$D$2:$D$862,$B250,Elements!$E$2:$E$862,$C250,Elements!$F$2:$F$862,$D250)</f>
        <v/>
      </c>
      <c r="F250" s="5">
        <f>IFERROR(_xlfn.MINIFS(Elements!$I$2:$I$862,Elements!$B$2:$B$862,$A250,Elements!$D$2:$D$862,$B250,Elements!$E$2:$E$862,$C250,Elements!$F$2:$F$862,$D250),"")</f>
        <v/>
      </c>
      <c r="G250" s="5">
        <f>IFERROR(_xlfn.MAXIFS(Elements!$I$2:$I$862,Elements!$B$2:$B$862,$A250,Elements!$D$2:$D$862,$B250,Elements!$E$2:$E$862,$C250,Elements!$F$2:$F$862,$D250),"")</f>
        <v/>
      </c>
      <c r="H250" s="5">
        <f>IFERROR(_xlfn.MINIFS(Elements!$J$2:$J$862,Elements!$B$2:$B$862,$A250,Elements!$D$2:$D$862,$B250,Elements!$E$2:$E$862,$C250,Elements!$F$2:$F$862,$D250),"")</f>
        <v/>
      </c>
      <c r="I250" s="5">
        <f>IFERROR(_xlfn.MAXIFS(Elements!$J$2:$J$862,Elements!$B$2:$B$862,$A250,Elements!$D$2:$D$862,$B250,Elements!$E$2:$E$862,$C250,Elements!$F$2:$F$862,$D250),"")</f>
        <v/>
      </c>
      <c r="J250" s="5">
        <f>IF(OR(F250="",H250=""),"",IF(OR(B250="raft",B250="sump_pit",B250="crane_foundation",D250="(none)"),"n/a",IF(OR(B250="column",B250="footing",B250="mass_concrete_pad",AND(B250="wall",C250="shear_wall",D250&lt;&gt;"(none)")),IF(AND(G250-F250&lt;=3,I250-H250&lt;=3),"yes","no"),IF(I250-H250&lt;=3,"yes (thickness)","no (thickness)"))))</f>
        <v/>
      </c>
      <c r="K250" s="6">
        <f>SUMIFS(Elements!$M$2:$M$862,Elements!$B$2:$B$862,$A250,Elements!$D$2:$D$862,$B250,Elements!$E$2:$E$862,$C250,Elements!$F$2:$F$862,$D250)</f>
        <v/>
      </c>
      <c r="L250" s="6">
        <f>SUMIFS(Elements!$L$2:$L$862,Elements!$B$2:$B$862,$A250,Elements!$D$2:$D$862,$B250,Elements!$E$2:$E$862,$C250,Elements!$F$2:$F$862,$D250)</f>
        <v/>
      </c>
      <c r="M250" s="2" t="inlineStr">
        <is>
          <t>stamp + corner diagonals; 925-925 x 780-780 cm; circle stamp 'Radier' + thickness; diagonals from its corners to the stamp</t>
        </is>
      </c>
    </row>
    <row r="251">
      <c r="A251" s="5" t="inlineStr">
        <is>
          <t>130</t>
        </is>
      </c>
      <c r="B251" s="5" t="inlineStr">
        <is>
          <t>raft</t>
        </is>
      </c>
      <c r="C251" s="5" t="inlineStr">
        <is>
          <t>raft</t>
        </is>
      </c>
      <c r="D251" s="5" t="inlineStr">
        <is>
          <t>Radier 100</t>
        </is>
      </c>
      <c r="E251" s="5">
        <f>COUNTIFS(Elements!$B$2:$B$862,$A251,Elements!$D$2:$D$862,$B251,Elements!$E$2:$E$862,$C251,Elements!$F$2:$F$862,$D251)</f>
        <v/>
      </c>
      <c r="F251" s="5">
        <f>IFERROR(_xlfn.MINIFS(Elements!$I$2:$I$862,Elements!$B$2:$B$862,$A251,Elements!$D$2:$D$862,$B251,Elements!$E$2:$E$862,$C251,Elements!$F$2:$F$862,$D251),"")</f>
        <v/>
      </c>
      <c r="G251" s="5">
        <f>IFERROR(_xlfn.MAXIFS(Elements!$I$2:$I$862,Elements!$B$2:$B$862,$A251,Elements!$D$2:$D$862,$B251,Elements!$E$2:$E$862,$C251,Elements!$F$2:$F$862,$D251),"")</f>
        <v/>
      </c>
      <c r="H251" s="5">
        <f>IFERROR(_xlfn.MINIFS(Elements!$J$2:$J$862,Elements!$B$2:$B$862,$A251,Elements!$D$2:$D$862,$B251,Elements!$E$2:$E$862,$C251,Elements!$F$2:$F$862,$D251),"")</f>
        <v/>
      </c>
      <c r="I251" s="5">
        <f>IFERROR(_xlfn.MAXIFS(Elements!$J$2:$J$862,Elements!$B$2:$B$862,$A251,Elements!$D$2:$D$862,$B251,Elements!$E$2:$E$862,$C251,Elements!$F$2:$F$862,$D251),"")</f>
        <v/>
      </c>
      <c r="J251" s="5">
        <f>IF(OR(F251="",H251=""),"",IF(OR(B251="raft",B251="sump_pit",B251="crane_foundation",D251="(none)"),"n/a",IF(OR(B251="column",B251="footing",B251="mass_concrete_pad",AND(B251="wall",C251="shear_wall",D251&lt;&gt;"(none)")),IF(AND(G251-F251&lt;=3,I251-H251&lt;=3),"yes","no"),IF(I251-H251&lt;=3,"yes (thickness)","no (thickness)"))))</f>
        <v/>
      </c>
      <c r="K251" s="6">
        <f>SUMIFS(Elements!$M$2:$M$862,Elements!$B$2:$B$862,$A251,Elements!$D$2:$D$862,$B251,Elements!$E$2:$E$862,$C251,Elements!$F$2:$F$862,$D251)</f>
        <v/>
      </c>
      <c r="L251" s="6">
        <f>SUMIFS(Elements!$L$2:$L$862,Elements!$B$2:$B$862,$A251,Elements!$D$2:$D$862,$B251,Elements!$E$2:$E$862,$C251,Elements!$F$2:$F$862,$D251)</f>
        <v/>
      </c>
      <c r="M251" s="2" t="inlineStr">
        <is>
          <t>stamp + corner diagonals; 693-1971 x 450-1020 cm; circle stamp 'Radier' + thickness; diagonals from its corners to the stamp</t>
        </is>
      </c>
    </row>
    <row r="252">
      <c r="A252" s="5" t="inlineStr">
        <is>
          <t>130</t>
        </is>
      </c>
      <c r="B252" s="5" t="inlineStr">
        <is>
          <t>strip_footing</t>
        </is>
      </c>
      <c r="C252" s="5" t="inlineStr">
        <is>
          <t>strip_footing</t>
        </is>
      </c>
      <c r="D252" s="5" t="inlineStr">
        <is>
          <t>SF1</t>
        </is>
      </c>
      <c r="E252" s="5">
        <f>COUNTIFS(Elements!$B$2:$B$862,$A252,Elements!$D$2:$D$862,$B252,Elements!$E$2:$E$862,$C252,Elements!$F$2:$F$862,$D252)</f>
        <v/>
      </c>
      <c r="F252" s="5">
        <f>IFERROR(_xlfn.MINIFS(Elements!$I$2:$I$862,Elements!$B$2:$B$862,$A252,Elements!$D$2:$D$862,$B252,Elements!$E$2:$E$862,$C252,Elements!$F$2:$F$862,$D252),"")</f>
        <v/>
      </c>
      <c r="G252" s="5">
        <f>IFERROR(_xlfn.MAXIFS(Elements!$I$2:$I$862,Elements!$B$2:$B$862,$A252,Elements!$D$2:$D$862,$B252,Elements!$E$2:$E$862,$C252,Elements!$F$2:$F$862,$D252),"")</f>
        <v/>
      </c>
      <c r="H252" s="5">
        <f>IFERROR(_xlfn.MINIFS(Elements!$J$2:$J$862,Elements!$B$2:$B$862,$A252,Elements!$D$2:$D$862,$B252,Elements!$E$2:$E$862,$C252,Elements!$F$2:$F$862,$D252),"")</f>
        <v/>
      </c>
      <c r="I252" s="5">
        <f>IFERROR(_xlfn.MAXIFS(Elements!$J$2:$J$862,Elements!$B$2:$B$862,$A252,Elements!$D$2:$D$862,$B252,Elements!$E$2:$E$862,$C252,Elements!$F$2:$F$862,$D252),"")</f>
        <v/>
      </c>
      <c r="J252" s="5">
        <f>IF(OR(F252="",H252=""),"",IF(OR(B252="raft",B252="sump_pit",B252="crane_foundation",D252="(none)"),"n/a",IF(OR(B252="column",B252="footing",B252="mass_concrete_pad",AND(B252="wall",C252="shear_wall",D252&lt;&gt;"(none)")),IF(AND(G252-F252&lt;=3,I252-H252&lt;=3),"yes","no"),IF(I252-H252&lt;=3,"yes (thickness)","no (thickness)"))))</f>
        <v/>
      </c>
      <c r="K252" s="6">
        <f>SUMIFS(Elements!$M$2:$M$862,Elements!$B$2:$B$862,$A252,Elements!$D$2:$D$862,$B252,Elements!$E$2:$E$862,$C252,Elements!$F$2:$F$862,$D252)</f>
        <v/>
      </c>
      <c r="L252" s="6">
        <f>SUMIFS(Elements!$L$2:$L$862,Elements!$B$2:$B$862,$A252,Elements!$D$2:$D$862,$B252,Elements!$E$2:$E$862,$C252,Elements!$F$2:$F$862,$D252)</f>
        <v/>
      </c>
      <c r="M252" s="2" t="inlineStr">
        <is>
          <t>parallel line pair; 75-5798 x 80-120 cm; width stated in its label</t>
        </is>
      </c>
    </row>
    <row r="253">
      <c r="A253" s="5" t="inlineStr">
        <is>
          <t>130</t>
        </is>
      </c>
      <c r="B253" s="5" t="inlineStr">
        <is>
          <t>strip_footing</t>
        </is>
      </c>
      <c r="C253" s="5" t="inlineStr">
        <is>
          <t>strip_footing</t>
        </is>
      </c>
      <c r="D253" s="5" t="inlineStr">
        <is>
          <t>SF4</t>
        </is>
      </c>
      <c r="E253" s="5">
        <f>COUNTIFS(Elements!$B$2:$B$862,$A253,Elements!$D$2:$D$862,$B253,Elements!$E$2:$E$862,$C253,Elements!$F$2:$F$862,$D253)</f>
        <v/>
      </c>
      <c r="F253" s="5">
        <f>IFERROR(_xlfn.MINIFS(Elements!$I$2:$I$862,Elements!$B$2:$B$862,$A253,Elements!$D$2:$D$862,$B253,Elements!$E$2:$E$862,$C253,Elements!$F$2:$F$862,$D253),"")</f>
        <v/>
      </c>
      <c r="G253" s="5">
        <f>IFERROR(_xlfn.MAXIFS(Elements!$I$2:$I$862,Elements!$B$2:$B$862,$A253,Elements!$D$2:$D$862,$B253,Elements!$E$2:$E$862,$C253,Elements!$F$2:$F$862,$D253),"")</f>
        <v/>
      </c>
      <c r="H253" s="5">
        <f>IFERROR(_xlfn.MINIFS(Elements!$J$2:$J$862,Elements!$B$2:$B$862,$A253,Elements!$D$2:$D$862,$B253,Elements!$E$2:$E$862,$C253,Elements!$F$2:$F$862,$D253),"")</f>
        <v/>
      </c>
      <c r="I253" s="5">
        <f>IFERROR(_xlfn.MAXIFS(Elements!$J$2:$J$862,Elements!$B$2:$B$862,$A253,Elements!$D$2:$D$862,$B253,Elements!$E$2:$E$862,$C253,Elements!$F$2:$F$862,$D253),"")</f>
        <v/>
      </c>
      <c r="J253" s="5">
        <f>IF(OR(F253="",H253=""),"",IF(OR(B253="raft",B253="sump_pit",B253="crane_foundation",D253="(none)"),"n/a",IF(OR(B253="column",B253="footing",B253="mass_concrete_pad",AND(B253="wall",C253="shear_wall",D253&lt;&gt;"(none)")),IF(AND(G253-F253&lt;=3,I253-H253&lt;=3),"yes","no"),IF(I253-H253&lt;=3,"yes (thickness)","no (thickness)"))))</f>
        <v/>
      </c>
      <c r="K253" s="6">
        <f>SUMIFS(Elements!$M$2:$M$862,Elements!$B$2:$B$862,$A253,Elements!$D$2:$D$862,$B253,Elements!$E$2:$E$862,$C253,Elements!$F$2:$F$862,$D253)</f>
        <v/>
      </c>
      <c r="L253" s="6">
        <f>SUMIFS(Elements!$L$2:$L$862,Elements!$B$2:$B$862,$A253,Elements!$D$2:$D$862,$B253,Elements!$E$2:$E$862,$C253,Elements!$F$2:$F$862,$D253)</f>
        <v/>
      </c>
      <c r="M253" s="2" t="inlineStr">
        <is>
          <t>parallel line pair; 75-5798 x 80-120 cm; width stated in its label</t>
        </is>
      </c>
    </row>
    <row r="254">
      <c r="A254" s="5" t="inlineStr">
        <is>
          <t>130</t>
        </is>
      </c>
      <c r="B254" s="5" t="inlineStr">
        <is>
          <t>sump_pit</t>
        </is>
      </c>
      <c r="C254" s="5" t="inlineStr">
        <is>
          <t>sump_pit</t>
        </is>
      </c>
      <c r="D254" s="5" t="inlineStr">
        <is>
          <t>Fosse 2.00x1.50x1.50</t>
        </is>
      </c>
      <c r="E254" s="5">
        <f>COUNTIFS(Elements!$B$2:$B$862,$A254,Elements!$D$2:$D$862,$B254,Elements!$E$2:$E$862,$C254,Elements!$F$2:$F$862,$D254)</f>
        <v/>
      </c>
      <c r="F254" s="5">
        <f>IFERROR(_xlfn.MINIFS(Elements!$I$2:$I$862,Elements!$B$2:$B$862,$A254,Elements!$D$2:$D$862,$B254,Elements!$E$2:$E$862,$C254,Elements!$F$2:$F$862,$D254),"")</f>
        <v/>
      </c>
      <c r="G254" s="5">
        <f>IFERROR(_xlfn.MAXIFS(Elements!$I$2:$I$862,Elements!$B$2:$B$862,$A254,Elements!$D$2:$D$862,$B254,Elements!$E$2:$E$862,$C254,Elements!$F$2:$F$862,$D254),"")</f>
        <v/>
      </c>
      <c r="H254" s="5">
        <f>IFERROR(_xlfn.MINIFS(Elements!$J$2:$J$862,Elements!$B$2:$B$862,$A254,Elements!$D$2:$D$862,$B254,Elements!$E$2:$E$862,$C254,Elements!$F$2:$F$862,$D254),"")</f>
        <v/>
      </c>
      <c r="I254" s="5">
        <f>IFERROR(_xlfn.MAXIFS(Elements!$J$2:$J$862,Elements!$B$2:$B$862,$A254,Elements!$D$2:$D$862,$B254,Elements!$E$2:$E$862,$C254,Elements!$F$2:$F$862,$D254),"")</f>
        <v/>
      </c>
      <c r="J254" s="5">
        <f>IF(OR(F254="",H254=""),"",IF(OR(B254="raft",B254="sump_pit",B254="crane_foundation",D254="(none)"),"n/a",IF(OR(B254="column",B254="footing",B254="mass_concrete_pad",AND(B254="wall",C254="shear_wall",D254&lt;&gt;"(none)")),IF(AND(G254-F254&lt;=3,I254-H254&lt;=3),"yes","no"),IF(I254-H254&lt;=3,"yes (thickness)","no (thickness)"))))</f>
        <v/>
      </c>
      <c r="K254" s="6">
        <f>SUMIFS(Elements!$M$2:$M$862,Elements!$B$2:$B$862,$A254,Elements!$D$2:$D$862,$B254,Elements!$E$2:$E$862,$C254,Elements!$F$2:$F$862,$D254)</f>
        <v/>
      </c>
      <c r="L254" s="6">
        <f>SUMIFS(Elements!$L$2:$L$862,Elements!$B$2:$B$862,$A254,Elements!$D$2:$D$862,$B254,Elements!$E$2:$E$862,$C254,Elements!$F$2:$F$862,$D254)</f>
        <v/>
      </c>
      <c r="M254" s="2" t="inlineStr">
        <is>
          <t>text; 200-200 x 150-150 cm; 'FOSSE DE RELEVAGE' text with LxWxH, 'RADIER 25' stamp</t>
        </is>
      </c>
    </row>
    <row r="255">
      <c r="A255" s="5" t="inlineStr">
        <is>
          <t>130</t>
        </is>
      </c>
      <c r="B255" s="5" t="inlineStr">
        <is>
          <t>wall</t>
        </is>
      </c>
      <c r="C255" s="5" t="inlineStr">
        <is>
          <t>core_wall_hatched</t>
        </is>
      </c>
      <c r="D255" s="5" t="inlineStr">
        <is>
          <t>(none)</t>
        </is>
      </c>
      <c r="E255" s="5">
        <f>COUNTIFS(Elements!$B$2:$B$862,$A255,Elements!$D$2:$D$862,$B255,Elements!$E$2:$E$862,$C255,Elements!$F$2:$F$862,$D255)</f>
        <v/>
      </c>
      <c r="F255" s="5">
        <f>IFERROR(_xlfn.MINIFS(Elements!$I$2:$I$862,Elements!$B$2:$B$862,$A255,Elements!$D$2:$D$862,$B255,Elements!$E$2:$E$862,$C255,Elements!$F$2:$F$862,$D255),"")</f>
        <v/>
      </c>
      <c r="G255" s="5">
        <f>IFERROR(_xlfn.MAXIFS(Elements!$I$2:$I$862,Elements!$B$2:$B$862,$A255,Elements!$D$2:$D$862,$B255,Elements!$E$2:$E$862,$C255,Elements!$F$2:$F$862,$D255),"")</f>
        <v/>
      </c>
      <c r="H255" s="5">
        <f>IFERROR(_xlfn.MINIFS(Elements!$J$2:$J$862,Elements!$B$2:$B$862,$A255,Elements!$D$2:$D$862,$B255,Elements!$E$2:$E$862,$C255,Elements!$F$2:$F$862,$D255),"")</f>
        <v/>
      </c>
      <c r="I255" s="5">
        <f>IFERROR(_xlfn.MAXIFS(Elements!$J$2:$J$862,Elements!$B$2:$B$862,$A255,Elements!$D$2:$D$862,$B255,Elements!$E$2:$E$862,$C255,Elements!$F$2:$F$862,$D255),"")</f>
        <v/>
      </c>
      <c r="J255" s="5">
        <f>IF(OR(F255="",H255=""),"",IF(OR(B255="raft",B255="sump_pit",B255="crane_foundation",D255="(none)"),"n/a",IF(OR(B255="column",B255="footing",B255="mass_concrete_pad",AND(B255="wall",C255="shear_wall",D255&lt;&gt;"(none)")),IF(AND(G255-F255&lt;=3,I255-H255&lt;=3),"yes","no"),IF(I255-H255&lt;=3,"yes (thickness)","no (thickness)"))))</f>
        <v/>
      </c>
      <c r="K255" s="6">
        <f>SUMIFS(Elements!$M$2:$M$862,Elements!$B$2:$B$862,$A255,Elements!$D$2:$D$862,$B255,Elements!$E$2:$E$862,$C255,Elements!$F$2:$F$862,$D255)</f>
        <v/>
      </c>
      <c r="L255" s="6">
        <f>SUMIFS(Elements!$L$2:$L$862,Elements!$B$2:$B$862,$A255,Elements!$D$2:$D$862,$B255,Elements!$E$2:$E$862,$C255,Elements!$F$2:$F$862,$D255)</f>
        <v/>
      </c>
      <c r="M255" s="2" t="inlineStr">
        <is>
          <t>cross-hatch; 94-1044 x 20-25 cm; L/W 4.70-52.20; hatch strokes [0.24, 0.25, 0.28] m at +/-45 deg; thickness = local spread of stroke ends; on a raft 100%; no V label</t>
        </is>
      </c>
    </row>
    <row r="256">
      <c r="A256" s="5" t="inlineStr">
        <is>
          <t>130</t>
        </is>
      </c>
      <c r="B256" s="5" t="inlineStr">
        <is>
          <t>wall</t>
        </is>
      </c>
      <c r="C256" s="5" t="inlineStr">
        <is>
          <t>core_wall_solid</t>
        </is>
      </c>
      <c r="D256" s="5" t="inlineStr">
        <is>
          <t>(none)</t>
        </is>
      </c>
      <c r="E256" s="5">
        <f>COUNTIFS(Elements!$B$2:$B$862,$A256,Elements!$D$2:$D$862,$B256,Elements!$E$2:$E$862,$C256,Elements!$F$2:$F$862,$D256)</f>
        <v/>
      </c>
      <c r="F256" s="5">
        <f>IFERROR(_xlfn.MINIFS(Elements!$I$2:$I$862,Elements!$B$2:$B$862,$A256,Elements!$D$2:$D$862,$B256,Elements!$E$2:$E$862,$C256,Elements!$F$2:$F$862,$D256),"")</f>
        <v/>
      </c>
      <c r="G256" s="5">
        <f>IFERROR(_xlfn.MAXIFS(Elements!$I$2:$I$862,Elements!$B$2:$B$862,$A256,Elements!$D$2:$D$862,$B256,Elements!$E$2:$E$862,$C256,Elements!$F$2:$F$862,$D256),"")</f>
        <v/>
      </c>
      <c r="H256" s="5">
        <f>IFERROR(_xlfn.MINIFS(Elements!$J$2:$J$862,Elements!$B$2:$B$862,$A256,Elements!$D$2:$D$862,$B256,Elements!$E$2:$E$862,$C256,Elements!$F$2:$F$862,$D256),"")</f>
        <v/>
      </c>
      <c r="I256" s="5">
        <f>IFERROR(_xlfn.MAXIFS(Elements!$J$2:$J$862,Elements!$B$2:$B$862,$A256,Elements!$D$2:$D$862,$B256,Elements!$E$2:$E$862,$C256,Elements!$F$2:$F$862,$D256),"")</f>
        <v/>
      </c>
      <c r="J256" s="5">
        <f>IF(OR(F256="",H256=""),"",IF(OR(B256="raft",B256="sump_pit",B256="crane_foundation",D256="(none)"),"n/a",IF(OR(B256="column",B256="footing",B256="mass_concrete_pad",AND(B256="wall",C256="shear_wall",D256&lt;&gt;"(none)")),IF(AND(G256-F256&lt;=3,I256-H256&lt;=3),"yes","no"),IF(I256-H256&lt;=3,"yes (thickness)","no (thickness)"))))</f>
        <v/>
      </c>
      <c r="K256" s="6">
        <f>SUMIFS(Elements!$M$2:$M$862,Elements!$B$2:$B$862,$A256,Elements!$D$2:$D$862,$B256,Elements!$E$2:$E$862,$C256,Elements!$F$2:$F$862,$D256)</f>
        <v/>
      </c>
      <c r="L256" s="6">
        <f>SUMIFS(Elements!$L$2:$L$862,Elements!$B$2:$B$862,$A256,Elements!$D$2:$D$862,$B256,Elements!$E$2:$E$862,$C256,Elements!$F$2:$F$862,$D256)</f>
        <v/>
      </c>
      <c r="M256" s="2" t="inlineStr">
        <is>
          <t>solid fill; 39-816 x 20-30 cm; L/W 1.81-36.95; inside a footing outline 0%; on a raft 100%; touching a hatched core wall 24%; in a strip-footing band 0%; at a grade-beam junction 0%</t>
        </is>
      </c>
    </row>
    <row r="257">
      <c r="A257" s="5" t="inlineStr">
        <is>
          <t>130</t>
        </is>
      </c>
      <c r="B257" s="5" t="inlineStr">
        <is>
          <t>wall</t>
        </is>
      </c>
      <c r="C257" s="5" t="inlineStr">
        <is>
          <t>retaining_wall</t>
        </is>
      </c>
      <c r="D257" s="5" t="inlineStr">
        <is>
          <t>(none)</t>
        </is>
      </c>
      <c r="E257" s="5">
        <f>COUNTIFS(Elements!$B$2:$B$862,$A257,Elements!$D$2:$D$862,$B257,Elements!$E$2:$E$862,$C257,Elements!$F$2:$F$862,$D257)</f>
        <v/>
      </c>
      <c r="F257" s="5">
        <f>IFERROR(_xlfn.MINIFS(Elements!$I$2:$I$862,Elements!$B$2:$B$862,$A257,Elements!$D$2:$D$862,$B257,Elements!$E$2:$E$862,$C257,Elements!$F$2:$F$862,$D257),"")</f>
        <v/>
      </c>
      <c r="G257" s="5">
        <f>IFERROR(_xlfn.MAXIFS(Elements!$I$2:$I$862,Elements!$B$2:$B$862,$A257,Elements!$D$2:$D$862,$B257,Elements!$E$2:$E$862,$C257,Elements!$F$2:$F$862,$D257),"")</f>
        <v/>
      </c>
      <c r="H257" s="5">
        <f>IFERROR(_xlfn.MINIFS(Elements!$J$2:$J$862,Elements!$B$2:$B$862,$A257,Elements!$D$2:$D$862,$B257,Elements!$E$2:$E$862,$C257,Elements!$F$2:$F$862,$D257),"")</f>
        <v/>
      </c>
      <c r="I257" s="5">
        <f>IFERROR(_xlfn.MAXIFS(Elements!$J$2:$J$862,Elements!$B$2:$B$862,$A257,Elements!$D$2:$D$862,$B257,Elements!$E$2:$E$862,$C257,Elements!$F$2:$F$862,$D257),"")</f>
        <v/>
      </c>
      <c r="J257" s="5">
        <f>IF(OR(F257="",H257=""),"",IF(OR(B257="raft",B257="sump_pit",B257="crane_foundation",D257="(none)"),"n/a",IF(OR(B257="column",B257="footing",B257="mass_concrete_pad",AND(B257="wall",C257="shear_wall",D257&lt;&gt;"(none)")),IF(AND(G257-F257&lt;=3,I257-H257&lt;=3),"yes","no"),IF(I257-H257&lt;=3,"yes (thickness)","no (thickness)"))))</f>
        <v/>
      </c>
      <c r="K257" s="6">
        <f>SUMIFS(Elements!$M$2:$M$862,Elements!$B$2:$B$862,$A257,Elements!$D$2:$D$862,$B257,Elements!$E$2:$E$862,$C257,Elements!$F$2:$F$862,$D257)</f>
        <v/>
      </c>
      <c r="L257" s="6">
        <f>SUMIFS(Elements!$L$2:$L$862,Elements!$B$2:$B$862,$A257,Elements!$D$2:$D$862,$B257,Elements!$E$2:$E$862,$C257,Elements!$F$2:$F$862,$D257)</f>
        <v/>
      </c>
      <c r="M257" s="2" t="inlineStr">
        <is>
          <t>solid fill; 34-2869 x 20-30 cm; L/W 1.70-143.45; inside a footing outline 5%; on a raft 29%; touching a hatched core wall 12%; in a strip-footing band 69%; at a grade-beam junction 20%</t>
        </is>
      </c>
    </row>
    <row r="258">
      <c r="A258" s="5" t="inlineStr">
        <is>
          <t>130</t>
        </is>
      </c>
      <c r="B258" s="5" t="inlineStr">
        <is>
          <t>wall</t>
        </is>
      </c>
      <c r="C258" s="5" t="inlineStr">
        <is>
          <t>retaining_wall</t>
        </is>
      </c>
      <c r="D258" s="5" t="inlineStr">
        <is>
          <t>VP20</t>
        </is>
      </c>
      <c r="E258" s="5">
        <f>COUNTIFS(Elements!$B$2:$B$862,$A258,Elements!$D$2:$D$862,$B258,Elements!$E$2:$E$862,$C258,Elements!$F$2:$F$862,$D258)</f>
        <v/>
      </c>
      <c r="F258" s="5">
        <f>IFERROR(_xlfn.MINIFS(Elements!$I$2:$I$862,Elements!$B$2:$B$862,$A258,Elements!$D$2:$D$862,$B258,Elements!$E$2:$E$862,$C258,Elements!$F$2:$F$862,$D258),"")</f>
        <v/>
      </c>
      <c r="G258" s="5">
        <f>IFERROR(_xlfn.MAXIFS(Elements!$I$2:$I$862,Elements!$B$2:$B$862,$A258,Elements!$D$2:$D$862,$B258,Elements!$E$2:$E$862,$C258,Elements!$F$2:$F$862,$D258),"")</f>
        <v/>
      </c>
      <c r="H258" s="5">
        <f>IFERROR(_xlfn.MINIFS(Elements!$J$2:$J$862,Elements!$B$2:$B$862,$A258,Elements!$D$2:$D$862,$B258,Elements!$E$2:$E$862,$C258,Elements!$F$2:$F$862,$D258),"")</f>
        <v/>
      </c>
      <c r="I258" s="5">
        <f>IFERROR(_xlfn.MAXIFS(Elements!$J$2:$J$862,Elements!$B$2:$B$862,$A258,Elements!$D$2:$D$862,$B258,Elements!$E$2:$E$862,$C258,Elements!$F$2:$F$862,$D258),"")</f>
        <v/>
      </c>
      <c r="J258" s="5">
        <f>IF(OR(F258="",H258=""),"",IF(OR(B258="raft",B258="sump_pit",B258="crane_foundation",D258="(none)"),"n/a",IF(OR(B258="column",B258="footing",B258="mass_concrete_pad",AND(B258="wall",C258="shear_wall",D258&lt;&gt;"(none)")),IF(AND(G258-F258&lt;=3,I258-H258&lt;=3),"yes","no"),IF(I258-H258&lt;=3,"yes (thickness)","no (thickness)"))))</f>
        <v/>
      </c>
      <c r="K258" s="6">
        <f>SUMIFS(Elements!$M$2:$M$862,Elements!$B$2:$B$862,$A258,Elements!$D$2:$D$862,$B258,Elements!$E$2:$E$862,$C258,Elements!$F$2:$F$862,$D258)</f>
        <v/>
      </c>
      <c r="L258" s="6">
        <f>SUMIFS(Elements!$L$2:$L$862,Elements!$B$2:$B$862,$A258,Elements!$D$2:$D$862,$B258,Elements!$E$2:$E$862,$C258,Elements!$F$2:$F$862,$D258)</f>
        <v/>
      </c>
      <c r="M258" s="2" t="inlineStr">
        <is>
          <t>solid fill; 34-2869 x 20-30 cm; L/W 1.70-143.45; inside a footing outline 5%; on a raft 29%; touching a hatched core wall 12%; in a strip-footing band 69%; at a grade-beam junction 20%</t>
        </is>
      </c>
    </row>
    <row r="259">
      <c r="A259" s="5" t="inlineStr">
        <is>
          <t>130</t>
        </is>
      </c>
      <c r="B259" s="5" t="inlineStr">
        <is>
          <t>wall</t>
        </is>
      </c>
      <c r="C259" s="5" t="inlineStr">
        <is>
          <t>retaining_wall</t>
        </is>
      </c>
      <c r="D259" s="5" t="inlineStr">
        <is>
          <t>VP25</t>
        </is>
      </c>
      <c r="E259" s="5">
        <f>COUNTIFS(Elements!$B$2:$B$862,$A259,Elements!$D$2:$D$862,$B259,Elements!$E$2:$E$862,$C259,Elements!$F$2:$F$862,$D259)</f>
        <v/>
      </c>
      <c r="F259" s="5">
        <f>IFERROR(_xlfn.MINIFS(Elements!$I$2:$I$862,Elements!$B$2:$B$862,$A259,Elements!$D$2:$D$862,$B259,Elements!$E$2:$E$862,$C259,Elements!$F$2:$F$862,$D259),"")</f>
        <v/>
      </c>
      <c r="G259" s="5">
        <f>IFERROR(_xlfn.MAXIFS(Elements!$I$2:$I$862,Elements!$B$2:$B$862,$A259,Elements!$D$2:$D$862,$B259,Elements!$E$2:$E$862,$C259,Elements!$F$2:$F$862,$D259),"")</f>
        <v/>
      </c>
      <c r="H259" s="5">
        <f>IFERROR(_xlfn.MINIFS(Elements!$J$2:$J$862,Elements!$B$2:$B$862,$A259,Elements!$D$2:$D$862,$B259,Elements!$E$2:$E$862,$C259,Elements!$F$2:$F$862,$D259),"")</f>
        <v/>
      </c>
      <c r="I259" s="5">
        <f>IFERROR(_xlfn.MAXIFS(Elements!$J$2:$J$862,Elements!$B$2:$B$862,$A259,Elements!$D$2:$D$862,$B259,Elements!$E$2:$E$862,$C259,Elements!$F$2:$F$862,$D259),"")</f>
        <v/>
      </c>
      <c r="J259" s="5">
        <f>IF(OR(F259="",H259=""),"",IF(OR(B259="raft",B259="sump_pit",B259="crane_foundation",D259="(none)"),"n/a",IF(OR(B259="column",B259="footing",B259="mass_concrete_pad",AND(B259="wall",C259="shear_wall",D259&lt;&gt;"(none)")),IF(AND(G259-F259&lt;=3,I259-H259&lt;=3),"yes","no"),IF(I259-H259&lt;=3,"yes (thickness)","no (thickness)"))))</f>
        <v/>
      </c>
      <c r="K259" s="6">
        <f>SUMIFS(Elements!$M$2:$M$862,Elements!$B$2:$B$862,$A259,Elements!$D$2:$D$862,$B259,Elements!$E$2:$E$862,$C259,Elements!$F$2:$F$862,$D259)</f>
        <v/>
      </c>
      <c r="L259" s="6">
        <f>SUMIFS(Elements!$L$2:$L$862,Elements!$B$2:$B$862,$A259,Elements!$D$2:$D$862,$B259,Elements!$E$2:$E$862,$C259,Elements!$F$2:$F$862,$D259)</f>
        <v/>
      </c>
      <c r="M259" s="2" t="inlineStr">
        <is>
          <t>solid fill; 34-2869 x 20-30 cm; L/W 1.70-143.45; inside a footing outline 5%; on a raft 29%; touching a hatched core wall 12%; in a strip-footing band 69%; at a grade-beam junction 20%</t>
        </is>
      </c>
    </row>
    <row r="260">
      <c r="A260" s="5" t="inlineStr">
        <is>
          <t>130</t>
        </is>
      </c>
      <c r="B260" s="5" t="inlineStr">
        <is>
          <t>wall</t>
        </is>
      </c>
      <c r="C260" s="5" t="inlineStr">
        <is>
          <t>shear_wall</t>
        </is>
      </c>
      <c r="D260" s="5" t="inlineStr">
        <is>
          <t>(none)</t>
        </is>
      </c>
      <c r="E260" s="5">
        <f>COUNTIFS(Elements!$B$2:$B$862,$A260,Elements!$D$2:$D$862,$B260,Elements!$E$2:$E$862,$C260,Elements!$F$2:$F$862,$D260)</f>
        <v/>
      </c>
      <c r="F260" s="5">
        <f>IFERROR(_xlfn.MINIFS(Elements!$I$2:$I$862,Elements!$B$2:$B$862,$A260,Elements!$D$2:$D$862,$B260,Elements!$E$2:$E$862,$C260,Elements!$F$2:$F$862,$D260),"")</f>
        <v/>
      </c>
      <c r="G260" s="5">
        <f>IFERROR(_xlfn.MAXIFS(Elements!$I$2:$I$862,Elements!$B$2:$B$862,$A260,Elements!$D$2:$D$862,$B260,Elements!$E$2:$E$862,$C260,Elements!$F$2:$F$862,$D260),"")</f>
        <v/>
      </c>
      <c r="H260" s="5">
        <f>IFERROR(_xlfn.MINIFS(Elements!$J$2:$J$862,Elements!$B$2:$B$862,$A260,Elements!$D$2:$D$862,$B260,Elements!$E$2:$E$862,$C260,Elements!$F$2:$F$862,$D260),"")</f>
        <v/>
      </c>
      <c r="I260" s="5">
        <f>IFERROR(_xlfn.MAXIFS(Elements!$J$2:$J$862,Elements!$B$2:$B$862,$A260,Elements!$D$2:$D$862,$B260,Elements!$E$2:$E$862,$C260,Elements!$F$2:$F$862,$D260),"")</f>
        <v/>
      </c>
      <c r="J260" s="5">
        <f>IF(OR(F260="",H260=""),"",IF(OR(B260="raft",B260="sump_pit",B260="crane_foundation",D260="(none)"),"n/a",IF(OR(B260="column",B260="footing",B260="mass_concrete_pad",AND(B260="wall",C260="shear_wall",D260&lt;&gt;"(none)")),IF(AND(G260-F260&lt;=3,I260-H260&lt;=3),"yes","no"),IF(I260-H260&lt;=3,"yes (thickness)","no (thickness)"))))</f>
        <v/>
      </c>
      <c r="K260" s="6">
        <f>SUMIFS(Elements!$M$2:$M$862,Elements!$B$2:$B$862,$A260,Elements!$D$2:$D$862,$B260,Elements!$E$2:$E$862,$C260,Elements!$F$2:$F$862,$D260)</f>
        <v/>
      </c>
      <c r="L260" s="6">
        <f>SUMIFS(Elements!$L$2:$L$862,Elements!$B$2:$B$862,$A260,Elements!$D$2:$D$862,$B260,Elements!$E$2:$E$862,$C260,Elements!$F$2:$F$862,$D260)</f>
        <v/>
      </c>
      <c r="M260" s="2" t="inlineStr">
        <is>
          <t>solid fill; 87-1849 x 20-30 cm; L/W 4.17-92.45; inside a footing outline 72%; on a raft 10%; touching a hatched core wall 1%; in a strip-footing band 5%; at a grade-beam junction 51%</t>
        </is>
      </c>
    </row>
    <row r="261">
      <c r="A261" s="5" t="inlineStr">
        <is>
          <t>130</t>
        </is>
      </c>
      <c r="B261" s="5" t="inlineStr">
        <is>
          <t>wall</t>
        </is>
      </c>
      <c r="C261" s="5" t="inlineStr">
        <is>
          <t>shear_wall</t>
        </is>
      </c>
      <c r="D261" s="5" t="inlineStr">
        <is>
          <t>V1/130</t>
        </is>
      </c>
      <c r="E261" s="5">
        <f>COUNTIFS(Elements!$B$2:$B$862,$A261,Elements!$D$2:$D$862,$B261,Elements!$E$2:$E$862,$C261,Elements!$F$2:$F$862,$D261)</f>
        <v/>
      </c>
      <c r="F261" s="5">
        <f>IFERROR(_xlfn.MINIFS(Elements!$I$2:$I$862,Elements!$B$2:$B$862,$A261,Elements!$D$2:$D$862,$B261,Elements!$E$2:$E$862,$C261,Elements!$F$2:$F$862,$D261),"")</f>
        <v/>
      </c>
      <c r="G261" s="5">
        <f>IFERROR(_xlfn.MAXIFS(Elements!$I$2:$I$862,Elements!$B$2:$B$862,$A261,Elements!$D$2:$D$862,$B261,Elements!$E$2:$E$862,$C261,Elements!$F$2:$F$862,$D261),"")</f>
        <v/>
      </c>
      <c r="H261" s="5">
        <f>IFERROR(_xlfn.MINIFS(Elements!$J$2:$J$862,Elements!$B$2:$B$862,$A261,Elements!$D$2:$D$862,$B261,Elements!$E$2:$E$862,$C261,Elements!$F$2:$F$862,$D261),"")</f>
        <v/>
      </c>
      <c r="I261" s="5">
        <f>IFERROR(_xlfn.MAXIFS(Elements!$J$2:$J$862,Elements!$B$2:$B$862,$A261,Elements!$D$2:$D$862,$B261,Elements!$E$2:$E$862,$C261,Elements!$F$2:$F$862,$D261),"")</f>
        <v/>
      </c>
      <c r="J261" s="5">
        <f>IF(OR(F261="",H261=""),"",IF(OR(B261="raft",B261="sump_pit",B261="crane_foundation",D261="(none)"),"n/a",IF(OR(B261="column",B261="footing",B261="mass_concrete_pad",AND(B261="wall",C261="shear_wall",D261&lt;&gt;"(none)")),IF(AND(G261-F261&lt;=3,I261-H261&lt;=3),"yes","no"),IF(I261-H261&lt;=3,"yes (thickness)","no (thickness)"))))</f>
        <v/>
      </c>
      <c r="K261" s="6">
        <f>SUMIFS(Elements!$M$2:$M$862,Elements!$B$2:$B$862,$A261,Elements!$D$2:$D$862,$B261,Elements!$E$2:$E$862,$C261,Elements!$F$2:$F$862,$D261)</f>
        <v/>
      </c>
      <c r="L261" s="6">
        <f>SUMIFS(Elements!$L$2:$L$862,Elements!$B$2:$B$862,$A261,Elements!$D$2:$D$862,$B261,Elements!$E$2:$E$862,$C261,Elements!$F$2:$F$862,$D261)</f>
        <v/>
      </c>
      <c r="M261" s="2" t="inlineStr">
        <is>
          <t>solid fill; 87-1849 x 20-30 cm; L/W 4.17-92.45; inside a footing outline 72%; on a raft 10%; touching a hatched core wall 1%; in a strip-footing band 5%; at a grade-beam junction 51%</t>
        </is>
      </c>
    </row>
    <row r="262">
      <c r="A262" s="5" t="inlineStr">
        <is>
          <t>130</t>
        </is>
      </c>
      <c r="B262" s="5" t="inlineStr">
        <is>
          <t>wall</t>
        </is>
      </c>
      <c r="C262" s="5" t="inlineStr">
        <is>
          <t>shear_wall</t>
        </is>
      </c>
      <c r="D262" s="5" t="inlineStr">
        <is>
          <t>V3/130</t>
        </is>
      </c>
      <c r="E262" s="5">
        <f>COUNTIFS(Elements!$B$2:$B$862,$A262,Elements!$D$2:$D$862,$B262,Elements!$E$2:$E$862,$C262,Elements!$F$2:$F$862,$D262)</f>
        <v/>
      </c>
      <c r="F262" s="5">
        <f>IFERROR(_xlfn.MINIFS(Elements!$I$2:$I$862,Elements!$B$2:$B$862,$A262,Elements!$D$2:$D$862,$B262,Elements!$E$2:$E$862,$C262,Elements!$F$2:$F$862,$D262),"")</f>
        <v/>
      </c>
      <c r="G262" s="5">
        <f>IFERROR(_xlfn.MAXIFS(Elements!$I$2:$I$862,Elements!$B$2:$B$862,$A262,Elements!$D$2:$D$862,$B262,Elements!$E$2:$E$862,$C262,Elements!$F$2:$F$862,$D262),"")</f>
        <v/>
      </c>
      <c r="H262" s="5">
        <f>IFERROR(_xlfn.MINIFS(Elements!$J$2:$J$862,Elements!$B$2:$B$862,$A262,Elements!$D$2:$D$862,$B262,Elements!$E$2:$E$862,$C262,Elements!$F$2:$F$862,$D262),"")</f>
        <v/>
      </c>
      <c r="I262" s="5">
        <f>IFERROR(_xlfn.MAXIFS(Elements!$J$2:$J$862,Elements!$B$2:$B$862,$A262,Elements!$D$2:$D$862,$B262,Elements!$E$2:$E$862,$C262,Elements!$F$2:$F$862,$D262),"")</f>
        <v/>
      </c>
      <c r="J262" s="5">
        <f>IF(OR(F262="",H262=""),"",IF(OR(B262="raft",B262="sump_pit",B262="crane_foundation",D262="(none)"),"n/a",IF(OR(B262="column",B262="footing",B262="mass_concrete_pad",AND(B262="wall",C262="shear_wall",D262&lt;&gt;"(none)")),IF(AND(G262-F262&lt;=3,I262-H262&lt;=3),"yes","no"),IF(I262-H262&lt;=3,"yes (thickness)","no (thickness)"))))</f>
        <v/>
      </c>
      <c r="K262" s="6">
        <f>SUMIFS(Elements!$M$2:$M$862,Elements!$B$2:$B$862,$A262,Elements!$D$2:$D$862,$B262,Elements!$E$2:$E$862,$C262,Elements!$F$2:$F$862,$D262)</f>
        <v/>
      </c>
      <c r="L262" s="6">
        <f>SUMIFS(Elements!$L$2:$L$862,Elements!$B$2:$B$862,$A262,Elements!$D$2:$D$862,$B262,Elements!$E$2:$E$862,$C262,Elements!$F$2:$F$862,$D262)</f>
        <v/>
      </c>
      <c r="M262" s="2" t="inlineStr">
        <is>
          <t>solid fill; 87-1849 x 20-30 cm; L/W 4.17-92.45; inside a footing outline 72%; on a raft 10%; touching a hatched core wall 1%; in a strip-footing band 5%; at a grade-beam junction 51%</t>
        </is>
      </c>
    </row>
    <row r="263">
      <c r="A263" s="5" t="inlineStr">
        <is>
          <t>130</t>
        </is>
      </c>
      <c r="B263" s="5" t="inlineStr">
        <is>
          <t>wall</t>
        </is>
      </c>
      <c r="C263" s="5" t="inlineStr">
        <is>
          <t>shear_wall</t>
        </is>
      </c>
      <c r="D263" s="5" t="inlineStr">
        <is>
          <t>V4/130</t>
        </is>
      </c>
      <c r="E263" s="5">
        <f>COUNTIFS(Elements!$B$2:$B$862,$A263,Elements!$D$2:$D$862,$B263,Elements!$E$2:$E$862,$C263,Elements!$F$2:$F$862,$D263)</f>
        <v/>
      </c>
      <c r="F263" s="5">
        <f>IFERROR(_xlfn.MINIFS(Elements!$I$2:$I$862,Elements!$B$2:$B$862,$A263,Elements!$D$2:$D$862,$B263,Elements!$E$2:$E$862,$C263,Elements!$F$2:$F$862,$D263),"")</f>
        <v/>
      </c>
      <c r="G263" s="5">
        <f>IFERROR(_xlfn.MAXIFS(Elements!$I$2:$I$862,Elements!$B$2:$B$862,$A263,Elements!$D$2:$D$862,$B263,Elements!$E$2:$E$862,$C263,Elements!$F$2:$F$862,$D263),"")</f>
        <v/>
      </c>
      <c r="H263" s="5">
        <f>IFERROR(_xlfn.MINIFS(Elements!$J$2:$J$862,Elements!$B$2:$B$862,$A263,Elements!$D$2:$D$862,$B263,Elements!$E$2:$E$862,$C263,Elements!$F$2:$F$862,$D263),"")</f>
        <v/>
      </c>
      <c r="I263" s="5">
        <f>IFERROR(_xlfn.MAXIFS(Elements!$J$2:$J$862,Elements!$B$2:$B$862,$A263,Elements!$D$2:$D$862,$B263,Elements!$E$2:$E$862,$C263,Elements!$F$2:$F$862,$D263),"")</f>
        <v/>
      </c>
      <c r="J263" s="5">
        <f>IF(OR(F263="",H263=""),"",IF(OR(B263="raft",B263="sump_pit",B263="crane_foundation",D263="(none)"),"n/a",IF(OR(B263="column",B263="footing",B263="mass_concrete_pad",AND(B263="wall",C263="shear_wall",D263&lt;&gt;"(none)")),IF(AND(G263-F263&lt;=3,I263-H263&lt;=3),"yes","no"),IF(I263-H263&lt;=3,"yes (thickness)","no (thickness)"))))</f>
        <v/>
      </c>
      <c r="K263" s="6">
        <f>SUMIFS(Elements!$M$2:$M$862,Elements!$B$2:$B$862,$A263,Elements!$D$2:$D$862,$B263,Elements!$E$2:$E$862,$C263,Elements!$F$2:$F$862,$D263)</f>
        <v/>
      </c>
      <c r="L263" s="6">
        <f>SUMIFS(Elements!$L$2:$L$862,Elements!$B$2:$B$862,$A263,Elements!$D$2:$D$862,$B263,Elements!$E$2:$E$862,$C263,Elements!$F$2:$F$862,$D263)</f>
        <v/>
      </c>
      <c r="M263" s="2" t="inlineStr">
        <is>
          <t>solid fill; 87-1849 x 20-30 cm; L/W 4.17-92.45; inside a footing outline 72%; on a raft 10%; touching a hatched core wall 1%; in a strip-footing band 5%; at a grade-beam junction 51%</t>
        </is>
      </c>
    </row>
    <row r="264">
      <c r="A264" s="5" t="inlineStr">
        <is>
          <t>130</t>
        </is>
      </c>
      <c r="B264" s="5" t="inlineStr">
        <is>
          <t>wall</t>
        </is>
      </c>
      <c r="C264" s="5" t="inlineStr">
        <is>
          <t>shear_wall</t>
        </is>
      </c>
      <c r="D264" s="5" t="inlineStr">
        <is>
          <t>V6/130</t>
        </is>
      </c>
      <c r="E264" s="5">
        <f>COUNTIFS(Elements!$B$2:$B$862,$A264,Elements!$D$2:$D$862,$B264,Elements!$E$2:$E$862,$C264,Elements!$F$2:$F$862,$D264)</f>
        <v/>
      </c>
      <c r="F264" s="5">
        <f>IFERROR(_xlfn.MINIFS(Elements!$I$2:$I$862,Elements!$B$2:$B$862,$A264,Elements!$D$2:$D$862,$B264,Elements!$E$2:$E$862,$C264,Elements!$F$2:$F$862,$D264),"")</f>
        <v/>
      </c>
      <c r="G264" s="5">
        <f>IFERROR(_xlfn.MAXIFS(Elements!$I$2:$I$862,Elements!$B$2:$B$862,$A264,Elements!$D$2:$D$862,$B264,Elements!$E$2:$E$862,$C264,Elements!$F$2:$F$862,$D264),"")</f>
        <v/>
      </c>
      <c r="H264" s="5">
        <f>IFERROR(_xlfn.MINIFS(Elements!$J$2:$J$862,Elements!$B$2:$B$862,$A264,Elements!$D$2:$D$862,$B264,Elements!$E$2:$E$862,$C264,Elements!$F$2:$F$862,$D264),"")</f>
        <v/>
      </c>
      <c r="I264" s="5">
        <f>IFERROR(_xlfn.MAXIFS(Elements!$J$2:$J$862,Elements!$B$2:$B$862,$A264,Elements!$D$2:$D$862,$B264,Elements!$E$2:$E$862,$C264,Elements!$F$2:$F$862,$D264),"")</f>
        <v/>
      </c>
      <c r="J264" s="5">
        <f>IF(OR(F264="",H264=""),"",IF(OR(B264="raft",B264="sump_pit",B264="crane_foundation",D264="(none)"),"n/a",IF(OR(B264="column",B264="footing",B264="mass_concrete_pad",AND(B264="wall",C264="shear_wall",D264&lt;&gt;"(none)")),IF(AND(G264-F264&lt;=3,I264-H264&lt;=3),"yes","no"),IF(I264-H264&lt;=3,"yes (thickness)","no (thickness)"))))</f>
        <v/>
      </c>
      <c r="K264" s="6">
        <f>SUMIFS(Elements!$M$2:$M$862,Elements!$B$2:$B$862,$A264,Elements!$D$2:$D$862,$B264,Elements!$E$2:$E$862,$C264,Elements!$F$2:$F$862,$D264)</f>
        <v/>
      </c>
      <c r="L264" s="6">
        <f>SUMIFS(Elements!$L$2:$L$862,Elements!$B$2:$B$862,$A264,Elements!$D$2:$D$862,$B264,Elements!$E$2:$E$862,$C264,Elements!$F$2:$F$862,$D264)</f>
        <v/>
      </c>
      <c r="M264" s="2" t="inlineStr">
        <is>
          <t>solid fill; 87-1849 x 20-30 cm; L/W 4.17-92.45; inside a footing outline 72%; on a raft 10%; touching a hatched core wall 1%; in a strip-footing band 5%; at a grade-beam junction 51%</t>
        </is>
      </c>
    </row>
    <row r="266">
      <c r="A266" s="7" t="inlineStr">
        <is>
          <t>All buildings</t>
        </is>
      </c>
      <c r="E266" s="7">
        <f>SUM(E2:E264)</f>
        <v/>
      </c>
      <c r="K266" s="7">
        <f>SUM(K2:K264)</f>
        <v/>
      </c>
      <c r="L266" s="7">
        <f>SUM(L2:L264)</f>
        <v/>
      </c>
    </row>
    <row r="267">
      <c r="A267" s="8" t="inlineStr">
        <is>
          <t>'Same section throughout?' allows 3 cm between the smallest and largest element of the row. Columns, labelled shear walls, footings and pads are compared on length and width; walls and bands whose length varies by nature on thickness only; rafts, pits and crane groups, and rows of unlabelled elements (a mix of types), do not apply.</t>
        </is>
      </c>
    </row>
  </sheetData>
  <autoFilter ref="A1:M264"/>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M862"/>
  <sheetViews>
    <sheetView workbookViewId="0">
      <pane xSplit="4" ySplit="1" topLeftCell="E2" activePane="bottomRight" state="frozen"/>
      <selection pane="topRight"/>
      <selection pane="bottomLeft"/>
      <selection pane="bottomRight" activeCell="A1" sqref="A1"/>
    </sheetView>
  </sheetViews>
  <sheetFormatPr baseColWidth="8" defaultRowHeight="15"/>
  <cols>
    <col width="6" customWidth="1" min="1" max="1"/>
    <col width="9" customWidth="1" min="2" max="2"/>
    <col width="22" customWidth="1" min="3" max="3"/>
    <col width="17" customWidth="1" min="4" max="4"/>
    <col width="19" customWidth="1" min="5" max="5"/>
    <col width="14" customWidth="1" min="6" max="6"/>
    <col width="20" customWidth="1" min="7" max="7"/>
    <col width="22" customWidth="1" min="8" max="8"/>
    <col width="10" customWidth="1" min="9" max="9"/>
    <col width="10" customWidth="1" min="10" max="10"/>
    <col width="7" customWidth="1" min="11" max="11"/>
    <col width="9" customWidth="1" min="12" max="12"/>
    <col width="10" customWidth="1" min="13" max="13"/>
    <col width="8" customWidth="1" min="14" max="14"/>
    <col width="18" customWidth="1" min="15" max="15"/>
    <col width="48" customWidth="1" min="16" max="16"/>
    <col width="9" customWidth="1" min="17" max="17"/>
    <col width="13" customWidth="1" min="18" max="18"/>
    <col width="16" customWidth="1" min="19" max="19"/>
    <col width="10" customWidth="1" min="20" max="20"/>
    <col width="8" customWidth="1" min="21" max="21"/>
    <col width="10" customWidth="1" min="22" max="22"/>
    <col width="10" customWidth="1" min="23" max="23"/>
    <col width="9" customWidth="1" min="24" max="24"/>
    <col width="9" customWidth="1" min="25" max="25"/>
    <col width="9" customWidth="1" min="26" max="26"/>
    <col width="9" customWidth="1" min="27" max="27"/>
    <col width="9" customWidth="1" min="28" max="28"/>
    <col width="8" customWidth="1" min="29" max="29"/>
    <col width="9" customWidth="1" min="30" max="30"/>
    <col width="9" customWidth="1" min="31" max="31"/>
    <col width="9" customWidth="1" min="32" max="32"/>
    <col width="9" customWidth="1" min="33" max="33"/>
    <col width="9" customWidth="1" min="34" max="34"/>
    <col width="11" customWidth="1" min="35" max="35"/>
    <col width="16" customWidth="1" min="36" max="36"/>
    <col width="36" customWidth="1" min="37" max="37"/>
    <col width="14" customWidth="1" min="38" max="38"/>
    <col width="16" customWidth="1" min="39" max="39"/>
  </cols>
  <sheetData>
    <row r="1" ht="32" customHeight="1">
      <c r="A1" s="4" t="inlineStr">
        <is>
          <t>ID</t>
        </is>
      </c>
      <c r="B1" s="4" t="inlineStr">
        <is>
          <t>Building</t>
        </is>
      </c>
      <c r="C1" s="4" t="inlineStr">
        <is>
          <t>Building source</t>
        </is>
      </c>
      <c r="D1" s="4" t="inlineStr">
        <is>
          <t>Family</t>
        </is>
      </c>
      <c r="E1" s="4" t="inlineStr">
        <is>
          <t>Subclass</t>
        </is>
      </c>
      <c r="F1" s="4" t="inlineStr">
        <is>
          <t>Type key</t>
        </is>
      </c>
      <c r="G1" s="4" t="inlineStr">
        <is>
          <t>Label text</t>
        </is>
      </c>
      <c r="H1" s="4" t="inlineStr">
        <is>
          <t>Label source</t>
        </is>
      </c>
      <c r="I1" s="4" t="inlineStr">
        <is>
          <t>Length (cm)</t>
        </is>
      </c>
      <c r="J1" s="4" t="inlineStr">
        <is>
          <t>Width (cm)</t>
        </is>
      </c>
      <c r="K1" s="4" t="inlineStr">
        <is>
          <t>L/W</t>
        </is>
      </c>
      <c r="L1" s="4" t="inlineStr">
        <is>
          <t>Area (m²)</t>
        </is>
      </c>
      <c r="M1" s="4" t="inlineStr">
        <is>
          <t>Span / run (m)</t>
        </is>
      </c>
      <c r="N1" s="4" t="inlineStr">
        <is>
          <t>Angle (°)</t>
        </is>
      </c>
      <c r="O1" s="4" t="inlineStr">
        <is>
          <t>Drawing type</t>
        </is>
      </c>
      <c r="P1" s="4" t="inlineStr">
        <is>
          <t>Colour-free rule</t>
        </is>
      </c>
      <c r="Q1" s="4" t="inlineStr">
        <is>
          <t>EC2 test</t>
        </is>
      </c>
      <c r="R1" s="4" t="inlineStr">
        <is>
          <t>Inside footing</t>
        </is>
      </c>
      <c r="S1" s="4" t="inlineStr">
        <is>
          <t>Supports inside</t>
        </is>
      </c>
      <c r="T1" s="4" t="inlineStr">
        <is>
          <t>Support offset (cm)</t>
        </is>
      </c>
      <c r="U1" s="4" t="inlineStr">
        <is>
          <t>On raft</t>
        </is>
      </c>
      <c r="V1" s="4" t="inlineStr">
        <is>
          <t>Touches hatched wall</t>
        </is>
      </c>
      <c r="W1" s="4" t="inlineStr">
        <is>
          <t>Touches solid element</t>
        </is>
      </c>
      <c r="X1" s="4" t="inlineStr">
        <is>
          <t>In strip band</t>
        </is>
      </c>
      <c r="Y1" s="4" t="inlineStr">
        <is>
          <t>On grade beam</t>
        </is>
      </c>
      <c r="Z1" s="4" t="inlineStr">
        <is>
          <t>At LG junction</t>
        </is>
      </c>
      <c r="AA1" s="4" t="inlineStr">
        <is>
          <t>Grid distance (m)</t>
        </is>
      </c>
      <c r="AB1" s="4" t="inlineStr">
        <is>
          <t>Hatch stroke (m)</t>
        </is>
      </c>
      <c r="AC1" s="4" t="inlineStr">
        <is>
          <t>Stipple dots</t>
        </is>
      </c>
      <c r="AD1" s="4" t="inlineStr">
        <is>
          <t>Raft thickness (cm)</t>
        </is>
      </c>
      <c r="AE1" s="4" t="inlineStr">
        <is>
          <t>bbox x0 (px)</t>
        </is>
      </c>
      <c r="AF1" s="4" t="inlineStr">
        <is>
          <t>bbox y0 (px)</t>
        </is>
      </c>
      <c r="AG1" s="4" t="inlineStr">
        <is>
          <t>bbox x1 (px)</t>
        </is>
      </c>
      <c r="AH1" s="4" t="inlineStr">
        <is>
          <t>bbox y1 (px)</t>
        </is>
      </c>
      <c r="AI1" s="4" t="inlineStr">
        <is>
          <t>Matches verified detection</t>
        </is>
      </c>
      <c r="AJ1" s="4" t="inlineStr">
        <is>
          <t>Verified subclass</t>
        </is>
      </c>
      <c r="AK1" s="4" t="inlineStr">
        <is>
          <t>Note</t>
        </is>
      </c>
      <c r="AL1" s="4" t="inlineStr">
        <is>
          <t>(validation only) colour</t>
        </is>
      </c>
      <c r="AM1" s="4" t="inlineStr">
        <is>
          <t>(validation only) layer</t>
        </is>
      </c>
    </row>
    <row r="2">
      <c r="A2" s="5" t="n">
        <v>1</v>
      </c>
      <c r="B2" s="5" t="inlineStr">
        <is>
          <t>120</t>
        </is>
      </c>
      <c r="C2" s="5" t="inlineStr">
        <is>
          <t>own label</t>
        </is>
      </c>
      <c r="D2" s="5" t="inlineStr">
        <is>
          <t>column</t>
        </is>
      </c>
      <c r="E2" s="5" t="inlineStr">
        <is>
          <t>column</t>
        </is>
      </c>
      <c r="F2" s="5" t="inlineStr">
        <is>
          <t>P1/120</t>
        </is>
      </c>
      <c r="G2" s="5" t="inlineStr">
        <is>
          <t>P1/120/120</t>
        </is>
      </c>
      <c r="H2" s="5" t="inlineStr">
        <is>
          <t>printed</t>
        </is>
      </c>
      <c r="I2" s="5" t="n">
        <v>80</v>
      </c>
      <c r="J2" s="5" t="n">
        <v>25</v>
      </c>
      <c r="K2" s="9">
        <f>IF(AND(ISNUMBER(I2),ISNUMBER(J2),J2&gt;0),I2/J2,"")</f>
        <v/>
      </c>
      <c r="L2" s="5" t="n">
        <v>0.2</v>
      </c>
      <c r="M2" s="5" t="n"/>
      <c r="N2" s="5" t="n">
        <v>0</v>
      </c>
      <c r="O2" s="5" t="inlineStr">
        <is>
          <t>solid fill</t>
        </is>
      </c>
      <c r="P2" s="5" t="inlineStr">
        <is>
          <t>solid fill, rectangle, L &lt;= 4 W (EN 1992-1-1 5.3.1(7))</t>
        </is>
      </c>
      <c r="Q2" s="5">
        <f>IF(OR(D2="column",D2="wall"),IF(I2&lt;='P vs V'!$B$3*J2,"column","wall"),"")</f>
        <v/>
      </c>
      <c r="R2" s="5" t="inlineStr"/>
      <c r="S2" s="5" t="inlineStr"/>
      <c r="T2" s="5" t="n"/>
      <c r="U2" s="5" t="inlineStr">
        <is>
          <t>yes</t>
        </is>
      </c>
      <c r="V2" s="5" t="inlineStr">
        <is>
          <t>yes</t>
        </is>
      </c>
      <c r="W2" s="5" t="inlineStr">
        <is>
          <t>no</t>
        </is>
      </c>
      <c r="X2" s="5" t="inlineStr">
        <is>
          <t>no</t>
        </is>
      </c>
      <c r="Y2" s="5" t="inlineStr">
        <is>
          <t>no</t>
        </is>
      </c>
      <c r="Z2" s="5" t="inlineStr">
        <is>
          <t>no</t>
        </is>
      </c>
      <c r="AA2" s="5" t="n">
        <v>0.61</v>
      </c>
      <c r="AB2" s="5" t="n"/>
      <c r="AC2" s="5" t="n"/>
      <c r="AD2" s="5" t="n"/>
      <c r="AE2" s="5" t="n">
        <v>4596.9</v>
      </c>
      <c r="AF2" s="5" t="n">
        <v>792</v>
      </c>
      <c r="AG2" s="5" t="n">
        <v>4620.6</v>
      </c>
      <c r="AH2" s="5" t="n">
        <v>799.4</v>
      </c>
      <c r="AI2" s="5" t="inlineStr">
        <is>
          <t>yes</t>
        </is>
      </c>
      <c r="AJ2" s="5" t="inlineStr">
        <is>
          <t>column</t>
        </is>
      </c>
      <c r="AK2" s="5" t="inlineStr"/>
      <c r="AL2" s="5" t="inlineStr">
        <is>
          <t>(0.0, 0.0, 1.0)</t>
        </is>
      </c>
      <c r="AM2" s="5" t="inlineStr">
        <is>
          <t>DM-Poteaux</t>
        </is>
      </c>
    </row>
    <row r="3">
      <c r="A3" s="5" t="n">
        <v>2</v>
      </c>
      <c r="B3" s="5" t="inlineStr">
        <is>
          <t>120</t>
        </is>
      </c>
      <c r="C3" s="5" t="inlineStr">
        <is>
          <t>own label</t>
        </is>
      </c>
      <c r="D3" s="5" t="inlineStr">
        <is>
          <t>column</t>
        </is>
      </c>
      <c r="E3" s="5" t="inlineStr">
        <is>
          <t>column</t>
        </is>
      </c>
      <c r="F3" s="5" t="inlineStr">
        <is>
          <t>P1/120</t>
        </is>
      </c>
      <c r="G3" s="5" t="inlineStr">
        <is>
          <t>P1/120/120</t>
        </is>
      </c>
      <c r="H3" s="5" t="inlineStr">
        <is>
          <t>printed</t>
        </is>
      </c>
      <c r="I3" s="5" t="n">
        <v>80</v>
      </c>
      <c r="J3" s="5" t="n">
        <v>25</v>
      </c>
      <c r="K3" s="9">
        <f>IF(AND(ISNUMBER(I3),ISNUMBER(J3),J3&gt;0),I3/J3,"")</f>
        <v/>
      </c>
      <c r="L3" s="5" t="n">
        <v>0.2</v>
      </c>
      <c r="M3" s="5" t="n"/>
      <c r="N3" s="5" t="n">
        <v>0</v>
      </c>
      <c r="O3" s="5" t="inlineStr">
        <is>
          <t>solid fill</t>
        </is>
      </c>
      <c r="P3" s="5" t="inlineStr">
        <is>
          <t>solid fill, rectangle, L &lt;= 4 W (EN 1992-1-1 5.3.1(7))</t>
        </is>
      </c>
      <c r="Q3" s="5">
        <f>IF(OR(D3="column",D3="wall"),IF(I3&lt;='P vs V'!$B$3*J3,"column","wall"),"")</f>
        <v/>
      </c>
      <c r="R3" s="5" t="inlineStr"/>
      <c r="S3" s="5" t="inlineStr"/>
      <c r="T3" s="5" t="n"/>
      <c r="U3" s="5" t="inlineStr">
        <is>
          <t>yes</t>
        </is>
      </c>
      <c r="V3" s="5" t="inlineStr">
        <is>
          <t>no</t>
        </is>
      </c>
      <c r="W3" s="5" t="inlineStr">
        <is>
          <t>no</t>
        </is>
      </c>
      <c r="X3" s="5" t="inlineStr">
        <is>
          <t>no</t>
        </is>
      </c>
      <c r="Y3" s="5" t="inlineStr">
        <is>
          <t>no</t>
        </is>
      </c>
      <c r="Z3" s="5" t="inlineStr">
        <is>
          <t>no</t>
        </is>
      </c>
      <c r="AA3" s="5" t="n">
        <v>1.17</v>
      </c>
      <c r="AB3" s="5" t="n"/>
      <c r="AC3" s="5" t="n"/>
      <c r="AD3" s="5" t="n"/>
      <c r="AE3" s="5" t="n">
        <v>4704.8</v>
      </c>
      <c r="AF3" s="5" t="n">
        <v>861.4</v>
      </c>
      <c r="AG3" s="5" t="n">
        <v>4728.4</v>
      </c>
      <c r="AH3" s="5" t="n">
        <v>868.8</v>
      </c>
      <c r="AI3" s="5" t="inlineStr">
        <is>
          <t>yes</t>
        </is>
      </c>
      <c r="AJ3" s="5" t="inlineStr">
        <is>
          <t>column</t>
        </is>
      </c>
      <c r="AK3" s="5" t="inlineStr"/>
      <c r="AL3" s="5" t="inlineStr">
        <is>
          <t>(0.0, 0.0, 1.0)</t>
        </is>
      </c>
      <c r="AM3" s="5" t="inlineStr">
        <is>
          <t>DM-Poteaux</t>
        </is>
      </c>
    </row>
    <row r="4">
      <c r="A4" s="5" t="n">
        <v>3</v>
      </c>
      <c r="B4" s="5" t="inlineStr">
        <is>
          <t>120</t>
        </is>
      </c>
      <c r="C4" s="5" t="inlineStr">
        <is>
          <t>own label</t>
        </is>
      </c>
      <c r="D4" s="5" t="inlineStr">
        <is>
          <t>column</t>
        </is>
      </c>
      <c r="E4" s="5" t="inlineStr">
        <is>
          <t>column</t>
        </is>
      </c>
      <c r="F4" s="5" t="inlineStr">
        <is>
          <t>P1/120</t>
        </is>
      </c>
      <c r="G4" s="5" t="inlineStr">
        <is>
          <t>P1/120/120</t>
        </is>
      </c>
      <c r="H4" s="5" t="inlineStr">
        <is>
          <t>printed</t>
        </is>
      </c>
      <c r="I4" s="5" t="n">
        <v>80</v>
      </c>
      <c r="J4" s="5" t="n">
        <v>25</v>
      </c>
      <c r="K4" s="9">
        <f>IF(AND(ISNUMBER(I4),ISNUMBER(J4),J4&gt;0),I4/J4,"")</f>
        <v/>
      </c>
      <c r="L4" s="5" t="n">
        <v>0.2</v>
      </c>
      <c r="M4" s="5" t="n"/>
      <c r="N4" s="5" t="n">
        <v>0</v>
      </c>
      <c r="O4" s="5" t="inlineStr">
        <is>
          <t>solid fill</t>
        </is>
      </c>
      <c r="P4" s="5" t="inlineStr">
        <is>
          <t>solid fill, rectangle, L &lt;= 4 W (EN 1992-1-1 5.3.1(7))</t>
        </is>
      </c>
      <c r="Q4" s="5">
        <f>IF(OR(D4="column",D4="wall"),IF(I4&lt;='P vs V'!$B$3*J4,"column","wall"),"")</f>
        <v/>
      </c>
      <c r="R4" s="5" t="inlineStr"/>
      <c r="S4" s="5" t="inlineStr"/>
      <c r="T4" s="5" t="n"/>
      <c r="U4" s="5" t="inlineStr">
        <is>
          <t>yes</t>
        </is>
      </c>
      <c r="V4" s="5" t="inlineStr">
        <is>
          <t>no</t>
        </is>
      </c>
      <c r="W4" s="5" t="inlineStr">
        <is>
          <t>no</t>
        </is>
      </c>
      <c r="X4" s="5" t="inlineStr">
        <is>
          <t>no</t>
        </is>
      </c>
      <c r="Y4" s="5" t="inlineStr">
        <is>
          <t>no</t>
        </is>
      </c>
      <c r="Z4" s="5" t="inlineStr">
        <is>
          <t>no</t>
        </is>
      </c>
      <c r="AA4" s="5" t="n">
        <v>1.18</v>
      </c>
      <c r="AB4" s="5" t="n"/>
      <c r="AC4" s="5" t="n"/>
      <c r="AD4" s="5" t="n"/>
      <c r="AE4" s="5" t="n">
        <v>4596.9</v>
      </c>
      <c r="AF4" s="5" t="n">
        <v>861.4</v>
      </c>
      <c r="AG4" s="5" t="n">
        <v>4620.6</v>
      </c>
      <c r="AH4" s="5" t="n">
        <v>868.8</v>
      </c>
      <c r="AI4" s="5" t="inlineStr">
        <is>
          <t>yes</t>
        </is>
      </c>
      <c r="AJ4" s="5" t="inlineStr">
        <is>
          <t>column</t>
        </is>
      </c>
      <c r="AK4" s="5" t="inlineStr"/>
      <c r="AL4" s="5" t="inlineStr">
        <is>
          <t>(0.0, 0.0, 1.0)</t>
        </is>
      </c>
      <c r="AM4" s="5" t="inlineStr">
        <is>
          <t>DM-Poteaux</t>
        </is>
      </c>
    </row>
    <row r="5">
      <c r="A5" s="5" t="n">
        <v>4</v>
      </c>
      <c r="B5" s="5" t="inlineStr">
        <is>
          <t>120</t>
        </is>
      </c>
      <c r="C5" s="5" t="inlineStr">
        <is>
          <t>own label</t>
        </is>
      </c>
      <c r="D5" s="5" t="inlineStr">
        <is>
          <t>column</t>
        </is>
      </c>
      <c r="E5" s="5" t="inlineStr">
        <is>
          <t>column</t>
        </is>
      </c>
      <c r="F5" s="5" t="inlineStr">
        <is>
          <t>P1/120</t>
        </is>
      </c>
      <c r="G5" s="5" t="inlineStr">
        <is>
          <t>P1/120/120</t>
        </is>
      </c>
      <c r="H5" s="5" t="inlineStr">
        <is>
          <t>printed</t>
        </is>
      </c>
      <c r="I5" s="5" t="n">
        <v>80</v>
      </c>
      <c r="J5" s="5" t="n">
        <v>25</v>
      </c>
      <c r="K5" s="9">
        <f>IF(AND(ISNUMBER(I5),ISNUMBER(J5),J5&gt;0),I5/J5,"")</f>
        <v/>
      </c>
      <c r="L5" s="5" t="n">
        <v>0.2</v>
      </c>
      <c r="M5" s="5" t="n"/>
      <c r="N5" s="5" t="n">
        <v>0</v>
      </c>
      <c r="O5" s="5" t="inlineStr">
        <is>
          <t>solid fill</t>
        </is>
      </c>
      <c r="P5" s="5" t="inlineStr">
        <is>
          <t>solid fill, rectangle, L &lt;= 4 W (EN 1992-1-1 5.3.1(7))</t>
        </is>
      </c>
      <c r="Q5" s="5">
        <f>IF(OR(D5="column",D5="wall"),IF(I5&lt;='P vs V'!$B$3*J5,"column","wall"),"")</f>
        <v/>
      </c>
      <c r="R5" s="5" t="inlineStr"/>
      <c r="S5" s="5" t="inlineStr"/>
      <c r="T5" s="5" t="n"/>
      <c r="U5" s="5" t="inlineStr">
        <is>
          <t>yes</t>
        </is>
      </c>
      <c r="V5" s="5" t="inlineStr">
        <is>
          <t>no</t>
        </is>
      </c>
      <c r="W5" s="5" t="inlineStr">
        <is>
          <t>no</t>
        </is>
      </c>
      <c r="X5" s="5" t="inlineStr">
        <is>
          <t>no</t>
        </is>
      </c>
      <c r="Y5" s="5" t="inlineStr">
        <is>
          <t>no</t>
        </is>
      </c>
      <c r="Z5" s="5" t="inlineStr">
        <is>
          <t>no</t>
        </is>
      </c>
      <c r="AA5" s="5" t="n">
        <v>0.61</v>
      </c>
      <c r="AB5" s="5" t="n"/>
      <c r="AC5" s="5" t="n"/>
      <c r="AD5" s="5" t="n"/>
      <c r="AE5" s="5" t="n">
        <v>4704.8</v>
      </c>
      <c r="AF5" s="5" t="n">
        <v>792</v>
      </c>
      <c r="AG5" s="5" t="n">
        <v>4728.4</v>
      </c>
      <c r="AH5" s="5" t="n">
        <v>799.4</v>
      </c>
      <c r="AI5" s="5" t="inlineStr">
        <is>
          <t>yes</t>
        </is>
      </c>
      <c r="AJ5" s="5" t="inlineStr">
        <is>
          <t>column</t>
        </is>
      </c>
      <c r="AK5" s="5" t="inlineStr"/>
      <c r="AL5" s="5" t="inlineStr">
        <is>
          <t>(0.0, 0.0, 1.0)</t>
        </is>
      </c>
      <c r="AM5" s="5" t="inlineStr">
        <is>
          <t>DM-Poteaux</t>
        </is>
      </c>
    </row>
    <row r="6">
      <c r="A6" s="5" t="n">
        <v>5</v>
      </c>
      <c r="B6" s="5" t="inlineStr">
        <is>
          <t>120</t>
        </is>
      </c>
      <c r="C6" s="5" t="inlineStr">
        <is>
          <t>nearest labels (100% agree)</t>
        </is>
      </c>
      <c r="D6" s="5" t="inlineStr">
        <is>
          <t>wall</t>
        </is>
      </c>
      <c r="E6" s="5" t="inlineStr">
        <is>
          <t>core_wall_solid</t>
        </is>
      </c>
      <c r="F6" s="5" t="inlineStr">
        <is>
          <t>(none)</t>
        </is>
      </c>
      <c r="G6" s="5" t="inlineStr"/>
      <c r="H6" s="5" t="inlineStr">
        <is>
          <t>none</t>
        </is>
      </c>
      <c r="I6" s="5" t="n">
        <v>424</v>
      </c>
      <c r="J6" s="5" t="n">
        <v>25</v>
      </c>
      <c r="K6" s="9">
        <f>IF(AND(ISNUMBER(I6),ISNUMBER(J6),J6&gt;0),I6/J6,"")</f>
        <v/>
      </c>
      <c r="L6" s="5" t="n">
        <v>1.062</v>
      </c>
      <c r="M6" s="5" t="n"/>
      <c r="N6" s="5" t="n">
        <v>180</v>
      </c>
      <c r="O6" s="5" t="inlineStr">
        <is>
          <t>solid fill</t>
        </is>
      </c>
      <c r="P6" s="5" t="inlineStr">
        <is>
          <t>straight stretch of a thin filled outline with bends (pair of parallel faces)</t>
        </is>
      </c>
      <c r="Q6" s="5">
        <f>IF(OR(D6="column",D6="wall"),IF(I6&lt;='P vs V'!$B$3*J6,"column","wall"),"")</f>
        <v/>
      </c>
      <c r="R6" s="5" t="inlineStr"/>
      <c r="S6" s="5" t="inlineStr"/>
      <c r="T6" s="5" t="n"/>
      <c r="U6" s="5" t="inlineStr">
        <is>
          <t>yes</t>
        </is>
      </c>
      <c r="V6" s="5" t="inlineStr">
        <is>
          <t>no</t>
        </is>
      </c>
      <c r="W6" s="5" t="inlineStr">
        <is>
          <t>yes</t>
        </is>
      </c>
      <c r="X6" s="5" t="inlineStr">
        <is>
          <t>no</t>
        </is>
      </c>
      <c r="Y6" s="5" t="inlineStr">
        <is>
          <t>no</t>
        </is>
      </c>
      <c r="Z6" s="5" t="inlineStr">
        <is>
          <t>no</t>
        </is>
      </c>
      <c r="AA6" s="5" t="n">
        <v>0.01</v>
      </c>
      <c r="AB6" s="5" t="n"/>
      <c r="AC6" s="5" t="n"/>
      <c r="AD6" s="5" t="n"/>
      <c r="AE6" s="5" t="n">
        <v>4878.4</v>
      </c>
      <c r="AF6" s="5" t="n">
        <v>774.2</v>
      </c>
      <c r="AG6" s="5" t="n">
        <v>5003.8</v>
      </c>
      <c r="AH6" s="5" t="n">
        <v>781.7</v>
      </c>
      <c r="AI6" s="5" t="inlineStr">
        <is>
          <t>new</t>
        </is>
      </c>
      <c r="AJ6" s="5" t="inlineStr"/>
      <c r="AK6" s="5" t="inlineStr">
        <is>
          <t>piece of a wall network the colour pipeline left unsplit</t>
        </is>
      </c>
      <c r="AL6" s="5" t="inlineStr"/>
      <c r="AM6" s="5" t="inlineStr"/>
    </row>
    <row r="7">
      <c r="A7" s="5" t="n">
        <v>6</v>
      </c>
      <c r="B7" s="5" t="inlineStr">
        <is>
          <t>120</t>
        </is>
      </c>
      <c r="C7" s="5" t="inlineStr">
        <is>
          <t>nearest labels (100% agree)</t>
        </is>
      </c>
      <c r="D7" s="5" t="inlineStr">
        <is>
          <t>wall</t>
        </is>
      </c>
      <c r="E7" s="5" t="inlineStr">
        <is>
          <t>core_wall_solid</t>
        </is>
      </c>
      <c r="F7" s="5" t="inlineStr">
        <is>
          <t>(none)</t>
        </is>
      </c>
      <c r="G7" s="5" t="inlineStr"/>
      <c r="H7" s="5" t="inlineStr">
        <is>
          <t>none</t>
        </is>
      </c>
      <c r="I7" s="5" t="n">
        <v>175</v>
      </c>
      <c r="J7" s="5" t="n">
        <v>25</v>
      </c>
      <c r="K7" s="9">
        <f>IF(AND(ISNUMBER(I7),ISNUMBER(J7),J7&gt;0),I7/J7,"")</f>
        <v/>
      </c>
      <c r="L7" s="5" t="n">
        <v>0.441</v>
      </c>
      <c r="M7" s="5" t="n"/>
      <c r="N7" s="5" t="n">
        <v>89.90000000000001</v>
      </c>
      <c r="O7" s="5" t="inlineStr">
        <is>
          <t>solid fill</t>
        </is>
      </c>
      <c r="P7" s="5" t="inlineStr">
        <is>
          <t>straight stretch of a thin filled outline with bends (pair of parallel faces)</t>
        </is>
      </c>
      <c r="Q7" s="5">
        <f>IF(OR(D7="column",D7="wall"),IF(I7&lt;='P vs V'!$B$3*J7,"column","wall"),"")</f>
        <v/>
      </c>
      <c r="R7" s="5" t="inlineStr"/>
      <c r="S7" s="5" t="inlineStr"/>
      <c r="T7" s="5" t="n"/>
      <c r="U7" s="5" t="inlineStr">
        <is>
          <t>yes</t>
        </is>
      </c>
      <c r="V7" s="5" t="inlineStr">
        <is>
          <t>no</t>
        </is>
      </c>
      <c r="W7" s="5" t="inlineStr">
        <is>
          <t>yes</t>
        </is>
      </c>
      <c r="X7" s="5" t="inlineStr">
        <is>
          <t>no</t>
        </is>
      </c>
      <c r="Y7" s="5" t="inlineStr">
        <is>
          <t>no</t>
        </is>
      </c>
      <c r="Z7" s="5" t="inlineStr">
        <is>
          <t>no</t>
        </is>
      </c>
      <c r="AA7" s="5" t="n">
        <v>0.16</v>
      </c>
      <c r="AB7" s="5" t="n"/>
      <c r="AC7" s="5" t="n"/>
      <c r="AD7" s="5" t="n"/>
      <c r="AE7" s="5" t="n">
        <v>4763.8</v>
      </c>
      <c r="AF7" s="5" t="n">
        <v>756.6</v>
      </c>
      <c r="AG7" s="5" t="n">
        <v>4771.3</v>
      </c>
      <c r="AH7" s="5" t="n">
        <v>808.2</v>
      </c>
      <c r="AI7" s="5" t="inlineStr">
        <is>
          <t>new</t>
        </is>
      </c>
      <c r="AJ7" s="5" t="inlineStr"/>
      <c r="AK7" s="5" t="inlineStr">
        <is>
          <t>piece of a wall network the colour pipeline left unsplit</t>
        </is>
      </c>
      <c r="AL7" s="5" t="inlineStr"/>
      <c r="AM7" s="5" t="inlineStr"/>
    </row>
    <row r="8">
      <c r="A8" s="5" t="n">
        <v>7</v>
      </c>
      <c r="B8" s="5" t="inlineStr">
        <is>
          <t>120</t>
        </is>
      </c>
      <c r="C8" s="5" t="inlineStr">
        <is>
          <t>nearest labels (100% agree)</t>
        </is>
      </c>
      <c r="D8" s="5" t="inlineStr">
        <is>
          <t>wall</t>
        </is>
      </c>
      <c r="E8" s="5" t="inlineStr">
        <is>
          <t>core_wall_solid</t>
        </is>
      </c>
      <c r="F8" s="5" t="inlineStr">
        <is>
          <t>(none)</t>
        </is>
      </c>
      <c r="G8" s="5" t="inlineStr"/>
      <c r="H8" s="5" t="inlineStr">
        <is>
          <t>none</t>
        </is>
      </c>
      <c r="I8" s="5" t="n">
        <v>158</v>
      </c>
      <c r="J8" s="5" t="n">
        <v>25</v>
      </c>
      <c r="K8" s="9">
        <f>IF(AND(ISNUMBER(I8),ISNUMBER(J8),J8&gt;0),I8/J8,"")</f>
        <v/>
      </c>
      <c r="L8" s="5" t="n">
        <v>0.402</v>
      </c>
      <c r="M8" s="5" t="n"/>
      <c r="N8" s="5" t="n">
        <v>89.90000000000001</v>
      </c>
      <c r="O8" s="5" t="inlineStr">
        <is>
          <t>solid fill</t>
        </is>
      </c>
      <c r="P8" s="5" t="inlineStr">
        <is>
          <t>straight stretch of a thin filled outline with bends (pair of parallel faces)</t>
        </is>
      </c>
      <c r="Q8" s="5">
        <f>IF(OR(D8="column",D8="wall"),IF(I8&lt;='P vs V'!$B$3*J8,"column","wall"),"")</f>
        <v/>
      </c>
      <c r="R8" s="5" t="inlineStr"/>
      <c r="S8" s="5" t="inlineStr"/>
      <c r="T8" s="5" t="n"/>
      <c r="U8" s="5" t="inlineStr">
        <is>
          <t>yes</t>
        </is>
      </c>
      <c r="V8" s="5" t="inlineStr">
        <is>
          <t>yes</t>
        </is>
      </c>
      <c r="W8" s="5" t="inlineStr">
        <is>
          <t>yes</t>
        </is>
      </c>
      <c r="X8" s="5" t="inlineStr">
        <is>
          <t>no</t>
        </is>
      </c>
      <c r="Y8" s="5" t="inlineStr">
        <is>
          <t>no</t>
        </is>
      </c>
      <c r="Z8" s="5" t="inlineStr">
        <is>
          <t>no</t>
        </is>
      </c>
      <c r="AA8" s="5" t="n">
        <v>0.87</v>
      </c>
      <c r="AB8" s="5" t="n"/>
      <c r="AC8" s="5" t="n"/>
      <c r="AD8" s="5" t="n"/>
      <c r="AE8" s="5" t="n">
        <v>4870.7</v>
      </c>
      <c r="AF8" s="5" t="n">
        <v>781.7</v>
      </c>
      <c r="AG8" s="5" t="n">
        <v>4878.3</v>
      </c>
      <c r="AH8" s="5" t="n">
        <v>828.2</v>
      </c>
      <c r="AI8" s="5" t="inlineStr">
        <is>
          <t>new</t>
        </is>
      </c>
      <c r="AJ8" s="5" t="inlineStr"/>
      <c r="AK8" s="5" t="inlineStr">
        <is>
          <t>piece of a wall network the colour pipeline left unsplit</t>
        </is>
      </c>
      <c r="AL8" s="5" t="inlineStr"/>
      <c r="AM8" s="5" t="inlineStr"/>
    </row>
    <row r="9">
      <c r="A9" s="5" t="n">
        <v>8</v>
      </c>
      <c r="B9" s="5" t="inlineStr">
        <is>
          <t>120</t>
        </is>
      </c>
      <c r="C9" s="5" t="inlineStr">
        <is>
          <t>nearest labels (100% agree)</t>
        </is>
      </c>
      <c r="D9" s="5" t="inlineStr">
        <is>
          <t>wall</t>
        </is>
      </c>
      <c r="E9" s="5" t="inlineStr">
        <is>
          <t>core_wall_solid</t>
        </is>
      </c>
      <c r="F9" s="5" t="inlineStr">
        <is>
          <t>(none)</t>
        </is>
      </c>
      <c r="G9" s="5" t="inlineStr"/>
      <c r="H9" s="5" t="inlineStr">
        <is>
          <t>none</t>
        </is>
      </c>
      <c r="I9" s="5" t="n">
        <v>47</v>
      </c>
      <c r="J9" s="5" t="n">
        <v>26</v>
      </c>
      <c r="K9" s="9">
        <f>IF(AND(ISNUMBER(I9),ISNUMBER(J9),J9&gt;0),I9/J9,"")</f>
        <v/>
      </c>
      <c r="L9" s="5" t="n">
        <v>0.122</v>
      </c>
      <c r="M9" s="5" t="n"/>
      <c r="N9" s="5" t="n">
        <v>89.90000000000001</v>
      </c>
      <c r="O9" s="5" t="inlineStr">
        <is>
          <t>solid fill</t>
        </is>
      </c>
      <c r="P9" s="5" t="inlineStr">
        <is>
          <t>straight stretch of a thin filled outline with bends (pair of parallel faces)</t>
        </is>
      </c>
      <c r="Q9" s="5">
        <f>IF(OR(D9="column",D9="wall"),IF(I9&lt;='P vs V'!$B$3*J9,"column","wall"),"")</f>
        <v/>
      </c>
      <c r="R9" s="5" t="inlineStr"/>
      <c r="S9" s="5" t="inlineStr"/>
      <c r="T9" s="5" t="n"/>
      <c r="U9" s="5" t="inlineStr">
        <is>
          <t>yes</t>
        </is>
      </c>
      <c r="V9" s="5" t="inlineStr">
        <is>
          <t>no</t>
        </is>
      </c>
      <c r="W9" s="5" t="inlineStr">
        <is>
          <t>yes</t>
        </is>
      </c>
      <c r="X9" s="5" t="inlineStr">
        <is>
          <t>no</t>
        </is>
      </c>
      <c r="Y9" s="5" t="inlineStr">
        <is>
          <t>no</t>
        </is>
      </c>
      <c r="Z9" s="5" t="inlineStr">
        <is>
          <t>no</t>
        </is>
      </c>
      <c r="AA9" s="5" t="n">
        <v>0.35</v>
      </c>
      <c r="AB9" s="5" t="n"/>
      <c r="AC9" s="5" t="n"/>
      <c r="AD9" s="5" t="n"/>
      <c r="AE9" s="5" t="n">
        <v>4870.7</v>
      </c>
      <c r="AF9" s="5" t="n">
        <v>760.3</v>
      </c>
      <c r="AG9" s="5" t="n">
        <v>4878.3</v>
      </c>
      <c r="AH9" s="5" t="n">
        <v>774.3</v>
      </c>
      <c r="AI9" s="5" t="inlineStr">
        <is>
          <t>new</t>
        </is>
      </c>
      <c r="AJ9" s="5" t="inlineStr"/>
      <c r="AK9" s="5" t="inlineStr">
        <is>
          <t>piece of a wall network the colour pipeline left unsplit</t>
        </is>
      </c>
      <c r="AL9" s="5" t="inlineStr"/>
      <c r="AM9" s="5" t="inlineStr"/>
    </row>
    <row r="10">
      <c r="A10" s="5" t="n">
        <v>9</v>
      </c>
      <c r="B10" s="5" t="inlineStr">
        <is>
          <t>120</t>
        </is>
      </c>
      <c r="C10" s="5" t="inlineStr">
        <is>
          <t>nearest labels (100% agree)</t>
        </is>
      </c>
      <c r="D10" s="5" t="inlineStr">
        <is>
          <t>wall</t>
        </is>
      </c>
      <c r="E10" s="5" t="inlineStr">
        <is>
          <t>retaining_wall</t>
        </is>
      </c>
      <c r="F10" s="5" t="inlineStr">
        <is>
          <t>VP20</t>
        </is>
      </c>
      <c r="G10" s="5" t="inlineStr"/>
      <c r="H10" s="5" t="inlineStr">
        <is>
          <t>thickness matches a VP type</t>
        </is>
      </c>
      <c r="I10" s="5" t="n">
        <v>2869</v>
      </c>
      <c r="J10" s="5" t="n">
        <v>20</v>
      </c>
      <c r="K10" s="9">
        <f>IF(AND(ISNUMBER(I10),ISNUMBER(J10),J10&gt;0),I10/J10,"")</f>
        <v/>
      </c>
      <c r="L10" s="5" t="n">
        <v>5.7</v>
      </c>
      <c r="M10" s="5" t="n"/>
      <c r="N10" s="5" t="n">
        <v>90</v>
      </c>
      <c r="O10" s="5" t="inlineStr">
        <is>
          <t>solid fill</t>
        </is>
      </c>
      <c r="P10" s="5" t="inlineStr">
        <is>
          <t>solid fill, rectangle, L &gt; 4 W (EN 1992-1-1 5.3.1(7))</t>
        </is>
      </c>
      <c r="Q10" s="5">
        <f>IF(OR(D10="column",D10="wall"),IF(I10&lt;='P vs V'!$B$3*J10,"column","wall"),"")</f>
        <v/>
      </c>
      <c r="R10" s="5" t="inlineStr"/>
      <c r="S10" s="5" t="inlineStr"/>
      <c r="T10" s="5" t="n"/>
      <c r="U10" s="5" t="inlineStr">
        <is>
          <t>no</t>
        </is>
      </c>
      <c r="V10" s="5" t="inlineStr">
        <is>
          <t>no</t>
        </is>
      </c>
      <c r="W10" s="5" t="inlineStr">
        <is>
          <t>yes</t>
        </is>
      </c>
      <c r="X10" s="5" t="inlineStr">
        <is>
          <t>yes</t>
        </is>
      </c>
      <c r="Y10" s="5" t="inlineStr">
        <is>
          <t>yes</t>
        </is>
      </c>
      <c r="Z10" s="5" t="inlineStr">
        <is>
          <t>no</t>
        </is>
      </c>
      <c r="AA10" s="5" t="n">
        <v>2.28</v>
      </c>
      <c r="AB10" s="5" t="n"/>
      <c r="AC10" s="5" t="n"/>
      <c r="AD10" s="5" t="n"/>
      <c r="AE10" s="5" t="n">
        <v>4159.1</v>
      </c>
      <c r="AF10" s="5" t="n">
        <v>483.6</v>
      </c>
      <c r="AG10" s="5" t="n">
        <v>4165.5</v>
      </c>
      <c r="AH10" s="5" t="n">
        <v>1330.7</v>
      </c>
      <c r="AI10" s="5" t="inlineStr">
        <is>
          <t>new</t>
        </is>
      </c>
      <c r="AJ10" s="5" t="inlineStr"/>
      <c r="AK10" s="5" t="inlineStr">
        <is>
          <t>piece of a wall network the colour pipeline left unsplit</t>
        </is>
      </c>
      <c r="AL10" s="5" t="inlineStr">
        <is>
          <t>(0.87, 0.0, 0.87)</t>
        </is>
      </c>
      <c r="AM10" s="5" t="inlineStr">
        <is>
          <t>DM-VOILE</t>
        </is>
      </c>
    </row>
    <row r="11">
      <c r="A11" s="5" t="n">
        <v>10</v>
      </c>
      <c r="B11" s="5" t="inlineStr">
        <is>
          <t>120</t>
        </is>
      </c>
      <c r="C11" s="5" t="inlineStr">
        <is>
          <t>nearest labels (100% agree)</t>
        </is>
      </c>
      <c r="D11" s="5" t="inlineStr">
        <is>
          <t>wall</t>
        </is>
      </c>
      <c r="E11" s="5" t="inlineStr">
        <is>
          <t>retaining_wall</t>
        </is>
      </c>
      <c r="F11" s="5" t="inlineStr">
        <is>
          <t>VP20</t>
        </is>
      </c>
      <c r="G11" s="5" t="inlineStr"/>
      <c r="H11" s="5" t="inlineStr">
        <is>
          <t>thickness matches a VP type</t>
        </is>
      </c>
      <c r="I11" s="5" t="n">
        <v>2055</v>
      </c>
      <c r="J11" s="5" t="n">
        <v>20</v>
      </c>
      <c r="K11" s="9">
        <f>IF(AND(ISNUMBER(I11),ISNUMBER(J11),J11&gt;0),I11/J11,"")</f>
        <v/>
      </c>
      <c r="L11" s="5" t="n">
        <v>4.06</v>
      </c>
      <c r="M11" s="5" t="n"/>
      <c r="N11" s="5" t="n">
        <v>172.6</v>
      </c>
      <c r="O11" s="5" t="inlineStr">
        <is>
          <t>solid fill</t>
        </is>
      </c>
      <c r="P11" s="5" t="inlineStr">
        <is>
          <t>solid fill, rectangle, L &gt; 4 W (EN 1992-1-1 5.3.1(7))</t>
        </is>
      </c>
      <c r="Q11" s="5">
        <f>IF(OR(D11="column",D11="wall"),IF(I11&lt;='P vs V'!$B$3*J11,"column","wall"),"")</f>
        <v/>
      </c>
      <c r="R11" s="5" t="inlineStr"/>
      <c r="S11" s="5" t="inlineStr"/>
      <c r="T11" s="5" t="n"/>
      <c r="U11" s="5" t="inlineStr">
        <is>
          <t>no</t>
        </is>
      </c>
      <c r="V11" s="5" t="inlineStr">
        <is>
          <t>no</t>
        </is>
      </c>
      <c r="W11" s="5" t="inlineStr">
        <is>
          <t>yes</t>
        </is>
      </c>
      <c r="X11" s="5" t="inlineStr">
        <is>
          <t>yes</t>
        </is>
      </c>
      <c r="Y11" s="5" t="inlineStr">
        <is>
          <t>no</t>
        </is>
      </c>
      <c r="Z11" s="5" t="inlineStr">
        <is>
          <t>no</t>
        </is>
      </c>
      <c r="AA11" s="5" t="n">
        <v>1.26</v>
      </c>
      <c r="AB11" s="5" t="n"/>
      <c r="AC11" s="5" t="n"/>
      <c r="AD11" s="5" t="n"/>
      <c r="AE11" s="5" t="n">
        <v>4159.6</v>
      </c>
      <c r="AF11" s="5" t="n">
        <v>404.5</v>
      </c>
      <c r="AG11" s="5" t="n">
        <v>4761.8</v>
      </c>
      <c r="AH11" s="5" t="n">
        <v>486.5</v>
      </c>
      <c r="AI11" s="5" t="inlineStr">
        <is>
          <t>new</t>
        </is>
      </c>
      <c r="AJ11" s="5" t="inlineStr"/>
      <c r="AK11" s="5" t="inlineStr">
        <is>
          <t>piece of a wall network the colour pipeline left unsplit</t>
        </is>
      </c>
      <c r="AL11" s="5" t="inlineStr">
        <is>
          <t>(0.87, 0.0, 0.87)</t>
        </is>
      </c>
      <c r="AM11" s="5" t="inlineStr">
        <is>
          <t>DM-VOILE</t>
        </is>
      </c>
    </row>
    <row r="12">
      <c r="A12" s="5" t="n">
        <v>11</v>
      </c>
      <c r="B12" s="5" t="inlineStr">
        <is>
          <t>120</t>
        </is>
      </c>
      <c r="C12" s="5" t="inlineStr">
        <is>
          <t>nearest labels (100% agree)</t>
        </is>
      </c>
      <c r="D12" s="5" t="inlineStr">
        <is>
          <t>wall</t>
        </is>
      </c>
      <c r="E12" s="5" t="inlineStr">
        <is>
          <t>retaining_wall</t>
        </is>
      </c>
      <c r="F12" s="5" t="inlineStr">
        <is>
          <t>VP20</t>
        </is>
      </c>
      <c r="G12" s="5" t="inlineStr"/>
      <c r="H12" s="5" t="inlineStr">
        <is>
          <t>thickness matches a VP type</t>
        </is>
      </c>
      <c r="I12" s="5" t="n">
        <v>110</v>
      </c>
      <c r="J12" s="5" t="n">
        <v>20</v>
      </c>
      <c r="K12" s="9">
        <f>IF(AND(ISNUMBER(I12),ISNUMBER(J12),J12&gt;0),I12/J12,"")</f>
        <v/>
      </c>
      <c r="L12" s="5" t="n">
        <v>0.209</v>
      </c>
      <c r="M12" s="5" t="n"/>
      <c r="N12" s="5" t="n">
        <v>90</v>
      </c>
      <c r="O12" s="5" t="inlineStr">
        <is>
          <t>solid fill</t>
        </is>
      </c>
      <c r="P12" s="5" t="inlineStr">
        <is>
          <t>solid fill, rectangle, L &gt; 4 W (EN 1992-1-1 5.3.1(7))</t>
        </is>
      </c>
      <c r="Q12" s="5">
        <f>IF(OR(D12="column",D12="wall"),IF(I12&lt;='P vs V'!$B$3*J12,"column","wall"),"")</f>
        <v/>
      </c>
      <c r="R12" s="5" t="inlineStr"/>
      <c r="S12" s="5" t="inlineStr"/>
      <c r="T12" s="5" t="n"/>
      <c r="U12" s="5" t="inlineStr">
        <is>
          <t>yes</t>
        </is>
      </c>
      <c r="V12" s="5" t="inlineStr">
        <is>
          <t>yes</t>
        </is>
      </c>
      <c r="W12" s="5" t="inlineStr">
        <is>
          <t>yes</t>
        </is>
      </c>
      <c r="X12" s="5" t="inlineStr">
        <is>
          <t>yes</t>
        </is>
      </c>
      <c r="Y12" s="5" t="inlineStr">
        <is>
          <t>no</t>
        </is>
      </c>
      <c r="Z12" s="5" t="inlineStr">
        <is>
          <t>no</t>
        </is>
      </c>
      <c r="AA12" s="5" t="n">
        <v>1.82</v>
      </c>
      <c r="AB12" s="5" t="n"/>
      <c r="AC12" s="5" t="n"/>
      <c r="AD12" s="5" t="n"/>
      <c r="AE12" s="5" t="n">
        <v>4818.4</v>
      </c>
      <c r="AF12" s="5" t="n">
        <v>868.7</v>
      </c>
      <c r="AG12" s="5" t="n">
        <v>4824.2</v>
      </c>
      <c r="AH12" s="5" t="n">
        <v>901.3</v>
      </c>
      <c r="AI12" s="5" t="inlineStr">
        <is>
          <t>new</t>
        </is>
      </c>
      <c r="AJ12" s="5" t="inlineStr"/>
      <c r="AK12" s="5" t="inlineStr">
        <is>
          <t>piece of a wall network the colour pipeline left unsplit</t>
        </is>
      </c>
      <c r="AL12" s="5" t="inlineStr">
        <is>
          <t>(0.87, 0.0, 0.87)</t>
        </is>
      </c>
      <c r="AM12" s="5" t="inlineStr">
        <is>
          <t>DM-VOILE</t>
        </is>
      </c>
    </row>
    <row r="13">
      <c r="A13" s="5" t="n">
        <v>12</v>
      </c>
      <c r="B13" s="5" t="inlineStr">
        <is>
          <t>120</t>
        </is>
      </c>
      <c r="C13" s="5" t="inlineStr">
        <is>
          <t>nearest labels (100% agree)</t>
        </is>
      </c>
      <c r="D13" s="5" t="inlineStr">
        <is>
          <t>wall</t>
        </is>
      </c>
      <c r="E13" s="5" t="inlineStr">
        <is>
          <t>retaining_wall</t>
        </is>
      </c>
      <c r="F13" s="5" t="inlineStr">
        <is>
          <t>VP20</t>
        </is>
      </c>
      <c r="G13" s="5" t="inlineStr"/>
      <c r="H13" s="5" t="inlineStr">
        <is>
          <t>thickness matches a VP type</t>
        </is>
      </c>
      <c r="I13" s="5" t="n">
        <v>245</v>
      </c>
      <c r="J13" s="5" t="n">
        <v>20</v>
      </c>
      <c r="K13" s="9">
        <f>IF(AND(ISNUMBER(I13),ISNUMBER(J13),J13&gt;0),I13/J13,"")</f>
        <v/>
      </c>
      <c r="L13" s="5" t="n">
        <v>0.489</v>
      </c>
      <c r="M13" s="5" t="n"/>
      <c r="N13" s="5" t="n">
        <v>90</v>
      </c>
      <c r="O13" s="5" t="inlineStr">
        <is>
          <t>solid fill</t>
        </is>
      </c>
      <c r="P13" s="5" t="inlineStr">
        <is>
          <t>straight stretch of a thin filled outline with bends (pair of parallel faces)</t>
        </is>
      </c>
      <c r="Q13" s="5">
        <f>IF(OR(D13="column",D13="wall"),IF(I13&lt;='P vs V'!$B$3*J13,"column","wall"),"")</f>
        <v/>
      </c>
      <c r="R13" s="5" t="inlineStr"/>
      <c r="S13" s="5" t="inlineStr"/>
      <c r="T13" s="5" t="n"/>
      <c r="U13" s="5" t="inlineStr">
        <is>
          <t>no</t>
        </is>
      </c>
      <c r="V13" s="5" t="inlineStr">
        <is>
          <t>yes</t>
        </is>
      </c>
      <c r="W13" s="5" t="inlineStr">
        <is>
          <t>yes</t>
        </is>
      </c>
      <c r="X13" s="5" t="inlineStr">
        <is>
          <t>yes</t>
        </is>
      </c>
      <c r="Y13" s="5" t="inlineStr">
        <is>
          <t>no</t>
        </is>
      </c>
      <c r="Z13" s="5" t="inlineStr">
        <is>
          <t>no</t>
        </is>
      </c>
      <c r="AA13" s="5" t="n">
        <v>3.09</v>
      </c>
      <c r="AB13" s="5" t="n"/>
      <c r="AC13" s="5" t="n"/>
      <c r="AD13" s="5" t="n"/>
      <c r="AE13" s="5" t="n">
        <v>4818.3</v>
      </c>
      <c r="AF13" s="5" t="n">
        <v>901.3</v>
      </c>
      <c r="AG13" s="5" t="n">
        <v>4824.3</v>
      </c>
      <c r="AH13" s="5" t="n">
        <v>973.5</v>
      </c>
      <c r="AI13" s="5" t="inlineStr">
        <is>
          <t>new</t>
        </is>
      </c>
      <c r="AJ13" s="5" t="inlineStr"/>
      <c r="AK13" s="5" t="inlineStr">
        <is>
          <t>piece of a wall network the colour pipeline left unsplit</t>
        </is>
      </c>
      <c r="AL13" s="5" t="inlineStr"/>
      <c r="AM13" s="5" t="inlineStr"/>
    </row>
    <row r="14">
      <c r="A14" s="5" t="n">
        <v>13</v>
      </c>
      <c r="B14" s="5" t="inlineStr">
        <is>
          <t>120</t>
        </is>
      </c>
      <c r="C14" s="5" t="inlineStr">
        <is>
          <t>nearest labels (100% agree)</t>
        </is>
      </c>
      <c r="D14" s="5" t="inlineStr">
        <is>
          <t>wall</t>
        </is>
      </c>
      <c r="E14" s="5" t="inlineStr">
        <is>
          <t>retaining_wall</t>
        </is>
      </c>
      <c r="F14" s="5" t="inlineStr">
        <is>
          <t>VP25</t>
        </is>
      </c>
      <c r="G14" s="5" t="inlineStr"/>
      <c r="H14" s="5" t="inlineStr">
        <is>
          <t>thickness matches a VP type</t>
        </is>
      </c>
      <c r="I14" s="5" t="n">
        <v>474</v>
      </c>
      <c r="J14" s="5" t="n">
        <v>25</v>
      </c>
      <c r="K14" s="9">
        <f>IF(AND(ISNUMBER(I14),ISNUMBER(J14),J14&gt;0),I14/J14,"")</f>
        <v/>
      </c>
      <c r="L14" s="5" t="n">
        <v>1.188</v>
      </c>
      <c r="M14" s="5" t="n"/>
      <c r="N14" s="5" t="n">
        <v>180</v>
      </c>
      <c r="O14" s="5" t="inlineStr">
        <is>
          <t>solid fill</t>
        </is>
      </c>
      <c r="P14" s="5" t="inlineStr">
        <is>
          <t>straight stretch of a thin filled outline with bends (pair of parallel faces)</t>
        </is>
      </c>
      <c r="Q14" s="5">
        <f>IF(OR(D14="column",D14="wall"),IF(I14&lt;='P vs V'!$B$3*J14,"column","wall"),"")</f>
        <v/>
      </c>
      <c r="R14" s="5" t="inlineStr"/>
      <c r="S14" s="5" t="inlineStr"/>
      <c r="T14" s="5" t="n"/>
      <c r="U14" s="5" t="inlineStr">
        <is>
          <t>yes</t>
        </is>
      </c>
      <c r="V14" s="5" t="inlineStr">
        <is>
          <t>yes</t>
        </is>
      </c>
      <c r="W14" s="5" t="inlineStr">
        <is>
          <t>yes</t>
        </is>
      </c>
      <c r="X14" s="5" t="inlineStr">
        <is>
          <t>yes</t>
        </is>
      </c>
      <c r="Y14" s="5" t="inlineStr">
        <is>
          <t>no</t>
        </is>
      </c>
      <c r="Z14" s="5" t="inlineStr">
        <is>
          <t>no</t>
        </is>
      </c>
      <c r="AA14" s="5" t="n">
        <v>1.16</v>
      </c>
      <c r="AB14" s="5" t="n"/>
      <c r="AC14" s="5" t="n"/>
      <c r="AD14" s="5" t="n"/>
      <c r="AE14" s="5" t="n">
        <v>4870.8</v>
      </c>
      <c r="AF14" s="5" t="n">
        <v>861.3</v>
      </c>
      <c r="AG14" s="5" t="n">
        <v>5010.9</v>
      </c>
      <c r="AH14" s="5" t="n">
        <v>868.7</v>
      </c>
      <c r="AI14" s="5" t="inlineStr">
        <is>
          <t>new</t>
        </is>
      </c>
      <c r="AJ14" s="5" t="inlineStr"/>
      <c r="AK14" s="5" t="inlineStr">
        <is>
          <t>piece of a wall network the colour pipeline left unsplit</t>
        </is>
      </c>
      <c r="AL14" s="5" t="inlineStr"/>
      <c r="AM14" s="5" t="inlineStr"/>
    </row>
    <row r="15">
      <c r="A15" s="5" t="n">
        <v>14</v>
      </c>
      <c r="B15" s="5" t="inlineStr">
        <is>
          <t>120</t>
        </is>
      </c>
      <c r="C15" s="5" t="inlineStr">
        <is>
          <t>nearest labels (100% agree)</t>
        </is>
      </c>
      <c r="D15" s="5" t="inlineStr">
        <is>
          <t>wall</t>
        </is>
      </c>
      <c r="E15" s="5" t="inlineStr">
        <is>
          <t>retaining_wall</t>
        </is>
      </c>
      <c r="F15" s="5" t="inlineStr">
        <is>
          <t>VP25</t>
        </is>
      </c>
      <c r="G15" s="5" t="inlineStr"/>
      <c r="H15" s="5" t="inlineStr">
        <is>
          <t>thickness matches a VP type</t>
        </is>
      </c>
      <c r="I15" s="5" t="n">
        <v>270</v>
      </c>
      <c r="J15" s="5" t="n">
        <v>25</v>
      </c>
      <c r="K15" s="9">
        <f>IF(AND(ISNUMBER(I15),ISNUMBER(J15),J15&gt;0),I15/J15,"")</f>
        <v/>
      </c>
      <c r="L15" s="5" t="n">
        <v>0.6840000000000001</v>
      </c>
      <c r="M15" s="5" t="n"/>
      <c r="N15" s="5" t="n">
        <v>90</v>
      </c>
      <c r="O15" s="5" t="inlineStr">
        <is>
          <t>solid fill</t>
        </is>
      </c>
      <c r="P15" s="5" t="inlineStr">
        <is>
          <t>straight stretch of a thin filled outline with bends (pair of parallel faces)</t>
        </is>
      </c>
      <c r="Q15" s="5">
        <f>IF(OR(D15="column",D15="wall"),IF(I15&lt;='P vs V'!$B$3*J15,"column","wall"),"")</f>
        <v/>
      </c>
      <c r="R15" s="5" t="inlineStr"/>
      <c r="S15" s="5" t="inlineStr"/>
      <c r="T15" s="5" t="n"/>
      <c r="U15" s="5" t="inlineStr">
        <is>
          <t>yes</t>
        </is>
      </c>
      <c r="V15" s="5" t="inlineStr">
        <is>
          <t>no</t>
        </is>
      </c>
      <c r="W15" s="5" t="inlineStr">
        <is>
          <t>yes</t>
        </is>
      </c>
      <c r="X15" s="5" t="inlineStr">
        <is>
          <t>yes</t>
        </is>
      </c>
      <c r="Y15" s="5" t="inlineStr">
        <is>
          <t>no</t>
        </is>
      </c>
      <c r="Z15" s="5" t="inlineStr">
        <is>
          <t>no</t>
        </is>
      </c>
      <c r="AA15" s="5" t="n">
        <v>0.32</v>
      </c>
      <c r="AB15" s="5" t="n"/>
      <c r="AC15" s="5" t="n"/>
      <c r="AD15" s="5" t="n"/>
      <c r="AE15" s="5" t="n">
        <v>5011</v>
      </c>
      <c r="AF15" s="5" t="n">
        <v>781.6</v>
      </c>
      <c r="AG15" s="5" t="n">
        <v>5018.5</v>
      </c>
      <c r="AH15" s="5" t="n">
        <v>861.3</v>
      </c>
      <c r="AI15" s="5" t="inlineStr">
        <is>
          <t>new</t>
        </is>
      </c>
      <c r="AJ15" s="5" t="inlineStr"/>
      <c r="AK15" s="5" t="inlineStr">
        <is>
          <t>piece of a wall network the colour pipeline left unsplit</t>
        </is>
      </c>
      <c r="AL15" s="5" t="inlineStr"/>
      <c r="AM15" s="5" t="inlineStr"/>
    </row>
    <row r="16">
      <c r="A16" s="5" t="n">
        <v>15</v>
      </c>
      <c r="B16" s="5" t="inlineStr">
        <is>
          <t>120</t>
        </is>
      </c>
      <c r="C16" s="5" t="inlineStr">
        <is>
          <t>nearest labels (100% agree)</t>
        </is>
      </c>
      <c r="D16" s="5" t="inlineStr">
        <is>
          <t>wall</t>
        </is>
      </c>
      <c r="E16" s="5" t="inlineStr">
        <is>
          <t>retaining_wall</t>
        </is>
      </c>
      <c r="F16" s="5" t="inlineStr">
        <is>
          <t>VP25</t>
        </is>
      </c>
      <c r="G16" s="5" t="inlineStr"/>
      <c r="H16" s="5" t="inlineStr">
        <is>
          <t>thickness matches a VP type</t>
        </is>
      </c>
      <c r="I16" s="5" t="n">
        <v>287</v>
      </c>
      <c r="J16" s="5" t="n">
        <v>25</v>
      </c>
      <c r="K16" s="9">
        <f>IF(AND(ISNUMBER(I16),ISNUMBER(J16),J16&gt;0),I16/J16,"")</f>
        <v/>
      </c>
      <c r="L16" s="5" t="n">
        <v>0.722</v>
      </c>
      <c r="M16" s="5" t="n"/>
      <c r="N16" s="5" t="n">
        <v>180</v>
      </c>
      <c r="O16" s="5" t="inlineStr">
        <is>
          <t>solid fill</t>
        </is>
      </c>
      <c r="P16" s="5" t="inlineStr">
        <is>
          <t>straight stretch of a thin filled outline with bends (pair of parallel faces)</t>
        </is>
      </c>
      <c r="Q16" s="5">
        <f>IF(OR(D16="column",D16="wall"),IF(I16&lt;='P vs V'!$B$3*J16,"column","wall"),"")</f>
        <v/>
      </c>
      <c r="R16" s="5" t="inlineStr"/>
      <c r="S16" s="5" t="inlineStr"/>
      <c r="T16" s="5" t="n"/>
      <c r="U16" s="5" t="inlineStr">
        <is>
          <t>yes</t>
        </is>
      </c>
      <c r="V16" s="5" t="inlineStr">
        <is>
          <t>no</t>
        </is>
      </c>
      <c r="W16" s="5" t="inlineStr">
        <is>
          <t>yes</t>
        </is>
      </c>
      <c r="X16" s="5" t="inlineStr">
        <is>
          <t>yes</t>
        </is>
      </c>
      <c r="Y16" s="5" t="inlineStr">
        <is>
          <t>no</t>
        </is>
      </c>
      <c r="Z16" s="5" t="inlineStr">
        <is>
          <t>no</t>
        </is>
      </c>
      <c r="AA16" s="5" t="n">
        <v>0.84</v>
      </c>
      <c r="AB16" s="5" t="n"/>
      <c r="AC16" s="5" t="n"/>
      <c r="AD16" s="5" t="n"/>
      <c r="AE16" s="5" t="n">
        <v>4771.3</v>
      </c>
      <c r="AF16" s="5" t="n">
        <v>749.2</v>
      </c>
      <c r="AG16" s="5" t="n">
        <v>4856.1</v>
      </c>
      <c r="AH16" s="5" t="n">
        <v>756.6</v>
      </c>
      <c r="AI16" s="5" t="inlineStr">
        <is>
          <t>new</t>
        </is>
      </c>
      <c r="AJ16" s="5" t="inlineStr"/>
      <c r="AK16" s="5" t="inlineStr">
        <is>
          <t>piece of a wall network the colour pipeline left unsplit</t>
        </is>
      </c>
      <c r="AL16" s="5" t="inlineStr"/>
      <c r="AM16" s="5" t="inlineStr"/>
    </row>
    <row r="17">
      <c r="A17" s="5" t="n">
        <v>16</v>
      </c>
      <c r="B17" s="5" t="inlineStr">
        <is>
          <t>120</t>
        </is>
      </c>
      <c r="C17" s="5" t="inlineStr">
        <is>
          <t>own label</t>
        </is>
      </c>
      <c r="D17" s="5" t="inlineStr">
        <is>
          <t>wall</t>
        </is>
      </c>
      <c r="E17" s="5" t="inlineStr">
        <is>
          <t>shear_wall</t>
        </is>
      </c>
      <c r="F17" s="5" t="inlineStr">
        <is>
          <t>V1/120</t>
        </is>
      </c>
      <c r="G17" s="5" t="inlineStr">
        <is>
          <t>V1/120/120</t>
        </is>
      </c>
      <c r="H17" s="5" t="inlineStr">
        <is>
          <t>printed</t>
        </is>
      </c>
      <c r="I17" s="5" t="n">
        <v>200</v>
      </c>
      <c r="J17" s="5" t="n">
        <v>25</v>
      </c>
      <c r="K17" s="9">
        <f>IF(AND(ISNUMBER(I17),ISNUMBER(J17),J17&gt;0),I17/J17,"")</f>
        <v/>
      </c>
      <c r="L17" s="5" t="n">
        <v>0.502</v>
      </c>
      <c r="M17" s="5" t="n"/>
      <c r="N17" s="5" t="n">
        <v>0</v>
      </c>
      <c r="O17" s="5" t="inlineStr">
        <is>
          <t>solid fill</t>
        </is>
      </c>
      <c r="P17" s="5" t="inlineStr">
        <is>
          <t>solid fill, rectangle, L &gt; 4 W (EN 1992-1-1 5.3.1(7))</t>
        </is>
      </c>
      <c r="Q17" s="5">
        <f>IF(OR(D17="column",D17="wall"),IF(I17&lt;='P vs V'!$B$3*J17,"column","wall"),"")</f>
        <v/>
      </c>
      <c r="R17" s="5" t="inlineStr"/>
      <c r="S17" s="5" t="inlineStr"/>
      <c r="T17" s="5" t="n"/>
      <c r="U17" s="5" t="inlineStr">
        <is>
          <t>yes</t>
        </is>
      </c>
      <c r="V17" s="5" t="inlineStr">
        <is>
          <t>no</t>
        </is>
      </c>
      <c r="W17" s="5" t="inlineStr">
        <is>
          <t>no</t>
        </is>
      </c>
      <c r="X17" s="5" t="inlineStr">
        <is>
          <t>no</t>
        </is>
      </c>
      <c r="Y17" s="5" t="inlineStr">
        <is>
          <t>yes</t>
        </is>
      </c>
      <c r="Z17" s="5" t="inlineStr">
        <is>
          <t>yes</t>
        </is>
      </c>
      <c r="AA17" s="5" t="n">
        <v>2.6</v>
      </c>
      <c r="AB17" s="5" t="n"/>
      <c r="AC17" s="5" t="n"/>
      <c r="AD17" s="5" t="n"/>
      <c r="AE17" s="5" t="n">
        <v>4521.3</v>
      </c>
      <c r="AF17" s="5" t="n">
        <v>517.4</v>
      </c>
      <c r="AG17" s="5" t="n">
        <v>4580.3</v>
      </c>
      <c r="AH17" s="5" t="n">
        <v>524.9</v>
      </c>
      <c r="AI17" s="5" t="inlineStr">
        <is>
          <t>yes</t>
        </is>
      </c>
      <c r="AJ17" s="5" t="inlineStr">
        <is>
          <t>shear_wall</t>
        </is>
      </c>
      <c r="AK17" s="5" t="inlineStr"/>
      <c r="AL17" s="5" t="inlineStr">
        <is>
          <t>(0.87, 0.0, 0.87)</t>
        </is>
      </c>
      <c r="AM17" s="5" t="inlineStr">
        <is>
          <t>DM-VOILE</t>
        </is>
      </c>
    </row>
    <row r="18">
      <c r="A18" s="5" t="n">
        <v>17</v>
      </c>
      <c r="B18" s="5" t="inlineStr">
        <is>
          <t>120</t>
        </is>
      </c>
      <c r="C18" s="5" t="inlineStr">
        <is>
          <t>own label</t>
        </is>
      </c>
      <c r="D18" s="5" t="inlineStr">
        <is>
          <t>wall</t>
        </is>
      </c>
      <c r="E18" s="5" t="inlineStr">
        <is>
          <t>shear_wall</t>
        </is>
      </c>
      <c r="F18" s="5" t="inlineStr">
        <is>
          <t>V1/120</t>
        </is>
      </c>
      <c r="G18" s="5" t="inlineStr">
        <is>
          <t>V1/120/120</t>
        </is>
      </c>
      <c r="H18" s="5" t="inlineStr">
        <is>
          <t>printed</t>
        </is>
      </c>
      <c r="I18" s="5" t="n">
        <v>200</v>
      </c>
      <c r="J18" s="5" t="n">
        <v>25</v>
      </c>
      <c r="K18" s="9">
        <f>IF(AND(ISNUMBER(I18),ISNUMBER(J18),J18&gt;0),I18/J18,"")</f>
        <v/>
      </c>
      <c r="L18" s="5" t="n">
        <v>0.5</v>
      </c>
      <c r="M18" s="5" t="n"/>
      <c r="N18" s="5" t="n">
        <v>0</v>
      </c>
      <c r="O18" s="5" t="inlineStr">
        <is>
          <t>solid fill</t>
        </is>
      </c>
      <c r="P18" s="5" t="inlineStr">
        <is>
          <t>solid fill, rectangle, L &gt; 4 W (EN 1992-1-1 5.3.1(7))</t>
        </is>
      </c>
      <c r="Q18" s="5">
        <f>IF(OR(D18="column",D18="wall"),IF(I18&lt;='P vs V'!$B$3*J18,"column","wall"),"")</f>
        <v/>
      </c>
      <c r="R18" s="5" t="inlineStr"/>
      <c r="S18" s="5" t="inlineStr"/>
      <c r="T18" s="5" t="n"/>
      <c r="U18" s="5" t="inlineStr">
        <is>
          <t>yes</t>
        </is>
      </c>
      <c r="V18" s="5" t="inlineStr">
        <is>
          <t>no</t>
        </is>
      </c>
      <c r="W18" s="5" t="inlineStr">
        <is>
          <t>no</t>
        </is>
      </c>
      <c r="X18" s="5" t="inlineStr">
        <is>
          <t>no</t>
        </is>
      </c>
      <c r="Y18" s="5" t="inlineStr">
        <is>
          <t>yes</t>
        </is>
      </c>
      <c r="Z18" s="5" t="inlineStr">
        <is>
          <t>yes</t>
        </is>
      </c>
      <c r="AA18" s="5" t="n">
        <v>1.7</v>
      </c>
      <c r="AB18" s="5" t="n"/>
      <c r="AC18" s="5" t="n"/>
      <c r="AD18" s="5" t="n"/>
      <c r="AE18" s="5" t="n">
        <v>4516.5</v>
      </c>
      <c r="AF18" s="5" t="n">
        <v>826.7</v>
      </c>
      <c r="AG18" s="5" t="n">
        <v>4575.6</v>
      </c>
      <c r="AH18" s="5" t="n">
        <v>834.2</v>
      </c>
      <c r="AI18" s="5" t="inlineStr">
        <is>
          <t>yes</t>
        </is>
      </c>
      <c r="AJ18" s="5" t="inlineStr">
        <is>
          <t>shear_wall</t>
        </is>
      </c>
      <c r="AK18" s="5" t="inlineStr"/>
      <c r="AL18" s="5" t="inlineStr">
        <is>
          <t>(0.87, 0.0, 0.87)</t>
        </is>
      </c>
      <c r="AM18" s="5" t="inlineStr">
        <is>
          <t>DM-VOILE</t>
        </is>
      </c>
    </row>
    <row r="19">
      <c r="A19" s="5" t="n">
        <v>18</v>
      </c>
      <c r="B19" s="5" t="inlineStr">
        <is>
          <t>120</t>
        </is>
      </c>
      <c r="C19" s="5" t="inlineStr">
        <is>
          <t>own label</t>
        </is>
      </c>
      <c r="D19" s="5" t="inlineStr">
        <is>
          <t>wall</t>
        </is>
      </c>
      <c r="E19" s="5" t="inlineStr">
        <is>
          <t>shear_wall</t>
        </is>
      </c>
      <c r="F19" s="5" t="inlineStr">
        <is>
          <t>V1/120</t>
        </is>
      </c>
      <c r="G19" s="5" t="inlineStr"/>
      <c r="H19" s="5" t="inlineStr">
        <is>
          <t>inferred from building + size</t>
        </is>
      </c>
      <c r="I19" s="5" t="n">
        <v>200</v>
      </c>
      <c r="J19" s="5" t="n">
        <v>25</v>
      </c>
      <c r="K19" s="9">
        <f>IF(AND(ISNUMBER(I19),ISNUMBER(J19),J19&gt;0),I19/J19,"")</f>
        <v/>
      </c>
      <c r="L19" s="5" t="n">
        <v>0.5</v>
      </c>
      <c r="M19" s="5" t="n"/>
      <c r="N19" s="5" t="n">
        <v>90.09999999999999</v>
      </c>
      <c r="O19" s="5" t="inlineStr">
        <is>
          <t>solid fill</t>
        </is>
      </c>
      <c r="P19" s="5" t="inlineStr">
        <is>
          <t>solid fill, rectangle, L &gt; 4 W (EN 1992-1-1 5.3.1(7))</t>
        </is>
      </c>
      <c r="Q19" s="5">
        <f>IF(OR(D19="column",D19="wall"),IF(I19&lt;='P vs V'!$B$3*J19,"column","wall"),"")</f>
        <v/>
      </c>
      <c r="R19" s="5" t="inlineStr">
        <is>
          <t>S1</t>
        </is>
      </c>
      <c r="S19" s="5" t="inlineStr"/>
      <c r="T19" s="5" t="n"/>
      <c r="U19" s="5" t="inlineStr">
        <is>
          <t>no</t>
        </is>
      </c>
      <c r="V19" s="5" t="inlineStr">
        <is>
          <t>no</t>
        </is>
      </c>
      <c r="W19" s="5" t="inlineStr">
        <is>
          <t>yes</t>
        </is>
      </c>
      <c r="X19" s="5" t="inlineStr">
        <is>
          <t>no</t>
        </is>
      </c>
      <c r="Y19" s="5" t="inlineStr">
        <is>
          <t>no</t>
        </is>
      </c>
      <c r="Z19" s="5" t="inlineStr">
        <is>
          <t>no</t>
        </is>
      </c>
      <c r="AA19" s="5" t="n">
        <v>1.29</v>
      </c>
      <c r="AB19" s="5" t="n"/>
      <c r="AC19" s="5" t="n"/>
      <c r="AD19" s="5" t="n"/>
      <c r="AE19" s="5" t="n">
        <v>4763.6</v>
      </c>
      <c r="AF19" s="5" t="n">
        <v>416.7</v>
      </c>
      <c r="AG19" s="5" t="n">
        <v>4771.1</v>
      </c>
      <c r="AH19" s="5" t="n">
        <v>475.8</v>
      </c>
      <c r="AI19" s="5" t="inlineStr">
        <is>
          <t>new</t>
        </is>
      </c>
      <c r="AJ19" s="5" t="inlineStr"/>
      <c r="AK19" s="5" t="inlineStr">
        <is>
          <t>piece of a wall network the colour pipeline left unsplit</t>
        </is>
      </c>
      <c r="AL19" s="5" t="inlineStr">
        <is>
          <t>(0.87, 0.0, 0.87)</t>
        </is>
      </c>
      <c r="AM19" s="5" t="inlineStr">
        <is>
          <t>DM-VOILE</t>
        </is>
      </c>
    </row>
    <row r="20">
      <c r="A20" s="5" t="n">
        <v>19</v>
      </c>
      <c r="B20" s="5" t="inlineStr">
        <is>
          <t>120</t>
        </is>
      </c>
      <c r="C20" s="5" t="inlineStr">
        <is>
          <t>own label</t>
        </is>
      </c>
      <c r="D20" s="5" t="inlineStr">
        <is>
          <t>wall</t>
        </is>
      </c>
      <c r="E20" s="5" t="inlineStr">
        <is>
          <t>shear_wall</t>
        </is>
      </c>
      <c r="F20" s="5" t="inlineStr">
        <is>
          <t>V1/120</t>
        </is>
      </c>
      <c r="G20" s="5" t="inlineStr"/>
      <c r="H20" s="5" t="inlineStr">
        <is>
          <t>inferred from building + size</t>
        </is>
      </c>
      <c r="I20" s="5" t="n">
        <v>200</v>
      </c>
      <c r="J20" s="5" t="n">
        <v>25</v>
      </c>
      <c r="K20" s="9">
        <f>IF(AND(ISNUMBER(I20),ISNUMBER(J20),J20&gt;0),I20/J20,"")</f>
        <v/>
      </c>
      <c r="L20" s="5" t="n">
        <v>0.5</v>
      </c>
      <c r="M20" s="5" t="n"/>
      <c r="N20" s="5" t="n">
        <v>90</v>
      </c>
      <c r="O20" s="5" t="inlineStr">
        <is>
          <t>solid fill</t>
        </is>
      </c>
      <c r="P20" s="5" t="inlineStr">
        <is>
          <t>solid fill, rectangle, L &gt; 4 W (EN 1992-1-1 5.3.1(7))</t>
        </is>
      </c>
      <c r="Q20" s="5">
        <f>IF(OR(D20="column",D20="wall"),IF(I20&lt;='P vs V'!$B$3*J20,"column","wall"),"")</f>
        <v/>
      </c>
      <c r="R20" s="5" t="inlineStr"/>
      <c r="S20" s="5" t="inlineStr"/>
      <c r="T20" s="5" t="n"/>
      <c r="U20" s="5" t="inlineStr">
        <is>
          <t>yes</t>
        </is>
      </c>
      <c r="V20" s="5" t="inlineStr">
        <is>
          <t>no</t>
        </is>
      </c>
      <c r="W20" s="5" t="inlineStr">
        <is>
          <t>no</t>
        </is>
      </c>
      <c r="X20" s="5" t="inlineStr">
        <is>
          <t>no</t>
        </is>
      </c>
      <c r="Y20" s="5" t="inlineStr">
        <is>
          <t>no</t>
        </is>
      </c>
      <c r="Z20" s="5" t="inlineStr">
        <is>
          <t>no</t>
        </is>
      </c>
      <c r="AA20" s="5" t="n">
        <v>1.59</v>
      </c>
      <c r="AB20" s="5" t="n"/>
      <c r="AC20" s="5" t="n"/>
      <c r="AD20" s="5" t="n"/>
      <c r="AE20" s="5" t="n">
        <v>4644.1</v>
      </c>
      <c r="AF20" s="5" t="n">
        <v>425.8</v>
      </c>
      <c r="AG20" s="5" t="n">
        <v>4651.4</v>
      </c>
      <c r="AH20" s="5" t="n">
        <v>484.9</v>
      </c>
      <c r="AI20" s="5" t="inlineStr">
        <is>
          <t>yes</t>
        </is>
      </c>
      <c r="AJ20" s="5" t="inlineStr">
        <is>
          <t>shear_wall</t>
        </is>
      </c>
      <c r="AK20" s="5" t="inlineStr"/>
      <c r="AL20" s="5" t="inlineStr">
        <is>
          <t>(0.87, 0.0, 0.87)</t>
        </is>
      </c>
      <c r="AM20" s="5" t="inlineStr">
        <is>
          <t>DM-VOILE</t>
        </is>
      </c>
    </row>
    <row r="21">
      <c r="A21" s="5" t="n">
        <v>20</v>
      </c>
      <c r="B21" s="5" t="inlineStr">
        <is>
          <t>120</t>
        </is>
      </c>
      <c r="C21" s="5" t="inlineStr">
        <is>
          <t>own label</t>
        </is>
      </c>
      <c r="D21" s="5" t="inlineStr">
        <is>
          <t>wall</t>
        </is>
      </c>
      <c r="E21" s="5" t="inlineStr">
        <is>
          <t>shear_wall</t>
        </is>
      </c>
      <c r="F21" s="5" t="inlineStr">
        <is>
          <t>V1/120</t>
        </is>
      </c>
      <c r="G21" s="5" t="inlineStr">
        <is>
          <t>V1/120/120</t>
        </is>
      </c>
      <c r="H21" s="5" t="inlineStr">
        <is>
          <t>printed</t>
        </is>
      </c>
      <c r="I21" s="5" t="n">
        <v>200</v>
      </c>
      <c r="J21" s="5" t="n">
        <v>25</v>
      </c>
      <c r="K21" s="9">
        <f>IF(AND(ISNUMBER(I21),ISNUMBER(J21),J21&gt;0),I21/J21,"")</f>
        <v/>
      </c>
      <c r="L21" s="5" t="n">
        <v>0.5</v>
      </c>
      <c r="M21" s="5" t="n"/>
      <c r="N21" s="5" t="n">
        <v>0</v>
      </c>
      <c r="O21" s="5" t="inlineStr">
        <is>
          <t>solid fill</t>
        </is>
      </c>
      <c r="P21" s="5" t="inlineStr">
        <is>
          <t>solid fill, rectangle, L &gt; 4 W (EN 1992-1-1 5.3.1(7))</t>
        </is>
      </c>
      <c r="Q21" s="5">
        <f>IF(OR(D21="column",D21="wall"),IF(I21&lt;='P vs V'!$B$3*J21,"column","wall"),"")</f>
        <v/>
      </c>
      <c r="R21" s="5" t="inlineStr">
        <is>
          <t>S7</t>
        </is>
      </c>
      <c r="S21" s="5" t="inlineStr"/>
      <c r="T21" s="5" t="n"/>
      <c r="U21" s="5" t="inlineStr">
        <is>
          <t>no</t>
        </is>
      </c>
      <c r="V21" s="5" t="inlineStr">
        <is>
          <t>no</t>
        </is>
      </c>
      <c r="W21" s="5" t="inlineStr">
        <is>
          <t>no</t>
        </is>
      </c>
      <c r="X21" s="5" t="inlineStr">
        <is>
          <t>no</t>
        </is>
      </c>
      <c r="Y21" s="5" t="inlineStr">
        <is>
          <t>yes</t>
        </is>
      </c>
      <c r="Z21" s="5" t="inlineStr">
        <is>
          <t>yes</t>
        </is>
      </c>
      <c r="AA21" s="5" t="n">
        <v>2.3</v>
      </c>
      <c r="AB21" s="5" t="n"/>
      <c r="AC21" s="5" t="n"/>
      <c r="AD21" s="5" t="n"/>
      <c r="AE21" s="5" t="n">
        <v>4519.4</v>
      </c>
      <c r="AF21" s="5" t="n">
        <v>681.4</v>
      </c>
      <c r="AG21" s="5" t="n">
        <v>4578.4</v>
      </c>
      <c r="AH21" s="5" t="n">
        <v>688.7</v>
      </c>
      <c r="AI21" s="5" t="inlineStr">
        <is>
          <t>yes</t>
        </is>
      </c>
      <c r="AJ21" s="5" t="inlineStr">
        <is>
          <t>shear_wall</t>
        </is>
      </c>
      <c r="AK21" s="5" t="inlineStr"/>
      <c r="AL21" s="5" t="inlineStr">
        <is>
          <t>(0.87, 0.0, 0.87)</t>
        </is>
      </c>
      <c r="AM21" s="5" t="inlineStr">
        <is>
          <t>DM-VOILE</t>
        </is>
      </c>
    </row>
    <row r="22">
      <c r="A22" s="5" t="n">
        <v>21</v>
      </c>
      <c r="B22" s="5" t="inlineStr">
        <is>
          <t>120</t>
        </is>
      </c>
      <c r="C22" s="5" t="inlineStr">
        <is>
          <t>own label</t>
        </is>
      </c>
      <c r="D22" s="5" t="inlineStr">
        <is>
          <t>wall</t>
        </is>
      </c>
      <c r="E22" s="5" t="inlineStr">
        <is>
          <t>shear_wall</t>
        </is>
      </c>
      <c r="F22" s="5" t="inlineStr">
        <is>
          <t>V1/120</t>
        </is>
      </c>
      <c r="G22" s="5" t="inlineStr">
        <is>
          <t>V1/120/120</t>
        </is>
      </c>
      <c r="H22" s="5" t="inlineStr">
        <is>
          <t>printed</t>
        </is>
      </c>
      <c r="I22" s="5" t="n">
        <v>200</v>
      </c>
      <c r="J22" s="5" t="n">
        <v>25</v>
      </c>
      <c r="K22" s="9">
        <f>IF(AND(ISNUMBER(I22),ISNUMBER(J22),J22&gt;0),I22/J22,"")</f>
        <v/>
      </c>
      <c r="L22" s="5" t="n">
        <v>0.499</v>
      </c>
      <c r="M22" s="5" t="n"/>
      <c r="N22" s="5" t="n">
        <v>0</v>
      </c>
      <c r="O22" s="5" t="inlineStr">
        <is>
          <t>solid fill</t>
        </is>
      </c>
      <c r="P22" s="5" t="inlineStr">
        <is>
          <t>solid fill, rectangle, L &gt; 4 W (EN 1992-1-1 5.3.1(7))</t>
        </is>
      </c>
      <c r="Q22" s="5">
        <f>IF(OR(D22="column",D22="wall"),IF(I22&lt;='P vs V'!$B$3*J22,"column","wall"),"")</f>
        <v/>
      </c>
      <c r="R22" s="5" t="inlineStr">
        <is>
          <t>S7</t>
        </is>
      </c>
      <c r="S22" s="5" t="inlineStr"/>
      <c r="T22" s="5" t="n"/>
      <c r="U22" s="5" t="inlineStr">
        <is>
          <t>no</t>
        </is>
      </c>
      <c r="V22" s="5" t="inlineStr">
        <is>
          <t>no</t>
        </is>
      </c>
      <c r="W22" s="5" t="inlineStr">
        <is>
          <t>no</t>
        </is>
      </c>
      <c r="X22" s="5" t="inlineStr">
        <is>
          <t>no</t>
        </is>
      </c>
      <c r="Y22" s="5" t="inlineStr">
        <is>
          <t>yes</t>
        </is>
      </c>
      <c r="Z22" s="5" t="inlineStr">
        <is>
          <t>yes</t>
        </is>
      </c>
      <c r="AA22" s="5" t="n">
        <v>0.02</v>
      </c>
      <c r="AB22" s="5" t="n"/>
      <c r="AC22" s="5" t="n"/>
      <c r="AD22" s="5" t="n"/>
      <c r="AE22" s="5" t="n">
        <v>4519.5</v>
      </c>
      <c r="AF22" s="5" t="n">
        <v>972.2</v>
      </c>
      <c r="AG22" s="5" t="n">
        <v>4578.5</v>
      </c>
      <c r="AH22" s="5" t="n">
        <v>979.5</v>
      </c>
      <c r="AI22" s="5" t="inlineStr">
        <is>
          <t>yes</t>
        </is>
      </c>
      <c r="AJ22" s="5" t="inlineStr">
        <is>
          <t>shear_wall</t>
        </is>
      </c>
      <c r="AK22" s="5" t="inlineStr"/>
      <c r="AL22" s="5" t="inlineStr">
        <is>
          <t>(0.87, 0.0, 0.87)</t>
        </is>
      </c>
      <c r="AM22" s="5" t="inlineStr">
        <is>
          <t>DM-VOILE</t>
        </is>
      </c>
    </row>
    <row r="23">
      <c r="A23" s="5" t="n">
        <v>22</v>
      </c>
      <c r="B23" s="5" t="inlineStr">
        <is>
          <t>120</t>
        </is>
      </c>
      <c r="C23" s="5" t="inlineStr">
        <is>
          <t>own label</t>
        </is>
      </c>
      <c r="D23" s="5" t="inlineStr">
        <is>
          <t>wall</t>
        </is>
      </c>
      <c r="E23" s="5" t="inlineStr">
        <is>
          <t>shear_wall</t>
        </is>
      </c>
      <c r="F23" s="5" t="inlineStr">
        <is>
          <t>V2/120</t>
        </is>
      </c>
      <c r="G23" s="5" t="inlineStr">
        <is>
          <t>V2/120/120</t>
        </is>
      </c>
      <c r="H23" s="5" t="inlineStr">
        <is>
          <t>printed</t>
        </is>
      </c>
      <c r="I23" s="5" t="n">
        <v>125</v>
      </c>
      <c r="J23" s="5" t="n">
        <v>25</v>
      </c>
      <c r="K23" s="9">
        <f>IF(AND(ISNUMBER(I23),ISNUMBER(J23),J23&gt;0),I23/J23,"")</f>
        <v/>
      </c>
      <c r="L23" s="5" t="n">
        <v>0.313</v>
      </c>
      <c r="M23" s="5" t="n"/>
      <c r="N23" s="5" t="n">
        <v>179.7</v>
      </c>
      <c r="O23" s="5" t="inlineStr">
        <is>
          <t>solid fill</t>
        </is>
      </c>
      <c r="P23" s="5" t="inlineStr">
        <is>
          <t>solid fill, rectangle, L &gt; 4 W (EN 1992-1-1 5.3.1(7))</t>
        </is>
      </c>
      <c r="Q23" s="5">
        <f>IF(OR(D23="column",D23="wall"),IF(I23&lt;='P vs V'!$B$3*J23,"column","wall"),"")</f>
        <v/>
      </c>
      <c r="R23" s="5" t="inlineStr">
        <is>
          <t>SC3</t>
        </is>
      </c>
      <c r="S23" s="5" t="inlineStr"/>
      <c r="T23" s="5" t="n"/>
      <c r="U23" s="5" t="inlineStr">
        <is>
          <t>no</t>
        </is>
      </c>
      <c r="V23" s="5" t="inlineStr">
        <is>
          <t>no</t>
        </is>
      </c>
      <c r="W23" s="5" t="inlineStr">
        <is>
          <t>no</t>
        </is>
      </c>
      <c r="X23" s="5" t="inlineStr">
        <is>
          <t>no</t>
        </is>
      </c>
      <c r="Y23" s="5" t="inlineStr">
        <is>
          <t>yes</t>
        </is>
      </c>
      <c r="Z23" s="5" t="inlineStr">
        <is>
          <t>yes</t>
        </is>
      </c>
      <c r="AA23" s="5" t="n">
        <v>6.21</v>
      </c>
      <c r="AB23" s="5" t="n"/>
      <c r="AC23" s="5" t="n"/>
      <c r="AD23" s="5" t="n"/>
      <c r="AE23" s="5" t="n">
        <v>4516.6</v>
      </c>
      <c r="AF23" s="5" t="n">
        <v>1323</v>
      </c>
      <c r="AG23" s="5" t="n">
        <v>4553.6</v>
      </c>
      <c r="AH23" s="5" t="n">
        <v>1330.6</v>
      </c>
      <c r="AI23" s="5" t="inlineStr">
        <is>
          <t>yes</t>
        </is>
      </c>
      <c r="AJ23" s="5" t="inlineStr">
        <is>
          <t>shear_wall</t>
        </is>
      </c>
      <c r="AK23" s="5" t="inlineStr"/>
      <c r="AL23" s="5" t="inlineStr">
        <is>
          <t>(0.87, 0.0, 0.87)</t>
        </is>
      </c>
      <c r="AM23" s="5" t="inlineStr">
        <is>
          <t>DM-VOILE</t>
        </is>
      </c>
    </row>
    <row r="24">
      <c r="A24" s="5" t="n">
        <v>23</v>
      </c>
      <c r="B24" s="5" t="inlineStr">
        <is>
          <t>120</t>
        </is>
      </c>
      <c r="C24" s="5" t="inlineStr">
        <is>
          <t>own label</t>
        </is>
      </c>
      <c r="D24" s="5" t="inlineStr">
        <is>
          <t>wall</t>
        </is>
      </c>
      <c r="E24" s="5" t="inlineStr">
        <is>
          <t>shear_wall</t>
        </is>
      </c>
      <c r="F24" s="5" t="inlineStr">
        <is>
          <t>V2/120</t>
        </is>
      </c>
      <c r="G24" s="5" t="inlineStr">
        <is>
          <t>V2/120/120</t>
        </is>
      </c>
      <c r="H24" s="5" t="inlineStr">
        <is>
          <t>printed</t>
        </is>
      </c>
      <c r="I24" s="5" t="n">
        <v>125</v>
      </c>
      <c r="J24" s="5" t="n">
        <v>25</v>
      </c>
      <c r="K24" s="9">
        <f>IF(AND(ISNUMBER(I24),ISNUMBER(J24),J24&gt;0),I24/J24,"")</f>
        <v/>
      </c>
      <c r="L24" s="5" t="n">
        <v>0.312</v>
      </c>
      <c r="M24" s="5" t="n"/>
      <c r="N24" s="5" t="n">
        <v>0</v>
      </c>
      <c r="O24" s="5" t="inlineStr">
        <is>
          <t>solid fill</t>
        </is>
      </c>
      <c r="P24" s="5" t="inlineStr">
        <is>
          <t>solid fill, rectangle, L &gt; 4 W (EN 1992-1-1 5.3.1(7))</t>
        </is>
      </c>
      <c r="Q24" s="5">
        <f>IF(OR(D24="column",D24="wall"),IF(I24&lt;='P vs V'!$B$3*J24,"column","wall"),"")</f>
        <v/>
      </c>
      <c r="R24" s="5" t="inlineStr">
        <is>
          <t>SC1</t>
        </is>
      </c>
      <c r="S24" s="5" t="inlineStr"/>
      <c r="T24" s="5" t="n"/>
      <c r="U24" s="5" t="inlineStr">
        <is>
          <t>no</t>
        </is>
      </c>
      <c r="V24" s="5" t="inlineStr">
        <is>
          <t>no</t>
        </is>
      </c>
      <c r="W24" s="5" t="inlineStr">
        <is>
          <t>yes</t>
        </is>
      </c>
      <c r="X24" s="5" t="inlineStr">
        <is>
          <t>no</t>
        </is>
      </c>
      <c r="Y24" s="5" t="inlineStr">
        <is>
          <t>yes</t>
        </is>
      </c>
      <c r="Z24" s="5" t="inlineStr">
        <is>
          <t>no</t>
        </is>
      </c>
      <c r="AA24" s="5" t="n">
        <v>6.81</v>
      </c>
      <c r="AB24" s="5" t="n"/>
      <c r="AC24" s="5" t="n"/>
      <c r="AD24" s="5" t="n"/>
      <c r="AE24" s="5" t="n">
        <v>4749.1</v>
      </c>
      <c r="AF24" s="5" t="n">
        <v>1323.2</v>
      </c>
      <c r="AG24" s="5" t="n">
        <v>4786.1</v>
      </c>
      <c r="AH24" s="5" t="n">
        <v>1330.5</v>
      </c>
      <c r="AI24" s="5" t="inlineStr">
        <is>
          <t>new</t>
        </is>
      </c>
      <c r="AJ24" s="5" t="inlineStr"/>
      <c r="AK24" s="5" t="inlineStr">
        <is>
          <t>piece of a wall network the colour pipeline left unsplit</t>
        </is>
      </c>
      <c r="AL24" s="5" t="inlineStr">
        <is>
          <t>(0.87, 0.0, 0.87)</t>
        </is>
      </c>
      <c r="AM24" s="5" t="inlineStr">
        <is>
          <t>DM-VOILE</t>
        </is>
      </c>
    </row>
    <row r="25">
      <c r="A25" s="5" t="n">
        <v>24</v>
      </c>
      <c r="B25" s="5" t="inlineStr">
        <is>
          <t>120</t>
        </is>
      </c>
      <c r="C25" s="5" t="inlineStr">
        <is>
          <t>own label</t>
        </is>
      </c>
      <c r="D25" s="5" t="inlineStr">
        <is>
          <t>wall</t>
        </is>
      </c>
      <c r="E25" s="5" t="inlineStr">
        <is>
          <t>shear_wall</t>
        </is>
      </c>
      <c r="F25" s="5" t="inlineStr">
        <is>
          <t>V3/120</t>
        </is>
      </c>
      <c r="G25" s="5" t="inlineStr">
        <is>
          <t>V3/120/120</t>
        </is>
      </c>
      <c r="H25" s="5" t="inlineStr">
        <is>
          <t>printed</t>
        </is>
      </c>
      <c r="I25" s="5" t="n">
        <v>125</v>
      </c>
      <c r="J25" s="5" t="n">
        <v>25</v>
      </c>
      <c r="K25" s="9">
        <f>IF(AND(ISNUMBER(I25),ISNUMBER(J25),J25&gt;0),I25/J25,"")</f>
        <v/>
      </c>
      <c r="L25" s="5" t="n">
        <v>0.314</v>
      </c>
      <c r="M25" s="5" t="n"/>
      <c r="N25" s="5" t="n">
        <v>0</v>
      </c>
      <c r="O25" s="5" t="inlineStr">
        <is>
          <t>solid fill</t>
        </is>
      </c>
      <c r="P25" s="5" t="inlineStr">
        <is>
          <t>solid fill, rectangle, L &gt; 4 W (EN 1992-1-1 5.3.1(7))</t>
        </is>
      </c>
      <c r="Q25" s="5">
        <f>IF(OR(D25="column",D25="wall"),IF(I25&lt;='P vs V'!$B$3*J25,"column","wall"),"")</f>
        <v/>
      </c>
      <c r="R25" s="5" t="inlineStr">
        <is>
          <t>S2</t>
        </is>
      </c>
      <c r="S25" s="5" t="inlineStr"/>
      <c r="T25" s="5" t="n"/>
      <c r="U25" s="5" t="inlineStr">
        <is>
          <t>no</t>
        </is>
      </c>
      <c r="V25" s="5" t="inlineStr">
        <is>
          <t>no</t>
        </is>
      </c>
      <c r="W25" s="5" t="inlineStr">
        <is>
          <t>no</t>
        </is>
      </c>
      <c r="X25" s="5" t="inlineStr">
        <is>
          <t>no</t>
        </is>
      </c>
      <c r="Y25" s="5" t="inlineStr">
        <is>
          <t>yes</t>
        </is>
      </c>
      <c r="Z25" s="5" t="inlineStr">
        <is>
          <t>yes</t>
        </is>
      </c>
      <c r="AA25" s="5" t="n">
        <v>3.07</v>
      </c>
      <c r="AB25" s="5" t="n"/>
      <c r="AC25" s="5" t="n"/>
      <c r="AD25" s="5" t="n"/>
      <c r="AE25" s="5" t="n">
        <v>4285</v>
      </c>
      <c r="AF25" s="5" t="n">
        <v>864.7</v>
      </c>
      <c r="AG25" s="5" t="n">
        <v>4321.9</v>
      </c>
      <c r="AH25" s="5" t="n">
        <v>872.1</v>
      </c>
      <c r="AI25" s="5" t="inlineStr">
        <is>
          <t>yes</t>
        </is>
      </c>
      <c r="AJ25" s="5" t="inlineStr">
        <is>
          <t>shear_wall</t>
        </is>
      </c>
      <c r="AK25" s="5" t="inlineStr"/>
      <c r="AL25" s="5" t="inlineStr">
        <is>
          <t>(0.87, 0.0, 0.87)</t>
        </is>
      </c>
      <c r="AM25" s="5" t="inlineStr">
        <is>
          <t>DM-VOILE</t>
        </is>
      </c>
    </row>
    <row r="26">
      <c r="A26" s="5" t="n">
        <v>25</v>
      </c>
      <c r="B26" s="5" t="inlineStr">
        <is>
          <t>120</t>
        </is>
      </c>
      <c r="C26" s="5" t="inlineStr">
        <is>
          <t>own label</t>
        </is>
      </c>
      <c r="D26" s="5" t="inlineStr">
        <is>
          <t>wall</t>
        </is>
      </c>
      <c r="E26" s="5" t="inlineStr">
        <is>
          <t>shear_wall</t>
        </is>
      </c>
      <c r="F26" s="5" t="inlineStr">
        <is>
          <t>V3/120</t>
        </is>
      </c>
      <c r="G26" s="5" t="inlineStr">
        <is>
          <t>V3/120/120</t>
        </is>
      </c>
      <c r="H26" s="5" t="inlineStr">
        <is>
          <t>printed</t>
        </is>
      </c>
      <c r="I26" s="5" t="n">
        <v>125</v>
      </c>
      <c r="J26" s="5" t="n">
        <v>25</v>
      </c>
      <c r="K26" s="9">
        <f>IF(AND(ISNUMBER(I26),ISNUMBER(J26),J26&gt;0),I26/J26,"")</f>
        <v/>
      </c>
      <c r="L26" s="5" t="n">
        <v>0.313</v>
      </c>
      <c r="M26" s="5" t="n"/>
      <c r="N26" s="5" t="n">
        <v>0.1</v>
      </c>
      <c r="O26" s="5" t="inlineStr">
        <is>
          <t>solid fill</t>
        </is>
      </c>
      <c r="P26" s="5" t="inlineStr">
        <is>
          <t>solid fill, rectangle, L &gt; 4 W (EN 1992-1-1 5.3.1(7))</t>
        </is>
      </c>
      <c r="Q26" s="5">
        <f>IF(OR(D26="column",D26="wall"),IF(I26&lt;='P vs V'!$B$3*J26,"column","wall"),"")</f>
        <v/>
      </c>
      <c r="R26" s="5" t="inlineStr"/>
      <c r="S26" s="5" t="inlineStr"/>
      <c r="T26" s="5" t="n"/>
      <c r="U26" s="5" t="inlineStr">
        <is>
          <t>yes</t>
        </is>
      </c>
      <c r="V26" s="5" t="inlineStr">
        <is>
          <t>no</t>
        </is>
      </c>
      <c r="W26" s="5" t="inlineStr">
        <is>
          <t>no</t>
        </is>
      </c>
      <c r="X26" s="5" t="inlineStr">
        <is>
          <t>no</t>
        </is>
      </c>
      <c r="Y26" s="5" t="inlineStr">
        <is>
          <t>yes</t>
        </is>
      </c>
      <c r="Z26" s="5" t="inlineStr">
        <is>
          <t>no</t>
        </is>
      </c>
      <c r="AA26" s="5" t="n">
        <v>6.21</v>
      </c>
      <c r="AB26" s="5" t="n"/>
      <c r="AC26" s="5" t="n"/>
      <c r="AD26" s="5" t="n"/>
      <c r="AE26" s="5" t="n">
        <v>4253.5</v>
      </c>
      <c r="AF26" s="5" t="n">
        <v>1323.1</v>
      </c>
      <c r="AG26" s="5" t="n">
        <v>4290.5</v>
      </c>
      <c r="AH26" s="5" t="n">
        <v>1330.5</v>
      </c>
      <c r="AI26" s="5" t="inlineStr">
        <is>
          <t>yes</t>
        </is>
      </c>
      <c r="AJ26" s="5" t="inlineStr">
        <is>
          <t>shear_wall</t>
        </is>
      </c>
      <c r="AK26" s="5" t="inlineStr"/>
      <c r="AL26" s="5" t="inlineStr">
        <is>
          <t>(0.87, 0.0, 0.87)</t>
        </is>
      </c>
      <c r="AM26" s="5" t="inlineStr">
        <is>
          <t>DM-VOILE</t>
        </is>
      </c>
    </row>
    <row r="27">
      <c r="A27" s="5" t="n">
        <v>26</v>
      </c>
      <c r="B27" s="5" t="inlineStr">
        <is>
          <t>120</t>
        </is>
      </c>
      <c r="C27" s="5" t="inlineStr">
        <is>
          <t>own label</t>
        </is>
      </c>
      <c r="D27" s="5" t="inlineStr">
        <is>
          <t>wall</t>
        </is>
      </c>
      <c r="E27" s="5" t="inlineStr">
        <is>
          <t>shear_wall</t>
        </is>
      </c>
      <c r="F27" s="5" t="inlineStr">
        <is>
          <t>V3/120</t>
        </is>
      </c>
      <c r="G27" s="5" t="inlineStr">
        <is>
          <t>V3/120/120</t>
        </is>
      </c>
      <c r="H27" s="5" t="inlineStr">
        <is>
          <t>printed</t>
        </is>
      </c>
      <c r="I27" s="5" t="n">
        <v>125</v>
      </c>
      <c r="J27" s="5" t="n">
        <v>25</v>
      </c>
      <c r="K27" s="9">
        <f>IF(AND(ISNUMBER(I27),ISNUMBER(J27),J27&gt;0),I27/J27,"")</f>
        <v/>
      </c>
      <c r="L27" s="5" t="n">
        <v>0.313</v>
      </c>
      <c r="M27" s="5" t="n"/>
      <c r="N27" s="5" t="n">
        <v>0.1</v>
      </c>
      <c r="O27" s="5" t="inlineStr">
        <is>
          <t>solid fill</t>
        </is>
      </c>
      <c r="P27" s="5" t="inlineStr">
        <is>
          <t>solid fill, rectangle, L &gt; 4 W (EN 1992-1-1 5.3.1(7))</t>
        </is>
      </c>
      <c r="Q27" s="5">
        <f>IF(OR(D27="column",D27="wall"),IF(I27&lt;='P vs V'!$B$3*J27,"column","wall"),"")</f>
        <v/>
      </c>
      <c r="R27" s="5" t="inlineStr">
        <is>
          <t>S2</t>
        </is>
      </c>
      <c r="S27" s="5" t="inlineStr"/>
      <c r="T27" s="5" t="n"/>
      <c r="U27" s="5" t="inlineStr">
        <is>
          <t>no</t>
        </is>
      </c>
      <c r="V27" s="5" t="inlineStr">
        <is>
          <t>no</t>
        </is>
      </c>
      <c r="W27" s="5" t="inlineStr">
        <is>
          <t>no</t>
        </is>
      </c>
      <c r="X27" s="5" t="inlineStr">
        <is>
          <t>no</t>
        </is>
      </c>
      <c r="Y27" s="5" t="inlineStr">
        <is>
          <t>yes</t>
        </is>
      </c>
      <c r="Z27" s="5" t="inlineStr">
        <is>
          <t>yes</t>
        </is>
      </c>
      <c r="AA27" s="5" t="n">
        <v>1.55</v>
      </c>
      <c r="AB27" s="5" t="n"/>
      <c r="AC27" s="5" t="n"/>
      <c r="AD27" s="5" t="n"/>
      <c r="AE27" s="5" t="n">
        <v>4284.8</v>
      </c>
      <c r="AF27" s="5" t="n">
        <v>1094.2</v>
      </c>
      <c r="AG27" s="5" t="n">
        <v>4321.7</v>
      </c>
      <c r="AH27" s="5" t="n">
        <v>1101.6</v>
      </c>
      <c r="AI27" s="5" t="inlineStr">
        <is>
          <t>yes</t>
        </is>
      </c>
      <c r="AJ27" s="5" t="inlineStr">
        <is>
          <t>shear_wall</t>
        </is>
      </c>
      <c r="AK27" s="5" t="inlineStr"/>
      <c r="AL27" s="5" t="inlineStr">
        <is>
          <t>(0.87, 0.0, 0.87)</t>
        </is>
      </c>
      <c r="AM27" s="5" t="inlineStr">
        <is>
          <t>DM-VOIL</t>
        </is>
      </c>
    </row>
    <row r="28">
      <c r="A28" s="5" t="n">
        <v>27</v>
      </c>
      <c r="B28" s="5" t="inlineStr">
        <is>
          <t>120</t>
        </is>
      </c>
      <c r="C28" s="5" t="inlineStr">
        <is>
          <t>own label</t>
        </is>
      </c>
      <c r="D28" s="5" t="inlineStr">
        <is>
          <t>wall</t>
        </is>
      </c>
      <c r="E28" s="5" t="inlineStr">
        <is>
          <t>shear_wall</t>
        </is>
      </c>
      <c r="F28" s="5" t="inlineStr">
        <is>
          <t>V3/120</t>
        </is>
      </c>
      <c r="G28" s="5" t="inlineStr">
        <is>
          <t>V3/120120</t>
        </is>
      </c>
      <c r="H28" s="5" t="inlineStr">
        <is>
          <t>printed</t>
        </is>
      </c>
      <c r="I28" s="5" t="n">
        <v>125</v>
      </c>
      <c r="J28" s="5" t="n">
        <v>25</v>
      </c>
      <c r="K28" s="9">
        <f>IF(AND(ISNUMBER(I28),ISNUMBER(J28),J28&gt;0),I28/J28,"")</f>
        <v/>
      </c>
      <c r="L28" s="5" t="n">
        <v>0.313</v>
      </c>
      <c r="M28" s="5" t="n"/>
      <c r="N28" s="5" t="n">
        <v>0.1</v>
      </c>
      <c r="O28" s="5" t="inlineStr">
        <is>
          <t>solid fill</t>
        </is>
      </c>
      <c r="P28" s="5" t="inlineStr">
        <is>
          <t>solid fill, rectangle, L &gt; 4 W (EN 1992-1-1 5.3.1(7))</t>
        </is>
      </c>
      <c r="Q28" s="5">
        <f>IF(OR(D28="column",D28="wall"),IF(I28&lt;='P vs V'!$B$3*J28,"column","wall"),"")</f>
        <v/>
      </c>
      <c r="R28" s="5" t="inlineStr">
        <is>
          <t>S2</t>
        </is>
      </c>
      <c r="S28" s="5" t="inlineStr"/>
      <c r="T28" s="5" t="n"/>
      <c r="U28" s="5" t="inlineStr">
        <is>
          <t>no</t>
        </is>
      </c>
      <c r="V28" s="5" t="inlineStr">
        <is>
          <t>no</t>
        </is>
      </c>
      <c r="W28" s="5" t="inlineStr">
        <is>
          <t>no</t>
        </is>
      </c>
      <c r="X28" s="5" t="inlineStr">
        <is>
          <t>no</t>
        </is>
      </c>
      <c r="Y28" s="5" t="inlineStr">
        <is>
          <t>yes</t>
        </is>
      </c>
      <c r="Z28" s="5" t="inlineStr">
        <is>
          <t>yes</t>
        </is>
      </c>
      <c r="AA28" s="5" t="n">
        <v>1.4</v>
      </c>
      <c r="AB28" s="5" t="n"/>
      <c r="AC28" s="5" t="n"/>
      <c r="AD28" s="5" t="n"/>
      <c r="AE28" s="5" t="n">
        <v>4285.2</v>
      </c>
      <c r="AF28" s="5" t="n">
        <v>635.6</v>
      </c>
      <c r="AG28" s="5" t="n">
        <v>4322.1</v>
      </c>
      <c r="AH28" s="5" t="n">
        <v>643</v>
      </c>
      <c r="AI28" s="5" t="inlineStr">
        <is>
          <t>yes</t>
        </is>
      </c>
      <c r="AJ28" s="5" t="inlineStr">
        <is>
          <t>shear_wall</t>
        </is>
      </c>
      <c r="AK28" s="5" t="inlineStr"/>
      <c r="AL28" s="5" t="inlineStr">
        <is>
          <t>(0.87, 0.0, 0.87)</t>
        </is>
      </c>
      <c r="AM28" s="5" t="inlineStr">
        <is>
          <t>DM-VOILE</t>
        </is>
      </c>
    </row>
    <row r="29">
      <c r="A29" s="5" t="n">
        <v>28</v>
      </c>
      <c r="B29" s="5" t="inlineStr">
        <is>
          <t>120</t>
        </is>
      </c>
      <c r="C29" s="5" t="inlineStr">
        <is>
          <t>own label</t>
        </is>
      </c>
      <c r="D29" s="5" t="inlineStr">
        <is>
          <t>wall</t>
        </is>
      </c>
      <c r="E29" s="5" t="inlineStr">
        <is>
          <t>shear_wall</t>
        </is>
      </c>
      <c r="F29" s="5" t="inlineStr">
        <is>
          <t>V5/120</t>
        </is>
      </c>
      <c r="G29" s="5" t="inlineStr">
        <is>
          <t>V5/120/120</t>
        </is>
      </c>
      <c r="H29" s="5" t="inlineStr">
        <is>
          <t>printed</t>
        </is>
      </c>
      <c r="I29" s="5" t="n">
        <v>300</v>
      </c>
      <c r="J29" s="5" t="n">
        <v>25</v>
      </c>
      <c r="K29" s="9">
        <f>IF(AND(ISNUMBER(I29),ISNUMBER(J29),J29&gt;0),I29/J29,"")</f>
        <v/>
      </c>
      <c r="L29" s="5" t="n">
        <v>0.752</v>
      </c>
      <c r="M29" s="5" t="n"/>
      <c r="N29" s="5" t="n">
        <v>90</v>
      </c>
      <c r="O29" s="5" t="inlineStr">
        <is>
          <t>solid fill</t>
        </is>
      </c>
      <c r="P29" s="5" t="inlineStr">
        <is>
          <t>solid fill, rectangle, L &gt; 4 W (EN 1992-1-1 5.3.1(7))</t>
        </is>
      </c>
      <c r="Q29" s="5">
        <f>IF(OR(D29="column",D29="wall"),IF(I29&lt;='P vs V'!$B$3*J29,"column","wall"),"")</f>
        <v/>
      </c>
      <c r="R29" s="5" t="inlineStr">
        <is>
          <t>S6</t>
        </is>
      </c>
      <c r="S29" s="5" t="inlineStr"/>
      <c r="T29" s="5" t="n"/>
      <c r="U29" s="5" t="inlineStr">
        <is>
          <t>no</t>
        </is>
      </c>
      <c r="V29" s="5" t="inlineStr">
        <is>
          <t>no</t>
        </is>
      </c>
      <c r="W29" s="5" t="inlineStr">
        <is>
          <t>yes</t>
        </is>
      </c>
      <c r="X29" s="5" t="inlineStr">
        <is>
          <t>no</t>
        </is>
      </c>
      <c r="Y29" s="5" t="inlineStr">
        <is>
          <t>no</t>
        </is>
      </c>
      <c r="Z29" s="5" t="inlineStr">
        <is>
          <t>no</t>
        </is>
      </c>
      <c r="AA29" s="5" t="n">
        <v>3.31</v>
      </c>
      <c r="AB29" s="5" t="n"/>
      <c r="AC29" s="5" t="n"/>
      <c r="AD29" s="5" t="n"/>
      <c r="AE29" s="5" t="n">
        <v>4763.8</v>
      </c>
      <c r="AF29" s="5" t="n">
        <v>1046.6</v>
      </c>
      <c r="AG29" s="5" t="n">
        <v>4771.2</v>
      </c>
      <c r="AH29" s="5" t="n">
        <v>1135.2</v>
      </c>
      <c r="AI29" s="5" t="inlineStr">
        <is>
          <t>new</t>
        </is>
      </c>
      <c r="AJ29" s="5" t="inlineStr"/>
      <c r="AK29" s="5" t="inlineStr">
        <is>
          <t>piece of a wall network the colour pipeline left unsplit</t>
        </is>
      </c>
      <c r="AL29" s="5" t="inlineStr">
        <is>
          <t>(0.87, 0.0, 0.87)</t>
        </is>
      </c>
      <c r="AM29" s="5" t="inlineStr">
        <is>
          <t>DM-VOIL</t>
        </is>
      </c>
    </row>
    <row r="30">
      <c r="A30" s="5" t="n">
        <v>29</v>
      </c>
      <c r="B30" s="5" t="inlineStr">
        <is>
          <t>120</t>
        </is>
      </c>
      <c r="C30" s="5" t="inlineStr">
        <is>
          <t>own label</t>
        </is>
      </c>
      <c r="D30" s="5" t="inlineStr">
        <is>
          <t>wall</t>
        </is>
      </c>
      <c r="E30" s="5" t="inlineStr">
        <is>
          <t>shear_wall</t>
        </is>
      </c>
      <c r="F30" s="5" t="inlineStr">
        <is>
          <t>V8/120</t>
        </is>
      </c>
      <c r="G30" s="5" t="inlineStr">
        <is>
          <t>V8/120/120</t>
        </is>
      </c>
      <c r="H30" s="5" t="inlineStr">
        <is>
          <t>printed</t>
        </is>
      </c>
      <c r="I30" s="5" t="n">
        <v>250</v>
      </c>
      <c r="J30" s="5" t="n">
        <v>25</v>
      </c>
      <c r="K30" s="9">
        <f>IF(AND(ISNUMBER(I30),ISNUMBER(J30),J30&gt;0),I30/J30,"")</f>
        <v/>
      </c>
      <c r="L30" s="5" t="n">
        <v>0.625</v>
      </c>
      <c r="M30" s="5" t="n"/>
      <c r="N30" s="5" t="n">
        <v>90.09999999999999</v>
      </c>
      <c r="O30" s="5" t="inlineStr">
        <is>
          <t>solid fill</t>
        </is>
      </c>
      <c r="P30" s="5" t="inlineStr">
        <is>
          <t>solid fill, rectangle, L &gt; 4 W (EN 1992-1-1 5.3.1(7))</t>
        </is>
      </c>
      <c r="Q30" s="5">
        <f>IF(OR(D30="column",D30="wall"),IF(I30&lt;='P vs V'!$B$3*J30,"column","wall"),"")</f>
        <v/>
      </c>
      <c r="R30" s="5" t="inlineStr">
        <is>
          <t>S3</t>
        </is>
      </c>
      <c r="S30" s="5" t="inlineStr"/>
      <c r="T30" s="5" t="n"/>
      <c r="U30" s="5" t="inlineStr">
        <is>
          <t>no</t>
        </is>
      </c>
      <c r="V30" s="5" t="inlineStr">
        <is>
          <t>no</t>
        </is>
      </c>
      <c r="W30" s="5" t="inlineStr">
        <is>
          <t>yes</t>
        </is>
      </c>
      <c r="X30" s="5" t="inlineStr">
        <is>
          <t>no</t>
        </is>
      </c>
      <c r="Y30" s="5" t="inlineStr">
        <is>
          <t>no</t>
        </is>
      </c>
      <c r="Z30" s="5" t="inlineStr">
        <is>
          <t>no</t>
        </is>
      </c>
      <c r="AA30" s="5" t="n">
        <v>2.8</v>
      </c>
      <c r="AB30" s="5" t="n"/>
      <c r="AC30" s="5" t="n"/>
      <c r="AD30" s="5" t="n"/>
      <c r="AE30" s="5" t="n">
        <v>4763.7</v>
      </c>
      <c r="AF30" s="5" t="n">
        <v>561.5</v>
      </c>
      <c r="AG30" s="5" t="n">
        <v>4771.2</v>
      </c>
      <c r="AH30" s="5" t="n">
        <v>635.3</v>
      </c>
      <c r="AI30" s="5" t="inlineStr">
        <is>
          <t>new</t>
        </is>
      </c>
      <c r="AJ30" s="5" t="inlineStr"/>
      <c r="AK30" s="5" t="inlineStr">
        <is>
          <t>piece of a wall network the colour pipeline left unsplit</t>
        </is>
      </c>
      <c r="AL30" s="5" t="inlineStr">
        <is>
          <t>(0.87, 0.0, 0.87)</t>
        </is>
      </c>
      <c r="AM30" s="5" t="inlineStr">
        <is>
          <t>DM-VOILE</t>
        </is>
      </c>
    </row>
    <row r="31">
      <c r="A31" s="5" t="n">
        <v>30</v>
      </c>
      <c r="B31" s="5" t="inlineStr">
        <is>
          <t>120</t>
        </is>
      </c>
      <c r="C31" s="5" t="inlineStr">
        <is>
          <t>own label</t>
        </is>
      </c>
      <c r="D31" s="5" t="inlineStr">
        <is>
          <t>wall</t>
        </is>
      </c>
      <c r="E31" s="5" t="inlineStr">
        <is>
          <t>shear_wall</t>
        </is>
      </c>
      <c r="F31" s="5" t="inlineStr">
        <is>
          <t>V9/120</t>
        </is>
      </c>
      <c r="G31" s="5" t="inlineStr">
        <is>
          <t>V9/120/120</t>
        </is>
      </c>
      <c r="H31" s="5" t="inlineStr">
        <is>
          <t>printed</t>
        </is>
      </c>
      <c r="I31" s="5" t="n">
        <v>200</v>
      </c>
      <c r="J31" s="5" t="n">
        <v>30</v>
      </c>
      <c r="K31" s="9">
        <f>IF(AND(ISNUMBER(I31),ISNUMBER(J31),J31&gt;0),I31/J31,"")</f>
        <v/>
      </c>
      <c r="L31" s="5" t="n">
        <v>0.601</v>
      </c>
      <c r="M31" s="5" t="n"/>
      <c r="N31" s="5" t="n">
        <v>0</v>
      </c>
      <c r="O31" s="5" t="inlineStr">
        <is>
          <t>solid fill</t>
        </is>
      </c>
      <c r="P31" s="5" t="inlineStr">
        <is>
          <t>solid fill, rectangle, L &gt; 4 W (EN 1992-1-1 5.3.1(7))</t>
        </is>
      </c>
      <c r="Q31" s="5">
        <f>IF(OR(D31="column",D31="wall"),IF(I31&lt;='P vs V'!$B$3*J31,"column","wall"),"")</f>
        <v/>
      </c>
      <c r="R31" s="5" t="inlineStr">
        <is>
          <t>S5</t>
        </is>
      </c>
      <c r="S31" s="5" t="inlineStr"/>
      <c r="T31" s="5" t="n"/>
      <c r="U31" s="5" t="inlineStr">
        <is>
          <t>no</t>
        </is>
      </c>
      <c r="V31" s="5" t="inlineStr">
        <is>
          <t>no</t>
        </is>
      </c>
      <c r="W31" s="5" t="inlineStr">
        <is>
          <t>no</t>
        </is>
      </c>
      <c r="X31" s="5" t="inlineStr">
        <is>
          <t>no</t>
        </is>
      </c>
      <c r="Y31" s="5" t="inlineStr">
        <is>
          <t>yes</t>
        </is>
      </c>
      <c r="Z31" s="5" t="inlineStr">
        <is>
          <t>yes</t>
        </is>
      </c>
      <c r="AA31" s="5" t="n">
        <v>0.02</v>
      </c>
      <c r="AB31" s="5" t="n"/>
      <c r="AC31" s="5" t="n"/>
      <c r="AD31" s="5" t="n"/>
      <c r="AE31" s="5" t="n">
        <v>4516.6</v>
      </c>
      <c r="AF31" s="5" t="n">
        <v>1139.7</v>
      </c>
      <c r="AG31" s="5" t="n">
        <v>4575.6</v>
      </c>
      <c r="AH31" s="5" t="n">
        <v>1148.6</v>
      </c>
      <c r="AI31" s="5" t="inlineStr">
        <is>
          <t>yes</t>
        </is>
      </c>
      <c r="AJ31" s="5" t="inlineStr">
        <is>
          <t>shear_wall</t>
        </is>
      </c>
      <c r="AK31" s="5" t="inlineStr"/>
      <c r="AL31" s="5" t="inlineStr">
        <is>
          <t>(0.87, 0.0, 0.87)</t>
        </is>
      </c>
      <c r="AM31" s="5" t="inlineStr">
        <is>
          <t>DM-VOILE</t>
        </is>
      </c>
    </row>
    <row r="32">
      <c r="A32" s="5" t="n">
        <v>31</v>
      </c>
      <c r="B32" s="5" t="inlineStr">
        <is>
          <t>120</t>
        </is>
      </c>
      <c r="C32" s="5" t="inlineStr">
        <is>
          <t>nearest labels (100% agree)</t>
        </is>
      </c>
      <c r="D32" s="5" t="inlineStr">
        <is>
          <t>wall</t>
        </is>
      </c>
      <c r="E32" s="5" t="inlineStr">
        <is>
          <t>shear_wall</t>
        </is>
      </c>
      <c r="F32" s="5" t="inlineStr">
        <is>
          <t>(none)</t>
        </is>
      </c>
      <c r="G32" s="5" t="inlineStr"/>
      <c r="H32" s="5" t="inlineStr">
        <is>
          <t>none</t>
        </is>
      </c>
      <c r="I32" s="5" t="n">
        <v>1129</v>
      </c>
      <c r="J32" s="5" t="n">
        <v>20</v>
      </c>
      <c r="K32" s="9">
        <f>IF(AND(ISNUMBER(I32),ISNUMBER(J32),J32&gt;0),I32/J32,"")</f>
        <v/>
      </c>
      <c r="L32" s="5" t="n">
        <v>2.246</v>
      </c>
      <c r="M32" s="5" t="n"/>
      <c r="N32" s="5" t="n">
        <v>90</v>
      </c>
      <c r="O32" s="5" t="inlineStr">
        <is>
          <t>solid fill</t>
        </is>
      </c>
      <c r="P32" s="5" t="inlineStr">
        <is>
          <t>straight stretch of a thin filled outline with bends (pair of parallel faces)</t>
        </is>
      </c>
      <c r="Q32" s="5">
        <f>IF(OR(D32="column",D32="wall"),IF(I32&lt;='P vs V'!$B$3*J32,"column","wall"),"")</f>
        <v/>
      </c>
      <c r="R32" s="5" t="inlineStr"/>
      <c r="S32" s="5" t="inlineStr"/>
      <c r="T32" s="5" t="n"/>
      <c r="U32" s="5" t="inlineStr">
        <is>
          <t>no</t>
        </is>
      </c>
      <c r="V32" s="5" t="inlineStr">
        <is>
          <t>no</t>
        </is>
      </c>
      <c r="W32" s="5" t="inlineStr">
        <is>
          <t>yes</t>
        </is>
      </c>
      <c r="X32" s="5" t="inlineStr">
        <is>
          <t>no</t>
        </is>
      </c>
      <c r="Y32" s="5" t="inlineStr">
        <is>
          <t>yes</t>
        </is>
      </c>
      <c r="Z32" s="5" t="inlineStr">
        <is>
          <t>no</t>
        </is>
      </c>
      <c r="AA32" s="5" t="n">
        <v>2.87</v>
      </c>
      <c r="AB32" s="5" t="n"/>
      <c r="AC32" s="5" t="n"/>
      <c r="AD32" s="5" t="n"/>
      <c r="AE32" s="5" t="n">
        <v>4765.2</v>
      </c>
      <c r="AF32" s="5" t="n">
        <v>415.9</v>
      </c>
      <c r="AG32" s="5" t="n">
        <v>4771.1</v>
      </c>
      <c r="AH32" s="5" t="n">
        <v>749.2</v>
      </c>
      <c r="AI32" s="5" t="inlineStr">
        <is>
          <t>new</t>
        </is>
      </c>
      <c r="AJ32" s="5" t="inlineStr"/>
      <c r="AK32" s="5" t="inlineStr">
        <is>
          <t>piece of a wall network the colour pipeline left unsplit</t>
        </is>
      </c>
      <c r="AL32" s="5" t="inlineStr"/>
      <c r="AM32" s="5" t="inlineStr"/>
    </row>
    <row r="33">
      <c r="A33" s="5" t="n">
        <v>32</v>
      </c>
      <c r="B33" s="5" t="inlineStr">
        <is>
          <t>120</t>
        </is>
      </c>
      <c r="C33" s="5" t="inlineStr">
        <is>
          <t>nearest labels (80% agree)</t>
        </is>
      </c>
      <c r="D33" s="5" t="inlineStr">
        <is>
          <t>wall</t>
        </is>
      </c>
      <c r="E33" s="5" t="inlineStr">
        <is>
          <t>shear_wall</t>
        </is>
      </c>
      <c r="F33" s="5" t="inlineStr">
        <is>
          <t>(none)</t>
        </is>
      </c>
      <c r="G33" s="5" t="inlineStr"/>
      <c r="H33" s="5" t="inlineStr">
        <is>
          <t>none</t>
        </is>
      </c>
      <c r="I33" s="5" t="n">
        <v>1849</v>
      </c>
      <c r="J33" s="5" t="n">
        <v>20</v>
      </c>
      <c r="K33" s="9">
        <f>IF(AND(ISNUMBER(I33),ISNUMBER(J33),J33&gt;0),I33/J33,"")</f>
        <v/>
      </c>
      <c r="L33" s="5" t="n">
        <v>3.705</v>
      </c>
      <c r="M33" s="5" t="n"/>
      <c r="N33" s="5" t="n">
        <v>90</v>
      </c>
      <c r="O33" s="5" t="inlineStr">
        <is>
          <t>solid fill</t>
        </is>
      </c>
      <c r="P33" s="5" t="inlineStr">
        <is>
          <t>straight stretch of a thin filled outline with bends (pair of parallel faces)</t>
        </is>
      </c>
      <c r="Q33" s="5">
        <f>IF(OR(D33="column",D33="wall"),IF(I33&lt;='P vs V'!$B$3*J33,"column","wall"),"")</f>
        <v/>
      </c>
      <c r="R33" s="5" t="inlineStr"/>
      <c r="S33" s="5" t="inlineStr"/>
      <c r="T33" s="5" t="n"/>
      <c r="U33" s="5" t="inlineStr">
        <is>
          <t>no</t>
        </is>
      </c>
      <c r="V33" s="5" t="inlineStr">
        <is>
          <t>no</t>
        </is>
      </c>
      <c r="W33" s="5" t="inlineStr">
        <is>
          <t>yes</t>
        </is>
      </c>
      <c r="X33" s="5" t="inlineStr">
        <is>
          <t>no</t>
        </is>
      </c>
      <c r="Y33" s="5" t="inlineStr">
        <is>
          <t>yes</t>
        </is>
      </c>
      <c r="Z33" s="5" t="inlineStr">
        <is>
          <t>no</t>
        </is>
      </c>
      <c r="AA33" s="5" t="n">
        <v>4.57</v>
      </c>
      <c r="AB33" s="5" t="n"/>
      <c r="AC33" s="5" t="n"/>
      <c r="AD33" s="5" t="n"/>
      <c r="AE33" s="5" t="n">
        <v>4765.5</v>
      </c>
      <c r="AF33" s="5" t="n">
        <v>976.5</v>
      </c>
      <c r="AG33" s="5" t="n">
        <v>4771.5</v>
      </c>
      <c r="AH33" s="5" t="n">
        <v>1522.5</v>
      </c>
      <c r="AI33" s="5" t="inlineStr">
        <is>
          <t>new</t>
        </is>
      </c>
      <c r="AJ33" s="5" t="inlineStr"/>
      <c r="AK33" s="5" t="inlineStr">
        <is>
          <t>piece of a wall network the colour pipeline left unsplit</t>
        </is>
      </c>
      <c r="AL33" s="5" t="inlineStr"/>
      <c r="AM33" s="5" t="inlineStr"/>
    </row>
    <row r="34">
      <c r="A34" s="5" t="n">
        <v>33</v>
      </c>
      <c r="B34" s="5" t="inlineStr">
        <is>
          <t>120</t>
        </is>
      </c>
      <c r="C34" s="5" t="inlineStr">
        <is>
          <t>nearest labels (100% agree)</t>
        </is>
      </c>
      <c r="D34" s="5" t="inlineStr">
        <is>
          <t>wall</t>
        </is>
      </c>
      <c r="E34" s="5" t="inlineStr">
        <is>
          <t>core_wall_hatched</t>
        </is>
      </c>
      <c r="F34" s="5" t="inlineStr">
        <is>
          <t>(none)</t>
        </is>
      </c>
      <c r="G34" s="5" t="inlineStr"/>
      <c r="H34" s="5" t="inlineStr">
        <is>
          <t>none</t>
        </is>
      </c>
      <c r="I34" s="5" t="n">
        <v>272</v>
      </c>
      <c r="J34" s="5" t="n">
        <v>20</v>
      </c>
      <c r="K34" s="9">
        <f>IF(AND(ISNUMBER(I34),ISNUMBER(J34),J34&gt;0),I34/J34,"")</f>
        <v/>
      </c>
      <c r="L34" s="5" t="n">
        <v>0.54</v>
      </c>
      <c r="M34" s="5" t="n">
        <v>2.72</v>
      </c>
      <c r="N34" s="5" t="n">
        <v>0</v>
      </c>
      <c r="O34" s="5" t="inlineStr">
        <is>
          <t>cross-hatch</t>
        </is>
      </c>
      <c r="P34" s="5" t="inlineStr">
        <is>
          <t>cross-hatch of short strokes in two perpendicular families</t>
        </is>
      </c>
      <c r="Q34" s="5">
        <f>IF(OR(D34="column",D34="wall"),IF(I34&lt;='P vs V'!$B$3*J34,"column","wall"),"")</f>
        <v/>
      </c>
      <c r="R34" s="5" t="inlineStr"/>
      <c r="S34" s="5" t="inlineStr"/>
      <c r="T34" s="5" t="n"/>
      <c r="U34" s="5" t="inlineStr">
        <is>
          <t>yes</t>
        </is>
      </c>
      <c r="V34" s="5" t="inlineStr">
        <is>
          <t>no</t>
        </is>
      </c>
      <c r="W34" s="5" t="inlineStr">
        <is>
          <t>no</t>
        </is>
      </c>
      <c r="X34" s="5" t="inlineStr">
        <is>
          <t>yes</t>
        </is>
      </c>
      <c r="Y34" s="5" t="inlineStr">
        <is>
          <t>no</t>
        </is>
      </c>
      <c r="Z34" s="5" t="inlineStr">
        <is>
          <t>no</t>
        </is>
      </c>
      <c r="AA34" s="5" t="n">
        <v>0.59</v>
      </c>
      <c r="AB34" s="5" t="n">
        <v>0.28</v>
      </c>
      <c r="AC34" s="5" t="n"/>
      <c r="AD34" s="5" t="n"/>
      <c r="AE34" s="5" t="n">
        <v>4645.5</v>
      </c>
      <c r="AF34" s="5" t="n">
        <v>790.3</v>
      </c>
      <c r="AG34" s="5" t="n">
        <v>4702.8</v>
      </c>
      <c r="AH34" s="5" t="n">
        <v>799.7</v>
      </c>
      <c r="AI34" s="5" t="inlineStr">
        <is>
          <t>n/a</t>
        </is>
      </c>
      <c r="AJ34" s="5" t="inlineStr"/>
      <c r="AK34" s="5" t="inlineStr"/>
      <c r="AL34" s="5" t="inlineStr"/>
      <c r="AM34" s="5" t="inlineStr"/>
    </row>
    <row r="35">
      <c r="A35" s="5" t="n">
        <v>34</v>
      </c>
      <c r="B35" s="5" t="inlineStr">
        <is>
          <t>120</t>
        </is>
      </c>
      <c r="C35" s="5" t="inlineStr">
        <is>
          <t>nearest labels (100% agree)</t>
        </is>
      </c>
      <c r="D35" s="5" t="inlineStr">
        <is>
          <t>wall</t>
        </is>
      </c>
      <c r="E35" s="5" t="inlineStr">
        <is>
          <t>core_wall_hatched</t>
        </is>
      </c>
      <c r="F35" s="5" t="inlineStr">
        <is>
          <t>(none)</t>
        </is>
      </c>
      <c r="G35" s="5" t="inlineStr"/>
      <c r="H35" s="5" t="inlineStr">
        <is>
          <t>none</t>
        </is>
      </c>
      <c r="I35" s="5" t="n">
        <v>114</v>
      </c>
      <c r="J35" s="5" t="n">
        <v>20</v>
      </c>
      <c r="K35" s="9">
        <f>IF(AND(ISNUMBER(I35),ISNUMBER(J35),J35&gt;0),I35/J35,"")</f>
        <v/>
      </c>
      <c r="L35" s="5" t="n">
        <v>0.229</v>
      </c>
      <c r="M35" s="5" t="n">
        <v>1.14</v>
      </c>
      <c r="N35" s="5" t="n">
        <v>90</v>
      </c>
      <c r="O35" s="5" t="inlineStr">
        <is>
          <t>cross-hatch</t>
        </is>
      </c>
      <c r="P35" s="5" t="inlineStr">
        <is>
          <t>cross-hatch of short strokes in two perpendicular families</t>
        </is>
      </c>
      <c r="Q35" s="5">
        <f>IF(OR(D35="column",D35="wall"),IF(I35&lt;='P vs V'!$B$3*J35,"column","wall"),"")</f>
        <v/>
      </c>
      <c r="R35" s="5" t="inlineStr"/>
      <c r="S35" s="5" t="inlineStr"/>
      <c r="T35" s="5" t="n"/>
      <c r="U35" s="5" t="inlineStr">
        <is>
          <t>yes</t>
        </is>
      </c>
      <c r="V35" s="5" t="inlineStr">
        <is>
          <t>no</t>
        </is>
      </c>
      <c r="W35" s="5" t="inlineStr">
        <is>
          <t>yes</t>
        </is>
      </c>
      <c r="X35" s="5" t="inlineStr">
        <is>
          <t>no</t>
        </is>
      </c>
      <c r="Y35" s="5" t="inlineStr">
        <is>
          <t>no</t>
        </is>
      </c>
      <c r="Z35" s="5" t="inlineStr">
        <is>
          <t>no</t>
        </is>
      </c>
      <c r="AA35" s="5" t="n">
        <v>0.18</v>
      </c>
      <c r="AB35" s="5" t="n">
        <v>0.28</v>
      </c>
      <c r="AC35" s="5" t="n"/>
      <c r="AD35" s="5" t="n"/>
      <c r="AE35" s="5" t="n">
        <v>4596.9</v>
      </c>
      <c r="AF35" s="5" t="n">
        <v>799.5</v>
      </c>
      <c r="AG35" s="5" t="n">
        <v>4602.9</v>
      </c>
      <c r="AH35" s="5" t="n">
        <v>850.7</v>
      </c>
      <c r="AI35" s="5" t="inlineStr">
        <is>
          <t>n/a</t>
        </is>
      </c>
      <c r="AJ35" s="5" t="inlineStr"/>
      <c r="AK35" s="5" t="inlineStr"/>
      <c r="AL35" s="5" t="inlineStr"/>
      <c r="AM35" s="5" t="inlineStr"/>
    </row>
    <row r="36">
      <c r="A36" s="5" t="n">
        <v>35</v>
      </c>
      <c r="B36" s="5" t="inlineStr">
        <is>
          <t>120</t>
        </is>
      </c>
      <c r="C36" s="5" t="inlineStr">
        <is>
          <t>nearest labels (100% agree)</t>
        </is>
      </c>
      <c r="D36" s="5" t="inlineStr">
        <is>
          <t>wall</t>
        </is>
      </c>
      <c r="E36" s="5" t="inlineStr">
        <is>
          <t>core_wall_hatched</t>
        </is>
      </c>
      <c r="F36" s="5" t="inlineStr">
        <is>
          <t>(none)</t>
        </is>
      </c>
      <c r="G36" s="5" t="inlineStr"/>
      <c r="H36" s="5" t="inlineStr">
        <is>
          <t>none</t>
        </is>
      </c>
      <c r="I36" s="5" t="n">
        <v>241</v>
      </c>
      <c r="J36" s="5" t="n">
        <v>20</v>
      </c>
      <c r="K36" s="9">
        <f>IF(AND(ISNUMBER(I36),ISNUMBER(J36),J36&gt;0),I36/J36,"")</f>
        <v/>
      </c>
      <c r="L36" s="5" t="n">
        <v>0.48</v>
      </c>
      <c r="M36" s="5" t="n">
        <v>2.41</v>
      </c>
      <c r="N36" s="5" t="n">
        <v>0</v>
      </c>
      <c r="O36" s="5" t="inlineStr">
        <is>
          <t>cross-hatch</t>
        </is>
      </c>
      <c r="P36" s="5" t="inlineStr">
        <is>
          <t>cross-hatch of short strokes in two perpendicular families</t>
        </is>
      </c>
      <c r="Q36" s="5">
        <f>IF(OR(D36="column",D36="wall"),IF(I36&lt;='P vs V'!$B$3*J36,"column","wall"),"")</f>
        <v/>
      </c>
      <c r="R36" s="5" t="inlineStr"/>
      <c r="S36" s="5" t="inlineStr"/>
      <c r="T36" s="5" t="n"/>
      <c r="U36" s="5" t="inlineStr">
        <is>
          <t>yes</t>
        </is>
      </c>
      <c r="V36" s="5" t="inlineStr">
        <is>
          <t>no</t>
        </is>
      </c>
      <c r="W36" s="5" t="inlineStr">
        <is>
          <t>no</t>
        </is>
      </c>
      <c r="X36" s="5" t="inlineStr">
        <is>
          <t>no</t>
        </is>
      </c>
      <c r="Y36" s="5" t="inlineStr">
        <is>
          <t>no</t>
        </is>
      </c>
      <c r="Z36" s="5" t="inlineStr">
        <is>
          <t>no</t>
        </is>
      </c>
      <c r="AA36" s="5" t="n">
        <v>1.2</v>
      </c>
      <c r="AB36" s="5" t="n">
        <v>0.28</v>
      </c>
      <c r="AC36" s="5" t="n"/>
      <c r="AD36" s="5" t="n"/>
      <c r="AE36" s="5" t="n">
        <v>4648</v>
      </c>
      <c r="AF36" s="5" t="n">
        <v>861.1</v>
      </c>
      <c r="AG36" s="5" t="n">
        <v>4698.9</v>
      </c>
      <c r="AH36" s="5" t="n">
        <v>870.6</v>
      </c>
      <c r="AI36" s="5" t="inlineStr">
        <is>
          <t>n/a</t>
        </is>
      </c>
      <c r="AJ36" s="5" t="inlineStr"/>
      <c r="AK36" s="5" t="inlineStr"/>
      <c r="AL36" s="5" t="inlineStr"/>
      <c r="AM36" s="5" t="inlineStr"/>
    </row>
    <row r="37">
      <c r="A37" s="5" t="n">
        <v>36</v>
      </c>
      <c r="B37" s="5" t="inlineStr">
        <is>
          <t>120</t>
        </is>
      </c>
      <c r="C37" s="5" t="inlineStr">
        <is>
          <t>nearest labels (100% agree)</t>
        </is>
      </c>
      <c r="D37" s="5" t="inlineStr">
        <is>
          <t>wall</t>
        </is>
      </c>
      <c r="E37" s="5" t="inlineStr">
        <is>
          <t>core_wall_hatched</t>
        </is>
      </c>
      <c r="F37" s="5" t="inlineStr">
        <is>
          <t>(none)</t>
        </is>
      </c>
      <c r="G37" s="5" t="inlineStr"/>
      <c r="H37" s="5" t="inlineStr">
        <is>
          <t>none</t>
        </is>
      </c>
      <c r="I37" s="5" t="n">
        <v>408</v>
      </c>
      <c r="J37" s="5" t="n">
        <v>20</v>
      </c>
      <c r="K37" s="9">
        <f>IF(AND(ISNUMBER(I37),ISNUMBER(J37),J37&gt;0),I37/J37,"")</f>
        <v/>
      </c>
      <c r="L37" s="5" t="n">
        <v>0.821</v>
      </c>
      <c r="M37" s="5" t="n">
        <v>4.08</v>
      </c>
      <c r="N37" s="5" t="n">
        <v>180</v>
      </c>
      <c r="O37" s="5" t="inlineStr">
        <is>
          <t>cross-hatch</t>
        </is>
      </c>
      <c r="P37" s="5" t="inlineStr">
        <is>
          <t>cross-hatch of short strokes in two perpendicular families</t>
        </is>
      </c>
      <c r="Q37" s="5">
        <f>IF(OR(D37="column",D37="wall"),IF(I37&lt;='P vs V'!$B$3*J37,"column","wall"),"")</f>
        <v/>
      </c>
      <c r="R37" s="5" t="inlineStr"/>
      <c r="S37" s="5" t="inlineStr"/>
      <c r="T37" s="5" t="n"/>
      <c r="U37" s="5" t="inlineStr">
        <is>
          <t>yes</t>
        </is>
      </c>
      <c r="V37" s="5" t="inlineStr">
        <is>
          <t>no</t>
        </is>
      </c>
      <c r="W37" s="5" t="inlineStr">
        <is>
          <t>yes</t>
        </is>
      </c>
      <c r="X37" s="5" t="inlineStr">
        <is>
          <t>yes</t>
        </is>
      </c>
      <c r="Y37" s="5" t="inlineStr">
        <is>
          <t>no</t>
        </is>
      </c>
      <c r="Z37" s="5" t="inlineStr">
        <is>
          <t>no</t>
        </is>
      </c>
      <c r="AA37" s="5" t="n">
        <v>1.35</v>
      </c>
      <c r="AB37" s="5" t="n">
        <v>0.28</v>
      </c>
      <c r="AC37" s="5" t="n"/>
      <c r="AD37" s="5" t="n"/>
      <c r="AE37" s="5" t="n">
        <v>4745.3</v>
      </c>
      <c r="AF37" s="5" t="n">
        <v>862.9</v>
      </c>
      <c r="AG37" s="5" t="n">
        <v>4870.3</v>
      </c>
      <c r="AH37" s="5" t="n">
        <v>901.3</v>
      </c>
      <c r="AI37" s="5" t="inlineStr">
        <is>
          <t>n/a</t>
        </is>
      </c>
      <c r="AJ37" s="5" t="inlineStr"/>
      <c r="AK37" s="5" t="inlineStr"/>
      <c r="AL37" s="5" t="inlineStr"/>
      <c r="AM37" s="5" t="inlineStr"/>
    </row>
    <row r="38">
      <c r="A38" s="5" t="n">
        <v>37</v>
      </c>
      <c r="B38" s="5" t="inlineStr">
        <is>
          <t>120</t>
        </is>
      </c>
      <c r="C38" s="5" t="inlineStr">
        <is>
          <t>nearest labels (100% agree)</t>
        </is>
      </c>
      <c r="D38" s="5" t="inlineStr">
        <is>
          <t>wall</t>
        </is>
      </c>
      <c r="E38" s="5" t="inlineStr">
        <is>
          <t>core_wall_hatched</t>
        </is>
      </c>
      <c r="F38" s="5" t="inlineStr">
        <is>
          <t>(none)</t>
        </is>
      </c>
      <c r="G38" s="5" t="inlineStr"/>
      <c r="H38" s="5" t="inlineStr">
        <is>
          <t>none</t>
        </is>
      </c>
      <c r="I38" s="5" t="n">
        <v>163</v>
      </c>
      <c r="J38" s="5" t="n">
        <v>20</v>
      </c>
      <c r="K38" s="9">
        <f>IF(AND(ISNUMBER(I38),ISNUMBER(J38),J38&gt;0),I38/J38,"")</f>
        <v/>
      </c>
      <c r="L38" s="5" t="n">
        <v>0.324</v>
      </c>
      <c r="M38" s="5" t="n">
        <v>1.63</v>
      </c>
      <c r="N38" s="5" t="n">
        <v>0</v>
      </c>
      <c r="O38" s="5" t="inlineStr">
        <is>
          <t>cross-hatch</t>
        </is>
      </c>
      <c r="P38" s="5" t="inlineStr">
        <is>
          <t>cross-hatch of short strokes in two perpendicular families</t>
        </is>
      </c>
      <c r="Q38" s="5">
        <f>IF(OR(D38="column",D38="wall"),IF(I38&lt;='P vs V'!$B$3*J38,"column","wall"),"")</f>
        <v/>
      </c>
      <c r="R38" s="5" t="inlineStr"/>
      <c r="S38" s="5" t="inlineStr"/>
      <c r="T38" s="5" t="n"/>
      <c r="U38" s="5" t="inlineStr">
        <is>
          <t>yes</t>
        </is>
      </c>
      <c r="V38" s="5" t="inlineStr">
        <is>
          <t>no</t>
        </is>
      </c>
      <c r="W38" s="5" t="inlineStr">
        <is>
          <t>no</t>
        </is>
      </c>
      <c r="X38" s="5" t="inlineStr">
        <is>
          <t>no</t>
        </is>
      </c>
      <c r="Y38" s="5" t="inlineStr">
        <is>
          <t>no</t>
        </is>
      </c>
      <c r="Z38" s="5" t="inlineStr">
        <is>
          <t>no</t>
        </is>
      </c>
      <c r="AA38" s="5" t="n">
        <v>0.86</v>
      </c>
      <c r="AB38" s="5" t="n">
        <v>0.28</v>
      </c>
      <c r="AC38" s="5" t="n"/>
      <c r="AD38" s="5" t="n"/>
      <c r="AE38" s="5" t="n">
        <v>4800</v>
      </c>
      <c r="AF38" s="5" t="n">
        <v>802.4</v>
      </c>
      <c r="AG38" s="5" t="n">
        <v>4869.3</v>
      </c>
      <c r="AH38" s="5" t="n">
        <v>808.2</v>
      </c>
      <c r="AI38" s="5" t="inlineStr">
        <is>
          <t>n/a</t>
        </is>
      </c>
      <c r="AJ38" s="5" t="inlineStr"/>
      <c r="AK38" s="5" t="inlineStr"/>
      <c r="AL38" s="5" t="inlineStr"/>
      <c r="AM38" s="5" t="inlineStr"/>
    </row>
    <row r="39">
      <c r="A39" s="5" t="n">
        <v>38</v>
      </c>
      <c r="B39" s="5" t="inlineStr">
        <is>
          <t>120</t>
        </is>
      </c>
      <c r="C39" s="5" t="inlineStr">
        <is>
          <t>nearest labels (60% agree)</t>
        </is>
      </c>
      <c r="D39" s="5" t="inlineStr">
        <is>
          <t>footing</t>
        </is>
      </c>
      <c r="E39" s="5" t="inlineStr">
        <is>
          <t>combined_footing</t>
        </is>
      </c>
      <c r="F39" s="5" t="inlineStr">
        <is>
          <t>SC3</t>
        </is>
      </c>
      <c r="G39" s="5" t="inlineStr">
        <is>
          <t>SC3-</t>
        </is>
      </c>
      <c r="H39" s="5" t="inlineStr">
        <is>
          <t>printed</t>
        </is>
      </c>
      <c r="I39" s="5" t="n">
        <v>500</v>
      </c>
      <c r="J39" s="5" t="n">
        <v>450</v>
      </c>
      <c r="K39" s="9">
        <f>IF(AND(ISNUMBER(I39),ISNUMBER(J39),J39&gt;0),I39/J39,"")</f>
        <v/>
      </c>
      <c r="L39" s="5" t="n">
        <v>22.501</v>
      </c>
      <c r="M39" s="5" t="n"/>
      <c r="N39" s="5" t="n">
        <v>179.9</v>
      </c>
      <c r="O39" s="5" t="inlineStr">
        <is>
          <t>closed outline</t>
        </is>
      </c>
      <c r="P39" s="5" t="inlineStr">
        <is>
          <t>closed rectangular outline around a column/wall or next to an S/SC label</t>
        </is>
      </c>
      <c r="Q39" s="5">
        <f>IF(OR(D39="column",D39="wall"),IF(I39&lt;='P vs V'!$B$3*J39,"column","wall"),"")</f>
        <v/>
      </c>
      <c r="R39" s="5" t="inlineStr"/>
      <c r="S39" s="5" t="inlineStr">
        <is>
          <t>wall+wall</t>
        </is>
      </c>
      <c r="T39" s="5" t="n">
        <v>23</v>
      </c>
      <c r="U39" s="5" t="inlineStr">
        <is>
          <t>no</t>
        </is>
      </c>
      <c r="V39" s="5" t="inlineStr">
        <is>
          <t>no</t>
        </is>
      </c>
      <c r="W39" s="5" t="inlineStr">
        <is>
          <t>yes</t>
        </is>
      </c>
      <c r="X39" s="5" t="inlineStr">
        <is>
          <t>no</t>
        </is>
      </c>
      <c r="Y39" s="5" t="inlineStr">
        <is>
          <t>yes</t>
        </is>
      </c>
      <c r="Z39" s="5" t="inlineStr">
        <is>
          <t>yes</t>
        </is>
      </c>
      <c r="AA39" s="5" t="n">
        <v>6.34</v>
      </c>
      <c r="AB39" s="5" t="n"/>
      <c r="AC39" s="5" t="n"/>
      <c r="AD39" s="5" t="n"/>
      <c r="AE39" s="5" t="n">
        <v>4463.4</v>
      </c>
      <c r="AF39" s="5" t="n">
        <v>1264</v>
      </c>
      <c r="AG39" s="5" t="n">
        <v>4611.3</v>
      </c>
      <c r="AH39" s="5" t="n">
        <v>1397.2</v>
      </c>
      <c r="AI39" s="5" t="inlineStr">
        <is>
          <t>yes</t>
        </is>
      </c>
      <c r="AJ39" s="5" t="inlineStr">
        <is>
          <t>combined_footing</t>
        </is>
      </c>
      <c r="AK39" s="5" t="inlineStr"/>
      <c r="AL39" s="5" t="inlineStr">
        <is>
          <t>(0.72, 0.72, 0.0)</t>
        </is>
      </c>
      <c r="AM39" s="5" t="inlineStr">
        <is>
          <t>DM-SEMELLES</t>
        </is>
      </c>
    </row>
    <row r="40">
      <c r="A40" s="5" t="n">
        <v>39</v>
      </c>
      <c r="B40" s="5" t="inlineStr">
        <is>
          <t>120</t>
        </is>
      </c>
      <c r="C40" s="5" t="inlineStr">
        <is>
          <t>own label</t>
        </is>
      </c>
      <c r="D40" s="5" t="inlineStr">
        <is>
          <t>footing</t>
        </is>
      </c>
      <c r="E40" s="5" t="inlineStr">
        <is>
          <t>isolated_footing</t>
        </is>
      </c>
      <c r="F40" s="5" t="inlineStr">
        <is>
          <t>S1</t>
        </is>
      </c>
      <c r="G40" s="5" t="inlineStr">
        <is>
          <t>S1-120120</t>
        </is>
      </c>
      <c r="H40" s="5" t="inlineStr">
        <is>
          <t>printed</t>
        </is>
      </c>
      <c r="I40" s="5" t="n">
        <v>280</v>
      </c>
      <c r="J40" s="5" t="n">
        <v>280</v>
      </c>
      <c r="K40" s="9">
        <f>IF(AND(ISNUMBER(I40),ISNUMBER(J40),J40&gt;0),I40/J40,"")</f>
        <v/>
      </c>
      <c r="L40" s="5" t="n">
        <v>7.843</v>
      </c>
      <c r="M40" s="5" t="n"/>
      <c r="N40" s="5" t="n">
        <v>90</v>
      </c>
      <c r="O40" s="5" t="inlineStr">
        <is>
          <t>closed outline</t>
        </is>
      </c>
      <c r="P40" s="5" t="inlineStr">
        <is>
          <t>closed rectangular outline around a column/wall or next to an S/SC label</t>
        </is>
      </c>
      <c r="Q40" s="5">
        <f>IF(OR(D40="column",D40="wall"),IF(I40&lt;='P vs V'!$B$3*J40,"column","wall"),"")</f>
        <v/>
      </c>
      <c r="R40" s="5" t="inlineStr"/>
      <c r="S40" s="5" t="inlineStr">
        <is>
          <t>wall</t>
        </is>
      </c>
      <c r="T40" s="5" t="n">
        <v>0</v>
      </c>
      <c r="U40" s="5" t="inlineStr">
        <is>
          <t>no</t>
        </is>
      </c>
      <c r="V40" s="5" t="inlineStr">
        <is>
          <t>no</t>
        </is>
      </c>
      <c r="W40" s="5" t="inlineStr">
        <is>
          <t>yes</t>
        </is>
      </c>
      <c r="X40" s="5" t="inlineStr">
        <is>
          <t>no</t>
        </is>
      </c>
      <c r="Y40" s="5" t="inlineStr">
        <is>
          <t>no</t>
        </is>
      </c>
      <c r="Z40" s="5" t="inlineStr">
        <is>
          <t>no</t>
        </is>
      </c>
      <c r="AA40" s="5" t="n">
        <v>1.29</v>
      </c>
      <c r="AB40" s="5" t="n"/>
      <c r="AC40" s="5" t="n"/>
      <c r="AD40" s="5" t="n"/>
      <c r="AE40" s="5" t="n">
        <v>4726</v>
      </c>
      <c r="AF40" s="5" t="n">
        <v>404.9</v>
      </c>
      <c r="AG40" s="5" t="n">
        <v>4808.7</v>
      </c>
      <c r="AH40" s="5" t="n">
        <v>487.6</v>
      </c>
      <c r="AI40" s="5" t="inlineStr">
        <is>
          <t>yes</t>
        </is>
      </c>
      <c r="AJ40" s="5" t="inlineStr">
        <is>
          <t>isolated_footing</t>
        </is>
      </c>
      <c r="AK40" s="5" t="inlineStr"/>
      <c r="AL40" s="5" t="inlineStr">
        <is>
          <t>(0.72, 0.72, 0.0)</t>
        </is>
      </c>
      <c r="AM40" s="5" t="inlineStr">
        <is>
          <t>DM-SEMELLES</t>
        </is>
      </c>
    </row>
    <row r="41">
      <c r="A41" s="5" t="n">
        <v>40</v>
      </c>
      <c r="B41" s="5" t="inlineStr">
        <is>
          <t>120</t>
        </is>
      </c>
      <c r="C41" s="5" t="inlineStr">
        <is>
          <t>own label</t>
        </is>
      </c>
      <c r="D41" s="5" t="inlineStr">
        <is>
          <t>footing</t>
        </is>
      </c>
      <c r="E41" s="5" t="inlineStr">
        <is>
          <t>isolated_footing</t>
        </is>
      </c>
      <c r="F41" s="5" t="inlineStr">
        <is>
          <t>S2</t>
        </is>
      </c>
      <c r="G41" s="5" t="inlineStr">
        <is>
          <t>S2-120120</t>
        </is>
      </c>
      <c r="H41" s="5" t="inlineStr">
        <is>
          <t>printed</t>
        </is>
      </c>
      <c r="I41" s="5" t="n">
        <v>350</v>
      </c>
      <c r="J41" s="5" t="n">
        <v>200</v>
      </c>
      <c r="K41" s="9">
        <f>IF(AND(ISNUMBER(I41),ISNUMBER(J41),J41&gt;0),I41/J41,"")</f>
        <v/>
      </c>
      <c r="L41" s="5" t="n">
        <v>7.001</v>
      </c>
      <c r="M41" s="5" t="n"/>
      <c r="N41" s="5" t="n">
        <v>0</v>
      </c>
      <c r="O41" s="5" t="inlineStr">
        <is>
          <t>closed outline</t>
        </is>
      </c>
      <c r="P41" s="5" t="inlineStr">
        <is>
          <t>closed rectangular outline around a column/wall or next to an S/SC label</t>
        </is>
      </c>
      <c r="Q41" s="5">
        <f>IF(OR(D41="column",D41="wall"),IF(I41&lt;='P vs V'!$B$3*J41,"column","wall"),"")</f>
        <v/>
      </c>
      <c r="R41" s="5" t="inlineStr"/>
      <c r="S41" s="5" t="inlineStr">
        <is>
          <t>wall</t>
        </is>
      </c>
      <c r="T41" s="5" t="n">
        <v>13</v>
      </c>
      <c r="U41" s="5" t="inlineStr">
        <is>
          <t>no</t>
        </is>
      </c>
      <c r="V41" s="5" t="inlineStr">
        <is>
          <t>no</t>
        </is>
      </c>
      <c r="W41" s="5" t="inlineStr">
        <is>
          <t>yes</t>
        </is>
      </c>
      <c r="X41" s="5" t="inlineStr">
        <is>
          <t>no</t>
        </is>
      </c>
      <c r="Y41" s="5" t="inlineStr">
        <is>
          <t>yes</t>
        </is>
      </c>
      <c r="Z41" s="5" t="inlineStr">
        <is>
          <t>yes</t>
        </is>
      </c>
      <c r="AA41" s="5" t="n">
        <v>1.43</v>
      </c>
      <c r="AB41" s="5" t="n"/>
      <c r="AC41" s="5" t="n"/>
      <c r="AD41" s="5" t="n"/>
      <c r="AE41" s="5" t="n">
        <v>4248.2</v>
      </c>
      <c r="AF41" s="5" t="n">
        <v>610.5</v>
      </c>
      <c r="AG41" s="5" t="n">
        <v>4351.6</v>
      </c>
      <c r="AH41" s="5" t="n">
        <v>669.6</v>
      </c>
      <c r="AI41" s="5" t="inlineStr">
        <is>
          <t>yes</t>
        </is>
      </c>
      <c r="AJ41" s="5" t="inlineStr">
        <is>
          <t>isolated_footing</t>
        </is>
      </c>
      <c r="AK41" s="5" t="inlineStr"/>
      <c r="AL41" s="5" t="inlineStr">
        <is>
          <t>(0.72, 0.72, 0.0)</t>
        </is>
      </c>
      <c r="AM41" s="5" t="inlineStr">
        <is>
          <t>DM-SEMELLES</t>
        </is>
      </c>
    </row>
    <row r="42">
      <c r="A42" s="5" t="n">
        <v>41</v>
      </c>
      <c r="B42" s="5" t="inlineStr">
        <is>
          <t>120</t>
        </is>
      </c>
      <c r="C42" s="5" t="inlineStr">
        <is>
          <t>own label</t>
        </is>
      </c>
      <c r="D42" s="5" t="inlineStr">
        <is>
          <t>footing</t>
        </is>
      </c>
      <c r="E42" s="5" t="inlineStr">
        <is>
          <t>isolated_footing</t>
        </is>
      </c>
      <c r="F42" s="5" t="inlineStr">
        <is>
          <t>S2</t>
        </is>
      </c>
      <c r="G42" s="5" t="inlineStr">
        <is>
          <t>S2-120120</t>
        </is>
      </c>
      <c r="H42" s="5" t="inlineStr">
        <is>
          <t>printed</t>
        </is>
      </c>
      <c r="I42" s="5" t="n">
        <v>350</v>
      </c>
      <c r="J42" s="5" t="n">
        <v>200</v>
      </c>
      <c r="K42" s="9">
        <f>IF(AND(ISNUMBER(I42),ISNUMBER(J42),J42&gt;0),I42/J42,"")</f>
        <v/>
      </c>
      <c r="L42" s="5" t="n">
        <v>7.001</v>
      </c>
      <c r="M42" s="5" t="n"/>
      <c r="N42" s="5" t="n">
        <v>0</v>
      </c>
      <c r="O42" s="5" t="inlineStr">
        <is>
          <t>closed outline</t>
        </is>
      </c>
      <c r="P42" s="5" t="inlineStr">
        <is>
          <t>closed rectangular outline around a column/wall or next to an S/SC label</t>
        </is>
      </c>
      <c r="Q42" s="5">
        <f>IF(OR(D42="column",D42="wall"),IF(I42&lt;='P vs V'!$B$3*J42,"column","wall"),"")</f>
        <v/>
      </c>
      <c r="R42" s="5" t="inlineStr"/>
      <c r="S42" s="5" t="inlineStr">
        <is>
          <t>wall</t>
        </is>
      </c>
      <c r="T42" s="5" t="n">
        <v>17</v>
      </c>
      <c r="U42" s="5" t="inlineStr">
        <is>
          <t>no</t>
        </is>
      </c>
      <c r="V42" s="5" t="inlineStr">
        <is>
          <t>no</t>
        </is>
      </c>
      <c r="W42" s="5" t="inlineStr">
        <is>
          <t>yes</t>
        </is>
      </c>
      <c r="X42" s="5" t="inlineStr">
        <is>
          <t>no</t>
        </is>
      </c>
      <c r="Y42" s="5" t="inlineStr">
        <is>
          <t>yes</t>
        </is>
      </c>
      <c r="Z42" s="5" t="inlineStr">
        <is>
          <t>yes</t>
        </is>
      </c>
      <c r="AA42" s="5" t="n">
        <v>2.95</v>
      </c>
      <c r="AB42" s="5" t="n"/>
      <c r="AC42" s="5" t="n"/>
      <c r="AD42" s="5" t="n"/>
      <c r="AE42" s="5" t="n">
        <v>4248.1</v>
      </c>
      <c r="AF42" s="5" t="n">
        <v>835.2</v>
      </c>
      <c r="AG42" s="5" t="n">
        <v>4351.5</v>
      </c>
      <c r="AH42" s="5" t="n">
        <v>894.4</v>
      </c>
      <c r="AI42" s="5" t="inlineStr">
        <is>
          <t>yes</t>
        </is>
      </c>
      <c r="AJ42" s="5" t="inlineStr">
        <is>
          <t>isolated_footing</t>
        </is>
      </c>
      <c r="AK42" s="5" t="inlineStr"/>
      <c r="AL42" s="5" t="inlineStr">
        <is>
          <t>(0.72, 0.72, 0.0)</t>
        </is>
      </c>
      <c r="AM42" s="5" t="inlineStr">
        <is>
          <t>DM-SEMELLES</t>
        </is>
      </c>
    </row>
    <row r="43">
      <c r="A43" s="5" t="n">
        <v>42</v>
      </c>
      <c r="B43" s="5" t="inlineStr">
        <is>
          <t>120</t>
        </is>
      </c>
      <c r="C43" s="5" t="inlineStr">
        <is>
          <t>own label</t>
        </is>
      </c>
      <c r="D43" s="5" t="inlineStr">
        <is>
          <t>footing</t>
        </is>
      </c>
      <c r="E43" s="5" t="inlineStr">
        <is>
          <t>isolated_footing</t>
        </is>
      </c>
      <c r="F43" s="5" t="inlineStr">
        <is>
          <t>S2</t>
        </is>
      </c>
      <c r="G43" s="5" t="inlineStr">
        <is>
          <t>S2-120120</t>
        </is>
      </c>
      <c r="H43" s="5" t="inlineStr">
        <is>
          <t>printed</t>
        </is>
      </c>
      <c r="I43" s="5" t="n">
        <v>350</v>
      </c>
      <c r="J43" s="5" t="n">
        <v>200</v>
      </c>
      <c r="K43" s="9">
        <f>IF(AND(ISNUMBER(I43),ISNUMBER(J43),J43&gt;0),I43/J43,"")</f>
        <v/>
      </c>
      <c r="L43" s="5" t="n">
        <v>7.001</v>
      </c>
      <c r="M43" s="5" t="n"/>
      <c r="N43" s="5" t="n">
        <v>0</v>
      </c>
      <c r="O43" s="5" t="inlineStr">
        <is>
          <t>closed outline</t>
        </is>
      </c>
      <c r="P43" s="5" t="inlineStr">
        <is>
          <t>closed rectangular outline around a column/wall or next to an S/SC label</t>
        </is>
      </c>
      <c r="Q43" s="5">
        <f>IF(OR(D43="column",D43="wall"),IF(I43&lt;='P vs V'!$B$3*J43,"column","wall"),"")</f>
        <v/>
      </c>
      <c r="R43" s="5" t="inlineStr"/>
      <c r="S43" s="5" t="inlineStr">
        <is>
          <t>wall</t>
        </is>
      </c>
      <c r="T43" s="5" t="n">
        <v>13</v>
      </c>
      <c r="U43" s="5" t="inlineStr">
        <is>
          <t>no</t>
        </is>
      </c>
      <c r="V43" s="5" t="inlineStr">
        <is>
          <t>no</t>
        </is>
      </c>
      <c r="W43" s="5" t="inlineStr">
        <is>
          <t>yes</t>
        </is>
      </c>
      <c r="X43" s="5" t="inlineStr">
        <is>
          <t>no</t>
        </is>
      </c>
      <c r="Y43" s="5" t="inlineStr">
        <is>
          <t>yes</t>
        </is>
      </c>
      <c r="Z43" s="5" t="inlineStr">
        <is>
          <t>yes</t>
        </is>
      </c>
      <c r="AA43" s="5" t="n">
        <v>1.56</v>
      </c>
      <c r="AB43" s="5" t="n"/>
      <c r="AC43" s="5" t="n"/>
      <c r="AD43" s="5" t="n"/>
      <c r="AE43" s="5" t="n">
        <v>4247.9</v>
      </c>
      <c r="AF43" s="5" t="n">
        <v>1067.9</v>
      </c>
      <c r="AG43" s="5" t="n">
        <v>4351.3</v>
      </c>
      <c r="AH43" s="5" t="n">
        <v>1127</v>
      </c>
      <c r="AI43" s="5" t="inlineStr">
        <is>
          <t>yes</t>
        </is>
      </c>
      <c r="AJ43" s="5" t="inlineStr">
        <is>
          <t>isolated_footing</t>
        </is>
      </c>
      <c r="AK43" s="5" t="inlineStr"/>
      <c r="AL43" s="5" t="inlineStr">
        <is>
          <t>(0.72, 0.72, 0.0)</t>
        </is>
      </c>
      <c r="AM43" s="5" t="inlineStr">
        <is>
          <t>DM-SEMELLES</t>
        </is>
      </c>
    </row>
    <row r="44">
      <c r="A44" s="5" t="n">
        <v>43</v>
      </c>
      <c r="B44" s="5" t="inlineStr">
        <is>
          <t>120</t>
        </is>
      </c>
      <c r="C44" s="5" t="inlineStr">
        <is>
          <t>own label</t>
        </is>
      </c>
      <c r="D44" s="5" t="inlineStr">
        <is>
          <t>footing</t>
        </is>
      </c>
      <c r="E44" s="5" t="inlineStr">
        <is>
          <t>isolated_footing</t>
        </is>
      </c>
      <c r="F44" s="5" t="inlineStr">
        <is>
          <t>S3</t>
        </is>
      </c>
      <c r="G44" s="5" t="inlineStr">
        <is>
          <t>S3-120120</t>
        </is>
      </c>
      <c r="H44" s="5" t="inlineStr">
        <is>
          <t>printed</t>
        </is>
      </c>
      <c r="I44" s="5" t="n">
        <v>320</v>
      </c>
      <c r="J44" s="5" t="n">
        <v>320</v>
      </c>
      <c r="K44" s="9">
        <f>IF(AND(ISNUMBER(I44),ISNUMBER(J44),J44&gt;0),I44/J44,"")</f>
        <v/>
      </c>
      <c r="L44" s="5" t="n">
        <v>10.244</v>
      </c>
      <c r="M44" s="5" t="n"/>
      <c r="N44" s="5" t="n">
        <v>0</v>
      </c>
      <c r="O44" s="5" t="inlineStr">
        <is>
          <t>closed outline</t>
        </is>
      </c>
      <c r="P44" s="5" t="inlineStr">
        <is>
          <t>closed rectangular outline around a column/wall or next to an S/SC label</t>
        </is>
      </c>
      <c r="Q44" s="5">
        <f>IF(OR(D44="column",D44="wall"),IF(I44&lt;='P vs V'!$B$3*J44,"column","wall"),"")</f>
        <v/>
      </c>
      <c r="R44" s="5" t="inlineStr"/>
      <c r="S44" s="5" t="inlineStr">
        <is>
          <t>wall</t>
        </is>
      </c>
      <c r="T44" s="5" t="n">
        <v>0</v>
      </c>
      <c r="U44" s="5" t="inlineStr">
        <is>
          <t>no</t>
        </is>
      </c>
      <c r="V44" s="5" t="inlineStr">
        <is>
          <t>no</t>
        </is>
      </c>
      <c r="W44" s="5" t="inlineStr">
        <is>
          <t>yes</t>
        </is>
      </c>
      <c r="X44" s="5" t="inlineStr">
        <is>
          <t>no</t>
        </is>
      </c>
      <c r="Y44" s="5" t="inlineStr">
        <is>
          <t>no</t>
        </is>
      </c>
      <c r="Z44" s="5" t="inlineStr">
        <is>
          <t>no</t>
        </is>
      </c>
      <c r="AA44" s="5" t="n">
        <v>2.8</v>
      </c>
      <c r="AB44" s="5" t="n"/>
      <c r="AC44" s="5" t="n"/>
      <c r="AD44" s="5" t="n"/>
      <c r="AE44" s="5" t="n">
        <v>4720.2</v>
      </c>
      <c r="AF44" s="5" t="n">
        <v>551.1</v>
      </c>
      <c r="AG44" s="5" t="n">
        <v>4814.7</v>
      </c>
      <c r="AH44" s="5" t="n">
        <v>645.7</v>
      </c>
      <c r="AI44" s="5" t="inlineStr">
        <is>
          <t>yes</t>
        </is>
      </c>
      <c r="AJ44" s="5" t="inlineStr">
        <is>
          <t>isolated_footing</t>
        </is>
      </c>
      <c r="AK44" s="5" t="inlineStr"/>
      <c r="AL44" s="5" t="inlineStr">
        <is>
          <t>(1.0, 0.0, 0.0)</t>
        </is>
      </c>
      <c r="AM44" s="5" t="inlineStr">
        <is>
          <t>C-LIGN_VUE</t>
        </is>
      </c>
    </row>
    <row r="45">
      <c r="A45" s="5" t="n">
        <v>44</v>
      </c>
      <c r="B45" s="5" t="inlineStr">
        <is>
          <t>120</t>
        </is>
      </c>
      <c r="C45" s="5" t="inlineStr">
        <is>
          <t>own label</t>
        </is>
      </c>
      <c r="D45" s="5" t="inlineStr">
        <is>
          <t>footing</t>
        </is>
      </c>
      <c r="E45" s="5" t="inlineStr">
        <is>
          <t>isolated_footing</t>
        </is>
      </c>
      <c r="F45" s="5" t="inlineStr">
        <is>
          <t>S5</t>
        </is>
      </c>
      <c r="G45" s="5" t="inlineStr">
        <is>
          <t>S5-120120</t>
        </is>
      </c>
      <c r="H45" s="5" t="inlineStr">
        <is>
          <t>printed</t>
        </is>
      </c>
      <c r="I45" s="5" t="n">
        <v>450</v>
      </c>
      <c r="J45" s="5" t="n">
        <v>400</v>
      </c>
      <c r="K45" s="9">
        <f>IF(AND(ISNUMBER(I45),ISNUMBER(J45),J45&gt;0),I45/J45,"")</f>
        <v/>
      </c>
      <c r="L45" s="5" t="n">
        <v>18.004</v>
      </c>
      <c r="M45" s="5" t="n"/>
      <c r="N45" s="5" t="n">
        <v>0.1</v>
      </c>
      <c r="O45" s="5" t="inlineStr">
        <is>
          <t>closed outline</t>
        </is>
      </c>
      <c r="P45" s="5" t="inlineStr">
        <is>
          <t>closed rectangular outline around a column/wall or next to an S/SC label</t>
        </is>
      </c>
      <c r="Q45" s="5">
        <f>IF(OR(D45="column",D45="wall"),IF(I45&lt;='P vs V'!$B$3*J45,"column","wall"),"")</f>
        <v/>
      </c>
      <c r="R45" s="5" t="inlineStr"/>
      <c r="S45" s="5" t="inlineStr">
        <is>
          <t>wall</t>
        </is>
      </c>
      <c r="T45" s="5" t="n">
        <v>0</v>
      </c>
      <c r="U45" s="5" t="inlineStr">
        <is>
          <t>no</t>
        </is>
      </c>
      <c r="V45" s="5" t="inlineStr">
        <is>
          <t>no</t>
        </is>
      </c>
      <c r="W45" s="5" t="inlineStr">
        <is>
          <t>yes</t>
        </is>
      </c>
      <c r="X45" s="5" t="inlineStr">
        <is>
          <t>no</t>
        </is>
      </c>
      <c r="Y45" s="5" t="inlineStr">
        <is>
          <t>yes</t>
        </is>
      </c>
      <c r="Z45" s="5" t="inlineStr">
        <is>
          <t>yes</t>
        </is>
      </c>
      <c r="AA45" s="5" t="n">
        <v>0.02</v>
      </c>
      <c r="AB45" s="5" t="n"/>
      <c r="AC45" s="5" t="n"/>
      <c r="AD45" s="5" t="n"/>
      <c r="AE45" s="5" t="n">
        <v>4479.6</v>
      </c>
      <c r="AF45" s="5" t="n">
        <v>1085</v>
      </c>
      <c r="AG45" s="5" t="n">
        <v>4612.6</v>
      </c>
      <c r="AH45" s="5" t="n">
        <v>1203.4</v>
      </c>
      <c r="AI45" s="5" t="inlineStr">
        <is>
          <t>yes</t>
        </is>
      </c>
      <c r="AJ45" s="5" t="inlineStr">
        <is>
          <t>isolated_footing</t>
        </is>
      </c>
      <c r="AK45" s="5" t="inlineStr"/>
      <c r="AL45" s="5" t="inlineStr">
        <is>
          <t>(0.72, 0.72, 0.0)</t>
        </is>
      </c>
      <c r="AM45" s="5" t="inlineStr">
        <is>
          <t>DM-SEMELLES</t>
        </is>
      </c>
    </row>
    <row r="46">
      <c r="A46" s="5" t="n">
        <v>45</v>
      </c>
      <c r="B46" s="5" t="inlineStr">
        <is>
          <t>120</t>
        </is>
      </c>
      <c r="C46" s="5" t="inlineStr">
        <is>
          <t>own label</t>
        </is>
      </c>
      <c r="D46" s="5" t="inlineStr">
        <is>
          <t>footing</t>
        </is>
      </c>
      <c r="E46" s="5" t="inlineStr">
        <is>
          <t>isolated_footing</t>
        </is>
      </c>
      <c r="F46" s="5" t="inlineStr">
        <is>
          <t>S6</t>
        </is>
      </c>
      <c r="G46" s="5" t="inlineStr">
        <is>
          <t>S6-120120</t>
        </is>
      </c>
      <c r="H46" s="5" t="inlineStr">
        <is>
          <t>printed</t>
        </is>
      </c>
      <c r="I46" s="5" t="n">
        <v>500</v>
      </c>
      <c r="J46" s="5" t="n">
        <v>450</v>
      </c>
      <c r="K46" s="9">
        <f>IF(AND(ISNUMBER(I46),ISNUMBER(J46),J46&gt;0),I46/J46,"")</f>
        <v/>
      </c>
      <c r="L46" s="5" t="n">
        <v>22.506</v>
      </c>
      <c r="M46" s="5" t="n"/>
      <c r="N46" s="5" t="n">
        <v>0.2</v>
      </c>
      <c r="O46" s="5" t="inlineStr">
        <is>
          <t>closed outline</t>
        </is>
      </c>
      <c r="P46" s="5" t="inlineStr">
        <is>
          <t>closed rectangular outline around a column/wall or next to an S/SC label</t>
        </is>
      </c>
      <c r="Q46" s="5">
        <f>IF(OR(D46="column",D46="wall"),IF(I46&lt;='P vs V'!$B$3*J46,"column","wall"),"")</f>
        <v/>
      </c>
      <c r="R46" s="5" t="inlineStr"/>
      <c r="S46" s="5" t="inlineStr">
        <is>
          <t>wall</t>
        </is>
      </c>
      <c r="T46" s="5" t="n">
        <v>1</v>
      </c>
      <c r="U46" s="5" t="inlineStr">
        <is>
          <t>no</t>
        </is>
      </c>
      <c r="V46" s="5" t="inlineStr">
        <is>
          <t>no</t>
        </is>
      </c>
      <c r="W46" s="5" t="inlineStr">
        <is>
          <t>yes</t>
        </is>
      </c>
      <c r="X46" s="5" t="inlineStr">
        <is>
          <t>no</t>
        </is>
      </c>
      <c r="Y46" s="5" t="inlineStr">
        <is>
          <t>yes</t>
        </is>
      </c>
      <c r="Z46" s="5" t="inlineStr">
        <is>
          <t>yes</t>
        </is>
      </c>
      <c r="AA46" s="5" t="n">
        <v>9.33</v>
      </c>
      <c r="AB46" s="5" t="n"/>
      <c r="AC46" s="5" t="n"/>
      <c r="AD46" s="5" t="n"/>
      <c r="AE46" s="5" t="n">
        <v>4481.1</v>
      </c>
      <c r="AF46" s="5" t="n">
        <v>1877.9</v>
      </c>
      <c r="AG46" s="5" t="n">
        <v>4629.1</v>
      </c>
      <c r="AH46" s="5" t="n">
        <v>2011.2</v>
      </c>
      <c r="AI46" s="5" t="inlineStr">
        <is>
          <t>yes</t>
        </is>
      </c>
      <c r="AJ46" s="5" t="inlineStr">
        <is>
          <t>isolated_footing</t>
        </is>
      </c>
      <c r="AK46" s="5" t="inlineStr"/>
      <c r="AL46" s="5" t="inlineStr">
        <is>
          <t>(0.72, 0.72, 0.0)</t>
        </is>
      </c>
      <c r="AM46" s="5" t="inlineStr">
        <is>
          <t>DM-SEMELLES</t>
        </is>
      </c>
    </row>
    <row r="47">
      <c r="A47" s="5" t="n">
        <v>46</v>
      </c>
      <c r="B47" s="5" t="inlineStr">
        <is>
          <t>120</t>
        </is>
      </c>
      <c r="C47" s="5" t="inlineStr">
        <is>
          <t>own label</t>
        </is>
      </c>
      <c r="D47" s="5" t="inlineStr">
        <is>
          <t>footing</t>
        </is>
      </c>
      <c r="E47" s="5" t="inlineStr">
        <is>
          <t>isolated_footing</t>
        </is>
      </c>
      <c r="F47" s="5" t="inlineStr">
        <is>
          <t>S6</t>
        </is>
      </c>
      <c r="G47" s="5" t="inlineStr">
        <is>
          <t>S6-120120</t>
        </is>
      </c>
      <c r="H47" s="5" t="inlineStr">
        <is>
          <t>printed</t>
        </is>
      </c>
      <c r="I47" s="5" t="n">
        <v>500</v>
      </c>
      <c r="J47" s="5" t="n">
        <v>450</v>
      </c>
      <c r="K47" s="9">
        <f>IF(AND(ISNUMBER(I47),ISNUMBER(J47),J47&gt;0),I47/J47,"")</f>
        <v/>
      </c>
      <c r="L47" s="5" t="n">
        <v>22.481</v>
      </c>
      <c r="M47" s="5" t="n"/>
      <c r="N47" s="5" t="n">
        <v>90</v>
      </c>
      <c r="O47" s="5" t="inlineStr">
        <is>
          <t>closed outline</t>
        </is>
      </c>
      <c r="P47" s="5" t="inlineStr">
        <is>
          <t>closed rectangular outline around a column/wall or next to an S/SC label</t>
        </is>
      </c>
      <c r="Q47" s="5">
        <f>IF(OR(D47="column",D47="wall"),IF(I47&lt;='P vs V'!$B$3*J47,"column","wall"),"")</f>
        <v/>
      </c>
      <c r="R47" s="5" t="inlineStr"/>
      <c r="S47" s="5" t="inlineStr">
        <is>
          <t>wall</t>
        </is>
      </c>
      <c r="T47" s="5" t="n">
        <v>1</v>
      </c>
      <c r="U47" s="5" t="inlineStr">
        <is>
          <t>no</t>
        </is>
      </c>
      <c r="V47" s="5" t="inlineStr">
        <is>
          <t>no</t>
        </is>
      </c>
      <c r="W47" s="5" t="inlineStr">
        <is>
          <t>yes</t>
        </is>
      </c>
      <c r="X47" s="5" t="inlineStr">
        <is>
          <t>no</t>
        </is>
      </c>
      <c r="Y47" s="5" t="inlineStr">
        <is>
          <t>yes</t>
        </is>
      </c>
      <c r="Z47" s="5" t="inlineStr">
        <is>
          <t>no</t>
        </is>
      </c>
      <c r="AA47" s="5" t="n">
        <v>3.32</v>
      </c>
      <c r="AB47" s="5" t="n"/>
      <c r="AC47" s="5" t="n"/>
      <c r="AD47" s="5" t="n"/>
      <c r="AE47" s="5" t="n">
        <v>4701.1</v>
      </c>
      <c r="AF47" s="5" t="n">
        <v>1016.7</v>
      </c>
      <c r="AG47" s="5" t="n">
        <v>4834.1</v>
      </c>
      <c r="AH47" s="5" t="n">
        <v>1164.3</v>
      </c>
      <c r="AI47" s="5" t="inlineStr">
        <is>
          <t>yes</t>
        </is>
      </c>
      <c r="AJ47" s="5" t="inlineStr">
        <is>
          <t>isolated_footing</t>
        </is>
      </c>
      <c r="AK47" s="5" t="inlineStr"/>
      <c r="AL47" s="5" t="inlineStr">
        <is>
          <t>(0.72, 0.72, 0.0)</t>
        </is>
      </c>
      <c r="AM47" s="5" t="inlineStr">
        <is>
          <t>DM-SEMELLES</t>
        </is>
      </c>
    </row>
    <row r="48">
      <c r="A48" s="5" t="n">
        <v>47</v>
      </c>
      <c r="B48" s="5" t="inlineStr">
        <is>
          <t>120</t>
        </is>
      </c>
      <c r="C48" s="5" t="inlineStr">
        <is>
          <t>own label</t>
        </is>
      </c>
      <c r="D48" s="5" t="inlineStr">
        <is>
          <t>footing</t>
        </is>
      </c>
      <c r="E48" s="5" t="inlineStr">
        <is>
          <t>isolated_footing</t>
        </is>
      </c>
      <c r="F48" s="5" t="inlineStr">
        <is>
          <t>S7</t>
        </is>
      </c>
      <c r="G48" s="5" t="inlineStr">
        <is>
          <t>S7-120120</t>
        </is>
      </c>
      <c r="H48" s="5" t="inlineStr">
        <is>
          <t>printed</t>
        </is>
      </c>
      <c r="I48" s="5" t="n">
        <v>450</v>
      </c>
      <c r="J48" s="5" t="n">
        <v>350</v>
      </c>
      <c r="K48" s="9">
        <f>IF(AND(ISNUMBER(I48),ISNUMBER(J48),J48&gt;0),I48/J48,"")</f>
        <v/>
      </c>
      <c r="L48" s="5" t="n">
        <v>15.756</v>
      </c>
      <c r="M48" s="5" t="n"/>
      <c r="N48" s="5" t="n">
        <v>0.1</v>
      </c>
      <c r="O48" s="5" t="inlineStr">
        <is>
          <t>closed outline</t>
        </is>
      </c>
      <c r="P48" s="5" t="inlineStr">
        <is>
          <t>closed rectangular outline around a column/wall or next to an S/SC label</t>
        </is>
      </c>
      <c r="Q48" s="5">
        <f>IF(OR(D48="column",D48="wall"),IF(I48&lt;='P vs V'!$B$3*J48,"column","wall"),"")</f>
        <v/>
      </c>
      <c r="R48" s="5" t="inlineStr"/>
      <c r="S48" s="5" t="inlineStr">
        <is>
          <t>wall</t>
        </is>
      </c>
      <c r="T48" s="5" t="n">
        <v>0</v>
      </c>
      <c r="U48" s="5" t="inlineStr">
        <is>
          <t>no</t>
        </is>
      </c>
      <c r="V48" s="5" t="inlineStr">
        <is>
          <t>no</t>
        </is>
      </c>
      <c r="W48" s="5" t="inlineStr">
        <is>
          <t>yes</t>
        </is>
      </c>
      <c r="X48" s="5" t="inlineStr">
        <is>
          <t>no</t>
        </is>
      </c>
      <c r="Y48" s="5" t="inlineStr">
        <is>
          <t>yes</t>
        </is>
      </c>
      <c r="Z48" s="5" t="inlineStr">
        <is>
          <t>yes</t>
        </is>
      </c>
      <c r="AA48" s="5" t="n">
        <v>2.3</v>
      </c>
      <c r="AB48" s="5" t="n"/>
      <c r="AC48" s="5" t="n"/>
      <c r="AD48" s="5" t="n"/>
      <c r="AE48" s="5" t="n">
        <v>4482.4</v>
      </c>
      <c r="AF48" s="5" t="n">
        <v>633.2</v>
      </c>
      <c r="AG48" s="5" t="n">
        <v>4615.4</v>
      </c>
      <c r="AH48" s="5" t="n">
        <v>736.9</v>
      </c>
      <c r="AI48" s="5" t="inlineStr">
        <is>
          <t>yes</t>
        </is>
      </c>
      <c r="AJ48" s="5" t="inlineStr">
        <is>
          <t>isolated_footing</t>
        </is>
      </c>
      <c r="AK48" s="5" t="inlineStr"/>
      <c r="AL48" s="5" t="inlineStr">
        <is>
          <t>(0.72, 0.72, 0.0)</t>
        </is>
      </c>
      <c r="AM48" s="5" t="inlineStr">
        <is>
          <t>DM-SEMELLES</t>
        </is>
      </c>
    </row>
    <row r="49">
      <c r="A49" s="5" t="n">
        <v>48</v>
      </c>
      <c r="B49" s="5" t="inlineStr">
        <is>
          <t>120</t>
        </is>
      </c>
      <c r="C49" s="5" t="inlineStr">
        <is>
          <t>own label</t>
        </is>
      </c>
      <c r="D49" s="5" t="inlineStr">
        <is>
          <t>footing</t>
        </is>
      </c>
      <c r="E49" s="5" t="inlineStr">
        <is>
          <t>isolated_footing</t>
        </is>
      </c>
      <c r="F49" s="5" t="inlineStr">
        <is>
          <t>S7</t>
        </is>
      </c>
      <c r="G49" s="5" t="inlineStr">
        <is>
          <t>S7-120120</t>
        </is>
      </c>
      <c r="H49" s="5" t="inlineStr">
        <is>
          <t>printed</t>
        </is>
      </c>
      <c r="I49" s="5" t="n">
        <v>450</v>
      </c>
      <c r="J49" s="5" t="n">
        <v>350</v>
      </c>
      <c r="K49" s="9">
        <f>IF(AND(ISNUMBER(I49),ISNUMBER(J49),J49&gt;0),I49/J49,"")</f>
        <v/>
      </c>
      <c r="L49" s="5" t="n">
        <v>15.756</v>
      </c>
      <c r="M49" s="5" t="n"/>
      <c r="N49" s="5" t="n">
        <v>0.1</v>
      </c>
      <c r="O49" s="5" t="inlineStr">
        <is>
          <t>closed outline</t>
        </is>
      </c>
      <c r="P49" s="5" t="inlineStr">
        <is>
          <t>closed rectangular outline around a column/wall or next to an S/SC label</t>
        </is>
      </c>
      <c r="Q49" s="5">
        <f>IF(OR(D49="column",D49="wall"),IF(I49&lt;='P vs V'!$B$3*J49,"column","wall"),"")</f>
        <v/>
      </c>
      <c r="R49" s="5" t="inlineStr"/>
      <c r="S49" s="5" t="inlineStr">
        <is>
          <t>wall</t>
        </is>
      </c>
      <c r="T49" s="5" t="n">
        <v>0</v>
      </c>
      <c r="U49" s="5" t="inlineStr">
        <is>
          <t>no</t>
        </is>
      </c>
      <c r="V49" s="5" t="inlineStr">
        <is>
          <t>no</t>
        </is>
      </c>
      <c r="W49" s="5" t="inlineStr">
        <is>
          <t>yes</t>
        </is>
      </c>
      <c r="X49" s="5" t="inlineStr">
        <is>
          <t>no</t>
        </is>
      </c>
      <c r="Y49" s="5" t="inlineStr">
        <is>
          <t>yes</t>
        </is>
      </c>
      <c r="Z49" s="5" t="inlineStr">
        <is>
          <t>yes</t>
        </is>
      </c>
      <c r="AA49" s="5" t="n">
        <v>0.02</v>
      </c>
      <c r="AB49" s="5" t="n"/>
      <c r="AC49" s="5" t="n"/>
      <c r="AD49" s="5" t="n"/>
      <c r="AE49" s="5" t="n">
        <v>4482.4</v>
      </c>
      <c r="AF49" s="5" t="n">
        <v>924</v>
      </c>
      <c r="AG49" s="5" t="n">
        <v>4615.6</v>
      </c>
      <c r="AH49" s="5" t="n">
        <v>1027.7</v>
      </c>
      <c r="AI49" s="5" t="inlineStr">
        <is>
          <t>yes</t>
        </is>
      </c>
      <c r="AJ49" s="5" t="inlineStr">
        <is>
          <t>isolated_footing</t>
        </is>
      </c>
      <c r="AK49" s="5" t="inlineStr"/>
      <c r="AL49" s="5" t="inlineStr">
        <is>
          <t>(0.72, 0.72, 0.0)</t>
        </is>
      </c>
      <c r="AM49" s="5" t="inlineStr">
        <is>
          <t>DM-SEMELLES</t>
        </is>
      </c>
    </row>
    <row r="50">
      <c r="A50" s="5" t="n">
        <v>49</v>
      </c>
      <c r="B50" s="5" t="inlineStr">
        <is>
          <t>120</t>
        </is>
      </c>
      <c r="C50" s="5" t="inlineStr">
        <is>
          <t>nearest labels (100% agree)</t>
        </is>
      </c>
      <c r="D50" s="5" t="inlineStr">
        <is>
          <t>mass_concrete_pad</t>
        </is>
      </c>
      <c r="E50" s="5" t="inlineStr">
        <is>
          <t>mass_concrete_pad</t>
        </is>
      </c>
      <c r="F50" s="5" t="inlineStr">
        <is>
          <t>(none)</t>
        </is>
      </c>
      <c r="G50" s="5" t="inlineStr"/>
      <c r="H50" s="5" t="inlineStr">
        <is>
          <t>none</t>
        </is>
      </c>
      <c r="I50" s="5" t="n">
        <v>60</v>
      </c>
      <c r="J50" s="5" t="n">
        <v>60</v>
      </c>
      <c r="K50" s="9">
        <f>IF(AND(ISNUMBER(I50),ISNUMBER(J50),J50&gt;0),I50/J50,"")</f>
        <v/>
      </c>
      <c r="L50" s="5" t="n">
        <v>0.359</v>
      </c>
      <c r="M50" s="5" t="n"/>
      <c r="N50" s="5" t="n">
        <v>90</v>
      </c>
      <c r="O50" s="5" t="inlineStr">
        <is>
          <t>closed outline + stipple</t>
        </is>
      </c>
      <c r="P50" s="5" t="inlineStr">
        <is>
          <t>small closed square filled with stipple dots, no label</t>
        </is>
      </c>
      <c r="Q50" s="5">
        <f>IF(OR(D50="column",D50="wall"),IF(I50&lt;='P vs V'!$B$3*J50,"column","wall"),"")</f>
        <v/>
      </c>
      <c r="R50" s="5" t="inlineStr"/>
      <c r="S50" s="5" t="inlineStr"/>
      <c r="T50" s="5" t="n"/>
      <c r="U50" s="5" t="inlineStr">
        <is>
          <t>no</t>
        </is>
      </c>
      <c r="V50" s="5" t="inlineStr">
        <is>
          <t>no</t>
        </is>
      </c>
      <c r="W50" s="5" t="inlineStr">
        <is>
          <t>no</t>
        </is>
      </c>
      <c r="X50" s="5" t="inlineStr">
        <is>
          <t>no</t>
        </is>
      </c>
      <c r="Y50" s="5" t="inlineStr">
        <is>
          <t>yes</t>
        </is>
      </c>
      <c r="Z50" s="5" t="inlineStr">
        <is>
          <t>yes</t>
        </is>
      </c>
      <c r="AA50" s="5" t="n">
        <v>2.74</v>
      </c>
      <c r="AB50" s="5" t="n"/>
      <c r="AC50" s="5" t="n">
        <v>53</v>
      </c>
      <c r="AD50" s="5" t="n"/>
      <c r="AE50" s="5" t="n">
        <v>4291.2</v>
      </c>
      <c r="AF50" s="5" t="n">
        <v>508.2</v>
      </c>
      <c r="AG50" s="5" t="n">
        <v>4308.9</v>
      </c>
      <c r="AH50" s="5" t="n">
        <v>525.9</v>
      </c>
      <c r="AI50" s="5" t="inlineStr">
        <is>
          <t>yes</t>
        </is>
      </c>
      <c r="AJ50" s="5" t="inlineStr">
        <is>
          <t>mass_concrete_pad</t>
        </is>
      </c>
      <c r="AK50" s="5" t="inlineStr"/>
      <c r="AL50" s="5" t="inlineStr">
        <is>
          <t>(0.5, 0.5, 0.5)</t>
        </is>
      </c>
      <c r="AM50" s="5" t="inlineStr">
        <is>
          <t>DM-MGB</t>
        </is>
      </c>
    </row>
    <row r="51">
      <c r="A51" s="5" t="n">
        <v>50</v>
      </c>
      <c r="B51" s="5" t="inlineStr">
        <is>
          <t>120</t>
        </is>
      </c>
      <c r="C51" s="5" t="inlineStr">
        <is>
          <t>nearest labels (100% agree)</t>
        </is>
      </c>
      <c r="D51" s="5" t="inlineStr">
        <is>
          <t>mass_concrete_pad</t>
        </is>
      </c>
      <c r="E51" s="5" t="inlineStr">
        <is>
          <t>mass_concrete_pad</t>
        </is>
      </c>
      <c r="F51" s="5" t="inlineStr">
        <is>
          <t>(none)</t>
        </is>
      </c>
      <c r="G51" s="5" t="inlineStr"/>
      <c r="H51" s="5" t="inlineStr">
        <is>
          <t>none</t>
        </is>
      </c>
      <c r="I51" s="5" t="n">
        <v>60</v>
      </c>
      <c r="J51" s="5" t="n">
        <v>60</v>
      </c>
      <c r="K51" s="9">
        <f>IF(AND(ISNUMBER(I51),ISNUMBER(J51),J51&gt;0),I51/J51,"")</f>
        <v/>
      </c>
      <c r="L51" s="5" t="n">
        <v>0.359</v>
      </c>
      <c r="M51" s="5" t="n"/>
      <c r="N51" s="5" t="n">
        <v>90</v>
      </c>
      <c r="O51" s="5" t="inlineStr">
        <is>
          <t>closed outline + stipple</t>
        </is>
      </c>
      <c r="P51" s="5" t="inlineStr">
        <is>
          <t>small closed square filled with stipple dots, no label</t>
        </is>
      </c>
      <c r="Q51" s="5">
        <f>IF(OR(D51="column",D51="wall"),IF(I51&lt;='P vs V'!$B$3*J51,"column","wall"),"")</f>
        <v/>
      </c>
      <c r="R51" s="5" t="inlineStr"/>
      <c r="S51" s="5" t="inlineStr"/>
      <c r="T51" s="5" t="n"/>
      <c r="U51" s="5" t="inlineStr">
        <is>
          <t>no</t>
        </is>
      </c>
      <c r="V51" s="5" t="inlineStr">
        <is>
          <t>no</t>
        </is>
      </c>
      <c r="W51" s="5" t="inlineStr">
        <is>
          <t>no</t>
        </is>
      </c>
      <c r="X51" s="5" t="inlineStr">
        <is>
          <t>no</t>
        </is>
      </c>
      <c r="Y51" s="5" t="inlineStr">
        <is>
          <t>yes</t>
        </is>
      </c>
      <c r="Z51" s="5" t="inlineStr">
        <is>
          <t>yes</t>
        </is>
      </c>
      <c r="AA51" s="5" t="n">
        <v>0.01</v>
      </c>
      <c r="AB51" s="5" t="n"/>
      <c r="AC51" s="5" t="n">
        <v>54</v>
      </c>
      <c r="AD51" s="5" t="n"/>
      <c r="AE51" s="5" t="n">
        <v>4290.9</v>
      </c>
      <c r="AF51" s="5" t="n">
        <v>966.5</v>
      </c>
      <c r="AG51" s="5" t="n">
        <v>4308.6</v>
      </c>
      <c r="AH51" s="5" t="n">
        <v>984.2</v>
      </c>
      <c r="AI51" s="5" t="inlineStr">
        <is>
          <t>yes</t>
        </is>
      </c>
      <c r="AJ51" s="5" t="inlineStr">
        <is>
          <t>mass_concrete_pad</t>
        </is>
      </c>
      <c r="AK51" s="5" t="inlineStr"/>
      <c r="AL51" s="5" t="inlineStr">
        <is>
          <t>(0.5, 0.5, 0.5)</t>
        </is>
      </c>
      <c r="AM51" s="5" t="inlineStr">
        <is>
          <t>DM-MGB</t>
        </is>
      </c>
    </row>
    <row r="52">
      <c r="A52" s="5" t="n">
        <v>51</v>
      </c>
      <c r="B52" s="5" t="inlineStr">
        <is>
          <t>120</t>
        </is>
      </c>
      <c r="C52" s="5" t="inlineStr">
        <is>
          <t>nearest labels (100% agree)</t>
        </is>
      </c>
      <c r="D52" s="5" t="inlineStr">
        <is>
          <t>grade_beam</t>
        </is>
      </c>
      <c r="E52" s="5" t="inlineStr">
        <is>
          <t>grade_beam</t>
        </is>
      </c>
      <c r="F52" s="5" t="inlineStr">
        <is>
          <t>LG40x15</t>
        </is>
      </c>
      <c r="G52" s="5" t="inlineStr"/>
      <c r="H52" s="5" t="inlineStr">
        <is>
          <t>band width matches label</t>
        </is>
      </c>
      <c r="I52" s="5" t="n">
        <v>130</v>
      </c>
      <c r="J52" s="5" t="n">
        <v>40</v>
      </c>
      <c r="K52" s="9">
        <f>IF(AND(ISNUMBER(I52),ISNUMBER(J52),J52&gt;0),I52/J52,"")</f>
        <v/>
      </c>
      <c r="L52" s="5" t="n">
        <v>0.519</v>
      </c>
      <c r="M52" s="5" t="n">
        <v>1.3</v>
      </c>
      <c r="N52" s="5" t="n">
        <v>90</v>
      </c>
      <c r="O52" s="5" t="inlineStr">
        <is>
          <t>parallel line pair</t>
        </is>
      </c>
      <c r="P52" s="5" t="inlineStr">
        <is>
          <t>two parallel lines at the width written in the LG label, empty inside</t>
        </is>
      </c>
      <c r="Q52" s="5">
        <f>IF(OR(D52="column",D52="wall"),IF(I52&lt;='P vs V'!$B$3*J52,"column","wall"),"")</f>
        <v/>
      </c>
      <c r="R52" s="5" t="inlineStr"/>
      <c r="S52" s="5" t="inlineStr"/>
      <c r="T52" s="5" t="n"/>
      <c r="U52" s="5" t="inlineStr">
        <is>
          <t>no</t>
        </is>
      </c>
      <c r="V52" s="5" t="inlineStr">
        <is>
          <t>no</t>
        </is>
      </c>
      <c r="W52" s="5" t="inlineStr">
        <is>
          <t>yes</t>
        </is>
      </c>
      <c r="X52" s="5" t="inlineStr">
        <is>
          <t>no</t>
        </is>
      </c>
      <c r="Y52" s="5" t="inlineStr">
        <is>
          <t>no</t>
        </is>
      </c>
      <c r="Z52" s="5" t="inlineStr">
        <is>
          <t>no</t>
        </is>
      </c>
      <c r="AA52" s="5" t="n">
        <v>2.74</v>
      </c>
      <c r="AB52" s="5" t="n"/>
      <c r="AC52" s="5" t="n"/>
      <c r="AD52" s="5" t="n"/>
      <c r="AE52" s="5" t="n">
        <v>4294.1</v>
      </c>
      <c r="AF52" s="5" t="n">
        <v>469.9</v>
      </c>
      <c r="AG52" s="5" t="n">
        <v>4305.9</v>
      </c>
      <c r="AH52" s="5" t="n">
        <v>508.2</v>
      </c>
      <c r="AI52" s="5" t="inlineStr">
        <is>
          <t>n/a</t>
        </is>
      </c>
      <c r="AJ52" s="5" t="inlineStr"/>
      <c r="AK52" s="5" t="inlineStr"/>
      <c r="AL52" s="5" t="inlineStr"/>
      <c r="AM52" s="5" t="inlineStr"/>
    </row>
    <row r="53">
      <c r="A53" s="5" t="n">
        <v>52</v>
      </c>
      <c r="B53" s="5" t="inlineStr">
        <is>
          <t>120</t>
        </is>
      </c>
      <c r="C53" s="5" t="inlineStr">
        <is>
          <t>nearest labels (100% agree)</t>
        </is>
      </c>
      <c r="D53" s="5" t="inlineStr">
        <is>
          <t>grade_beam</t>
        </is>
      </c>
      <c r="E53" s="5" t="inlineStr">
        <is>
          <t>grade_beam</t>
        </is>
      </c>
      <c r="F53" s="5" t="inlineStr">
        <is>
          <t>LG40x15</t>
        </is>
      </c>
      <c r="G53" s="5" t="inlineStr"/>
      <c r="H53" s="5" t="inlineStr">
        <is>
          <t>band width matches label</t>
        </is>
      </c>
      <c r="I53" s="5" t="n">
        <v>287</v>
      </c>
      <c r="J53" s="5" t="n">
        <v>40</v>
      </c>
      <c r="K53" s="9">
        <f>IF(AND(ISNUMBER(I53),ISNUMBER(J53),J53&gt;0),I53/J53,"")</f>
        <v/>
      </c>
      <c r="L53" s="5" t="n">
        <v>1.146</v>
      </c>
      <c r="M53" s="5" t="n">
        <v>2.87</v>
      </c>
      <c r="N53" s="5" t="n">
        <v>90</v>
      </c>
      <c r="O53" s="5" t="inlineStr">
        <is>
          <t>parallel line pair</t>
        </is>
      </c>
      <c r="P53" s="5" t="inlineStr">
        <is>
          <t>two parallel lines at the width written in the LG label, empty inside</t>
        </is>
      </c>
      <c r="Q53" s="5">
        <f>IF(OR(D53="column",D53="wall"),IF(I53&lt;='P vs V'!$B$3*J53,"column","wall"),"")</f>
        <v/>
      </c>
      <c r="R53" s="5" t="inlineStr"/>
      <c r="S53" s="5" t="inlineStr"/>
      <c r="T53" s="5" t="n"/>
      <c r="U53" s="5" t="inlineStr">
        <is>
          <t>no</t>
        </is>
      </c>
      <c r="V53" s="5" t="inlineStr">
        <is>
          <t>no</t>
        </is>
      </c>
      <c r="W53" s="5" t="inlineStr">
        <is>
          <t>no</t>
        </is>
      </c>
      <c r="X53" s="5" t="inlineStr">
        <is>
          <t>no</t>
        </is>
      </c>
      <c r="Y53" s="5" t="inlineStr">
        <is>
          <t>no</t>
        </is>
      </c>
      <c r="Z53" s="5" t="inlineStr">
        <is>
          <t>yes</t>
        </is>
      </c>
      <c r="AA53" s="5" t="n">
        <v>1</v>
      </c>
      <c r="AB53" s="5" t="n"/>
      <c r="AC53" s="5" t="n"/>
      <c r="AD53" s="5" t="n"/>
      <c r="AE53" s="5" t="n">
        <v>4294</v>
      </c>
      <c r="AF53" s="5" t="n">
        <v>525.9</v>
      </c>
      <c r="AG53" s="5" t="n">
        <v>4305.9</v>
      </c>
      <c r="AH53" s="5" t="n">
        <v>610.5</v>
      </c>
      <c r="AI53" s="5" t="inlineStr">
        <is>
          <t>n/a</t>
        </is>
      </c>
      <c r="AJ53" s="5" t="inlineStr"/>
      <c r="AK53" s="5" t="inlineStr"/>
      <c r="AL53" s="5" t="inlineStr"/>
      <c r="AM53" s="5" t="inlineStr"/>
    </row>
    <row r="54">
      <c r="A54" s="5" t="n">
        <v>53</v>
      </c>
      <c r="B54" s="5" t="inlineStr">
        <is>
          <t>120</t>
        </is>
      </c>
      <c r="C54" s="5" t="inlineStr">
        <is>
          <t>nearest labels (100% agree)</t>
        </is>
      </c>
      <c r="D54" s="5" t="inlineStr">
        <is>
          <t>grade_beam</t>
        </is>
      </c>
      <c r="E54" s="5" t="inlineStr">
        <is>
          <t>grade_beam</t>
        </is>
      </c>
      <c r="F54" s="5" t="inlineStr">
        <is>
          <t>LG40x15</t>
        </is>
      </c>
      <c r="G54" s="5" t="inlineStr"/>
      <c r="H54" s="5" t="inlineStr">
        <is>
          <t>band width matches label</t>
        </is>
      </c>
      <c r="I54" s="5" t="n">
        <v>561</v>
      </c>
      <c r="J54" s="5" t="n">
        <v>40</v>
      </c>
      <c r="K54" s="9">
        <f>IF(AND(ISNUMBER(I54),ISNUMBER(J54),J54&gt;0),I54/J54,"")</f>
        <v/>
      </c>
      <c r="L54" s="5" t="n">
        <v>2.245</v>
      </c>
      <c r="M54" s="5" t="n">
        <v>5.61</v>
      </c>
      <c r="N54" s="5" t="n">
        <v>90</v>
      </c>
      <c r="O54" s="5" t="inlineStr">
        <is>
          <t>parallel line pair</t>
        </is>
      </c>
      <c r="P54" s="5" t="inlineStr">
        <is>
          <t>two parallel lines at the width written in the LG label, empty inside</t>
        </is>
      </c>
      <c r="Q54" s="5">
        <f>IF(OR(D54="column",D54="wall"),IF(I54&lt;='P vs V'!$B$3*J54,"column","wall"),"")</f>
        <v/>
      </c>
      <c r="R54" s="5" t="inlineStr"/>
      <c r="S54" s="5" t="inlineStr"/>
      <c r="T54" s="5" t="n"/>
      <c r="U54" s="5" t="inlineStr">
        <is>
          <t>no</t>
        </is>
      </c>
      <c r="V54" s="5" t="inlineStr">
        <is>
          <t>no</t>
        </is>
      </c>
      <c r="W54" s="5" t="inlineStr">
        <is>
          <t>no</t>
        </is>
      </c>
      <c r="X54" s="5" t="inlineStr">
        <is>
          <t>no</t>
        </is>
      </c>
      <c r="Y54" s="5" t="inlineStr">
        <is>
          <t>no</t>
        </is>
      </c>
      <c r="Z54" s="5" t="inlineStr">
        <is>
          <t>yes</t>
        </is>
      </c>
      <c r="AA54" s="5" t="n">
        <v>0</v>
      </c>
      <c r="AB54" s="5" t="n"/>
      <c r="AC54" s="5" t="n"/>
      <c r="AD54" s="5" t="n"/>
      <c r="AE54" s="5" t="n">
        <v>4293.9</v>
      </c>
      <c r="AF54" s="5" t="n">
        <v>669.6</v>
      </c>
      <c r="AG54" s="5" t="n">
        <v>4305.8</v>
      </c>
      <c r="AH54" s="5" t="n">
        <v>835.3</v>
      </c>
      <c r="AI54" s="5" t="inlineStr">
        <is>
          <t>n/a</t>
        </is>
      </c>
      <c r="AJ54" s="5" t="inlineStr"/>
      <c r="AK54" s="5" t="inlineStr"/>
      <c r="AL54" s="5" t="inlineStr"/>
      <c r="AM54" s="5" t="inlineStr"/>
    </row>
    <row r="55">
      <c r="A55" s="5" t="n">
        <v>54</v>
      </c>
      <c r="B55" s="5" t="inlineStr">
        <is>
          <t>120</t>
        </is>
      </c>
      <c r="C55" s="5" t="inlineStr">
        <is>
          <t>nearest labels (100% agree)</t>
        </is>
      </c>
      <c r="D55" s="5" t="inlineStr">
        <is>
          <t>grade_beam</t>
        </is>
      </c>
      <c r="E55" s="5" t="inlineStr">
        <is>
          <t>grade_beam</t>
        </is>
      </c>
      <c r="F55" s="5" t="inlineStr">
        <is>
          <t>LG40x15</t>
        </is>
      </c>
      <c r="G55" s="5" t="inlineStr"/>
      <c r="H55" s="5" t="inlineStr">
        <is>
          <t>band width matches label</t>
        </is>
      </c>
      <c r="I55" s="5" t="n">
        <v>245</v>
      </c>
      <c r="J55" s="5" t="n">
        <v>40</v>
      </c>
      <c r="K55" s="9">
        <f>IF(AND(ISNUMBER(I55),ISNUMBER(J55),J55&gt;0),I55/J55,"")</f>
        <v/>
      </c>
      <c r="L55" s="5" t="n">
        <v>0.978</v>
      </c>
      <c r="M55" s="5" t="n">
        <v>2.45</v>
      </c>
      <c r="N55" s="5" t="n">
        <v>90</v>
      </c>
      <c r="O55" s="5" t="inlineStr">
        <is>
          <t>parallel line pair</t>
        </is>
      </c>
      <c r="P55" s="5" t="inlineStr">
        <is>
          <t>two parallel lines at the width written in the LG label, empty inside</t>
        </is>
      </c>
      <c r="Q55" s="5">
        <f>IF(OR(D55="column",D55="wall"),IF(I55&lt;='P vs V'!$B$3*J55,"column","wall"),"")</f>
        <v/>
      </c>
      <c r="R55" s="5" t="inlineStr"/>
      <c r="S55" s="5" t="inlineStr"/>
      <c r="T55" s="5" t="n"/>
      <c r="U55" s="5" t="inlineStr">
        <is>
          <t>no</t>
        </is>
      </c>
      <c r="V55" s="5" t="inlineStr">
        <is>
          <t>no</t>
        </is>
      </c>
      <c r="W55" s="5" t="inlineStr">
        <is>
          <t>no</t>
        </is>
      </c>
      <c r="X55" s="5" t="inlineStr">
        <is>
          <t>no</t>
        </is>
      </c>
      <c r="Y55" s="5" t="inlineStr">
        <is>
          <t>no</t>
        </is>
      </c>
      <c r="Z55" s="5" t="inlineStr">
        <is>
          <t>no</t>
        </is>
      </c>
      <c r="AA55" s="5" t="n">
        <v>1.52</v>
      </c>
      <c r="AB55" s="5" t="n"/>
      <c r="AC55" s="5" t="n"/>
      <c r="AD55" s="5" t="n"/>
      <c r="AE55" s="5" t="n">
        <v>4293.8</v>
      </c>
      <c r="AF55" s="5" t="n">
        <v>894.3</v>
      </c>
      <c r="AG55" s="5" t="n">
        <v>4305.6</v>
      </c>
      <c r="AH55" s="5" t="n">
        <v>966.5</v>
      </c>
      <c r="AI55" s="5" t="inlineStr">
        <is>
          <t>n/a</t>
        </is>
      </c>
      <c r="AJ55" s="5" t="inlineStr"/>
      <c r="AK55" s="5" t="inlineStr"/>
      <c r="AL55" s="5" t="inlineStr"/>
      <c r="AM55" s="5" t="inlineStr"/>
    </row>
    <row r="56">
      <c r="A56" s="5" t="n">
        <v>55</v>
      </c>
      <c r="B56" s="5" t="inlineStr">
        <is>
          <t>120</t>
        </is>
      </c>
      <c r="C56" s="5" t="inlineStr">
        <is>
          <t>nearest labels (100% agree)</t>
        </is>
      </c>
      <c r="D56" s="5" t="inlineStr">
        <is>
          <t>grade_beam</t>
        </is>
      </c>
      <c r="E56" s="5" t="inlineStr">
        <is>
          <t>grade_beam</t>
        </is>
      </c>
      <c r="F56" s="5" t="inlineStr">
        <is>
          <t>LG40x15</t>
        </is>
      </c>
      <c r="G56" s="5" t="inlineStr"/>
      <c r="H56" s="5" t="inlineStr">
        <is>
          <t>band width matches label</t>
        </is>
      </c>
      <c r="I56" s="5" t="n">
        <v>283</v>
      </c>
      <c r="J56" s="5" t="n">
        <v>40</v>
      </c>
      <c r="K56" s="9">
        <f>IF(AND(ISNUMBER(I56),ISNUMBER(J56),J56&gt;0),I56/J56,"")</f>
        <v/>
      </c>
      <c r="L56" s="5" t="n">
        <v>1.133</v>
      </c>
      <c r="M56" s="5" t="n">
        <v>2.83</v>
      </c>
      <c r="N56" s="5" t="n">
        <v>90</v>
      </c>
      <c r="O56" s="5" t="inlineStr">
        <is>
          <t>parallel line pair</t>
        </is>
      </c>
      <c r="P56" s="5" t="inlineStr">
        <is>
          <t>two parallel lines at the width written in the LG label, empty inside</t>
        </is>
      </c>
      <c r="Q56" s="5">
        <f>IF(OR(D56="column",D56="wall"),IF(I56&lt;='P vs V'!$B$3*J56,"column","wall"),"")</f>
        <v/>
      </c>
      <c r="R56" s="5" t="inlineStr"/>
      <c r="S56" s="5" t="inlineStr"/>
      <c r="T56" s="5" t="n"/>
      <c r="U56" s="5" t="inlineStr">
        <is>
          <t>no</t>
        </is>
      </c>
      <c r="V56" s="5" t="inlineStr">
        <is>
          <t>no</t>
        </is>
      </c>
      <c r="W56" s="5" t="inlineStr">
        <is>
          <t>no</t>
        </is>
      </c>
      <c r="X56" s="5" t="inlineStr">
        <is>
          <t>no</t>
        </is>
      </c>
      <c r="Y56" s="5" t="inlineStr">
        <is>
          <t>no</t>
        </is>
      </c>
      <c r="Z56" s="5" t="inlineStr">
        <is>
          <t>yes</t>
        </is>
      </c>
      <c r="AA56" s="5" t="n">
        <v>1.72</v>
      </c>
      <c r="AB56" s="5" t="n"/>
      <c r="AC56" s="5" t="n"/>
      <c r="AD56" s="5" t="n"/>
      <c r="AE56" s="5" t="n">
        <v>4293.7</v>
      </c>
      <c r="AF56" s="5" t="n">
        <v>984.2</v>
      </c>
      <c r="AG56" s="5" t="n">
        <v>4305.6</v>
      </c>
      <c r="AH56" s="5" t="n">
        <v>1067.9</v>
      </c>
      <c r="AI56" s="5" t="inlineStr">
        <is>
          <t>n/a</t>
        </is>
      </c>
      <c r="AJ56" s="5" t="inlineStr"/>
      <c r="AK56" s="5" t="inlineStr"/>
      <c r="AL56" s="5" t="inlineStr"/>
      <c r="AM56" s="5" t="inlineStr"/>
    </row>
    <row r="57">
      <c r="A57" s="5" t="n">
        <v>56</v>
      </c>
      <c r="B57" s="5" t="inlineStr">
        <is>
          <t>120</t>
        </is>
      </c>
      <c r="C57" s="5" t="inlineStr">
        <is>
          <t>nearest labels (80% agree)</t>
        </is>
      </c>
      <c r="D57" s="5" t="inlineStr">
        <is>
          <t>grade_beam</t>
        </is>
      </c>
      <c r="E57" s="5" t="inlineStr">
        <is>
          <t>grade_beam</t>
        </is>
      </c>
      <c r="F57" s="5" t="inlineStr">
        <is>
          <t>LG40x15</t>
        </is>
      </c>
      <c r="G57" s="5" t="inlineStr"/>
      <c r="H57" s="5" t="inlineStr">
        <is>
          <t>band width matches label</t>
        </is>
      </c>
      <c r="I57" s="5" t="n">
        <v>650</v>
      </c>
      <c r="J57" s="5" t="n">
        <v>40</v>
      </c>
      <c r="K57" s="9">
        <f>IF(AND(ISNUMBER(I57),ISNUMBER(J57),J57&gt;0),I57/J57,"")</f>
        <v/>
      </c>
      <c r="L57" s="5" t="n">
        <v>2.598</v>
      </c>
      <c r="M57" s="5" t="n">
        <v>6.5</v>
      </c>
      <c r="N57" s="5" t="n">
        <v>90</v>
      </c>
      <c r="O57" s="5" t="inlineStr">
        <is>
          <t>parallel line pair</t>
        </is>
      </c>
      <c r="P57" s="5" t="inlineStr">
        <is>
          <t>two parallel lines at the width written in the LG label, empty inside</t>
        </is>
      </c>
      <c r="Q57" s="5">
        <f>IF(OR(D57="column",D57="wall"),IF(I57&lt;='P vs V'!$B$3*J57,"column","wall"),"")</f>
        <v/>
      </c>
      <c r="R57" s="5" t="inlineStr"/>
      <c r="S57" s="5" t="inlineStr"/>
      <c r="T57" s="5" t="n"/>
      <c r="U57" s="5" t="inlineStr">
        <is>
          <t>no</t>
        </is>
      </c>
      <c r="V57" s="5" t="inlineStr">
        <is>
          <t>no</t>
        </is>
      </c>
      <c r="W57" s="5" t="inlineStr">
        <is>
          <t>no</t>
        </is>
      </c>
      <c r="X57" s="5" t="inlineStr">
        <is>
          <t>no</t>
        </is>
      </c>
      <c r="Y57" s="5" t="inlineStr">
        <is>
          <t>no</t>
        </is>
      </c>
      <c r="Z57" s="5" t="inlineStr">
        <is>
          <t>yes</t>
        </is>
      </c>
      <c r="AA57" s="5" t="n">
        <v>2.69</v>
      </c>
      <c r="AB57" s="5" t="n"/>
      <c r="AC57" s="5" t="n"/>
      <c r="AD57" s="5" t="n"/>
      <c r="AE57" s="5" t="n">
        <v>4293.5</v>
      </c>
      <c r="AF57" s="5" t="n">
        <v>1126.9</v>
      </c>
      <c r="AG57" s="5" t="n">
        <v>4305.5</v>
      </c>
      <c r="AH57" s="5" t="n">
        <v>1318.7</v>
      </c>
      <c r="AI57" s="5" t="inlineStr">
        <is>
          <t>n/a</t>
        </is>
      </c>
      <c r="AJ57" s="5" t="inlineStr"/>
      <c r="AK57" s="5" t="inlineStr"/>
      <c r="AL57" s="5" t="inlineStr"/>
      <c r="AM57" s="5" t="inlineStr"/>
    </row>
    <row r="58">
      <c r="A58" s="5" t="n">
        <v>57</v>
      </c>
      <c r="B58" s="5" t="inlineStr">
        <is>
          <t>120</t>
        </is>
      </c>
      <c r="C58" s="5" t="inlineStr">
        <is>
          <t>nearest labels (100% agree)</t>
        </is>
      </c>
      <c r="D58" s="5" t="inlineStr">
        <is>
          <t>grade_beam</t>
        </is>
      </c>
      <c r="E58" s="5" t="inlineStr">
        <is>
          <t>grade_beam</t>
        </is>
      </c>
      <c r="F58" s="5" t="inlineStr">
        <is>
          <t>LG40x15</t>
        </is>
      </c>
      <c r="G58" s="5" t="inlineStr"/>
      <c r="H58" s="5" t="inlineStr">
        <is>
          <t>band width matches label</t>
        </is>
      </c>
      <c r="I58" s="5" t="n">
        <v>367</v>
      </c>
      <c r="J58" s="5" t="n">
        <v>40</v>
      </c>
      <c r="K58" s="9">
        <f>IF(AND(ISNUMBER(I58),ISNUMBER(J58),J58&gt;0),I58/J58,"")</f>
        <v/>
      </c>
      <c r="L58" s="5" t="n">
        <v>1.47</v>
      </c>
      <c r="M58" s="5" t="n">
        <v>3.67</v>
      </c>
      <c r="N58" s="5" t="n">
        <v>89.90000000000001</v>
      </c>
      <c r="O58" s="5" t="inlineStr">
        <is>
          <t>parallel line pair</t>
        </is>
      </c>
      <c r="P58" s="5" t="inlineStr">
        <is>
          <t>two parallel lines at the width written in the LG label, empty inside</t>
        </is>
      </c>
      <c r="Q58" s="5">
        <f>IF(OR(D58="column",D58="wall"),IF(I58&lt;='P vs V'!$B$3*J58,"column","wall"),"")</f>
        <v/>
      </c>
      <c r="R58" s="5" t="inlineStr"/>
      <c r="S58" s="5" t="inlineStr"/>
      <c r="T58" s="5" t="n"/>
      <c r="U58" s="5" t="inlineStr">
        <is>
          <t>no</t>
        </is>
      </c>
      <c r="V58" s="5" t="inlineStr">
        <is>
          <t>no</t>
        </is>
      </c>
      <c r="W58" s="5" t="inlineStr">
        <is>
          <t>yes</t>
        </is>
      </c>
      <c r="X58" s="5" t="inlineStr">
        <is>
          <t>no</t>
        </is>
      </c>
      <c r="Y58" s="5" t="inlineStr">
        <is>
          <t>no</t>
        </is>
      </c>
      <c r="Z58" s="5" t="inlineStr">
        <is>
          <t>yes</t>
        </is>
      </c>
      <c r="AA58" s="5" t="n">
        <v>0.64</v>
      </c>
      <c r="AB58" s="5" t="n"/>
      <c r="AC58" s="5" t="n"/>
      <c r="AD58" s="5" t="n"/>
      <c r="AE58" s="5" t="n">
        <v>4540.4</v>
      </c>
      <c r="AF58" s="5" t="n">
        <v>524.8</v>
      </c>
      <c r="AG58" s="5" t="n">
        <v>4552.4</v>
      </c>
      <c r="AH58" s="5" t="n">
        <v>633.4</v>
      </c>
      <c r="AI58" s="5" t="inlineStr">
        <is>
          <t>n/a</t>
        </is>
      </c>
      <c r="AJ58" s="5" t="inlineStr"/>
      <c r="AK58" s="5" t="inlineStr"/>
      <c r="AL58" s="5" t="inlineStr"/>
      <c r="AM58" s="5" t="inlineStr"/>
    </row>
    <row r="59">
      <c r="A59" s="5" t="n">
        <v>58</v>
      </c>
      <c r="B59" s="5" t="inlineStr">
        <is>
          <t>120</t>
        </is>
      </c>
      <c r="C59" s="5" t="inlineStr">
        <is>
          <t>nearest labels (100% agree)</t>
        </is>
      </c>
      <c r="D59" s="5" t="inlineStr">
        <is>
          <t>grade_beam</t>
        </is>
      </c>
      <c r="E59" s="5" t="inlineStr">
        <is>
          <t>grade_beam</t>
        </is>
      </c>
      <c r="F59" s="5" t="inlineStr">
        <is>
          <t>LG40x15</t>
        </is>
      </c>
      <c r="G59" s="5" t="inlineStr"/>
      <c r="H59" s="5" t="inlineStr">
        <is>
          <t>band width matches label</t>
        </is>
      </c>
      <c r="I59" s="5" t="n">
        <v>305</v>
      </c>
      <c r="J59" s="5" t="n">
        <v>40</v>
      </c>
      <c r="K59" s="9">
        <f>IF(AND(ISNUMBER(I59),ISNUMBER(J59),J59&gt;0),I59/J59,"")</f>
        <v/>
      </c>
      <c r="L59" s="5" t="n">
        <v>1.219</v>
      </c>
      <c r="M59" s="5" t="n">
        <v>3.05</v>
      </c>
      <c r="N59" s="5" t="n">
        <v>89.90000000000001</v>
      </c>
      <c r="O59" s="5" t="inlineStr">
        <is>
          <t>parallel line pair</t>
        </is>
      </c>
      <c r="P59" s="5" t="inlineStr">
        <is>
          <t>two parallel lines at the width written in the LG label, empty inside</t>
        </is>
      </c>
      <c r="Q59" s="5">
        <f>IF(OR(D59="column",D59="wall"),IF(I59&lt;='P vs V'!$B$3*J59,"column","wall"),"")</f>
        <v/>
      </c>
      <c r="R59" s="5" t="inlineStr"/>
      <c r="S59" s="5" t="inlineStr"/>
      <c r="T59" s="5" t="n"/>
      <c r="U59" s="5" t="inlineStr">
        <is>
          <t>yes</t>
        </is>
      </c>
      <c r="V59" s="5" t="inlineStr">
        <is>
          <t>no</t>
        </is>
      </c>
      <c r="W59" s="5" t="inlineStr">
        <is>
          <t>yes</t>
        </is>
      </c>
      <c r="X59" s="5" t="inlineStr">
        <is>
          <t>no</t>
        </is>
      </c>
      <c r="Y59" s="5" t="inlineStr">
        <is>
          <t>no</t>
        </is>
      </c>
      <c r="Z59" s="5" t="inlineStr">
        <is>
          <t>yes</t>
        </is>
      </c>
      <c r="AA59" s="5" t="n">
        <v>0.14</v>
      </c>
      <c r="AB59" s="5" t="n"/>
      <c r="AC59" s="5" t="n"/>
      <c r="AD59" s="5" t="n"/>
      <c r="AE59" s="5" t="n">
        <v>4540.7</v>
      </c>
      <c r="AF59" s="5" t="n">
        <v>736.7</v>
      </c>
      <c r="AG59" s="5" t="n">
        <v>4552.7</v>
      </c>
      <c r="AH59" s="5" t="n">
        <v>826.7</v>
      </c>
      <c r="AI59" s="5" t="inlineStr">
        <is>
          <t>n/a</t>
        </is>
      </c>
      <c r="AJ59" s="5" t="inlineStr"/>
      <c r="AK59" s="5" t="inlineStr"/>
      <c r="AL59" s="5" t="inlineStr"/>
      <c r="AM59" s="5" t="inlineStr"/>
    </row>
    <row r="60">
      <c r="A60" s="5" t="n">
        <v>59</v>
      </c>
      <c r="B60" s="5" t="inlineStr">
        <is>
          <t>120</t>
        </is>
      </c>
      <c r="C60" s="5" t="inlineStr">
        <is>
          <t>nearest labels (100% agree)</t>
        </is>
      </c>
      <c r="D60" s="5" t="inlineStr">
        <is>
          <t>grade_beam</t>
        </is>
      </c>
      <c r="E60" s="5" t="inlineStr">
        <is>
          <t>grade_beam</t>
        </is>
      </c>
      <c r="F60" s="5" t="inlineStr">
        <is>
          <t>LG40x15</t>
        </is>
      </c>
      <c r="G60" s="5" t="inlineStr"/>
      <c r="H60" s="5" t="inlineStr">
        <is>
          <t>band width matches label</t>
        </is>
      </c>
      <c r="I60" s="5" t="n">
        <v>305</v>
      </c>
      <c r="J60" s="5" t="n">
        <v>40</v>
      </c>
      <c r="K60" s="9">
        <f>IF(AND(ISNUMBER(I60),ISNUMBER(J60),J60&gt;0),I60/J60,"")</f>
        <v/>
      </c>
      <c r="L60" s="5" t="n">
        <v>1.22</v>
      </c>
      <c r="M60" s="5" t="n">
        <v>3.05</v>
      </c>
      <c r="N60" s="5" t="n">
        <v>89.90000000000001</v>
      </c>
      <c r="O60" s="5" t="inlineStr">
        <is>
          <t>parallel line pair</t>
        </is>
      </c>
      <c r="P60" s="5" t="inlineStr">
        <is>
          <t>two parallel lines at the width written in the LG label, empty inside</t>
        </is>
      </c>
      <c r="Q60" s="5">
        <f>IF(OR(D60="column",D60="wall"),IF(I60&lt;='P vs V'!$B$3*J60,"column","wall"),"")</f>
        <v/>
      </c>
      <c r="R60" s="5" t="inlineStr"/>
      <c r="S60" s="5" t="inlineStr"/>
      <c r="T60" s="5" t="n"/>
      <c r="U60" s="5" t="inlineStr">
        <is>
          <t>yes</t>
        </is>
      </c>
      <c r="V60" s="5" t="inlineStr">
        <is>
          <t>no</t>
        </is>
      </c>
      <c r="W60" s="5" t="inlineStr">
        <is>
          <t>yes</t>
        </is>
      </c>
      <c r="X60" s="5" t="inlineStr">
        <is>
          <t>no</t>
        </is>
      </c>
      <c r="Y60" s="5" t="inlineStr">
        <is>
          <t>no</t>
        </is>
      </c>
      <c r="Z60" s="5" t="inlineStr">
        <is>
          <t>yes</t>
        </is>
      </c>
      <c r="AA60" s="5" t="n">
        <v>2.35</v>
      </c>
      <c r="AB60" s="5" t="n"/>
      <c r="AC60" s="5" t="n"/>
      <c r="AD60" s="5" t="n"/>
      <c r="AE60" s="5" t="n">
        <v>4540.9</v>
      </c>
      <c r="AF60" s="5" t="n">
        <v>834.1</v>
      </c>
      <c r="AG60" s="5" t="n">
        <v>4552.9</v>
      </c>
      <c r="AH60" s="5" t="n">
        <v>924.2</v>
      </c>
      <c r="AI60" s="5" t="inlineStr">
        <is>
          <t>n/a</t>
        </is>
      </c>
      <c r="AJ60" s="5" t="inlineStr"/>
      <c r="AK60" s="5" t="inlineStr"/>
      <c r="AL60" s="5" t="inlineStr"/>
      <c r="AM60" s="5" t="inlineStr"/>
    </row>
    <row r="61">
      <c r="A61" s="5" t="n">
        <v>60</v>
      </c>
      <c r="B61" s="5" t="inlineStr">
        <is>
          <t>120</t>
        </is>
      </c>
      <c r="C61" s="5" t="inlineStr">
        <is>
          <t>nearest labels (100% agree)</t>
        </is>
      </c>
      <c r="D61" s="5" t="inlineStr">
        <is>
          <t>grade_beam</t>
        </is>
      </c>
      <c r="E61" s="5" t="inlineStr">
        <is>
          <t>grade_beam</t>
        </is>
      </c>
      <c r="F61" s="5" t="inlineStr">
        <is>
          <t>LG40x15</t>
        </is>
      </c>
      <c r="G61" s="5" t="inlineStr"/>
      <c r="H61" s="5" t="inlineStr">
        <is>
          <t>band width matches label</t>
        </is>
      </c>
      <c r="I61" s="5" t="n">
        <v>195</v>
      </c>
      <c r="J61" s="5" t="n">
        <v>40</v>
      </c>
      <c r="K61" s="9">
        <f>IF(AND(ISNUMBER(I61),ISNUMBER(J61),J61&gt;0),I61/J61,"")</f>
        <v/>
      </c>
      <c r="L61" s="5" t="n">
        <v>0.78</v>
      </c>
      <c r="M61" s="5" t="n">
        <v>1.95</v>
      </c>
      <c r="N61" s="5" t="n">
        <v>89.90000000000001</v>
      </c>
      <c r="O61" s="5" t="inlineStr">
        <is>
          <t>parallel line pair</t>
        </is>
      </c>
      <c r="P61" s="5" t="inlineStr">
        <is>
          <t>two parallel lines at the width written in the LG label, empty inside</t>
        </is>
      </c>
      <c r="Q61" s="5">
        <f>IF(OR(D61="column",D61="wall"),IF(I61&lt;='P vs V'!$B$3*J61,"column","wall"),"")</f>
        <v/>
      </c>
      <c r="R61" s="5" t="inlineStr"/>
      <c r="S61" s="5" t="inlineStr"/>
      <c r="T61" s="5" t="n"/>
      <c r="U61" s="5" t="inlineStr">
        <is>
          <t>no</t>
        </is>
      </c>
      <c r="V61" s="5" t="inlineStr">
        <is>
          <t>no</t>
        </is>
      </c>
      <c r="W61" s="5" t="inlineStr">
        <is>
          <t>no</t>
        </is>
      </c>
      <c r="X61" s="5" t="inlineStr">
        <is>
          <t>no</t>
        </is>
      </c>
      <c r="Y61" s="5" t="inlineStr">
        <is>
          <t>no</t>
        </is>
      </c>
      <c r="Z61" s="5" t="inlineStr">
        <is>
          <t>no</t>
        </is>
      </c>
      <c r="AA61" s="5" t="n">
        <v>2.75</v>
      </c>
      <c r="AB61" s="5" t="n"/>
      <c r="AC61" s="5" t="n"/>
      <c r="AD61" s="5" t="n"/>
      <c r="AE61" s="5" t="n">
        <v>4541.2</v>
      </c>
      <c r="AF61" s="5" t="n">
        <v>1027.5</v>
      </c>
      <c r="AG61" s="5" t="n">
        <v>4553.2</v>
      </c>
      <c r="AH61" s="5" t="n">
        <v>1085.1</v>
      </c>
      <c r="AI61" s="5" t="inlineStr">
        <is>
          <t>n/a</t>
        </is>
      </c>
      <c r="AJ61" s="5" t="inlineStr"/>
      <c r="AK61" s="5" t="inlineStr"/>
      <c r="AL61" s="5" t="inlineStr"/>
      <c r="AM61" s="5" t="inlineStr"/>
    </row>
    <row r="62">
      <c r="A62" s="5" t="n">
        <v>61</v>
      </c>
      <c r="B62" s="5" t="inlineStr">
        <is>
          <t>120</t>
        </is>
      </c>
      <c r="C62" s="5" t="inlineStr">
        <is>
          <t>nearest labels (80% agree)</t>
        </is>
      </c>
      <c r="D62" s="5" t="inlineStr">
        <is>
          <t>grade_beam</t>
        </is>
      </c>
      <c r="E62" s="5" t="inlineStr">
        <is>
          <t>grade_beam</t>
        </is>
      </c>
      <c r="F62" s="5" t="inlineStr">
        <is>
          <t>LG40x15</t>
        </is>
      </c>
      <c r="G62" s="5" t="inlineStr"/>
      <c r="H62" s="5" t="inlineStr">
        <is>
          <t>band width matches label</t>
        </is>
      </c>
      <c r="I62" s="5" t="n">
        <v>206</v>
      </c>
      <c r="J62" s="5" t="n">
        <v>40</v>
      </c>
      <c r="K62" s="9">
        <f>IF(AND(ISNUMBER(I62),ISNUMBER(J62),J62&gt;0),I62/J62,"")</f>
        <v/>
      </c>
      <c r="L62" s="5" t="n">
        <v>0.825</v>
      </c>
      <c r="M62" s="5" t="n">
        <v>2.06</v>
      </c>
      <c r="N62" s="5" t="n">
        <v>89.90000000000001</v>
      </c>
      <c r="O62" s="5" t="inlineStr">
        <is>
          <t>parallel line pair</t>
        </is>
      </c>
      <c r="P62" s="5" t="inlineStr">
        <is>
          <t>two parallel lines at the width written in the LG label, empty inside</t>
        </is>
      </c>
      <c r="Q62" s="5">
        <f>IF(OR(D62="column",D62="wall"),IF(I62&lt;='P vs V'!$B$3*J62,"column","wall"),"")</f>
        <v/>
      </c>
      <c r="R62" s="5" t="inlineStr"/>
      <c r="S62" s="5" t="inlineStr"/>
      <c r="T62" s="5" t="n"/>
      <c r="U62" s="5" t="inlineStr">
        <is>
          <t>no</t>
        </is>
      </c>
      <c r="V62" s="5" t="inlineStr">
        <is>
          <t>no</t>
        </is>
      </c>
      <c r="W62" s="5" t="inlineStr">
        <is>
          <t>no</t>
        </is>
      </c>
      <c r="X62" s="5" t="inlineStr">
        <is>
          <t>no</t>
        </is>
      </c>
      <c r="Y62" s="5" t="inlineStr">
        <is>
          <t>no</t>
        </is>
      </c>
      <c r="Z62" s="5" t="inlineStr">
        <is>
          <t>no</t>
        </is>
      </c>
      <c r="AA62" s="5" t="n">
        <v>3.05</v>
      </c>
      <c r="AB62" s="5" t="n"/>
      <c r="AC62" s="5" t="n"/>
      <c r="AD62" s="5" t="n"/>
      <c r="AE62" s="5" t="n">
        <v>4541.6</v>
      </c>
      <c r="AF62" s="5" t="n">
        <v>1203.2</v>
      </c>
      <c r="AG62" s="5" t="n">
        <v>4553.5</v>
      </c>
      <c r="AH62" s="5" t="n">
        <v>1264.2</v>
      </c>
      <c r="AI62" s="5" t="inlineStr">
        <is>
          <t>n/a</t>
        </is>
      </c>
      <c r="AJ62" s="5" t="inlineStr"/>
      <c r="AK62" s="5" t="inlineStr"/>
      <c r="AL62" s="5" t="inlineStr"/>
      <c r="AM62" s="5" t="inlineStr"/>
    </row>
    <row r="63">
      <c r="A63" s="5" t="n">
        <v>62</v>
      </c>
      <c r="B63" s="5" t="inlineStr">
        <is>
          <t>120</t>
        </is>
      </c>
      <c r="C63" s="5" t="inlineStr">
        <is>
          <t>nearest labels (60% agree)</t>
        </is>
      </c>
      <c r="D63" s="5" t="inlineStr">
        <is>
          <t>grade_beam</t>
        </is>
      </c>
      <c r="E63" s="5" t="inlineStr">
        <is>
          <t>grade_beam</t>
        </is>
      </c>
      <c r="F63" s="5" t="inlineStr">
        <is>
          <t>LG40x15</t>
        </is>
      </c>
      <c r="G63" s="5" t="inlineStr"/>
      <c r="H63" s="5" t="inlineStr">
        <is>
          <t>band width matches label</t>
        </is>
      </c>
      <c r="I63" s="5" t="n">
        <v>300</v>
      </c>
      <c r="J63" s="5" t="n">
        <v>40</v>
      </c>
      <c r="K63" s="9">
        <f>IF(AND(ISNUMBER(I63),ISNUMBER(J63),J63&gt;0),I63/J63,"")</f>
        <v/>
      </c>
      <c r="L63" s="5" t="n">
        <v>1.2</v>
      </c>
      <c r="M63" s="5" t="n">
        <v>3</v>
      </c>
      <c r="N63" s="5" t="n">
        <v>0</v>
      </c>
      <c r="O63" s="5" t="inlineStr">
        <is>
          <t>parallel line pair</t>
        </is>
      </c>
      <c r="P63" s="5" t="inlineStr">
        <is>
          <t>two parallel lines at the width written in the LG label, empty inside</t>
        </is>
      </c>
      <c r="Q63" s="5">
        <f>IF(OR(D63="column",D63="wall"),IF(I63&lt;='P vs V'!$B$3*J63,"column","wall"),"")</f>
        <v/>
      </c>
      <c r="R63" s="5" t="inlineStr"/>
      <c r="S63" s="5" t="inlineStr"/>
      <c r="T63" s="5" t="n"/>
      <c r="U63" s="5" t="inlineStr">
        <is>
          <t>yes</t>
        </is>
      </c>
      <c r="V63" s="5" t="inlineStr">
        <is>
          <t>no</t>
        </is>
      </c>
      <c r="W63" s="5" t="inlineStr">
        <is>
          <t>yes</t>
        </is>
      </c>
      <c r="X63" s="5" t="inlineStr">
        <is>
          <t>no</t>
        </is>
      </c>
      <c r="Y63" s="5" t="inlineStr">
        <is>
          <t>no</t>
        </is>
      </c>
      <c r="Z63" s="5" t="inlineStr">
        <is>
          <t>no</t>
        </is>
      </c>
      <c r="AA63" s="5" t="n">
        <v>6.47</v>
      </c>
      <c r="AB63" s="5" t="n"/>
      <c r="AC63" s="5" t="n"/>
      <c r="AD63" s="5" t="n"/>
      <c r="AE63" s="5" t="n">
        <v>4164.9</v>
      </c>
      <c r="AF63" s="5" t="n">
        <v>1333.6</v>
      </c>
      <c r="AG63" s="5" t="n">
        <v>4253.5</v>
      </c>
      <c r="AH63" s="5" t="n">
        <v>1345.4</v>
      </c>
      <c r="AI63" s="5" t="inlineStr">
        <is>
          <t>n/a</t>
        </is>
      </c>
      <c r="AJ63" s="5" t="inlineStr"/>
      <c r="AK63" s="5" t="inlineStr"/>
      <c r="AL63" s="5" t="inlineStr"/>
      <c r="AM63" s="5" t="inlineStr"/>
    </row>
    <row r="64">
      <c r="A64" s="5" t="n">
        <v>63</v>
      </c>
      <c r="B64" s="5" t="inlineStr">
        <is>
          <t>120</t>
        </is>
      </c>
      <c r="C64" s="5" t="inlineStr">
        <is>
          <t>nearest labels (60% agree)</t>
        </is>
      </c>
      <c r="D64" s="5" t="inlineStr">
        <is>
          <t>grade_beam</t>
        </is>
      </c>
      <c r="E64" s="5" t="inlineStr">
        <is>
          <t>grade_beam</t>
        </is>
      </c>
      <c r="F64" s="5" t="inlineStr">
        <is>
          <t>LG40x15</t>
        </is>
      </c>
      <c r="G64" s="5" t="inlineStr"/>
      <c r="H64" s="5" t="inlineStr">
        <is>
          <t>band width matches label</t>
        </is>
      </c>
      <c r="I64" s="5" t="n">
        <v>586</v>
      </c>
      <c r="J64" s="5" t="n">
        <v>40</v>
      </c>
      <c r="K64" s="9">
        <f>IF(AND(ISNUMBER(I64),ISNUMBER(J64),J64&gt;0),I64/J64,"")</f>
        <v/>
      </c>
      <c r="L64" s="5" t="n">
        <v>2.345</v>
      </c>
      <c r="M64" s="5" t="n">
        <v>5.86</v>
      </c>
      <c r="N64" s="5" t="n">
        <v>0</v>
      </c>
      <c r="O64" s="5" t="inlineStr">
        <is>
          <t>parallel line pair</t>
        </is>
      </c>
      <c r="P64" s="5" t="inlineStr">
        <is>
          <t>two parallel lines at the width written in the LG label, empty inside</t>
        </is>
      </c>
      <c r="Q64" s="5">
        <f>IF(OR(D64="column",D64="wall"),IF(I64&lt;='P vs V'!$B$3*J64,"column","wall"),"")</f>
        <v/>
      </c>
      <c r="R64" s="5" t="inlineStr"/>
      <c r="S64" s="5" t="inlineStr"/>
      <c r="T64" s="5" t="n"/>
      <c r="U64" s="5" t="inlineStr">
        <is>
          <t>yes</t>
        </is>
      </c>
      <c r="V64" s="5" t="inlineStr">
        <is>
          <t>no</t>
        </is>
      </c>
      <c r="W64" s="5" t="inlineStr">
        <is>
          <t>yes</t>
        </is>
      </c>
      <c r="X64" s="5" t="inlineStr">
        <is>
          <t>no</t>
        </is>
      </c>
      <c r="Y64" s="5" t="inlineStr">
        <is>
          <t>no</t>
        </is>
      </c>
      <c r="Z64" s="5" t="inlineStr">
        <is>
          <t>yes</t>
        </is>
      </c>
      <c r="AA64" s="5" t="n">
        <v>6.46</v>
      </c>
      <c r="AB64" s="5" t="n"/>
      <c r="AC64" s="5" t="n"/>
      <c r="AD64" s="5" t="n"/>
      <c r="AE64" s="5" t="n">
        <v>4290.5</v>
      </c>
      <c r="AF64" s="5" t="n">
        <v>1333.6</v>
      </c>
      <c r="AG64" s="5" t="n">
        <v>4463.6</v>
      </c>
      <c r="AH64" s="5" t="n">
        <v>1345.4</v>
      </c>
      <c r="AI64" s="5" t="inlineStr">
        <is>
          <t>n/a</t>
        </is>
      </c>
      <c r="AJ64" s="5" t="inlineStr"/>
      <c r="AK64" s="5" t="inlineStr"/>
      <c r="AL64" s="5" t="inlineStr"/>
      <c r="AM64" s="5" t="inlineStr"/>
    </row>
    <row r="65">
      <c r="A65" s="5" t="n">
        <v>64</v>
      </c>
      <c r="B65" s="5" t="inlineStr">
        <is>
          <t>120</t>
        </is>
      </c>
      <c r="C65" s="5" t="inlineStr">
        <is>
          <t>nearest labels (60% agree)</t>
        </is>
      </c>
      <c r="D65" s="5" t="inlineStr">
        <is>
          <t>grade_beam</t>
        </is>
      </c>
      <c r="E65" s="5" t="inlineStr">
        <is>
          <t>grade_beam</t>
        </is>
      </c>
      <c r="F65" s="5" t="inlineStr">
        <is>
          <t>LG40x15</t>
        </is>
      </c>
      <c r="G65" s="5" t="inlineStr"/>
      <c r="H65" s="5" t="inlineStr">
        <is>
          <t>band width matches label</t>
        </is>
      </c>
      <c r="I65" s="5" t="n">
        <v>300</v>
      </c>
      <c r="J65" s="5" t="n">
        <v>40</v>
      </c>
      <c r="K65" s="9">
        <f>IF(AND(ISNUMBER(I65),ISNUMBER(J65),J65&gt;0),I65/J65,"")</f>
        <v/>
      </c>
      <c r="L65" s="5" t="n">
        <v>1.2</v>
      </c>
      <c r="M65" s="5" t="n">
        <v>3</v>
      </c>
      <c r="N65" s="5" t="n">
        <v>0</v>
      </c>
      <c r="O65" s="5" t="inlineStr">
        <is>
          <t>parallel line pair</t>
        </is>
      </c>
      <c r="P65" s="5" t="inlineStr">
        <is>
          <t>two parallel lines at the width written in the LG label, empty inside</t>
        </is>
      </c>
      <c r="Q65" s="5">
        <f>IF(OR(D65="column",D65="wall"),IF(I65&lt;='P vs V'!$B$3*J65,"column","wall"),"")</f>
        <v/>
      </c>
      <c r="R65" s="5" t="inlineStr"/>
      <c r="S65" s="5" t="inlineStr"/>
      <c r="T65" s="5" t="n"/>
      <c r="U65" s="5" t="inlineStr">
        <is>
          <t>yes</t>
        </is>
      </c>
      <c r="V65" s="5" t="inlineStr">
        <is>
          <t>no</t>
        </is>
      </c>
      <c r="W65" s="5" t="inlineStr">
        <is>
          <t>yes</t>
        </is>
      </c>
      <c r="X65" s="5" t="inlineStr">
        <is>
          <t>no</t>
        </is>
      </c>
      <c r="Y65" s="5" t="inlineStr">
        <is>
          <t>no</t>
        </is>
      </c>
      <c r="Z65" s="5" t="inlineStr">
        <is>
          <t>no</t>
        </is>
      </c>
      <c r="AA65" s="5" t="n">
        <v>6.13</v>
      </c>
      <c r="AB65" s="5" t="n"/>
      <c r="AC65" s="5" t="n"/>
      <c r="AD65" s="5" t="n"/>
      <c r="AE65" s="5" t="n">
        <v>4164.9</v>
      </c>
      <c r="AF65" s="5" t="n">
        <v>1318.7</v>
      </c>
      <c r="AG65" s="5" t="n">
        <v>4253.5</v>
      </c>
      <c r="AH65" s="5" t="n">
        <v>1330.5</v>
      </c>
      <c r="AI65" s="5" t="inlineStr">
        <is>
          <t>n/a</t>
        </is>
      </c>
      <c r="AJ65" s="5" t="inlineStr"/>
      <c r="AK65" s="5" t="inlineStr"/>
      <c r="AL65" s="5" t="inlineStr"/>
      <c r="AM65" s="5" t="inlineStr"/>
    </row>
    <row r="66">
      <c r="A66" s="5" t="n">
        <v>65</v>
      </c>
      <c r="B66" s="5" t="inlineStr">
        <is>
          <t>120</t>
        </is>
      </c>
      <c r="C66" s="5" t="inlineStr">
        <is>
          <t>nearest labels (60% agree)</t>
        </is>
      </c>
      <c r="D66" s="5" t="inlineStr">
        <is>
          <t>grade_beam</t>
        </is>
      </c>
      <c r="E66" s="5" t="inlineStr">
        <is>
          <t>grade_beam</t>
        </is>
      </c>
      <c r="F66" s="5" t="inlineStr">
        <is>
          <t>LG40x15</t>
        </is>
      </c>
      <c r="G66" s="5" t="inlineStr"/>
      <c r="H66" s="5" t="inlineStr">
        <is>
          <t>band width matches label</t>
        </is>
      </c>
      <c r="I66" s="5" t="n">
        <v>586</v>
      </c>
      <c r="J66" s="5" t="n">
        <v>40</v>
      </c>
      <c r="K66" s="9">
        <f>IF(AND(ISNUMBER(I66),ISNUMBER(J66),J66&gt;0),I66/J66,"")</f>
        <v/>
      </c>
      <c r="L66" s="5" t="n">
        <v>2.344</v>
      </c>
      <c r="M66" s="5" t="n">
        <v>5.86</v>
      </c>
      <c r="N66" s="5" t="n">
        <v>0</v>
      </c>
      <c r="O66" s="5" t="inlineStr">
        <is>
          <t>parallel line pair</t>
        </is>
      </c>
      <c r="P66" s="5" t="inlineStr">
        <is>
          <t>two parallel lines at the width written in the LG label, empty inside</t>
        </is>
      </c>
      <c r="Q66" s="5">
        <f>IF(OR(D66="column",D66="wall"),IF(I66&lt;='P vs V'!$B$3*J66,"column","wall"),"")</f>
        <v/>
      </c>
      <c r="R66" s="5" t="inlineStr"/>
      <c r="S66" s="5" t="inlineStr"/>
      <c r="T66" s="5" t="n"/>
      <c r="U66" s="5" t="inlineStr">
        <is>
          <t>yes</t>
        </is>
      </c>
      <c r="V66" s="5" t="inlineStr">
        <is>
          <t>no</t>
        </is>
      </c>
      <c r="W66" s="5" t="inlineStr">
        <is>
          <t>yes</t>
        </is>
      </c>
      <c r="X66" s="5" t="inlineStr">
        <is>
          <t>no</t>
        </is>
      </c>
      <c r="Y66" s="5" t="inlineStr">
        <is>
          <t>no</t>
        </is>
      </c>
      <c r="Z66" s="5" t="inlineStr">
        <is>
          <t>yes</t>
        </is>
      </c>
      <c r="AA66" s="5" t="n">
        <v>6.13</v>
      </c>
      <c r="AB66" s="5" t="n"/>
      <c r="AC66" s="5" t="n"/>
      <c r="AD66" s="5" t="n"/>
      <c r="AE66" s="5" t="n">
        <v>4290.5</v>
      </c>
      <c r="AF66" s="5" t="n">
        <v>1318.7</v>
      </c>
      <c r="AG66" s="5" t="n">
        <v>4463.6</v>
      </c>
      <c r="AH66" s="5" t="n">
        <v>1330.5</v>
      </c>
      <c r="AI66" s="5" t="inlineStr">
        <is>
          <t>n/a</t>
        </is>
      </c>
      <c r="AJ66" s="5" t="inlineStr"/>
      <c r="AK66" s="5" t="inlineStr"/>
      <c r="AL66" s="5" t="inlineStr"/>
      <c r="AM66" s="5" t="inlineStr"/>
    </row>
    <row r="67">
      <c r="A67" s="5" t="n">
        <v>66</v>
      </c>
      <c r="B67" s="5" t="inlineStr">
        <is>
          <t>120</t>
        </is>
      </c>
      <c r="C67" s="5" t="inlineStr">
        <is>
          <t>nearest labels (100% agree)</t>
        </is>
      </c>
      <c r="D67" s="5" t="inlineStr">
        <is>
          <t>grade_beam</t>
        </is>
      </c>
      <c r="E67" s="5" t="inlineStr">
        <is>
          <t>grade_beam</t>
        </is>
      </c>
      <c r="F67" s="5" t="inlineStr">
        <is>
          <t>LG40x15</t>
        </is>
      </c>
      <c r="G67" s="5" t="inlineStr"/>
      <c r="H67" s="5" t="inlineStr">
        <is>
          <t>band width matches label</t>
        </is>
      </c>
      <c r="I67" s="5" t="n">
        <v>589</v>
      </c>
      <c r="J67" s="5" t="n">
        <v>40</v>
      </c>
      <c r="K67" s="9">
        <f>IF(AND(ISNUMBER(I67),ISNUMBER(J67),J67&gt;0),I67/J67,"")</f>
        <v/>
      </c>
      <c r="L67" s="5" t="n">
        <v>2.357</v>
      </c>
      <c r="M67" s="5" t="n">
        <v>5.89</v>
      </c>
      <c r="N67" s="5" t="n">
        <v>0</v>
      </c>
      <c r="O67" s="5" t="inlineStr">
        <is>
          <t>parallel line pair</t>
        </is>
      </c>
      <c r="P67" s="5" t="inlineStr">
        <is>
          <t>two parallel lines at the width written in the LG label, empty inside</t>
        </is>
      </c>
      <c r="Q67" s="5">
        <f>IF(OR(D67="column",D67="wall"),IF(I67&lt;='P vs V'!$B$3*J67,"column","wall"),"")</f>
        <v/>
      </c>
      <c r="R67" s="5" t="inlineStr"/>
      <c r="S67" s="5" t="inlineStr"/>
      <c r="T67" s="5" t="n"/>
      <c r="U67" s="5" t="inlineStr">
        <is>
          <t>no</t>
        </is>
      </c>
      <c r="V67" s="5" t="inlineStr">
        <is>
          <t>no</t>
        </is>
      </c>
      <c r="W67" s="5" t="inlineStr">
        <is>
          <t>no</t>
        </is>
      </c>
      <c r="X67" s="5" t="inlineStr">
        <is>
          <t>no</t>
        </is>
      </c>
      <c r="Y67" s="5" t="inlineStr">
        <is>
          <t>no</t>
        </is>
      </c>
      <c r="Z67" s="5" t="inlineStr">
        <is>
          <t>no</t>
        </is>
      </c>
      <c r="AA67" s="5" t="n">
        <v>0.09</v>
      </c>
      <c r="AB67" s="5" t="n"/>
      <c r="AC67" s="5" t="n"/>
      <c r="AD67" s="5" t="n"/>
      <c r="AE67" s="5" t="n">
        <v>4308.6</v>
      </c>
      <c r="AF67" s="5" t="n">
        <v>972</v>
      </c>
      <c r="AG67" s="5" t="n">
        <v>4482.6</v>
      </c>
      <c r="AH67" s="5" t="n">
        <v>983.9</v>
      </c>
      <c r="AI67" s="5" t="inlineStr">
        <is>
          <t>n/a</t>
        </is>
      </c>
      <c r="AJ67" s="5" t="inlineStr"/>
      <c r="AK67" s="5" t="inlineStr"/>
      <c r="AL67" s="5" t="inlineStr"/>
      <c r="AM67" s="5" t="inlineStr"/>
    </row>
    <row r="68">
      <c r="A68" s="5" t="n">
        <v>67</v>
      </c>
      <c r="B68" s="5" t="inlineStr">
        <is>
          <t>120</t>
        </is>
      </c>
      <c r="C68" s="5" t="inlineStr">
        <is>
          <t>nearest labels (100% agree)</t>
        </is>
      </c>
      <c r="D68" s="5" t="inlineStr">
        <is>
          <t>grade_beam</t>
        </is>
      </c>
      <c r="E68" s="5" t="inlineStr">
        <is>
          <t>grade_beam</t>
        </is>
      </c>
      <c r="F68" s="5" t="inlineStr">
        <is>
          <t>LG40x15</t>
        </is>
      </c>
      <c r="G68" s="5" t="inlineStr"/>
      <c r="H68" s="5" t="inlineStr">
        <is>
          <t>band width matches label</t>
        </is>
      </c>
      <c r="I68" s="5" t="n">
        <v>508</v>
      </c>
      <c r="J68" s="5" t="n">
        <v>40</v>
      </c>
      <c r="K68" s="9">
        <f>IF(AND(ISNUMBER(I68),ISNUMBER(J68),J68&gt;0),I68/J68,"")</f>
        <v/>
      </c>
      <c r="L68" s="5" t="n">
        <v>2.033</v>
      </c>
      <c r="M68" s="5" t="n">
        <v>5.08</v>
      </c>
      <c r="N68" s="5" t="n">
        <v>0</v>
      </c>
      <c r="O68" s="5" t="inlineStr">
        <is>
          <t>parallel line pair</t>
        </is>
      </c>
      <c r="P68" s="5" t="inlineStr">
        <is>
          <t>two parallel lines at the width written in the LG label, empty inside</t>
        </is>
      </c>
      <c r="Q68" s="5">
        <f>IF(OR(D68="column",D68="wall"),IF(I68&lt;='P vs V'!$B$3*J68,"column","wall"),"")</f>
        <v/>
      </c>
      <c r="R68" s="5" t="inlineStr"/>
      <c r="S68" s="5" t="inlineStr"/>
      <c r="T68" s="5" t="n"/>
      <c r="U68" s="5" t="inlineStr">
        <is>
          <t>no</t>
        </is>
      </c>
      <c r="V68" s="5" t="inlineStr">
        <is>
          <t>no</t>
        </is>
      </c>
      <c r="W68" s="5" t="inlineStr">
        <is>
          <t>yes</t>
        </is>
      </c>
      <c r="X68" s="5" t="inlineStr">
        <is>
          <t>no</t>
        </is>
      </c>
      <c r="Y68" s="5" t="inlineStr">
        <is>
          <t>no</t>
        </is>
      </c>
      <c r="Z68" s="5" t="inlineStr">
        <is>
          <t>no</t>
        </is>
      </c>
      <c r="AA68" s="5" t="n">
        <v>0.1</v>
      </c>
      <c r="AB68" s="5" t="n"/>
      <c r="AC68" s="5" t="n"/>
      <c r="AD68" s="5" t="n"/>
      <c r="AE68" s="5" t="n">
        <v>4615.4</v>
      </c>
      <c r="AF68" s="5" t="n">
        <v>972.2</v>
      </c>
      <c r="AG68" s="5" t="n">
        <v>4765.5</v>
      </c>
      <c r="AH68" s="5" t="n">
        <v>984.1</v>
      </c>
      <c r="AI68" s="5" t="inlineStr">
        <is>
          <t>n/a</t>
        </is>
      </c>
      <c r="AJ68" s="5" t="inlineStr"/>
      <c r="AK68" s="5" t="inlineStr"/>
      <c r="AL68" s="5" t="inlineStr"/>
      <c r="AM68" s="5" t="inlineStr"/>
    </row>
    <row r="69">
      <c r="A69" s="5" t="n">
        <v>68</v>
      </c>
      <c r="B69" s="5" t="inlineStr">
        <is>
          <t>120</t>
        </is>
      </c>
      <c r="C69" s="5" t="inlineStr">
        <is>
          <t>nearest labels (100% agree)</t>
        </is>
      </c>
      <c r="D69" s="5" t="inlineStr">
        <is>
          <t>grade_beam</t>
        </is>
      </c>
      <c r="E69" s="5" t="inlineStr">
        <is>
          <t>grade_beam</t>
        </is>
      </c>
      <c r="F69" s="5" t="inlineStr">
        <is>
          <t>LG40x15</t>
        </is>
      </c>
      <c r="G69" s="5" t="inlineStr"/>
      <c r="H69" s="5" t="inlineStr">
        <is>
          <t>band width matches label</t>
        </is>
      </c>
      <c r="I69" s="5" t="n">
        <v>626</v>
      </c>
      <c r="J69" s="5" t="n">
        <v>40</v>
      </c>
      <c r="K69" s="9">
        <f>IF(AND(ISNUMBER(I69),ISNUMBER(J69),J69&gt;0),I69/J69,"")</f>
        <v/>
      </c>
      <c r="L69" s="5" t="n">
        <v>2.505</v>
      </c>
      <c r="M69" s="5" t="n">
        <v>6.26</v>
      </c>
      <c r="N69" s="5" t="n">
        <v>179.9</v>
      </c>
      <c r="O69" s="5" t="inlineStr">
        <is>
          <t>parallel line pair</t>
        </is>
      </c>
      <c r="P69" s="5" t="inlineStr">
        <is>
          <t>two parallel lines at the width written in the LG label, empty inside</t>
        </is>
      </c>
      <c r="Q69" s="5">
        <f>IF(OR(D69="column",D69="wall"),IF(I69&lt;='P vs V'!$B$3*J69,"column","wall"),"")</f>
        <v/>
      </c>
      <c r="R69" s="5" t="inlineStr"/>
      <c r="S69" s="5" t="inlineStr"/>
      <c r="T69" s="5" t="n"/>
      <c r="U69" s="5" t="inlineStr">
        <is>
          <t>yes</t>
        </is>
      </c>
      <c r="V69" s="5" t="inlineStr">
        <is>
          <t>no</t>
        </is>
      </c>
      <c r="W69" s="5" t="inlineStr">
        <is>
          <t>yes</t>
        </is>
      </c>
      <c r="X69" s="5" t="inlineStr">
        <is>
          <t>no</t>
        </is>
      </c>
      <c r="Y69" s="5" t="inlineStr">
        <is>
          <t>no</t>
        </is>
      </c>
      <c r="Z69" s="5" t="inlineStr">
        <is>
          <t>no</t>
        </is>
      </c>
      <c r="AA69" s="5" t="n">
        <v>2.61</v>
      </c>
      <c r="AB69" s="5" t="n"/>
      <c r="AC69" s="5" t="n"/>
      <c r="AD69" s="5" t="n"/>
      <c r="AE69" s="5" t="n">
        <v>4580.3</v>
      </c>
      <c r="AF69" s="5" t="n">
        <v>514.9</v>
      </c>
      <c r="AG69" s="5" t="n">
        <v>4765.2</v>
      </c>
      <c r="AH69" s="5" t="n">
        <v>527</v>
      </c>
      <c r="AI69" s="5" t="inlineStr">
        <is>
          <t>n/a</t>
        </is>
      </c>
      <c r="AJ69" s="5" t="inlineStr"/>
      <c r="AK69" s="5" t="inlineStr"/>
      <c r="AL69" s="5" t="inlineStr"/>
      <c r="AM69" s="5" t="inlineStr"/>
    </row>
    <row r="70">
      <c r="A70" s="5" t="n">
        <v>69</v>
      </c>
      <c r="B70" s="5" t="inlineStr">
        <is>
          <t>120</t>
        </is>
      </c>
      <c r="C70" s="5" t="inlineStr">
        <is>
          <t>nearest labels (100% agree)</t>
        </is>
      </c>
      <c r="D70" s="5" t="inlineStr">
        <is>
          <t>grade_beam</t>
        </is>
      </c>
      <c r="E70" s="5" t="inlineStr">
        <is>
          <t>grade_beam</t>
        </is>
      </c>
      <c r="F70" s="5" t="inlineStr">
        <is>
          <t>LG40x15</t>
        </is>
      </c>
      <c r="G70" s="5" t="inlineStr"/>
      <c r="H70" s="5" t="inlineStr">
        <is>
          <t>band width matches label</t>
        </is>
      </c>
      <c r="I70" s="5" t="n">
        <v>719</v>
      </c>
      <c r="J70" s="5" t="n">
        <v>40</v>
      </c>
      <c r="K70" s="9">
        <f>IF(AND(ISNUMBER(I70),ISNUMBER(J70),J70&gt;0),I70/J70,"")</f>
        <v/>
      </c>
      <c r="L70" s="5" t="n">
        <v>2.878</v>
      </c>
      <c r="M70" s="5" t="n">
        <v>7.19</v>
      </c>
      <c r="N70" s="5" t="n">
        <v>179.9</v>
      </c>
      <c r="O70" s="5" t="inlineStr">
        <is>
          <t>parallel line pair</t>
        </is>
      </c>
      <c r="P70" s="5" t="inlineStr">
        <is>
          <t>two parallel lines at the width written in the LG label, empty inside</t>
        </is>
      </c>
      <c r="Q70" s="5">
        <f>IF(OR(D70="column",D70="wall"),IF(I70&lt;='P vs V'!$B$3*J70,"column","wall"),"")</f>
        <v/>
      </c>
      <c r="R70" s="5" t="inlineStr"/>
      <c r="S70" s="5" t="inlineStr"/>
      <c r="T70" s="5" t="n"/>
      <c r="U70" s="5" t="inlineStr">
        <is>
          <t>no</t>
        </is>
      </c>
      <c r="V70" s="5" t="inlineStr">
        <is>
          <t>no</t>
        </is>
      </c>
      <c r="W70" s="5" t="inlineStr">
        <is>
          <t>yes</t>
        </is>
      </c>
      <c r="X70" s="5" t="inlineStr">
        <is>
          <t>no</t>
        </is>
      </c>
      <c r="Y70" s="5" t="inlineStr">
        <is>
          <t>no</t>
        </is>
      </c>
      <c r="Z70" s="5" t="inlineStr">
        <is>
          <t>no</t>
        </is>
      </c>
      <c r="AA70" s="5" t="n">
        <v>2.59</v>
      </c>
      <c r="AB70" s="5" t="n"/>
      <c r="AC70" s="5" t="n"/>
      <c r="AD70" s="5" t="n"/>
      <c r="AE70" s="5" t="n">
        <v>4308.9</v>
      </c>
      <c r="AF70" s="5" t="n">
        <v>515.3</v>
      </c>
      <c r="AG70" s="5" t="n">
        <v>4521.3</v>
      </c>
      <c r="AH70" s="5" t="n">
        <v>527.4</v>
      </c>
      <c r="AI70" s="5" t="inlineStr">
        <is>
          <t>n/a</t>
        </is>
      </c>
      <c r="AJ70" s="5" t="inlineStr"/>
      <c r="AK70" s="5" t="inlineStr"/>
      <c r="AL70" s="5" t="inlineStr"/>
      <c r="AM70" s="5" t="inlineStr"/>
    </row>
    <row r="71">
      <c r="A71" s="5" t="n">
        <v>70</v>
      </c>
      <c r="B71" s="5" t="inlineStr">
        <is>
          <t>120</t>
        </is>
      </c>
      <c r="C71" s="5" t="inlineStr">
        <is>
          <t>nearest labels (80% agree)</t>
        </is>
      </c>
      <c r="D71" s="5" t="inlineStr">
        <is>
          <t>grade_beam</t>
        </is>
      </c>
      <c r="E71" s="5" t="inlineStr">
        <is>
          <t>grade_beam</t>
        </is>
      </c>
      <c r="F71" s="5" t="inlineStr">
        <is>
          <t>LG40x15</t>
        </is>
      </c>
      <c r="G71" s="5" t="inlineStr"/>
      <c r="H71" s="5" t="inlineStr">
        <is>
          <t>band width matches label</t>
        </is>
      </c>
      <c r="I71" s="5" t="n">
        <v>281</v>
      </c>
      <c r="J71" s="5" t="n">
        <v>40</v>
      </c>
      <c r="K71" s="9">
        <f>IF(AND(ISNUMBER(I71),ISNUMBER(J71),J71&gt;0),I71/J71,"")</f>
        <v/>
      </c>
      <c r="L71" s="5" t="n">
        <v>1.122</v>
      </c>
      <c r="M71" s="5" t="n">
        <v>2.81</v>
      </c>
      <c r="N71" s="5" t="n">
        <v>0</v>
      </c>
      <c r="O71" s="5" t="inlineStr">
        <is>
          <t>parallel line pair</t>
        </is>
      </c>
      <c r="P71" s="5" t="inlineStr">
        <is>
          <t>two parallel lines at the width written in the LG label, empty inside</t>
        </is>
      </c>
      <c r="Q71" s="5">
        <f>IF(OR(D71="column",D71="wall"),IF(I71&lt;='P vs V'!$B$3*J71,"column","wall"),"")</f>
        <v/>
      </c>
      <c r="R71" s="5" t="inlineStr"/>
      <c r="S71" s="5" t="inlineStr"/>
      <c r="T71" s="5" t="n"/>
      <c r="U71" s="5" t="inlineStr">
        <is>
          <t>no</t>
        </is>
      </c>
      <c r="V71" s="5" t="inlineStr">
        <is>
          <t>no</t>
        </is>
      </c>
      <c r="W71" s="5" t="inlineStr">
        <is>
          <t>yes</t>
        </is>
      </c>
      <c r="X71" s="5" t="inlineStr">
        <is>
          <t>no</t>
        </is>
      </c>
      <c r="Y71" s="5" t="inlineStr">
        <is>
          <t>no</t>
        </is>
      </c>
      <c r="Z71" s="5" t="inlineStr">
        <is>
          <t>no</t>
        </is>
      </c>
      <c r="AA71" s="5" t="n">
        <v>1.55</v>
      </c>
      <c r="AB71" s="5" t="n"/>
      <c r="AC71" s="5" t="n"/>
      <c r="AD71" s="5" t="n"/>
      <c r="AE71" s="5" t="n">
        <v>4165.1</v>
      </c>
      <c r="AF71" s="5" t="n">
        <v>1091.9</v>
      </c>
      <c r="AG71" s="5" t="n">
        <v>4247.9</v>
      </c>
      <c r="AH71" s="5" t="n">
        <v>1103.8</v>
      </c>
      <c r="AI71" s="5" t="inlineStr">
        <is>
          <t>n/a</t>
        </is>
      </c>
      <c r="AJ71" s="5" t="inlineStr"/>
      <c r="AK71" s="5" t="inlineStr"/>
      <c r="AL71" s="5" t="inlineStr"/>
      <c r="AM71" s="5" t="inlineStr"/>
    </row>
    <row r="72">
      <c r="A72" s="5" t="n">
        <v>71</v>
      </c>
      <c r="B72" s="5" t="inlineStr">
        <is>
          <t>120</t>
        </is>
      </c>
      <c r="C72" s="5" t="inlineStr">
        <is>
          <t>nearest labels (100% agree)</t>
        </is>
      </c>
      <c r="D72" s="5" t="inlineStr">
        <is>
          <t>grade_beam</t>
        </is>
      </c>
      <c r="E72" s="5" t="inlineStr">
        <is>
          <t>grade_beam</t>
        </is>
      </c>
      <c r="F72" s="5" t="inlineStr">
        <is>
          <t>LG40x15</t>
        </is>
      </c>
      <c r="G72" s="5" t="inlineStr"/>
      <c r="H72" s="5" t="inlineStr">
        <is>
          <t>band width matches label</t>
        </is>
      </c>
      <c r="I72" s="5" t="n">
        <v>435</v>
      </c>
      <c r="J72" s="5" t="n">
        <v>40</v>
      </c>
      <c r="K72" s="9">
        <f>IF(AND(ISNUMBER(I72),ISNUMBER(J72),J72&gt;0),I72/J72,"")</f>
        <v/>
      </c>
      <c r="L72" s="5" t="n">
        <v>1.74</v>
      </c>
      <c r="M72" s="5" t="n">
        <v>4.35</v>
      </c>
      <c r="N72" s="5" t="n">
        <v>0</v>
      </c>
      <c r="O72" s="5" t="inlineStr">
        <is>
          <t>parallel line pair</t>
        </is>
      </c>
      <c r="P72" s="5" t="inlineStr">
        <is>
          <t>two parallel lines at the width written in the LG label, empty inside</t>
        </is>
      </c>
      <c r="Q72" s="5">
        <f>IF(OR(D72="column",D72="wall"),IF(I72&lt;='P vs V'!$B$3*J72,"column","wall"),"")</f>
        <v/>
      </c>
      <c r="R72" s="5" t="inlineStr"/>
      <c r="S72" s="5" t="inlineStr"/>
      <c r="T72" s="5" t="n"/>
      <c r="U72" s="5" t="inlineStr">
        <is>
          <t>no</t>
        </is>
      </c>
      <c r="V72" s="5" t="inlineStr">
        <is>
          <t>no</t>
        </is>
      </c>
      <c r="W72" s="5" t="inlineStr">
        <is>
          <t>no</t>
        </is>
      </c>
      <c r="X72" s="5" t="inlineStr">
        <is>
          <t>no</t>
        </is>
      </c>
      <c r="Y72" s="5" t="inlineStr">
        <is>
          <t>no</t>
        </is>
      </c>
      <c r="Z72" s="5" t="inlineStr">
        <is>
          <t>no</t>
        </is>
      </c>
      <c r="AA72" s="5" t="n">
        <v>1.54</v>
      </c>
      <c r="AB72" s="5" t="n"/>
      <c r="AC72" s="5" t="n"/>
      <c r="AD72" s="5" t="n"/>
      <c r="AE72" s="5" t="n">
        <v>4351.3</v>
      </c>
      <c r="AF72" s="5" t="n">
        <v>1092</v>
      </c>
      <c r="AG72" s="5" t="n">
        <v>4479.7</v>
      </c>
      <c r="AH72" s="5" t="n">
        <v>1103.9</v>
      </c>
      <c r="AI72" s="5" t="inlineStr">
        <is>
          <t>n/a</t>
        </is>
      </c>
      <c r="AJ72" s="5" t="inlineStr"/>
      <c r="AK72" s="5" t="inlineStr"/>
      <c r="AL72" s="5" t="inlineStr"/>
      <c r="AM72" s="5" t="inlineStr"/>
    </row>
    <row r="73">
      <c r="A73" s="5" t="n">
        <v>72</v>
      </c>
      <c r="B73" s="5" t="inlineStr">
        <is>
          <t>120</t>
        </is>
      </c>
      <c r="C73" s="5" t="inlineStr">
        <is>
          <t>nearest labels (100% agree)</t>
        </is>
      </c>
      <c r="D73" s="5" t="inlineStr">
        <is>
          <t>grade_beam</t>
        </is>
      </c>
      <c r="E73" s="5" t="inlineStr">
        <is>
          <t>grade_beam</t>
        </is>
      </c>
      <c r="F73" s="5" t="inlineStr">
        <is>
          <t>LG40x15</t>
        </is>
      </c>
      <c r="G73" s="5" t="inlineStr"/>
      <c r="H73" s="5" t="inlineStr">
        <is>
          <t>band width matches label</t>
        </is>
      </c>
      <c r="I73" s="5" t="n">
        <v>443</v>
      </c>
      <c r="J73" s="5" t="n">
        <v>40</v>
      </c>
      <c r="K73" s="9">
        <f>IF(AND(ISNUMBER(I73),ISNUMBER(J73),J73&gt;0),I73/J73,"")</f>
        <v/>
      </c>
      <c r="L73" s="5" t="n">
        <v>1.774</v>
      </c>
      <c r="M73" s="5" t="n">
        <v>4.43</v>
      </c>
      <c r="N73" s="5" t="n">
        <v>179.5</v>
      </c>
      <c r="O73" s="5" t="inlineStr">
        <is>
          <t>parallel line pair</t>
        </is>
      </c>
      <c r="P73" s="5" t="inlineStr">
        <is>
          <t>two parallel lines at the width written in the LG label, empty inside</t>
        </is>
      </c>
      <c r="Q73" s="5">
        <f>IF(OR(D73="column",D73="wall"),IF(I73&lt;='P vs V'!$B$3*J73,"column","wall"),"")</f>
        <v/>
      </c>
      <c r="R73" s="5" t="inlineStr"/>
      <c r="S73" s="5" t="inlineStr"/>
      <c r="T73" s="5" t="n"/>
      <c r="U73" s="5" t="inlineStr">
        <is>
          <t>no</t>
        </is>
      </c>
      <c r="V73" s="5" t="inlineStr">
        <is>
          <t>no</t>
        </is>
      </c>
      <c r="W73" s="5" t="inlineStr">
        <is>
          <t>no</t>
        </is>
      </c>
      <c r="X73" s="5" t="inlineStr">
        <is>
          <t>no</t>
        </is>
      </c>
      <c r="Y73" s="5" t="inlineStr">
        <is>
          <t>no</t>
        </is>
      </c>
      <c r="Z73" s="5" t="inlineStr">
        <is>
          <t>no</t>
        </is>
      </c>
      <c r="AA73" s="5" t="n">
        <v>1.38</v>
      </c>
      <c r="AB73" s="5" t="n"/>
      <c r="AC73" s="5" t="n"/>
      <c r="AD73" s="5" t="n"/>
      <c r="AE73" s="5" t="n">
        <v>4351.6</v>
      </c>
      <c r="AF73" s="5" t="n">
        <v>632.1</v>
      </c>
      <c r="AG73" s="5" t="n">
        <v>4482.6</v>
      </c>
      <c r="AH73" s="5" t="n">
        <v>645</v>
      </c>
      <c r="AI73" s="5" t="inlineStr">
        <is>
          <t>n/a</t>
        </is>
      </c>
      <c r="AJ73" s="5" t="inlineStr"/>
      <c r="AK73" s="5" t="inlineStr"/>
      <c r="AL73" s="5" t="inlineStr"/>
      <c r="AM73" s="5" t="inlineStr"/>
    </row>
    <row r="74">
      <c r="A74" s="5" t="n">
        <v>73</v>
      </c>
      <c r="B74" s="5" t="inlineStr">
        <is>
          <t>120</t>
        </is>
      </c>
      <c r="C74" s="5" t="inlineStr">
        <is>
          <t>nearest labels (100% agree)</t>
        </is>
      </c>
      <c r="D74" s="5" t="inlineStr">
        <is>
          <t>grade_beam</t>
        </is>
      </c>
      <c r="E74" s="5" t="inlineStr">
        <is>
          <t>grade_beam</t>
        </is>
      </c>
      <c r="F74" s="5" t="inlineStr">
        <is>
          <t>LG40x15</t>
        </is>
      </c>
      <c r="G74" s="5" t="inlineStr"/>
      <c r="H74" s="5" t="inlineStr">
        <is>
          <t>band width matches label</t>
        </is>
      </c>
      <c r="I74" s="5" t="n">
        <v>281</v>
      </c>
      <c r="J74" s="5" t="n">
        <v>40</v>
      </c>
      <c r="K74" s="9">
        <f>IF(AND(ISNUMBER(I74),ISNUMBER(J74),J74&gt;0),I74/J74,"")</f>
        <v/>
      </c>
      <c r="L74" s="5" t="n">
        <v>1.123</v>
      </c>
      <c r="M74" s="5" t="n">
        <v>2.81</v>
      </c>
      <c r="N74" s="5" t="n">
        <v>179.5</v>
      </c>
      <c r="O74" s="5" t="inlineStr">
        <is>
          <t>parallel line pair</t>
        </is>
      </c>
      <c r="P74" s="5" t="inlineStr">
        <is>
          <t>two parallel lines at the width written in the LG label, empty inside</t>
        </is>
      </c>
      <c r="Q74" s="5">
        <f>IF(OR(D74="column",D74="wall"),IF(I74&lt;='P vs V'!$B$3*J74,"column","wall"),"")</f>
        <v/>
      </c>
      <c r="R74" s="5" t="inlineStr"/>
      <c r="S74" s="5" t="inlineStr"/>
      <c r="T74" s="5" t="n"/>
      <c r="U74" s="5" t="inlineStr">
        <is>
          <t>no</t>
        </is>
      </c>
      <c r="V74" s="5" t="inlineStr">
        <is>
          <t>no</t>
        </is>
      </c>
      <c r="W74" s="5" t="inlineStr">
        <is>
          <t>yes</t>
        </is>
      </c>
      <c r="X74" s="5" t="inlineStr">
        <is>
          <t>no</t>
        </is>
      </c>
      <c r="Y74" s="5" t="inlineStr">
        <is>
          <t>no</t>
        </is>
      </c>
      <c r="Z74" s="5" t="inlineStr">
        <is>
          <t>no</t>
        </is>
      </c>
      <c r="AA74" s="5" t="n">
        <v>1.44</v>
      </c>
      <c r="AB74" s="5" t="n"/>
      <c r="AC74" s="5" t="n"/>
      <c r="AD74" s="5" t="n"/>
      <c r="AE74" s="5" t="n">
        <v>4165.4</v>
      </c>
      <c r="AF74" s="5" t="n">
        <v>634</v>
      </c>
      <c r="AG74" s="5" t="n">
        <v>4248.3</v>
      </c>
      <c r="AH74" s="5" t="n">
        <v>646.5</v>
      </c>
      <c r="AI74" s="5" t="inlineStr">
        <is>
          <t>n/a</t>
        </is>
      </c>
      <c r="AJ74" s="5" t="inlineStr"/>
      <c r="AK74" s="5" t="inlineStr"/>
      <c r="AL74" s="5" t="inlineStr"/>
      <c r="AM74" s="5" t="inlineStr"/>
    </row>
    <row r="75">
      <c r="A75" s="5" t="n">
        <v>74</v>
      </c>
      <c r="B75" s="5" t="inlineStr">
        <is>
          <t>120</t>
        </is>
      </c>
      <c r="C75" s="5" t="inlineStr">
        <is>
          <t>nearest labels (100% agree)</t>
        </is>
      </c>
      <c r="D75" s="5" t="inlineStr">
        <is>
          <t>grade_beam</t>
        </is>
      </c>
      <c r="E75" s="5" t="inlineStr">
        <is>
          <t>grade_beam</t>
        </is>
      </c>
      <c r="F75" s="5" t="inlineStr">
        <is>
          <t>LG40x15</t>
        </is>
      </c>
      <c r="G75" s="5" t="inlineStr"/>
      <c r="H75" s="5" t="inlineStr">
        <is>
          <t>band width matches label</t>
        </is>
      </c>
      <c r="I75" s="5" t="n">
        <v>714</v>
      </c>
      <c r="J75" s="5" t="n">
        <v>40</v>
      </c>
      <c r="K75" s="9">
        <f>IF(AND(ISNUMBER(I75),ISNUMBER(J75),J75&gt;0),I75/J75,"")</f>
        <v/>
      </c>
      <c r="L75" s="5" t="n">
        <v>2.856</v>
      </c>
      <c r="M75" s="5" t="n">
        <v>7.14</v>
      </c>
      <c r="N75" s="5" t="n">
        <v>0</v>
      </c>
      <c r="O75" s="5" t="inlineStr">
        <is>
          <t>parallel line pair</t>
        </is>
      </c>
      <c r="P75" s="5" t="inlineStr">
        <is>
          <t>two parallel lines at the width written in the LG label, empty inside</t>
        </is>
      </c>
      <c r="Q75" s="5">
        <f>IF(OR(D75="column",D75="wall"),IF(I75&lt;='P vs V'!$B$3*J75,"column","wall"),"")</f>
        <v/>
      </c>
      <c r="R75" s="5" t="inlineStr"/>
      <c r="S75" s="5" t="inlineStr"/>
      <c r="T75" s="5" t="n"/>
      <c r="U75" s="5" t="inlineStr">
        <is>
          <t>no</t>
        </is>
      </c>
      <c r="V75" s="5" t="inlineStr">
        <is>
          <t>no</t>
        </is>
      </c>
      <c r="W75" s="5" t="inlineStr">
        <is>
          <t>yes</t>
        </is>
      </c>
      <c r="X75" s="5" t="inlineStr">
        <is>
          <t>no</t>
        </is>
      </c>
      <c r="Y75" s="5" t="inlineStr">
        <is>
          <t>no</t>
        </is>
      </c>
      <c r="Z75" s="5" t="inlineStr">
        <is>
          <t>yes</t>
        </is>
      </c>
      <c r="AA75" s="5" t="n">
        <v>1.79</v>
      </c>
      <c r="AB75" s="5" t="n"/>
      <c r="AC75" s="5" t="n"/>
      <c r="AD75" s="5" t="n"/>
      <c r="AE75" s="5" t="n">
        <v>4305.7</v>
      </c>
      <c r="AF75" s="5" t="n">
        <v>824.4</v>
      </c>
      <c r="AG75" s="5" t="n">
        <v>4516.5</v>
      </c>
      <c r="AH75" s="5" t="n">
        <v>836.3</v>
      </c>
      <c r="AI75" s="5" t="inlineStr">
        <is>
          <t>n/a</t>
        </is>
      </c>
      <c r="AJ75" s="5" t="inlineStr"/>
      <c r="AK75" s="5" t="inlineStr"/>
      <c r="AL75" s="5" t="inlineStr"/>
      <c r="AM75" s="5" t="inlineStr"/>
    </row>
    <row r="76">
      <c r="A76" s="5" t="n">
        <v>75</v>
      </c>
      <c r="B76" s="5" t="inlineStr">
        <is>
          <t>120</t>
        </is>
      </c>
      <c r="C76" s="5" t="inlineStr">
        <is>
          <t>nearest labels (100% agree)</t>
        </is>
      </c>
      <c r="D76" s="5" t="inlineStr">
        <is>
          <t>grade_beam</t>
        </is>
      </c>
      <c r="E76" s="5" t="inlineStr">
        <is>
          <t>grade_beam</t>
        </is>
      </c>
      <c r="F76" s="5" t="inlineStr">
        <is>
          <t>LG40x15</t>
        </is>
      </c>
      <c r="G76" s="5" t="inlineStr"/>
      <c r="H76" s="5" t="inlineStr">
        <is>
          <t>band width matches label</t>
        </is>
      </c>
      <c r="I76" s="5" t="n">
        <v>507</v>
      </c>
      <c r="J76" s="5" t="n">
        <v>40</v>
      </c>
      <c r="K76" s="9">
        <f>IF(AND(ISNUMBER(I76),ISNUMBER(J76),J76&gt;0),I76/J76,"")</f>
        <v/>
      </c>
      <c r="L76" s="5" t="n">
        <v>2.029</v>
      </c>
      <c r="M76" s="5" t="n">
        <v>5.07</v>
      </c>
      <c r="N76" s="5" t="n">
        <v>0</v>
      </c>
      <c r="O76" s="5" t="inlineStr">
        <is>
          <t>parallel line pair</t>
        </is>
      </c>
      <c r="P76" s="5" t="inlineStr">
        <is>
          <t>two parallel lines at the width written in the LG label, empty inside</t>
        </is>
      </c>
      <c r="Q76" s="5">
        <f>IF(OR(D76="column",D76="wall"),IF(I76&lt;='P vs V'!$B$3*J76,"column","wall"),"")</f>
        <v/>
      </c>
      <c r="R76" s="5" t="inlineStr"/>
      <c r="S76" s="5" t="inlineStr"/>
      <c r="T76" s="5" t="n"/>
      <c r="U76" s="5" t="inlineStr">
        <is>
          <t>no</t>
        </is>
      </c>
      <c r="V76" s="5" t="inlineStr">
        <is>
          <t>no</t>
        </is>
      </c>
      <c r="W76" s="5" t="inlineStr">
        <is>
          <t>yes</t>
        </is>
      </c>
      <c r="X76" s="5" t="inlineStr">
        <is>
          <t>no</t>
        </is>
      </c>
      <c r="Y76" s="5" t="inlineStr">
        <is>
          <t>no</t>
        </is>
      </c>
      <c r="Z76" s="5" t="inlineStr">
        <is>
          <t>no</t>
        </is>
      </c>
      <c r="AA76" s="5" t="n">
        <v>2.31</v>
      </c>
      <c r="AB76" s="5" t="n"/>
      <c r="AC76" s="5" t="n"/>
      <c r="AD76" s="5" t="n"/>
      <c r="AE76" s="5" t="n">
        <v>4615.3</v>
      </c>
      <c r="AF76" s="5" t="n">
        <v>679.2</v>
      </c>
      <c r="AG76" s="5" t="n">
        <v>4765.1</v>
      </c>
      <c r="AH76" s="5" t="n">
        <v>691.1</v>
      </c>
      <c r="AI76" s="5" t="inlineStr">
        <is>
          <t>n/a</t>
        </is>
      </c>
      <c r="AJ76" s="5" t="inlineStr"/>
      <c r="AK76" s="5" t="inlineStr"/>
      <c r="AL76" s="5" t="inlineStr"/>
      <c r="AM76" s="5" t="inlineStr"/>
    </row>
    <row r="77">
      <c r="A77" s="5" t="n">
        <v>76</v>
      </c>
      <c r="B77" s="5" t="inlineStr">
        <is>
          <t>120</t>
        </is>
      </c>
      <c r="C77" s="5" t="inlineStr">
        <is>
          <t>nearest labels (100% agree)</t>
        </is>
      </c>
      <c r="D77" s="5" t="inlineStr">
        <is>
          <t>grade_beam</t>
        </is>
      </c>
      <c r="E77" s="5" t="inlineStr">
        <is>
          <t>grade_beam</t>
        </is>
      </c>
      <c r="F77" s="5" t="inlineStr">
        <is>
          <t>LG40x15</t>
        </is>
      </c>
      <c r="G77" s="5" t="inlineStr"/>
      <c r="H77" s="5" t="inlineStr">
        <is>
          <t>band width matches label</t>
        </is>
      </c>
      <c r="I77" s="5" t="n">
        <v>300</v>
      </c>
      <c r="J77" s="5" t="n">
        <v>40</v>
      </c>
      <c r="K77" s="9">
        <f>IF(AND(ISNUMBER(I77),ISNUMBER(J77),J77&gt;0),I77/J77,"")</f>
        <v/>
      </c>
      <c r="L77" s="5" t="n">
        <v>1.2</v>
      </c>
      <c r="M77" s="5" t="n">
        <v>3</v>
      </c>
      <c r="N77" s="5" t="n">
        <v>0.1</v>
      </c>
      <c r="O77" s="5" t="inlineStr">
        <is>
          <t>parallel line pair</t>
        </is>
      </c>
      <c r="P77" s="5" t="inlineStr">
        <is>
          <t>two parallel lines at the width written in the LG label, empty inside</t>
        </is>
      </c>
      <c r="Q77" s="5">
        <f>IF(OR(D77="column",D77="wall"),IF(I77&lt;='P vs V'!$B$3*J77,"column","wall"),"")</f>
        <v/>
      </c>
      <c r="R77" s="5" t="inlineStr"/>
      <c r="S77" s="5" t="inlineStr"/>
      <c r="T77" s="5" t="n"/>
      <c r="U77" s="5" t="inlineStr">
        <is>
          <t>no</t>
        </is>
      </c>
      <c r="V77" s="5" t="inlineStr">
        <is>
          <t>no</t>
        </is>
      </c>
      <c r="W77" s="5" t="inlineStr">
        <is>
          <t>no</t>
        </is>
      </c>
      <c r="X77" s="5" t="inlineStr">
        <is>
          <t>no</t>
        </is>
      </c>
      <c r="Y77" s="5" t="inlineStr">
        <is>
          <t>no</t>
        </is>
      </c>
      <c r="Z77" s="5" t="inlineStr">
        <is>
          <t>no</t>
        </is>
      </c>
      <c r="AA77" s="5" t="n">
        <v>0.02</v>
      </c>
      <c r="AB77" s="5" t="n"/>
      <c r="AC77" s="5" t="n"/>
      <c r="AD77" s="5" t="n"/>
      <c r="AE77" s="5" t="n">
        <v>4612.5</v>
      </c>
      <c r="AF77" s="5" t="n">
        <v>1138.3</v>
      </c>
      <c r="AG77" s="5" t="n">
        <v>4701.1</v>
      </c>
      <c r="AH77" s="5" t="n">
        <v>1150.2</v>
      </c>
      <c r="AI77" s="5" t="inlineStr">
        <is>
          <t>n/a</t>
        </is>
      </c>
      <c r="AJ77" s="5" t="inlineStr"/>
      <c r="AK77" s="5" t="inlineStr"/>
      <c r="AL77" s="5" t="inlineStr"/>
      <c r="AM77" s="5" t="inlineStr"/>
    </row>
    <row r="78">
      <c r="A78" s="5" t="n">
        <v>77</v>
      </c>
      <c r="B78" s="5" t="inlineStr">
        <is>
          <t>120</t>
        </is>
      </c>
      <c r="C78" s="5" t="inlineStr">
        <is>
          <t>nearest labels (100% agree)</t>
        </is>
      </c>
      <c r="D78" s="5" t="inlineStr">
        <is>
          <t>grade_beam</t>
        </is>
      </c>
      <c r="E78" s="5" t="inlineStr">
        <is>
          <t>grade_beam</t>
        </is>
      </c>
      <c r="F78" s="5" t="inlineStr">
        <is>
          <t>LG40x15</t>
        </is>
      </c>
      <c r="G78" s="5" t="inlineStr"/>
      <c r="H78" s="5" t="inlineStr">
        <is>
          <t>band width matches label</t>
        </is>
      </c>
      <c r="I78" s="5" t="n">
        <v>281</v>
      </c>
      <c r="J78" s="5" t="n">
        <v>40</v>
      </c>
      <c r="K78" s="9">
        <f>IF(AND(ISNUMBER(I78),ISNUMBER(J78),J78&gt;0),I78/J78,"")</f>
        <v/>
      </c>
      <c r="L78" s="5" t="n">
        <v>1.123</v>
      </c>
      <c r="M78" s="5" t="n">
        <v>2.81</v>
      </c>
      <c r="N78" s="5" t="n">
        <v>0</v>
      </c>
      <c r="O78" s="5" t="inlineStr">
        <is>
          <t>parallel line pair</t>
        </is>
      </c>
      <c r="P78" s="5" t="inlineStr">
        <is>
          <t>two parallel lines at the width written in the LG label, empty inside</t>
        </is>
      </c>
      <c r="Q78" s="5">
        <f>IF(OR(D78="column",D78="wall"),IF(I78&lt;='P vs V'!$B$3*J78,"column","wall"),"")</f>
        <v/>
      </c>
      <c r="R78" s="5" t="inlineStr"/>
      <c r="S78" s="5" t="inlineStr"/>
      <c r="T78" s="5" t="n"/>
      <c r="U78" s="5" t="inlineStr">
        <is>
          <t>no</t>
        </is>
      </c>
      <c r="V78" s="5" t="inlineStr">
        <is>
          <t>no</t>
        </is>
      </c>
      <c r="W78" s="5" t="inlineStr">
        <is>
          <t>yes</t>
        </is>
      </c>
      <c r="X78" s="5" t="inlineStr">
        <is>
          <t>no</t>
        </is>
      </c>
      <c r="Y78" s="5" t="inlineStr">
        <is>
          <t>no</t>
        </is>
      </c>
      <c r="Z78" s="5" t="inlineStr">
        <is>
          <t>no</t>
        </is>
      </c>
      <c r="AA78" s="5" t="n">
        <v>3.07</v>
      </c>
      <c r="AB78" s="5" t="n"/>
      <c r="AC78" s="5" t="n"/>
      <c r="AD78" s="5" t="n"/>
      <c r="AE78" s="5" t="n">
        <v>4165.2</v>
      </c>
      <c r="AF78" s="5" t="n">
        <v>862.4</v>
      </c>
      <c r="AG78" s="5" t="n">
        <v>4248.1</v>
      </c>
      <c r="AH78" s="5" t="n">
        <v>874.3</v>
      </c>
      <c r="AI78" s="5" t="inlineStr">
        <is>
          <t>n/a</t>
        </is>
      </c>
      <c r="AJ78" s="5" t="inlineStr"/>
      <c r="AK78" s="5" t="inlineStr"/>
      <c r="AL78" s="5" t="inlineStr"/>
      <c r="AM78" s="5" t="inlineStr"/>
    </row>
    <row r="79">
      <c r="A79" s="5" t="n">
        <v>78</v>
      </c>
      <c r="B79" s="5" t="inlineStr">
        <is>
          <t>120</t>
        </is>
      </c>
      <c r="C79" s="5" t="inlineStr">
        <is>
          <t>nearest labels (100% agree)</t>
        </is>
      </c>
      <c r="D79" s="5" t="inlineStr">
        <is>
          <t>strip_footing</t>
        </is>
      </c>
      <c r="E79" s="5" t="inlineStr">
        <is>
          <t>strip_footing</t>
        </is>
      </c>
      <c r="F79" s="5" t="inlineStr">
        <is>
          <t>SF1</t>
        </is>
      </c>
      <c r="G79" s="5" t="inlineStr"/>
      <c r="H79" s="5" t="inlineStr">
        <is>
          <t>band width matches label</t>
        </is>
      </c>
      <c r="I79" s="5" t="n">
        <v>2764</v>
      </c>
      <c r="J79" s="5" t="n">
        <v>80</v>
      </c>
      <c r="K79" s="9">
        <f>IF(AND(ISNUMBER(I79),ISNUMBER(J79),J79&gt;0),I79/J79,"")</f>
        <v/>
      </c>
      <c r="L79" s="5" t="n">
        <v>22.109</v>
      </c>
      <c r="M79" s="5" t="n">
        <v>27.64</v>
      </c>
      <c r="N79" s="5" t="n">
        <v>90</v>
      </c>
      <c r="O79" s="5" t="inlineStr">
        <is>
          <t>parallel line pair</t>
        </is>
      </c>
      <c r="P79" s="5" t="inlineStr">
        <is>
          <t>two parallel lines at the width written in the SF label, a wall inside</t>
        </is>
      </c>
      <c r="Q79" s="5">
        <f>IF(OR(D79="column",D79="wall"),IF(I79&lt;='P vs V'!$B$3*J79,"column","wall"),"")</f>
        <v/>
      </c>
      <c r="R79" s="5" t="inlineStr"/>
      <c r="S79" s="5" t="inlineStr"/>
      <c r="T79" s="5" t="n"/>
      <c r="U79" s="5" t="inlineStr">
        <is>
          <t>no</t>
        </is>
      </c>
      <c r="V79" s="5" t="inlineStr">
        <is>
          <t>no</t>
        </is>
      </c>
      <c r="W79" s="5" t="inlineStr">
        <is>
          <t>yes</t>
        </is>
      </c>
      <c r="X79" s="5" t="inlineStr">
        <is>
          <t>yes</t>
        </is>
      </c>
      <c r="Y79" s="5" t="inlineStr">
        <is>
          <t>yes</t>
        </is>
      </c>
      <c r="Z79" s="5" t="inlineStr">
        <is>
          <t>no</t>
        </is>
      </c>
      <c r="AA79" s="5" t="n">
        <v>2.47</v>
      </c>
      <c r="AB79" s="5" t="n"/>
      <c r="AC79" s="5" t="n"/>
      <c r="AD79" s="5" t="n"/>
      <c r="AE79" s="5" t="n">
        <v>4150.2</v>
      </c>
      <c r="AF79" s="5" t="n">
        <v>494.3</v>
      </c>
      <c r="AG79" s="5" t="n">
        <v>4174.4</v>
      </c>
      <c r="AH79" s="5" t="n">
        <v>1310.4</v>
      </c>
      <c r="AI79" s="5" t="inlineStr">
        <is>
          <t>n/a</t>
        </is>
      </c>
      <c r="AJ79" s="5" t="inlineStr"/>
      <c r="AK79" s="5" t="inlineStr"/>
      <c r="AL79" s="5" t="inlineStr"/>
      <c r="AM79" s="5" t="inlineStr"/>
    </row>
    <row r="80">
      <c r="A80" s="5" t="n">
        <v>79</v>
      </c>
      <c r="B80" s="5" t="inlineStr">
        <is>
          <t>120</t>
        </is>
      </c>
      <c r="C80" s="5" t="inlineStr">
        <is>
          <t>nearest labels (100% agree)</t>
        </is>
      </c>
      <c r="D80" s="5" t="inlineStr">
        <is>
          <t>strip_footing</t>
        </is>
      </c>
      <c r="E80" s="5" t="inlineStr">
        <is>
          <t>strip_footing</t>
        </is>
      </c>
      <c r="F80" s="5" t="inlineStr">
        <is>
          <t>SF1</t>
        </is>
      </c>
      <c r="G80" s="5" t="inlineStr"/>
      <c r="H80" s="5" t="inlineStr">
        <is>
          <t>band width matches label</t>
        </is>
      </c>
      <c r="I80" s="5" t="n">
        <v>1476</v>
      </c>
      <c r="J80" s="5" t="n">
        <v>80</v>
      </c>
      <c r="K80" s="9">
        <f>IF(AND(ISNUMBER(I80),ISNUMBER(J80),J80&gt;0),I80/J80,"")</f>
        <v/>
      </c>
      <c r="L80" s="5" t="n">
        <v>11.805</v>
      </c>
      <c r="M80" s="5" t="n">
        <v>14.76</v>
      </c>
      <c r="N80" s="5" t="n">
        <v>172.6</v>
      </c>
      <c r="O80" s="5" t="inlineStr">
        <is>
          <t>parallel line pair</t>
        </is>
      </c>
      <c r="P80" s="5" t="inlineStr">
        <is>
          <t>two parallel lines at the width written in the SF label, a wall inside</t>
        </is>
      </c>
      <c r="Q80" s="5">
        <f>IF(OR(D80="column",D80="wall"),IF(I80&lt;='P vs V'!$B$3*J80,"column","wall"),"")</f>
        <v/>
      </c>
      <c r="R80" s="5" t="inlineStr"/>
      <c r="S80" s="5" t="inlineStr"/>
      <c r="T80" s="5" t="n"/>
      <c r="U80" s="5" t="inlineStr">
        <is>
          <t>no</t>
        </is>
      </c>
      <c r="V80" s="5" t="inlineStr">
        <is>
          <t>no</t>
        </is>
      </c>
      <c r="W80" s="5" t="inlineStr">
        <is>
          <t>yes</t>
        </is>
      </c>
      <c r="X80" s="5" t="inlineStr">
        <is>
          <t>yes</t>
        </is>
      </c>
      <c r="Y80" s="5" t="inlineStr">
        <is>
          <t>yes</t>
        </is>
      </c>
      <c r="Z80" s="5" t="inlineStr">
        <is>
          <t>no</t>
        </is>
      </c>
      <c r="AA80" s="5" t="n">
        <v>1.57</v>
      </c>
      <c r="AB80" s="5" t="n"/>
      <c r="AC80" s="5" t="n"/>
      <c r="AD80" s="5" t="n"/>
      <c r="AE80" s="5" t="n">
        <v>4171.3</v>
      </c>
      <c r="AF80" s="5" t="n">
        <v>414.9</v>
      </c>
      <c r="AG80" s="5" t="n">
        <v>4606.4</v>
      </c>
      <c r="AH80" s="5" t="n">
        <v>494.4</v>
      </c>
      <c r="AI80" s="5" t="inlineStr">
        <is>
          <t>n/a</t>
        </is>
      </c>
      <c r="AJ80" s="5" t="inlineStr"/>
      <c r="AK80" s="5" t="inlineStr"/>
      <c r="AL80" s="5" t="inlineStr"/>
      <c r="AM80" s="5" t="inlineStr"/>
    </row>
    <row r="81">
      <c r="A81" s="5" t="n">
        <v>80</v>
      </c>
      <c r="B81" s="5" t="inlineStr">
        <is>
          <t>120</t>
        </is>
      </c>
      <c r="C81" s="5" t="inlineStr">
        <is>
          <t>nearest labels (80% agree)</t>
        </is>
      </c>
      <c r="D81" s="5" t="inlineStr">
        <is>
          <t>strip_footing</t>
        </is>
      </c>
      <c r="E81" s="5" t="inlineStr">
        <is>
          <t>strip_footing</t>
        </is>
      </c>
      <c r="F81" s="5" t="inlineStr">
        <is>
          <t>SF1</t>
        </is>
      </c>
      <c r="G81" s="5" t="inlineStr"/>
      <c r="H81" s="5" t="inlineStr">
        <is>
          <t>band width matches label</t>
        </is>
      </c>
      <c r="I81" s="5" t="n">
        <v>388</v>
      </c>
      <c r="J81" s="5" t="n">
        <v>80</v>
      </c>
      <c r="K81" s="9">
        <f>IF(AND(ISNUMBER(I81),ISNUMBER(J81),J81&gt;0),I81/J81,"")</f>
        <v/>
      </c>
      <c r="L81" s="5" t="n">
        <v>3.105</v>
      </c>
      <c r="M81" s="5" t="n">
        <v>3.88</v>
      </c>
      <c r="N81" s="5" t="n">
        <v>90</v>
      </c>
      <c r="O81" s="5" t="inlineStr">
        <is>
          <t>parallel line pair</t>
        </is>
      </c>
      <c r="P81" s="5" t="inlineStr">
        <is>
          <t>two parallel lines at the width written in the SF label, a wall inside</t>
        </is>
      </c>
      <c r="Q81" s="5">
        <f>IF(OR(D81="column",D81="wall"),IF(I81&lt;='P vs V'!$B$3*J81,"column","wall"),"")</f>
        <v/>
      </c>
      <c r="R81" s="5" t="inlineStr"/>
      <c r="S81" s="5" t="inlineStr"/>
      <c r="T81" s="5" t="n"/>
      <c r="U81" s="5" t="inlineStr">
        <is>
          <t>no</t>
        </is>
      </c>
      <c r="V81" s="5" t="inlineStr">
        <is>
          <t>no</t>
        </is>
      </c>
      <c r="W81" s="5" t="inlineStr">
        <is>
          <t>yes</t>
        </is>
      </c>
      <c r="X81" s="5" t="inlineStr">
        <is>
          <t>yes</t>
        </is>
      </c>
      <c r="Y81" s="5" t="inlineStr">
        <is>
          <t>no</t>
        </is>
      </c>
      <c r="Z81" s="5" t="inlineStr">
        <is>
          <t>no</t>
        </is>
      </c>
      <c r="AA81" s="5" t="n">
        <v>3.87</v>
      </c>
      <c r="AB81" s="5" t="n"/>
      <c r="AC81" s="5" t="n"/>
      <c r="AD81" s="5" t="n"/>
      <c r="AE81" s="5" t="n">
        <v>4756.7</v>
      </c>
      <c r="AF81" s="5" t="n">
        <v>1164.2</v>
      </c>
      <c r="AG81" s="5" t="n">
        <v>4780.3</v>
      </c>
      <c r="AH81" s="5" t="n">
        <v>1278.9</v>
      </c>
      <c r="AI81" s="5" t="inlineStr">
        <is>
          <t>n/a</t>
        </is>
      </c>
      <c r="AJ81" s="5" t="inlineStr"/>
      <c r="AK81" s="5" t="inlineStr"/>
      <c r="AL81" s="5" t="inlineStr"/>
      <c r="AM81" s="5" t="inlineStr"/>
    </row>
    <row r="82">
      <c r="A82" s="5" t="n">
        <v>81</v>
      </c>
      <c r="B82" s="5" t="inlineStr">
        <is>
          <t>120</t>
        </is>
      </c>
      <c r="C82" s="5" t="inlineStr">
        <is>
          <t>nearest labels (100% agree)</t>
        </is>
      </c>
      <c r="D82" s="5" t="inlineStr">
        <is>
          <t>strip_footing</t>
        </is>
      </c>
      <c r="E82" s="5" t="inlineStr">
        <is>
          <t>strip_footing</t>
        </is>
      </c>
      <c r="F82" s="5" t="inlineStr">
        <is>
          <t>SF1</t>
        </is>
      </c>
      <c r="G82" s="5" t="inlineStr"/>
      <c r="H82" s="5" t="inlineStr">
        <is>
          <t>band width matches label</t>
        </is>
      </c>
      <c r="I82" s="5" t="n">
        <v>338</v>
      </c>
      <c r="J82" s="5" t="n">
        <v>80</v>
      </c>
      <c r="K82" s="9">
        <f>IF(AND(ISNUMBER(I82),ISNUMBER(J82),J82&gt;0),I82/J82,"")</f>
        <v/>
      </c>
      <c r="L82" s="5" t="n">
        <v>2.701</v>
      </c>
      <c r="M82" s="5" t="n">
        <v>3.38</v>
      </c>
      <c r="N82" s="5" t="n">
        <v>0</v>
      </c>
      <c r="O82" s="5" t="inlineStr">
        <is>
          <t>parallel line pair</t>
        </is>
      </c>
      <c r="P82" s="5" t="inlineStr">
        <is>
          <t>two parallel lines at the width written in the SF label, a wall inside</t>
        </is>
      </c>
      <c r="Q82" s="5">
        <f>IF(OR(D82="column",D82="wall"),IF(I82&lt;='P vs V'!$B$3*J82,"column","wall"),"")</f>
        <v/>
      </c>
      <c r="R82" s="5" t="inlineStr"/>
      <c r="S82" s="5" t="inlineStr"/>
      <c r="T82" s="5" t="n"/>
      <c r="U82" s="5" t="inlineStr">
        <is>
          <t>yes</t>
        </is>
      </c>
      <c r="V82" s="5" t="inlineStr">
        <is>
          <t>no</t>
        </is>
      </c>
      <c r="W82" s="5" t="inlineStr">
        <is>
          <t>yes</t>
        </is>
      </c>
      <c r="X82" s="5" t="inlineStr">
        <is>
          <t>yes</t>
        </is>
      </c>
      <c r="Y82" s="5" t="inlineStr">
        <is>
          <t>no</t>
        </is>
      </c>
      <c r="Z82" s="5" t="inlineStr">
        <is>
          <t>no</t>
        </is>
      </c>
      <c r="AA82" s="5" t="n">
        <v>1.11</v>
      </c>
      <c r="AB82" s="5" t="n"/>
      <c r="AC82" s="5" t="n"/>
      <c r="AD82" s="5" t="n"/>
      <c r="AE82" s="5" t="n">
        <v>4771.1</v>
      </c>
      <c r="AF82" s="5" t="n">
        <v>732.9</v>
      </c>
      <c r="AG82" s="5" t="n">
        <v>4870.8</v>
      </c>
      <c r="AH82" s="5" t="n">
        <v>756.6</v>
      </c>
      <c r="AI82" s="5" t="inlineStr">
        <is>
          <t>n/a</t>
        </is>
      </c>
      <c r="AJ82" s="5" t="inlineStr"/>
      <c r="AK82" s="5" t="inlineStr"/>
      <c r="AL82" s="5" t="inlineStr"/>
      <c r="AM82" s="5" t="inlineStr"/>
    </row>
    <row r="83">
      <c r="A83" s="5" t="n">
        <v>82</v>
      </c>
      <c r="B83" s="5" t="inlineStr">
        <is>
          <t>120</t>
        </is>
      </c>
      <c r="C83" s="5" t="inlineStr">
        <is>
          <t>nearest labels (100% agree)</t>
        </is>
      </c>
      <c r="D83" s="5" t="inlineStr">
        <is>
          <t>strip_footing</t>
        </is>
      </c>
      <c r="E83" s="5" t="inlineStr">
        <is>
          <t>strip_footing</t>
        </is>
      </c>
      <c r="F83" s="5" t="inlineStr">
        <is>
          <t>SF1</t>
        </is>
      </c>
      <c r="G83" s="5" t="inlineStr"/>
      <c r="H83" s="5" t="inlineStr">
        <is>
          <t>band width matches label</t>
        </is>
      </c>
      <c r="I83" s="5" t="n">
        <v>296</v>
      </c>
      <c r="J83" s="5" t="n">
        <v>80</v>
      </c>
      <c r="K83" s="9">
        <f>IF(AND(ISNUMBER(I83),ISNUMBER(J83),J83&gt;0),I83/J83,"")</f>
        <v/>
      </c>
      <c r="L83" s="5" t="n">
        <v>2.366</v>
      </c>
      <c r="M83" s="5" t="n">
        <v>2.96</v>
      </c>
      <c r="N83" s="5" t="n">
        <v>90</v>
      </c>
      <c r="O83" s="5" t="inlineStr">
        <is>
          <t>parallel line pair</t>
        </is>
      </c>
      <c r="P83" s="5" t="inlineStr">
        <is>
          <t>two parallel lines at the width written in the SF label, a wall inside</t>
        </is>
      </c>
      <c r="Q83" s="5">
        <f>IF(OR(D83="column",D83="wall"),IF(I83&lt;='P vs V'!$B$3*J83,"column","wall"),"")</f>
        <v/>
      </c>
      <c r="R83" s="5" t="inlineStr"/>
      <c r="S83" s="5" t="inlineStr"/>
      <c r="T83" s="5" t="n"/>
      <c r="U83" s="5" t="inlineStr">
        <is>
          <t>no</t>
        </is>
      </c>
      <c r="V83" s="5" t="inlineStr">
        <is>
          <t>no</t>
        </is>
      </c>
      <c r="W83" s="5" t="inlineStr">
        <is>
          <t>yes</t>
        </is>
      </c>
      <c r="X83" s="5" t="inlineStr">
        <is>
          <t>yes</t>
        </is>
      </c>
      <c r="Y83" s="5" t="inlineStr">
        <is>
          <t>yes</t>
        </is>
      </c>
      <c r="Z83" s="5" t="inlineStr">
        <is>
          <t>no</t>
        </is>
      </c>
      <c r="AA83" s="5" t="n">
        <v>2.99</v>
      </c>
      <c r="AB83" s="5" t="n"/>
      <c r="AC83" s="5" t="n"/>
      <c r="AD83" s="5" t="n"/>
      <c r="AE83" s="5" t="n">
        <v>4756.3</v>
      </c>
      <c r="AF83" s="5" t="n">
        <v>645.6</v>
      </c>
      <c r="AG83" s="5" t="n">
        <v>4780</v>
      </c>
      <c r="AH83" s="5" t="n">
        <v>732.9</v>
      </c>
      <c r="AI83" s="5" t="inlineStr">
        <is>
          <t>n/a</t>
        </is>
      </c>
      <c r="AJ83" s="5" t="inlineStr"/>
      <c r="AK83" s="5" t="inlineStr"/>
      <c r="AL83" s="5" t="inlineStr"/>
      <c r="AM83" s="5" t="inlineStr"/>
    </row>
    <row r="84">
      <c r="A84" s="5" t="n">
        <v>83</v>
      </c>
      <c r="B84" s="5" t="inlineStr">
        <is>
          <t>120</t>
        </is>
      </c>
      <c r="C84" s="5" t="inlineStr">
        <is>
          <t>nearest labels (100% agree)</t>
        </is>
      </c>
      <c r="D84" s="5" t="inlineStr">
        <is>
          <t>strip_footing</t>
        </is>
      </c>
      <c r="E84" s="5" t="inlineStr">
        <is>
          <t>strip_footing</t>
        </is>
      </c>
      <c r="F84" s="5" t="inlineStr">
        <is>
          <t>SF1</t>
        </is>
      </c>
      <c r="G84" s="5" t="inlineStr"/>
      <c r="H84" s="5" t="inlineStr">
        <is>
          <t>band width matches label</t>
        </is>
      </c>
      <c r="I84" s="5" t="n">
        <v>225</v>
      </c>
      <c r="J84" s="5" t="n">
        <v>80</v>
      </c>
      <c r="K84" s="9">
        <f>IF(AND(ISNUMBER(I84),ISNUMBER(J84),J84&gt;0),I84/J84,"")</f>
        <v/>
      </c>
      <c r="L84" s="5" t="n">
        <v>1.798</v>
      </c>
      <c r="M84" s="5" t="n">
        <v>2.25</v>
      </c>
      <c r="N84" s="5" t="n">
        <v>90</v>
      </c>
      <c r="O84" s="5" t="inlineStr">
        <is>
          <t>parallel line pair</t>
        </is>
      </c>
      <c r="P84" s="5" t="inlineStr">
        <is>
          <t>two parallel lines at the width written in the SF label, a wall inside</t>
        </is>
      </c>
      <c r="Q84" s="5">
        <f>IF(OR(D84="column",D84="wall"),IF(I84&lt;='P vs V'!$B$3*J84,"column","wall"),"")</f>
        <v/>
      </c>
      <c r="R84" s="5" t="inlineStr"/>
      <c r="S84" s="5" t="inlineStr"/>
      <c r="T84" s="5" t="n"/>
      <c r="U84" s="5" t="inlineStr">
        <is>
          <t>no</t>
        </is>
      </c>
      <c r="V84" s="5" t="inlineStr">
        <is>
          <t>yes</t>
        </is>
      </c>
      <c r="W84" s="5" t="inlineStr">
        <is>
          <t>yes</t>
        </is>
      </c>
      <c r="X84" s="5" t="inlineStr">
        <is>
          <t>yes</t>
        </is>
      </c>
      <c r="Y84" s="5" t="inlineStr">
        <is>
          <t>no</t>
        </is>
      </c>
      <c r="Z84" s="5" t="inlineStr">
        <is>
          <t>no</t>
        </is>
      </c>
      <c r="AA84" s="5" t="n">
        <v>3.18</v>
      </c>
      <c r="AB84" s="5" t="n"/>
      <c r="AC84" s="5" t="n"/>
      <c r="AD84" s="5" t="n"/>
      <c r="AE84" s="5" t="n">
        <v>4809.5</v>
      </c>
      <c r="AF84" s="5" t="n">
        <v>898.4</v>
      </c>
      <c r="AG84" s="5" t="n">
        <v>4833.2</v>
      </c>
      <c r="AH84" s="5" t="n">
        <v>964.7</v>
      </c>
      <c r="AI84" s="5" t="inlineStr">
        <is>
          <t>n/a</t>
        </is>
      </c>
      <c r="AJ84" s="5" t="inlineStr"/>
      <c r="AK84" s="5" t="inlineStr"/>
      <c r="AL84" s="5" t="inlineStr"/>
      <c r="AM84" s="5" t="inlineStr"/>
    </row>
    <row r="85">
      <c r="A85" s="5" t="n">
        <v>84</v>
      </c>
      <c r="B85" s="5" t="inlineStr">
        <is>
          <t>120</t>
        </is>
      </c>
      <c r="C85" s="5" t="inlineStr">
        <is>
          <t>nearest labels (100% agree)</t>
        </is>
      </c>
      <c r="D85" s="5" t="inlineStr">
        <is>
          <t>strip_footing</t>
        </is>
      </c>
      <c r="E85" s="5" t="inlineStr">
        <is>
          <t>strip_footing</t>
        </is>
      </c>
      <c r="F85" s="5" t="inlineStr">
        <is>
          <t>SF1</t>
        </is>
      </c>
      <c r="G85" s="5" t="inlineStr"/>
      <c r="H85" s="5" t="inlineStr">
        <is>
          <t>band width matches label</t>
        </is>
      </c>
      <c r="I85" s="5" t="n">
        <v>215</v>
      </c>
      <c r="J85" s="5" t="n">
        <v>80</v>
      </c>
      <c r="K85" s="9">
        <f>IF(AND(ISNUMBER(I85),ISNUMBER(J85),J85&gt;0),I85/J85,"")</f>
        <v/>
      </c>
      <c r="L85" s="5" t="n">
        <v>1.72</v>
      </c>
      <c r="M85" s="5" t="n">
        <v>2.15</v>
      </c>
      <c r="N85" s="5" t="n">
        <v>90.09999999999999</v>
      </c>
      <c r="O85" s="5" t="inlineStr">
        <is>
          <t>parallel line pair</t>
        </is>
      </c>
      <c r="P85" s="5" t="inlineStr">
        <is>
          <t>two parallel lines at the width written in the SF label, a wall inside</t>
        </is>
      </c>
      <c r="Q85" s="5">
        <f>IF(OR(D85="column",D85="wall"),IF(I85&lt;='P vs V'!$B$3*J85,"column","wall"),"")</f>
        <v/>
      </c>
      <c r="R85" s="5" t="inlineStr"/>
      <c r="S85" s="5" t="inlineStr"/>
      <c r="T85" s="5" t="n"/>
      <c r="U85" s="5" t="inlineStr">
        <is>
          <t>no</t>
        </is>
      </c>
      <c r="V85" s="5" t="inlineStr">
        <is>
          <t>no</t>
        </is>
      </c>
      <c r="W85" s="5" t="inlineStr">
        <is>
          <t>yes</t>
        </is>
      </c>
      <c r="X85" s="5" t="inlineStr">
        <is>
          <t>yes</t>
        </is>
      </c>
      <c r="Y85" s="5" t="inlineStr">
        <is>
          <t>yes</t>
        </is>
      </c>
      <c r="Z85" s="5" t="inlineStr">
        <is>
          <t>no</t>
        </is>
      </c>
      <c r="AA85" s="5" t="n">
        <v>3.76</v>
      </c>
      <c r="AB85" s="5" t="n"/>
      <c r="AC85" s="5" t="n"/>
      <c r="AD85" s="5" t="n"/>
      <c r="AE85" s="5" t="n">
        <v>4756.4</v>
      </c>
      <c r="AF85" s="5" t="n">
        <v>487.6</v>
      </c>
      <c r="AG85" s="5" t="n">
        <v>4780.1</v>
      </c>
      <c r="AH85" s="5" t="n">
        <v>551.1</v>
      </c>
      <c r="AI85" s="5" t="inlineStr">
        <is>
          <t>n/a</t>
        </is>
      </c>
      <c r="AJ85" s="5" t="inlineStr"/>
      <c r="AK85" s="5" t="inlineStr"/>
      <c r="AL85" s="5" t="inlineStr"/>
      <c r="AM85" s="5" t="inlineStr"/>
    </row>
    <row r="86">
      <c r="A86" s="5" t="n">
        <v>85</v>
      </c>
      <c r="B86" s="5" t="inlineStr">
        <is>
          <t>120</t>
        </is>
      </c>
      <c r="C86" s="5" t="inlineStr">
        <is>
          <t>nearest labels (100% agree)</t>
        </is>
      </c>
      <c r="D86" s="5" t="inlineStr">
        <is>
          <t>strip_footing</t>
        </is>
      </c>
      <c r="E86" s="5" t="inlineStr">
        <is>
          <t>strip_footing</t>
        </is>
      </c>
      <c r="F86" s="5" t="inlineStr">
        <is>
          <t>SF1</t>
        </is>
      </c>
      <c r="G86" s="5" t="inlineStr"/>
      <c r="H86" s="5" t="inlineStr">
        <is>
          <t>band width matches label</t>
        </is>
      </c>
      <c r="I86" s="5" t="n">
        <v>126</v>
      </c>
      <c r="J86" s="5" t="n">
        <v>80</v>
      </c>
      <c r="K86" s="9">
        <f>IF(AND(ISNUMBER(I86),ISNUMBER(J86),J86&gt;0),I86/J86,"")</f>
        <v/>
      </c>
      <c r="L86" s="5" t="n">
        <v>1.009</v>
      </c>
      <c r="M86" s="5" t="n">
        <v>1.26</v>
      </c>
      <c r="N86" s="5" t="n">
        <v>172.7</v>
      </c>
      <c r="O86" s="5" t="inlineStr">
        <is>
          <t>parallel line pair</t>
        </is>
      </c>
      <c r="P86" s="5" t="inlineStr">
        <is>
          <t>two parallel lines at the width written in the SF label, a wall inside</t>
        </is>
      </c>
      <c r="Q86" s="5">
        <f>IF(OR(D86="column",D86="wall"),IF(I86&lt;='P vs V'!$B$3*J86,"column","wall"),"")</f>
        <v/>
      </c>
      <c r="R86" s="5" t="inlineStr"/>
      <c r="S86" s="5" t="inlineStr"/>
      <c r="T86" s="5" t="n"/>
      <c r="U86" s="5" t="inlineStr">
        <is>
          <t>no</t>
        </is>
      </c>
      <c r="V86" s="5" t="inlineStr">
        <is>
          <t>no</t>
        </is>
      </c>
      <c r="W86" s="5" t="inlineStr">
        <is>
          <t>yes</t>
        </is>
      </c>
      <c r="X86" s="5" t="inlineStr">
        <is>
          <t>yes</t>
        </is>
      </c>
      <c r="Y86" s="5" t="inlineStr">
        <is>
          <t>no</t>
        </is>
      </c>
      <c r="Z86" s="5" t="inlineStr">
        <is>
          <t>no</t>
        </is>
      </c>
      <c r="AA86" s="5" t="n">
        <v>0.18</v>
      </c>
      <c r="AB86" s="5" t="n"/>
      <c r="AC86" s="5" t="n"/>
      <c r="AD86" s="5" t="n"/>
      <c r="AE86" s="5" t="n">
        <v>4686.1</v>
      </c>
      <c r="AF86" s="5" t="n">
        <v>399.6</v>
      </c>
      <c r="AG86" s="5" t="n">
        <v>4726</v>
      </c>
      <c r="AH86" s="5" t="n">
        <v>427.7</v>
      </c>
      <c r="AI86" s="5" t="inlineStr">
        <is>
          <t>n/a</t>
        </is>
      </c>
      <c r="AJ86" s="5" t="inlineStr"/>
      <c r="AK86" s="5" t="inlineStr"/>
      <c r="AL86" s="5" t="inlineStr"/>
      <c r="AM86" s="5" t="inlineStr"/>
    </row>
    <row r="87">
      <c r="A87" s="5" t="n">
        <v>86</v>
      </c>
      <c r="B87" s="5" t="inlineStr">
        <is>
          <t>120</t>
        </is>
      </c>
      <c r="C87" s="5" t="inlineStr">
        <is>
          <t>nearest labels (100% agree)</t>
        </is>
      </c>
      <c r="D87" s="5" t="inlineStr">
        <is>
          <t>strip_footing</t>
        </is>
      </c>
      <c r="E87" s="5" t="inlineStr">
        <is>
          <t>strip_footing</t>
        </is>
      </c>
      <c r="F87" s="5" t="inlineStr">
        <is>
          <t>SF1</t>
        </is>
      </c>
      <c r="G87" s="5" t="inlineStr"/>
      <c r="H87" s="5" t="inlineStr">
        <is>
          <t>band width matches label</t>
        </is>
      </c>
      <c r="I87" s="5" t="n">
        <v>99</v>
      </c>
      <c r="J87" s="5" t="n">
        <v>80</v>
      </c>
      <c r="K87" s="9">
        <f>IF(AND(ISNUMBER(I87),ISNUMBER(J87),J87&gt;0),I87/J87,"")</f>
        <v/>
      </c>
      <c r="L87" s="5" t="n">
        <v>0.793</v>
      </c>
      <c r="M87" s="5" t="n">
        <v>0.99</v>
      </c>
      <c r="N87" s="5" t="n">
        <v>179.9</v>
      </c>
      <c r="O87" s="5" t="inlineStr">
        <is>
          <t>parallel line pair</t>
        </is>
      </c>
      <c r="P87" s="5" t="inlineStr">
        <is>
          <t>two parallel lines at the width written in the SF label, a wall inside</t>
        </is>
      </c>
      <c r="Q87" s="5">
        <f>IF(OR(D87="column",D87="wall"),IF(I87&lt;='P vs V'!$B$3*J87,"column","wall"),"")</f>
        <v/>
      </c>
      <c r="R87" s="5" t="inlineStr"/>
      <c r="S87" s="5" t="inlineStr"/>
      <c r="T87" s="5" t="n"/>
      <c r="U87" s="5" t="inlineStr">
        <is>
          <t>no</t>
        </is>
      </c>
      <c r="V87" s="5" t="inlineStr">
        <is>
          <t>no</t>
        </is>
      </c>
      <c r="W87" s="5" t="inlineStr">
        <is>
          <t>no</t>
        </is>
      </c>
      <c r="X87" s="5" t="inlineStr">
        <is>
          <t>yes</t>
        </is>
      </c>
      <c r="Y87" s="5" t="inlineStr">
        <is>
          <t>no</t>
        </is>
      </c>
      <c r="Z87" s="5" t="inlineStr">
        <is>
          <t>no</t>
        </is>
      </c>
      <c r="AA87" s="5" t="n">
        <v>1.92</v>
      </c>
      <c r="AB87" s="5" t="n"/>
      <c r="AC87" s="5" t="n"/>
      <c r="AD87" s="5" t="n"/>
      <c r="AE87" s="5" t="n">
        <v>4780.2</v>
      </c>
      <c r="AF87" s="5" t="n">
        <v>964.7</v>
      </c>
      <c r="AG87" s="5" t="n">
        <v>4809.5</v>
      </c>
      <c r="AH87" s="5" t="n">
        <v>988.4</v>
      </c>
      <c r="AI87" s="5" t="inlineStr">
        <is>
          <t>n/a</t>
        </is>
      </c>
      <c r="AJ87" s="5" t="inlineStr"/>
      <c r="AK87" s="5" t="inlineStr"/>
      <c r="AL87" s="5" t="inlineStr"/>
      <c r="AM87" s="5" t="inlineStr"/>
    </row>
    <row r="88">
      <c r="A88" s="5" t="n">
        <v>87</v>
      </c>
      <c r="B88" s="5" t="inlineStr">
        <is>
          <t>120</t>
        </is>
      </c>
      <c r="C88" s="5" t="inlineStr">
        <is>
          <t>nearest labels (100% agree)</t>
        </is>
      </c>
      <c r="D88" s="5" t="inlineStr">
        <is>
          <t>strip_footing</t>
        </is>
      </c>
      <c r="E88" s="5" t="inlineStr">
        <is>
          <t>strip_footing</t>
        </is>
      </c>
      <c r="F88" s="5" t="inlineStr">
        <is>
          <t>SF1</t>
        </is>
      </c>
      <c r="G88" s="5" t="inlineStr"/>
      <c r="H88" s="5" t="inlineStr">
        <is>
          <t>band width matches label</t>
        </is>
      </c>
      <c r="I88" s="5" t="n">
        <v>96</v>
      </c>
      <c r="J88" s="5" t="n">
        <v>80</v>
      </c>
      <c r="K88" s="9">
        <f>IF(AND(ISNUMBER(I88),ISNUMBER(J88),J88&gt;0),I88/J88,"")</f>
        <v/>
      </c>
      <c r="L88" s="5" t="n">
        <v>0.769</v>
      </c>
      <c r="M88" s="5" t="n">
        <v>0.96</v>
      </c>
      <c r="N88" s="5" t="n">
        <v>90</v>
      </c>
      <c r="O88" s="5" t="inlineStr">
        <is>
          <t>parallel line pair</t>
        </is>
      </c>
      <c r="P88" s="5" t="inlineStr">
        <is>
          <t>two parallel lines at the width written in the SF label, a wall inside</t>
        </is>
      </c>
      <c r="Q88" s="5">
        <f>IF(OR(D88="column",D88="wall"),IF(I88&lt;='P vs V'!$B$3*J88,"column","wall"),"")</f>
        <v/>
      </c>
      <c r="R88" s="5" t="inlineStr"/>
      <c r="S88" s="5" t="inlineStr"/>
      <c r="T88" s="5" t="n"/>
      <c r="U88" s="5" t="inlineStr">
        <is>
          <t>no</t>
        </is>
      </c>
      <c r="V88" s="5" t="inlineStr">
        <is>
          <t>no</t>
        </is>
      </c>
      <c r="W88" s="5" t="inlineStr">
        <is>
          <t>yes</t>
        </is>
      </c>
      <c r="X88" s="5" t="inlineStr">
        <is>
          <t>yes</t>
        </is>
      </c>
      <c r="Y88" s="5" t="inlineStr">
        <is>
          <t>no</t>
        </is>
      </c>
      <c r="Z88" s="5" t="inlineStr">
        <is>
          <t>no</t>
        </is>
      </c>
      <c r="AA88" s="5" t="n">
        <v>1.38</v>
      </c>
      <c r="AB88" s="5" t="n"/>
      <c r="AC88" s="5" t="n"/>
      <c r="AD88" s="5" t="n"/>
      <c r="AE88" s="5" t="n">
        <v>4756.6</v>
      </c>
      <c r="AF88" s="5" t="n">
        <v>988.4</v>
      </c>
      <c r="AG88" s="5" t="n">
        <v>4780.2</v>
      </c>
      <c r="AH88" s="5" t="n">
        <v>1016.7</v>
      </c>
      <c r="AI88" s="5" t="inlineStr">
        <is>
          <t>n/a</t>
        </is>
      </c>
      <c r="AJ88" s="5" t="inlineStr"/>
      <c r="AK88" s="5" t="inlineStr"/>
      <c r="AL88" s="5" t="inlineStr"/>
      <c r="AM88" s="5" t="inlineStr"/>
    </row>
    <row r="89">
      <c r="A89" s="5" t="n">
        <v>88</v>
      </c>
      <c r="B89" s="5" t="inlineStr">
        <is>
          <t>120</t>
        </is>
      </c>
      <c r="C89" s="5" t="inlineStr">
        <is>
          <t>nearest labels (100% agree)</t>
        </is>
      </c>
      <c r="D89" s="5" t="inlineStr">
        <is>
          <t>strip_footing</t>
        </is>
      </c>
      <c r="E89" s="5" t="inlineStr">
        <is>
          <t>strip_footing</t>
        </is>
      </c>
      <c r="F89" s="5" t="inlineStr">
        <is>
          <t>SF4</t>
        </is>
      </c>
      <c r="G89" s="5" t="inlineStr"/>
      <c r="H89" s="5" t="inlineStr">
        <is>
          <t>band width matches label</t>
        </is>
      </c>
      <c r="I89" s="5" t="n">
        <v>962</v>
      </c>
      <c r="J89" s="5" t="n">
        <v>120</v>
      </c>
      <c r="K89" s="9">
        <f>IF(AND(ISNUMBER(I89),ISNUMBER(J89),J89&gt;0),I89/J89,"")</f>
        <v/>
      </c>
      <c r="L89" s="5" t="n">
        <v>11.55</v>
      </c>
      <c r="M89" s="5" t="n">
        <v>9.619999999999999</v>
      </c>
      <c r="N89" s="5" t="n">
        <v>0</v>
      </c>
      <c r="O89" s="5" t="inlineStr">
        <is>
          <t>parallel line pair</t>
        </is>
      </c>
      <c r="P89" s="5" t="inlineStr">
        <is>
          <t>two parallel lines at the width written in the SF label, a wall inside</t>
        </is>
      </c>
      <c r="Q89" s="5">
        <f>IF(OR(D89="column",D89="wall"),IF(I89&lt;='P vs V'!$B$3*J89,"column","wall"),"")</f>
        <v/>
      </c>
      <c r="R89" s="5" t="inlineStr"/>
      <c r="S89" s="5" t="inlineStr"/>
      <c r="T89" s="5" t="n"/>
      <c r="U89" s="5" t="inlineStr">
        <is>
          <t>yes</t>
        </is>
      </c>
      <c r="V89" s="5" t="inlineStr">
        <is>
          <t>yes</t>
        </is>
      </c>
      <c r="W89" s="5" t="inlineStr">
        <is>
          <t>yes</t>
        </is>
      </c>
      <c r="X89" s="5" t="inlineStr">
        <is>
          <t>yes</t>
        </is>
      </c>
      <c r="Y89" s="5" t="inlineStr">
        <is>
          <t>no</t>
        </is>
      </c>
      <c r="Z89" s="5" t="inlineStr">
        <is>
          <t>no</t>
        </is>
      </c>
      <c r="AA89" s="5" t="n">
        <v>1.69</v>
      </c>
      <c r="AB89" s="5" t="n"/>
      <c r="AC89" s="5" t="n"/>
      <c r="AD89" s="5" t="n"/>
      <c r="AE89" s="5" t="n">
        <v>4728.3</v>
      </c>
      <c r="AF89" s="5" t="n">
        <v>862.8</v>
      </c>
      <c r="AG89" s="5" t="n">
        <v>5012.6</v>
      </c>
      <c r="AH89" s="5" t="n">
        <v>898.5</v>
      </c>
      <c r="AI89" s="5" t="inlineStr">
        <is>
          <t>n/a</t>
        </is>
      </c>
      <c r="AJ89" s="5" t="inlineStr"/>
      <c r="AK89" s="5" t="inlineStr"/>
      <c r="AL89" s="5" t="inlineStr"/>
      <c r="AM89" s="5" t="inlineStr"/>
    </row>
    <row r="90">
      <c r="A90" s="5" t="n">
        <v>89</v>
      </c>
      <c r="B90" s="5" t="inlineStr">
        <is>
          <t>120</t>
        </is>
      </c>
      <c r="C90" s="5" t="inlineStr">
        <is>
          <t>nearest labels (100% agree)</t>
        </is>
      </c>
      <c r="D90" s="5" t="inlineStr">
        <is>
          <t>strip_footing</t>
        </is>
      </c>
      <c r="E90" s="5" t="inlineStr">
        <is>
          <t>strip_footing</t>
        </is>
      </c>
      <c r="F90" s="5" t="inlineStr">
        <is>
          <t>SF4</t>
        </is>
      </c>
      <c r="G90" s="5" t="inlineStr"/>
      <c r="H90" s="5" t="inlineStr">
        <is>
          <t>band width matches label</t>
        </is>
      </c>
      <c r="I90" s="5" t="n">
        <v>285</v>
      </c>
      <c r="J90" s="5" t="n">
        <v>120</v>
      </c>
      <c r="K90" s="9">
        <f>IF(AND(ISNUMBER(I90),ISNUMBER(J90),J90&gt;0),I90/J90,"")</f>
        <v/>
      </c>
      <c r="L90" s="5" t="n">
        <v>3.419</v>
      </c>
      <c r="M90" s="5" t="n">
        <v>2.85</v>
      </c>
      <c r="N90" s="5" t="n">
        <v>0</v>
      </c>
      <c r="O90" s="5" t="inlineStr">
        <is>
          <t>parallel line pair</t>
        </is>
      </c>
      <c r="P90" s="5" t="inlineStr">
        <is>
          <t>two parallel lines at the width written in the SF label, a wall inside</t>
        </is>
      </c>
      <c r="Q90" s="5">
        <f>IF(OR(D90="column",D90="wall"),IF(I90&lt;='P vs V'!$B$3*J90,"column","wall"),"")</f>
        <v/>
      </c>
      <c r="R90" s="5" t="inlineStr"/>
      <c r="S90" s="5" t="inlineStr"/>
      <c r="T90" s="5" t="n"/>
      <c r="U90" s="5" t="inlineStr">
        <is>
          <t>yes</t>
        </is>
      </c>
      <c r="V90" s="5" t="inlineStr">
        <is>
          <t>yes</t>
        </is>
      </c>
      <c r="W90" s="5" t="inlineStr">
        <is>
          <t>yes</t>
        </is>
      </c>
      <c r="X90" s="5" t="inlineStr">
        <is>
          <t>yes</t>
        </is>
      </c>
      <c r="Y90" s="5" t="inlineStr">
        <is>
          <t>no</t>
        </is>
      </c>
      <c r="Z90" s="5" t="inlineStr">
        <is>
          <t>no</t>
        </is>
      </c>
      <c r="AA90" s="5" t="n">
        <v>0.09</v>
      </c>
      <c r="AB90" s="5" t="n"/>
      <c r="AC90" s="5" t="n"/>
      <c r="AD90" s="5" t="n"/>
      <c r="AE90" s="5" t="n">
        <v>4620.6</v>
      </c>
      <c r="AF90" s="5" t="n">
        <v>762.4</v>
      </c>
      <c r="AG90" s="5" t="n">
        <v>4704.7</v>
      </c>
      <c r="AH90" s="5" t="n">
        <v>797.9</v>
      </c>
      <c r="AI90" s="5" t="inlineStr">
        <is>
          <t>n/a</t>
        </is>
      </c>
      <c r="AJ90" s="5" t="inlineStr"/>
      <c r="AK90" s="5" t="inlineStr"/>
      <c r="AL90" s="5" t="inlineStr"/>
      <c r="AM90" s="5" t="inlineStr"/>
    </row>
    <row r="91">
      <c r="A91" s="5" t="n">
        <v>90</v>
      </c>
      <c r="B91" s="5" t="inlineStr">
        <is>
          <t>120</t>
        </is>
      </c>
      <c r="C91" s="5" t="inlineStr">
        <is>
          <t>nearest labels (100% agree)</t>
        </is>
      </c>
      <c r="D91" s="5" t="inlineStr">
        <is>
          <t>strip_footing</t>
        </is>
      </c>
      <c r="E91" s="5" t="inlineStr">
        <is>
          <t>strip_footing</t>
        </is>
      </c>
      <c r="F91" s="5" t="inlineStr">
        <is>
          <t>SF4</t>
        </is>
      </c>
      <c r="G91" s="5" t="inlineStr"/>
      <c r="H91" s="5" t="inlineStr">
        <is>
          <t>band width matches label</t>
        </is>
      </c>
      <c r="I91" s="5" t="n">
        <v>280</v>
      </c>
      <c r="J91" s="5" t="n">
        <v>120</v>
      </c>
      <c r="K91" s="9">
        <f>IF(AND(ISNUMBER(I91),ISNUMBER(J91),J91&gt;0),I91/J91,"")</f>
        <v/>
      </c>
      <c r="L91" s="5" t="n">
        <v>3.361</v>
      </c>
      <c r="M91" s="5" t="n">
        <v>2.8</v>
      </c>
      <c r="N91" s="5" t="n">
        <v>90</v>
      </c>
      <c r="O91" s="5" t="inlineStr">
        <is>
          <t>parallel line pair</t>
        </is>
      </c>
      <c r="P91" s="5" t="inlineStr">
        <is>
          <t>two parallel lines at the width written in the SF label, a wall inside</t>
        </is>
      </c>
      <c r="Q91" s="5">
        <f>IF(OR(D91="column",D91="wall"),IF(I91&lt;='P vs V'!$B$3*J91,"column","wall"),"")</f>
        <v/>
      </c>
      <c r="R91" s="5" t="inlineStr"/>
      <c r="S91" s="5" t="inlineStr"/>
      <c r="T91" s="5" t="n"/>
      <c r="U91" s="5" t="inlineStr">
        <is>
          <t>yes</t>
        </is>
      </c>
      <c r="V91" s="5" t="inlineStr">
        <is>
          <t>no</t>
        </is>
      </c>
      <c r="W91" s="5" t="inlineStr">
        <is>
          <t>yes</t>
        </is>
      </c>
      <c r="X91" s="5" t="inlineStr">
        <is>
          <t>yes</t>
        </is>
      </c>
      <c r="Y91" s="5" t="inlineStr">
        <is>
          <t>no</t>
        </is>
      </c>
      <c r="Z91" s="5" t="inlineStr">
        <is>
          <t>no</t>
        </is>
      </c>
      <c r="AA91" s="5" t="n">
        <v>0.32</v>
      </c>
      <c r="AB91" s="5" t="n"/>
      <c r="AC91" s="5" t="n"/>
      <c r="AD91" s="5" t="n"/>
      <c r="AE91" s="5" t="n">
        <v>5012.5</v>
      </c>
      <c r="AF91" s="5" t="n">
        <v>780.1</v>
      </c>
      <c r="AG91" s="5" t="n">
        <v>5048</v>
      </c>
      <c r="AH91" s="5" t="n">
        <v>862.8</v>
      </c>
      <c r="AI91" s="5" t="inlineStr">
        <is>
          <t>n/a</t>
        </is>
      </c>
      <c r="AJ91" s="5" t="inlineStr"/>
      <c r="AK91" s="5" t="inlineStr"/>
      <c r="AL91" s="5" t="inlineStr"/>
      <c r="AM91" s="5" t="inlineStr"/>
    </row>
    <row r="92">
      <c r="A92" s="5" t="n">
        <v>91</v>
      </c>
      <c r="B92" s="5" t="inlineStr">
        <is>
          <t>120</t>
        </is>
      </c>
      <c r="C92" s="5" t="inlineStr">
        <is>
          <t>nearest labels (100% agree)</t>
        </is>
      </c>
      <c r="D92" s="5" t="inlineStr">
        <is>
          <t>raft</t>
        </is>
      </c>
      <c r="E92" s="5" t="inlineStr">
        <is>
          <t>raft</t>
        </is>
      </c>
      <c r="F92" s="5" t="inlineStr">
        <is>
          <t>Radier 110</t>
        </is>
      </c>
      <c r="G92" s="5" t="inlineStr">
        <is>
          <t>Radier</t>
        </is>
      </c>
      <c r="H92" s="5" t="inlineStr">
        <is>
          <t>printed</t>
        </is>
      </c>
      <c r="I92" s="5" t="n">
        <v>693</v>
      </c>
      <c r="J92" s="5" t="n">
        <v>524</v>
      </c>
      <c r="K92" s="9">
        <f>IF(AND(ISNUMBER(I92),ISNUMBER(J92),J92&gt;0),I92/J92,"")</f>
        <v/>
      </c>
      <c r="L92" s="5" t="n">
        <v>30.277</v>
      </c>
      <c r="M92" s="5" t="n"/>
      <c r="N92" s="5" t="n">
        <v>0</v>
      </c>
      <c r="O92" s="5" t="inlineStr">
        <is>
          <t>stamp + corner diagonals</t>
        </is>
      </c>
      <c r="P92" s="5" t="inlineStr">
        <is>
          <t>'Radier' stamp; extent from the corner diagonals that stop at the stamp</t>
        </is>
      </c>
      <c r="Q92" s="5">
        <f>IF(OR(D92="column",D92="wall"),IF(I92&lt;='P vs V'!$B$3*J92,"column","wall"),"")</f>
        <v/>
      </c>
      <c r="R92" s="5" t="inlineStr"/>
      <c r="S92" s="5" t="inlineStr"/>
      <c r="T92" s="5" t="n"/>
      <c r="U92" s="5" t="inlineStr">
        <is>
          <t>no</t>
        </is>
      </c>
      <c r="V92" s="5" t="inlineStr">
        <is>
          <t>no</t>
        </is>
      </c>
      <c r="W92" s="5" t="inlineStr">
        <is>
          <t>yes</t>
        </is>
      </c>
      <c r="X92" s="5" t="inlineStr">
        <is>
          <t>no</t>
        </is>
      </c>
      <c r="Y92" s="5" t="inlineStr">
        <is>
          <t>yes</t>
        </is>
      </c>
      <c r="Z92" s="5" t="inlineStr">
        <is>
          <t>yes</t>
        </is>
      </c>
      <c r="AA92" s="5" t="n">
        <v>3.21</v>
      </c>
      <c r="AB92" s="5" t="n"/>
      <c r="AC92" s="5" t="n"/>
      <c r="AD92" s="5" t="n">
        <v>110</v>
      </c>
      <c r="AE92" s="5" t="n">
        <v>4484.3</v>
      </c>
      <c r="AF92" s="5" t="n">
        <v>414</v>
      </c>
      <c r="AG92" s="5" t="n">
        <v>4689.1</v>
      </c>
      <c r="AH92" s="5" t="n">
        <v>568.7</v>
      </c>
      <c r="AI92" s="5" t="inlineStr">
        <is>
          <t>n/a</t>
        </is>
      </c>
      <c r="AJ92" s="5" t="inlineStr"/>
      <c r="AK92" s="5" t="inlineStr"/>
      <c r="AL92" s="5" t="inlineStr"/>
      <c r="AM92" s="5" t="inlineStr"/>
    </row>
    <row r="93">
      <c r="A93" s="5" t="n">
        <v>92</v>
      </c>
      <c r="B93" s="5" t="inlineStr">
        <is>
          <t>120</t>
        </is>
      </c>
      <c r="C93" s="5" t="inlineStr">
        <is>
          <t>nearest labels (100% agree)</t>
        </is>
      </c>
      <c r="D93" s="5" t="inlineStr">
        <is>
          <t>raft</t>
        </is>
      </c>
      <c r="E93" s="5" t="inlineStr">
        <is>
          <t>raft</t>
        </is>
      </c>
      <c r="F93" s="5" t="inlineStr">
        <is>
          <t>Radier 90</t>
        </is>
      </c>
      <c r="G93" s="5" t="inlineStr">
        <is>
          <t>Radier</t>
        </is>
      </c>
      <c r="H93" s="5" t="inlineStr">
        <is>
          <t>printed</t>
        </is>
      </c>
      <c r="I93" s="5" t="n">
        <v>1900</v>
      </c>
      <c r="J93" s="5" t="n">
        <v>560</v>
      </c>
      <c r="K93" s="9">
        <f>IF(AND(ISNUMBER(I93),ISNUMBER(J93),J93&gt;0),I93/J93,"")</f>
        <v/>
      </c>
      <c r="L93" s="5" t="n">
        <v>96.849</v>
      </c>
      <c r="M93" s="5" t="n"/>
      <c r="N93" s="5" t="n">
        <v>0</v>
      </c>
      <c r="O93" s="5" t="inlineStr">
        <is>
          <t>stamp + corner diagonals</t>
        </is>
      </c>
      <c r="P93" s="5" t="inlineStr">
        <is>
          <t>'Radier' stamp; extent from the corner diagonals that stop at the stamp</t>
        </is>
      </c>
      <c r="Q93" s="5">
        <f>IF(OR(D93="column",D93="wall"),IF(I93&lt;='P vs V'!$B$3*J93,"column","wall"),"")</f>
        <v/>
      </c>
      <c r="R93" s="5" t="inlineStr"/>
      <c r="S93" s="5" t="inlineStr"/>
      <c r="T93" s="5" t="n"/>
      <c r="U93" s="5" t="inlineStr">
        <is>
          <t>no</t>
        </is>
      </c>
      <c r="V93" s="5" t="inlineStr">
        <is>
          <t>yes</t>
        </is>
      </c>
      <c r="W93" s="5" t="inlineStr">
        <is>
          <t>yes</t>
        </is>
      </c>
      <c r="X93" s="5" t="inlineStr">
        <is>
          <t>no</t>
        </is>
      </c>
      <c r="Y93" s="5" t="inlineStr">
        <is>
          <t>yes</t>
        </is>
      </c>
      <c r="Z93" s="5" t="inlineStr">
        <is>
          <t>yes</t>
        </is>
      </c>
      <c r="AA93" s="5" t="n">
        <v>0.26</v>
      </c>
      <c r="AB93" s="5" t="n"/>
      <c r="AC93" s="5" t="n"/>
      <c r="AD93" s="5" t="n">
        <v>90</v>
      </c>
      <c r="AE93" s="5" t="n">
        <v>4486.8</v>
      </c>
      <c r="AF93" s="5" t="n">
        <v>733.2</v>
      </c>
      <c r="AG93" s="5" t="n">
        <v>5047.9</v>
      </c>
      <c r="AH93" s="5" t="n">
        <v>898.5</v>
      </c>
      <c r="AI93" s="5" t="inlineStr">
        <is>
          <t>n/a</t>
        </is>
      </c>
      <c r="AJ93" s="5" t="inlineStr"/>
      <c r="AK93" s="5" t="inlineStr"/>
      <c r="AL93" s="5" t="inlineStr"/>
      <c r="AM93" s="5" t="inlineStr"/>
    </row>
    <row r="94">
      <c r="A94" s="5" t="n">
        <v>93</v>
      </c>
      <c r="B94" s="5" t="inlineStr">
        <is>
          <t>121</t>
        </is>
      </c>
      <c r="C94" s="5" t="inlineStr">
        <is>
          <t>own label</t>
        </is>
      </c>
      <c r="D94" s="5" t="inlineStr">
        <is>
          <t>column</t>
        </is>
      </c>
      <c r="E94" s="5" t="inlineStr">
        <is>
          <t>column</t>
        </is>
      </c>
      <c r="F94" s="5" t="inlineStr">
        <is>
          <t>P2/121</t>
        </is>
      </c>
      <c r="G94" s="5" t="inlineStr">
        <is>
          <t>P2/121/121</t>
        </is>
      </c>
      <c r="H94" s="5" t="inlineStr">
        <is>
          <t>printed</t>
        </is>
      </c>
      <c r="I94" s="5" t="n">
        <v>100</v>
      </c>
      <c r="J94" s="5" t="n">
        <v>25</v>
      </c>
      <c r="K94" s="9">
        <f>IF(AND(ISNUMBER(I94),ISNUMBER(J94),J94&gt;0),I94/J94,"")</f>
        <v/>
      </c>
      <c r="L94" s="5" t="n">
        <v>0.251</v>
      </c>
      <c r="M94" s="5" t="n"/>
      <c r="N94" s="5" t="n">
        <v>179.8</v>
      </c>
      <c r="O94" s="5" t="inlineStr">
        <is>
          <t>solid fill</t>
        </is>
      </c>
      <c r="P94" s="5" t="inlineStr">
        <is>
          <t>solid fill, rectangle, L &lt;= 4 W (EN 1992-1-1 5.3.1(7))</t>
        </is>
      </c>
      <c r="Q94" s="5">
        <f>IF(OR(D94="column",D94="wall"),IF(I94&lt;='P vs V'!$B$3*J94,"column","wall"),"")</f>
        <v/>
      </c>
      <c r="R94" s="5" t="inlineStr">
        <is>
          <t>SC4</t>
        </is>
      </c>
      <c r="S94" s="5" t="inlineStr"/>
      <c r="T94" s="5" t="n"/>
      <c r="U94" s="5" t="inlineStr">
        <is>
          <t>no</t>
        </is>
      </c>
      <c r="V94" s="5" t="inlineStr">
        <is>
          <t>no</t>
        </is>
      </c>
      <c r="W94" s="5" t="inlineStr">
        <is>
          <t>no</t>
        </is>
      </c>
      <c r="X94" s="5" t="inlineStr">
        <is>
          <t>no</t>
        </is>
      </c>
      <c r="Y94" s="5" t="inlineStr">
        <is>
          <t>yes</t>
        </is>
      </c>
      <c r="Z94" s="5" t="inlineStr">
        <is>
          <t>yes</t>
        </is>
      </c>
      <c r="AA94" s="5" t="n">
        <v>1.45</v>
      </c>
      <c r="AB94" s="5" t="n"/>
      <c r="AC94" s="5" t="n"/>
      <c r="AD94" s="5" t="n"/>
      <c r="AE94" s="5" t="n">
        <v>4594.7</v>
      </c>
      <c r="AF94" s="5" t="n">
        <v>1612.9</v>
      </c>
      <c r="AG94" s="5" t="n">
        <v>4624.2</v>
      </c>
      <c r="AH94" s="5" t="n">
        <v>1620.4</v>
      </c>
      <c r="AI94" s="5" t="inlineStr">
        <is>
          <t>yes</t>
        </is>
      </c>
      <c r="AJ94" s="5" t="inlineStr">
        <is>
          <t>column</t>
        </is>
      </c>
      <c r="AK94" s="5" t="inlineStr"/>
      <c r="AL94" s="5" t="inlineStr">
        <is>
          <t>(0.0, 0.0, 1.0)</t>
        </is>
      </c>
      <c r="AM94" s="5" t="inlineStr">
        <is>
          <t>DM-Poteaux</t>
        </is>
      </c>
    </row>
    <row r="95">
      <c r="A95" s="5" t="n">
        <v>94</v>
      </c>
      <c r="B95" s="5" t="inlineStr">
        <is>
          <t>121</t>
        </is>
      </c>
      <c r="C95" s="5" t="inlineStr">
        <is>
          <t>own label</t>
        </is>
      </c>
      <c r="D95" s="5" t="inlineStr">
        <is>
          <t>column</t>
        </is>
      </c>
      <c r="E95" s="5" t="inlineStr">
        <is>
          <t>column</t>
        </is>
      </c>
      <c r="F95" s="5" t="inlineStr">
        <is>
          <t>P2/121</t>
        </is>
      </c>
      <c r="G95" s="5" t="inlineStr">
        <is>
          <t>P2/121/121</t>
        </is>
      </c>
      <c r="H95" s="5" t="inlineStr">
        <is>
          <t>printed</t>
        </is>
      </c>
      <c r="I95" s="5" t="n">
        <v>100</v>
      </c>
      <c r="J95" s="5" t="n">
        <v>25</v>
      </c>
      <c r="K95" s="9">
        <f>IF(AND(ISNUMBER(I95),ISNUMBER(J95),J95&gt;0),I95/J95,"")</f>
        <v/>
      </c>
      <c r="L95" s="5" t="n">
        <v>0.25</v>
      </c>
      <c r="M95" s="5" t="n"/>
      <c r="N95" s="5" t="n">
        <v>179.9</v>
      </c>
      <c r="O95" s="5" t="inlineStr">
        <is>
          <t>solid fill</t>
        </is>
      </c>
      <c r="P95" s="5" t="inlineStr">
        <is>
          <t>solid fill, rectangle, L &lt;= 4 W (EN 1992-1-1 5.3.1(7))</t>
        </is>
      </c>
      <c r="Q95" s="5">
        <f>IF(OR(D95="column",D95="wall"),IF(I95&lt;='P vs V'!$B$3*J95,"column","wall"),"")</f>
        <v/>
      </c>
      <c r="R95" s="5" t="inlineStr">
        <is>
          <t>S0</t>
        </is>
      </c>
      <c r="S95" s="5" t="inlineStr"/>
      <c r="T95" s="5" t="n"/>
      <c r="U95" s="5" t="inlineStr">
        <is>
          <t>no</t>
        </is>
      </c>
      <c r="V95" s="5" t="inlineStr">
        <is>
          <t>no</t>
        </is>
      </c>
      <c r="W95" s="5" t="inlineStr">
        <is>
          <t>no</t>
        </is>
      </c>
      <c r="X95" s="5" t="inlineStr">
        <is>
          <t>no</t>
        </is>
      </c>
      <c r="Y95" s="5" t="inlineStr">
        <is>
          <t>yes</t>
        </is>
      </c>
      <c r="Z95" s="5" t="inlineStr">
        <is>
          <t>yes</t>
        </is>
      </c>
      <c r="AA95" s="5" t="n">
        <v>0</v>
      </c>
      <c r="AB95" s="5" t="n"/>
      <c r="AC95" s="5" t="n"/>
      <c r="AD95" s="5" t="n"/>
      <c r="AE95" s="5" t="n">
        <v>4594.5</v>
      </c>
      <c r="AF95" s="5" t="n">
        <v>1525.8</v>
      </c>
      <c r="AG95" s="5" t="n">
        <v>4624.1</v>
      </c>
      <c r="AH95" s="5" t="n">
        <v>1533.2</v>
      </c>
      <c r="AI95" s="5" t="inlineStr">
        <is>
          <t>yes</t>
        </is>
      </c>
      <c r="AJ95" s="5" t="inlineStr">
        <is>
          <t>column</t>
        </is>
      </c>
      <c r="AK95" s="5" t="inlineStr"/>
      <c r="AL95" s="5" t="inlineStr">
        <is>
          <t>(0.0, 0.0, 1.0)</t>
        </is>
      </c>
      <c r="AM95" s="5" t="inlineStr">
        <is>
          <t>DM-Poteaux</t>
        </is>
      </c>
    </row>
    <row r="96">
      <c r="A96" s="5" t="n">
        <v>95</v>
      </c>
      <c r="B96" s="5" t="inlineStr">
        <is>
          <t>121</t>
        </is>
      </c>
      <c r="C96" s="5" t="inlineStr">
        <is>
          <t>own label</t>
        </is>
      </c>
      <c r="D96" s="5" t="inlineStr">
        <is>
          <t>column</t>
        </is>
      </c>
      <c r="E96" s="5" t="inlineStr">
        <is>
          <t>column</t>
        </is>
      </c>
      <c r="F96" s="5" t="inlineStr">
        <is>
          <t>P2/121</t>
        </is>
      </c>
      <c r="G96" s="5" t="inlineStr">
        <is>
          <t>P2/121/121</t>
        </is>
      </c>
      <c r="H96" s="5" t="inlineStr">
        <is>
          <t>printed</t>
        </is>
      </c>
      <c r="I96" s="5" t="n">
        <v>100</v>
      </c>
      <c r="J96" s="5" t="n">
        <v>25</v>
      </c>
      <c r="K96" s="9">
        <f>IF(AND(ISNUMBER(I96),ISNUMBER(J96),J96&gt;0),I96/J96,"")</f>
        <v/>
      </c>
      <c r="L96" s="5" t="n">
        <v>0.25</v>
      </c>
      <c r="M96" s="5" t="n"/>
      <c r="N96" s="5" t="n">
        <v>179.9</v>
      </c>
      <c r="O96" s="5" t="inlineStr">
        <is>
          <t>solid fill</t>
        </is>
      </c>
      <c r="P96" s="5" t="inlineStr">
        <is>
          <t>solid fill, rectangle, L &lt;= 4 W (EN 1992-1-1 5.3.1(7))</t>
        </is>
      </c>
      <c r="Q96" s="5">
        <f>IF(OR(D96="column",D96="wall"),IF(I96&lt;='P vs V'!$B$3*J96,"column","wall"),"")</f>
        <v/>
      </c>
      <c r="R96" s="5" t="inlineStr"/>
      <c r="S96" s="5" t="inlineStr"/>
      <c r="T96" s="5" t="n"/>
      <c r="U96" s="5" t="inlineStr">
        <is>
          <t>yes</t>
        </is>
      </c>
      <c r="V96" s="5" t="inlineStr">
        <is>
          <t>no</t>
        </is>
      </c>
      <c r="W96" s="5" t="inlineStr">
        <is>
          <t>no</t>
        </is>
      </c>
      <c r="X96" s="5" t="inlineStr">
        <is>
          <t>no</t>
        </is>
      </c>
      <c r="Y96" s="5" t="inlineStr">
        <is>
          <t>no</t>
        </is>
      </c>
      <c r="Z96" s="5" t="inlineStr">
        <is>
          <t>no</t>
        </is>
      </c>
      <c r="AA96" s="5" t="n">
        <v>1.45</v>
      </c>
      <c r="AB96" s="5" t="n"/>
      <c r="AC96" s="5" t="n"/>
      <c r="AD96" s="5" t="n"/>
      <c r="AE96" s="5" t="n">
        <v>4699.5</v>
      </c>
      <c r="AF96" s="5" t="n">
        <v>1612.7</v>
      </c>
      <c r="AG96" s="5" t="n">
        <v>4729.1</v>
      </c>
      <c r="AH96" s="5" t="n">
        <v>1620.1</v>
      </c>
      <c r="AI96" s="5" t="inlineStr">
        <is>
          <t>yes</t>
        </is>
      </c>
      <c r="AJ96" s="5" t="inlineStr">
        <is>
          <t>column</t>
        </is>
      </c>
      <c r="AK96" s="5" t="inlineStr"/>
      <c r="AL96" s="5" t="inlineStr">
        <is>
          <t>(0.0, 0.0, 1.0)</t>
        </is>
      </c>
      <c r="AM96" s="5" t="inlineStr">
        <is>
          <t>DM-Poteaux</t>
        </is>
      </c>
    </row>
    <row r="97">
      <c r="A97" s="5" t="n">
        <v>96</v>
      </c>
      <c r="B97" s="5" t="inlineStr">
        <is>
          <t>121</t>
        </is>
      </c>
      <c r="C97" s="5" t="inlineStr">
        <is>
          <t>own label</t>
        </is>
      </c>
      <c r="D97" s="5" t="inlineStr">
        <is>
          <t>column</t>
        </is>
      </c>
      <c r="E97" s="5" t="inlineStr">
        <is>
          <t>column</t>
        </is>
      </c>
      <c r="F97" s="5" t="inlineStr">
        <is>
          <t>P2/121</t>
        </is>
      </c>
      <c r="G97" s="5" t="inlineStr">
        <is>
          <t>P2/121/121</t>
        </is>
      </c>
      <c r="H97" s="5" t="inlineStr">
        <is>
          <t>printed</t>
        </is>
      </c>
      <c r="I97" s="5" t="n">
        <v>100</v>
      </c>
      <c r="J97" s="5" t="n">
        <v>25</v>
      </c>
      <c r="K97" s="9">
        <f>IF(AND(ISNUMBER(I97),ISNUMBER(J97),J97&gt;0),I97/J97,"")</f>
        <v/>
      </c>
      <c r="L97" s="5" t="n">
        <v>0.25</v>
      </c>
      <c r="M97" s="5" t="n"/>
      <c r="N97" s="5" t="n">
        <v>179.9</v>
      </c>
      <c r="O97" s="5" t="inlineStr">
        <is>
          <t>solid fill</t>
        </is>
      </c>
      <c r="P97" s="5" t="inlineStr">
        <is>
          <t>solid fill, rectangle, L &lt;= 4 W (EN 1992-1-1 5.3.1(7))</t>
        </is>
      </c>
      <c r="Q97" s="5">
        <f>IF(OR(D97="column",D97="wall"),IF(I97&lt;='P vs V'!$B$3*J97,"column","wall"),"")</f>
        <v/>
      </c>
      <c r="R97" s="5" t="inlineStr"/>
      <c r="S97" s="5" t="inlineStr"/>
      <c r="T97" s="5" t="n"/>
      <c r="U97" s="5" t="inlineStr">
        <is>
          <t>yes</t>
        </is>
      </c>
      <c r="V97" s="5" t="inlineStr">
        <is>
          <t>yes</t>
        </is>
      </c>
      <c r="W97" s="5" t="inlineStr">
        <is>
          <t>no</t>
        </is>
      </c>
      <c r="X97" s="5" t="inlineStr">
        <is>
          <t>no</t>
        </is>
      </c>
      <c r="Y97" s="5" t="inlineStr">
        <is>
          <t>no</t>
        </is>
      </c>
      <c r="Z97" s="5" t="inlineStr">
        <is>
          <t>no</t>
        </is>
      </c>
      <c r="AA97" s="5" t="n">
        <v>0</v>
      </c>
      <c r="AB97" s="5" t="n"/>
      <c r="AC97" s="5" t="n"/>
      <c r="AD97" s="5" t="n"/>
      <c r="AE97" s="5" t="n">
        <v>4699.3</v>
      </c>
      <c r="AF97" s="5" t="n">
        <v>1525.6</v>
      </c>
      <c r="AG97" s="5" t="n">
        <v>4728.9</v>
      </c>
      <c r="AH97" s="5" t="n">
        <v>1533</v>
      </c>
      <c r="AI97" s="5" t="inlineStr">
        <is>
          <t>yes</t>
        </is>
      </c>
      <c r="AJ97" s="5" t="inlineStr">
        <is>
          <t>column</t>
        </is>
      </c>
      <c r="AK97" s="5" t="inlineStr"/>
      <c r="AL97" s="5" t="inlineStr">
        <is>
          <t>(0.0, 0.0, 1.0)</t>
        </is>
      </c>
      <c r="AM97" s="5" t="inlineStr">
        <is>
          <t>DM-Poteaux</t>
        </is>
      </c>
    </row>
    <row r="98">
      <c r="A98" s="5" t="n">
        <v>97</v>
      </c>
      <c r="B98" s="5" t="inlineStr">
        <is>
          <t>121</t>
        </is>
      </c>
      <c r="C98" s="5" t="inlineStr">
        <is>
          <t>nearest labels (100% agree)</t>
        </is>
      </c>
      <c r="D98" s="5" t="inlineStr">
        <is>
          <t>wall</t>
        </is>
      </c>
      <c r="E98" s="5" t="inlineStr">
        <is>
          <t>core_wall_solid</t>
        </is>
      </c>
      <c r="F98" s="5" t="inlineStr">
        <is>
          <t>(none)</t>
        </is>
      </c>
      <c r="G98" s="5" t="inlineStr"/>
      <c r="H98" s="5" t="inlineStr">
        <is>
          <t>none</t>
        </is>
      </c>
      <c r="I98" s="5" t="n">
        <v>342</v>
      </c>
      <c r="J98" s="5" t="n">
        <v>25</v>
      </c>
      <c r="K98" s="9">
        <f>IF(AND(ISNUMBER(I98),ISNUMBER(J98),J98&gt;0),I98/J98,"")</f>
        <v/>
      </c>
      <c r="L98" s="5" t="n">
        <v>0.86</v>
      </c>
      <c r="M98" s="5" t="n"/>
      <c r="N98" s="5" t="n">
        <v>0</v>
      </c>
      <c r="O98" s="5" t="inlineStr">
        <is>
          <t>solid fill</t>
        </is>
      </c>
      <c r="P98" s="5" t="inlineStr">
        <is>
          <t>solid fill, rectangle, L &gt; 4 W (EN 1992-1-1 5.3.1(7))</t>
        </is>
      </c>
      <c r="Q98" s="5">
        <f>IF(OR(D98="column",D98="wall"),IF(I98&lt;='P vs V'!$B$3*J98,"column","wall"),"")</f>
        <v/>
      </c>
      <c r="R98" s="5" t="inlineStr"/>
      <c r="S98" s="5" t="inlineStr"/>
      <c r="T98" s="5" t="n"/>
      <c r="U98" s="5" t="inlineStr">
        <is>
          <t>yes</t>
        </is>
      </c>
      <c r="V98" s="5" t="inlineStr">
        <is>
          <t>no</t>
        </is>
      </c>
      <c r="W98" s="5" t="inlineStr">
        <is>
          <t>yes</t>
        </is>
      </c>
      <c r="X98" s="5" t="inlineStr">
        <is>
          <t>no</t>
        </is>
      </c>
      <c r="Y98" s="5" t="inlineStr">
        <is>
          <t>no</t>
        </is>
      </c>
      <c r="Z98" s="5" t="inlineStr">
        <is>
          <t>no</t>
        </is>
      </c>
      <c r="AA98" s="5" t="n">
        <v>2.95</v>
      </c>
      <c r="AB98" s="5" t="n"/>
      <c r="AC98" s="5" t="n"/>
      <c r="AD98" s="5" t="n"/>
      <c r="AE98" s="5" t="n">
        <v>4910.8</v>
      </c>
      <c r="AF98" s="5" t="n">
        <v>1612</v>
      </c>
      <c r="AG98" s="5" t="n">
        <v>5011.7</v>
      </c>
      <c r="AH98" s="5" t="n">
        <v>1619.5</v>
      </c>
      <c r="AI98" s="5" t="inlineStr">
        <is>
          <t>new</t>
        </is>
      </c>
      <c r="AJ98" s="5" t="inlineStr"/>
      <c r="AK98" s="5" t="inlineStr">
        <is>
          <t>piece of a wall network the colour pipeline left unsplit</t>
        </is>
      </c>
      <c r="AL98" s="5" t="inlineStr">
        <is>
          <t>(0.87, 0.0, 0.87)</t>
        </is>
      </c>
      <c r="AM98" s="5" t="inlineStr">
        <is>
          <t>DM-VOIL</t>
        </is>
      </c>
    </row>
    <row r="99">
      <c r="A99" s="5" t="n">
        <v>98</v>
      </c>
      <c r="B99" s="5" t="inlineStr">
        <is>
          <t>121</t>
        </is>
      </c>
      <c r="C99" s="5" t="inlineStr">
        <is>
          <t>nearest labels (100% agree)</t>
        </is>
      </c>
      <c r="D99" s="5" t="inlineStr">
        <is>
          <t>wall</t>
        </is>
      </c>
      <c r="E99" s="5" t="inlineStr">
        <is>
          <t>core_wall_solid</t>
        </is>
      </c>
      <c r="F99" s="5" t="inlineStr">
        <is>
          <t>(none)</t>
        </is>
      </c>
      <c r="G99" s="5" t="inlineStr"/>
      <c r="H99" s="5" t="inlineStr">
        <is>
          <t>none</t>
        </is>
      </c>
      <c r="I99" s="5" t="n">
        <v>449</v>
      </c>
      <c r="J99" s="5" t="n">
        <v>25</v>
      </c>
      <c r="K99" s="9">
        <f>IF(AND(ISNUMBER(I99),ISNUMBER(J99),J99&gt;0),I99/J99,"")</f>
        <v/>
      </c>
      <c r="L99" s="5" t="n">
        <v>1.133</v>
      </c>
      <c r="M99" s="5" t="n"/>
      <c r="N99" s="5" t="n">
        <v>179.9</v>
      </c>
      <c r="O99" s="5" t="inlineStr">
        <is>
          <t>solid fill</t>
        </is>
      </c>
      <c r="P99" s="5" t="inlineStr">
        <is>
          <t>straight stretch of a thin filled outline with bends (pair of parallel faces)</t>
        </is>
      </c>
      <c r="Q99" s="5">
        <f>IF(OR(D99="column",D99="wall"),IF(I99&lt;='P vs V'!$B$3*J99,"column","wall"),"")</f>
        <v/>
      </c>
      <c r="R99" s="5" t="inlineStr"/>
      <c r="S99" s="5" t="inlineStr"/>
      <c r="T99" s="5" t="n"/>
      <c r="U99" s="5" t="inlineStr">
        <is>
          <t>yes</t>
        </is>
      </c>
      <c r="V99" s="5" t="inlineStr">
        <is>
          <t>no</t>
        </is>
      </c>
      <c r="W99" s="5" t="inlineStr">
        <is>
          <t>yes</t>
        </is>
      </c>
      <c r="X99" s="5" t="inlineStr">
        <is>
          <t>no</t>
        </is>
      </c>
      <c r="Y99" s="5" t="inlineStr">
        <is>
          <t>no</t>
        </is>
      </c>
      <c r="Z99" s="5" t="inlineStr">
        <is>
          <t>no</t>
        </is>
      </c>
      <c r="AA99" s="5" t="n">
        <v>0.01</v>
      </c>
      <c r="AB99" s="5" t="n"/>
      <c r="AC99" s="5" t="n"/>
      <c r="AD99" s="5" t="n"/>
      <c r="AE99" s="5" t="n">
        <v>4878.9</v>
      </c>
      <c r="AF99" s="5" t="n">
        <v>1524.9</v>
      </c>
      <c r="AG99" s="5" t="n">
        <v>5011.4</v>
      </c>
      <c r="AH99" s="5" t="n">
        <v>1532.7</v>
      </c>
      <c r="AI99" s="5" t="inlineStr">
        <is>
          <t>new</t>
        </is>
      </c>
      <c r="AJ99" s="5" t="inlineStr"/>
      <c r="AK99" s="5" t="inlineStr">
        <is>
          <t>piece of a wall network the colour pipeline left unsplit</t>
        </is>
      </c>
      <c r="AL99" s="5" t="inlineStr"/>
      <c r="AM99" s="5" t="inlineStr"/>
    </row>
    <row r="100">
      <c r="A100" s="5" t="n">
        <v>99</v>
      </c>
      <c r="B100" s="5" t="inlineStr">
        <is>
          <t>121</t>
        </is>
      </c>
      <c r="C100" s="5" t="inlineStr">
        <is>
          <t>nearest labels (80% agree)</t>
        </is>
      </c>
      <c r="D100" s="5" t="inlineStr">
        <is>
          <t>wall</t>
        </is>
      </c>
      <c r="E100" s="5" t="inlineStr">
        <is>
          <t>core_wall_solid</t>
        </is>
      </c>
      <c r="F100" s="5" t="inlineStr">
        <is>
          <t>(none)</t>
        </is>
      </c>
      <c r="G100" s="5" t="inlineStr"/>
      <c r="H100" s="5" t="inlineStr">
        <is>
          <t>none</t>
        </is>
      </c>
      <c r="I100" s="5" t="n">
        <v>337</v>
      </c>
      <c r="J100" s="5" t="n">
        <v>25</v>
      </c>
      <c r="K100" s="9">
        <f>IF(AND(ISNUMBER(I100),ISNUMBER(J100),J100&gt;0),I100/J100,"")</f>
        <v/>
      </c>
      <c r="L100" s="5" t="n">
        <v>0.852</v>
      </c>
      <c r="M100" s="5" t="n"/>
      <c r="N100" s="5" t="n">
        <v>179.9</v>
      </c>
      <c r="O100" s="5" t="inlineStr">
        <is>
          <t>solid fill</t>
        </is>
      </c>
      <c r="P100" s="5" t="inlineStr">
        <is>
          <t>straight stretch of a thin filled outline with bends (pair of parallel faces)</t>
        </is>
      </c>
      <c r="Q100" s="5">
        <f>IF(OR(D100="column",D100="wall"),IF(I100&lt;='P vs V'!$B$3*J100,"column","wall"),"")</f>
        <v/>
      </c>
      <c r="R100" s="5" t="inlineStr"/>
      <c r="S100" s="5" t="inlineStr"/>
      <c r="T100" s="5" t="n"/>
      <c r="U100" s="5" t="inlineStr">
        <is>
          <t>yes</t>
        </is>
      </c>
      <c r="V100" s="5" t="inlineStr">
        <is>
          <t>no</t>
        </is>
      </c>
      <c r="W100" s="5" t="inlineStr">
        <is>
          <t>yes</t>
        </is>
      </c>
      <c r="X100" s="5" t="inlineStr">
        <is>
          <t>no</t>
        </is>
      </c>
      <c r="Y100" s="5" t="inlineStr">
        <is>
          <t>no</t>
        </is>
      </c>
      <c r="Z100" s="5" t="inlineStr">
        <is>
          <t>no</t>
        </is>
      </c>
      <c r="AA100" s="5" t="n">
        <v>0</v>
      </c>
      <c r="AB100" s="5" t="n"/>
      <c r="AC100" s="5" t="n"/>
      <c r="AD100" s="5" t="n"/>
      <c r="AE100" s="5" t="n">
        <v>4771.8</v>
      </c>
      <c r="AF100" s="5" t="n">
        <v>1525.3</v>
      </c>
      <c r="AG100" s="5" t="n">
        <v>4871.2</v>
      </c>
      <c r="AH100" s="5" t="n">
        <v>1532.9</v>
      </c>
      <c r="AI100" s="5" t="inlineStr">
        <is>
          <t>new</t>
        </is>
      </c>
      <c r="AJ100" s="5" t="inlineStr"/>
      <c r="AK100" s="5" t="inlineStr">
        <is>
          <t>piece of a wall network the colour pipeline left unsplit</t>
        </is>
      </c>
      <c r="AL100" s="5" t="inlineStr"/>
      <c r="AM100" s="5" t="inlineStr"/>
    </row>
    <row r="101">
      <c r="A101" s="5" t="n">
        <v>100</v>
      </c>
      <c r="B101" s="5" t="inlineStr">
        <is>
          <t>121</t>
        </is>
      </c>
      <c r="C101" s="5" t="inlineStr">
        <is>
          <t>nearest labels (100% agree)</t>
        </is>
      </c>
      <c r="D101" s="5" t="inlineStr">
        <is>
          <t>wall</t>
        </is>
      </c>
      <c r="E101" s="5" t="inlineStr">
        <is>
          <t>core_wall_solid</t>
        </is>
      </c>
      <c r="F101" s="5" t="inlineStr">
        <is>
          <t>(none)</t>
        </is>
      </c>
      <c r="G101" s="5" t="inlineStr"/>
      <c r="H101" s="5" t="inlineStr">
        <is>
          <t>none</t>
        </is>
      </c>
      <c r="I101" s="5" t="n">
        <v>295</v>
      </c>
      <c r="J101" s="5" t="n">
        <v>25</v>
      </c>
      <c r="K101" s="9">
        <f>IF(AND(ISNUMBER(I101),ISNUMBER(J101),J101&gt;0),I101/J101,"")</f>
        <v/>
      </c>
      <c r="L101" s="5" t="n">
        <v>0.751</v>
      </c>
      <c r="M101" s="5" t="n"/>
      <c r="N101" s="5" t="n">
        <v>89.8</v>
      </c>
      <c r="O101" s="5" t="inlineStr">
        <is>
          <t>solid fill</t>
        </is>
      </c>
      <c r="P101" s="5" t="inlineStr">
        <is>
          <t>straight stretch of a thin filled outline with bends (pair of parallel faces)</t>
        </is>
      </c>
      <c r="Q101" s="5">
        <f>IF(OR(D101="column",D101="wall"),IF(I101&lt;='P vs V'!$B$3*J101,"column","wall"),"")</f>
        <v/>
      </c>
      <c r="R101" s="5" t="inlineStr"/>
      <c r="S101" s="5" t="inlineStr"/>
      <c r="T101" s="5" t="n"/>
      <c r="U101" s="5" t="inlineStr">
        <is>
          <t>yes</t>
        </is>
      </c>
      <c r="V101" s="5" t="inlineStr">
        <is>
          <t>yes</t>
        </is>
      </c>
      <c r="W101" s="5" t="inlineStr">
        <is>
          <t>yes</t>
        </is>
      </c>
      <c r="X101" s="5" t="inlineStr">
        <is>
          <t>no</t>
        </is>
      </c>
      <c r="Y101" s="5" t="inlineStr">
        <is>
          <t>no</t>
        </is>
      </c>
      <c r="Z101" s="5" t="inlineStr">
        <is>
          <t>no</t>
        </is>
      </c>
      <c r="AA101" s="5" t="n">
        <v>1.61</v>
      </c>
      <c r="AB101" s="5" t="n"/>
      <c r="AC101" s="5" t="n"/>
      <c r="AD101" s="5" t="n"/>
      <c r="AE101" s="5" t="n">
        <v>4871.2</v>
      </c>
      <c r="AF101" s="5" t="n">
        <v>1532.7</v>
      </c>
      <c r="AG101" s="5" t="n">
        <v>4879.1</v>
      </c>
      <c r="AH101" s="5" t="n">
        <v>1619.8</v>
      </c>
      <c r="AI101" s="5" t="inlineStr">
        <is>
          <t>new</t>
        </is>
      </c>
      <c r="AJ101" s="5" t="inlineStr"/>
      <c r="AK101" s="5" t="inlineStr">
        <is>
          <t>piece of a wall network the colour pipeline left unsplit</t>
        </is>
      </c>
      <c r="AL101" s="5" t="inlineStr"/>
      <c r="AM101" s="5" t="inlineStr"/>
    </row>
    <row r="102">
      <c r="A102" s="5" t="n">
        <v>101</v>
      </c>
      <c r="B102" s="5" t="inlineStr">
        <is>
          <t>121</t>
        </is>
      </c>
      <c r="C102" s="5" t="inlineStr">
        <is>
          <t>nearest labels (100% agree)</t>
        </is>
      </c>
      <c r="D102" s="5" t="inlineStr">
        <is>
          <t>wall</t>
        </is>
      </c>
      <c r="E102" s="5" t="inlineStr">
        <is>
          <t>core_wall_solid</t>
        </is>
      </c>
      <c r="F102" s="5" t="inlineStr">
        <is>
          <t>(none)</t>
        </is>
      </c>
      <c r="G102" s="5" t="inlineStr"/>
      <c r="H102" s="5" t="inlineStr">
        <is>
          <t>none</t>
        </is>
      </c>
      <c r="I102" s="5" t="n">
        <v>295</v>
      </c>
      <c r="J102" s="5" t="n">
        <v>25</v>
      </c>
      <c r="K102" s="9">
        <f>IF(AND(ISNUMBER(I102),ISNUMBER(J102),J102&gt;0),I102/J102,"")</f>
        <v/>
      </c>
      <c r="L102" s="5" t="n">
        <v>0.747</v>
      </c>
      <c r="M102" s="5" t="n"/>
      <c r="N102" s="5" t="n">
        <v>89.8</v>
      </c>
      <c r="O102" s="5" t="inlineStr">
        <is>
          <t>solid fill</t>
        </is>
      </c>
      <c r="P102" s="5" t="inlineStr">
        <is>
          <t>straight stretch of a thin filled outline with bends (pair of parallel faces)</t>
        </is>
      </c>
      <c r="Q102" s="5">
        <f>IF(OR(D102="column",D102="wall"),IF(I102&lt;='P vs V'!$B$3*J102,"column","wall"),"")</f>
        <v/>
      </c>
      <c r="R102" s="5" t="inlineStr"/>
      <c r="S102" s="5" t="inlineStr"/>
      <c r="T102" s="5" t="n"/>
      <c r="U102" s="5" t="inlineStr">
        <is>
          <t>yes</t>
        </is>
      </c>
      <c r="V102" s="5" t="inlineStr">
        <is>
          <t>no</t>
        </is>
      </c>
      <c r="W102" s="5" t="inlineStr">
        <is>
          <t>yes</t>
        </is>
      </c>
      <c r="X102" s="5" t="inlineStr">
        <is>
          <t>no</t>
        </is>
      </c>
      <c r="Y102" s="5" t="inlineStr">
        <is>
          <t>no</t>
        </is>
      </c>
      <c r="Z102" s="5" t="inlineStr">
        <is>
          <t>no</t>
        </is>
      </c>
      <c r="AA102" s="5" t="n">
        <v>1.61</v>
      </c>
      <c r="AB102" s="5" t="n"/>
      <c r="AC102" s="5" t="n"/>
      <c r="AD102" s="5" t="n"/>
      <c r="AE102" s="5" t="n">
        <v>5011.4</v>
      </c>
      <c r="AF102" s="5" t="n">
        <v>1532.4</v>
      </c>
      <c r="AG102" s="5" t="n">
        <v>5019.2</v>
      </c>
      <c r="AH102" s="5" t="n">
        <v>1619.5</v>
      </c>
      <c r="AI102" s="5" t="inlineStr">
        <is>
          <t>new</t>
        </is>
      </c>
      <c r="AJ102" s="5" t="inlineStr"/>
      <c r="AK102" s="5" t="inlineStr">
        <is>
          <t>piece of a wall network the colour pipeline left unsplit</t>
        </is>
      </c>
      <c r="AL102" s="5" t="inlineStr"/>
      <c r="AM102" s="5" t="inlineStr"/>
    </row>
    <row r="103">
      <c r="A103" s="5" t="n">
        <v>102</v>
      </c>
      <c r="B103" s="5" t="inlineStr">
        <is>
          <t>121</t>
        </is>
      </c>
      <c r="C103" s="5" t="inlineStr">
        <is>
          <t>nearest labels (100% agree)</t>
        </is>
      </c>
      <c r="D103" s="5" t="inlineStr">
        <is>
          <t>wall</t>
        </is>
      </c>
      <c r="E103" s="5" t="inlineStr">
        <is>
          <t>core_wall_solid</t>
        </is>
      </c>
      <c r="F103" s="5" t="inlineStr">
        <is>
          <t>(none)</t>
        </is>
      </c>
      <c r="G103" s="5" t="inlineStr"/>
      <c r="H103" s="5" t="inlineStr">
        <is>
          <t>none</t>
        </is>
      </c>
      <c r="I103" s="5" t="n">
        <v>175</v>
      </c>
      <c r="J103" s="5" t="n">
        <v>25</v>
      </c>
      <c r="K103" s="9">
        <f>IF(AND(ISNUMBER(I103),ISNUMBER(J103),J103&gt;0),I103/J103,"")</f>
        <v/>
      </c>
      <c r="L103" s="5" t="n">
        <v>0.445</v>
      </c>
      <c r="M103" s="5" t="n"/>
      <c r="N103" s="5" t="n">
        <v>89.90000000000001</v>
      </c>
      <c r="O103" s="5" t="inlineStr">
        <is>
          <t>solid fill</t>
        </is>
      </c>
      <c r="P103" s="5" t="inlineStr">
        <is>
          <t>straight stretch of a thin filled outline with bends (pair of parallel faces)</t>
        </is>
      </c>
      <c r="Q103" s="5">
        <f>IF(OR(D103="column",D103="wall"),IF(I103&lt;='P vs V'!$B$3*J103,"column","wall"),"")</f>
        <v/>
      </c>
      <c r="R103" s="5" t="inlineStr"/>
      <c r="S103" s="5" t="inlineStr"/>
      <c r="T103" s="5" t="n"/>
      <c r="U103" s="5" t="inlineStr">
        <is>
          <t>yes</t>
        </is>
      </c>
      <c r="V103" s="5" t="inlineStr">
        <is>
          <t>yes</t>
        </is>
      </c>
      <c r="W103" s="5" t="inlineStr">
        <is>
          <t>yes</t>
        </is>
      </c>
      <c r="X103" s="5" t="inlineStr">
        <is>
          <t>no</t>
        </is>
      </c>
      <c r="Y103" s="5" t="inlineStr">
        <is>
          <t>no</t>
        </is>
      </c>
      <c r="Z103" s="5" t="inlineStr">
        <is>
          <t>no</t>
        </is>
      </c>
      <c r="AA103" s="5" t="n">
        <v>1</v>
      </c>
      <c r="AB103" s="5" t="n"/>
      <c r="AC103" s="5" t="n"/>
      <c r="AD103" s="5" t="n"/>
      <c r="AE103" s="5" t="n">
        <v>4764.3</v>
      </c>
      <c r="AF103" s="5" t="n">
        <v>1532.9</v>
      </c>
      <c r="AG103" s="5" t="n">
        <v>4771.9</v>
      </c>
      <c r="AH103" s="5" t="n">
        <v>1584.5</v>
      </c>
      <c r="AI103" s="5" t="inlineStr">
        <is>
          <t>new</t>
        </is>
      </c>
      <c r="AJ103" s="5" t="inlineStr"/>
      <c r="AK103" s="5" t="inlineStr">
        <is>
          <t>piece of a wall network the colour pipeline left unsplit</t>
        </is>
      </c>
      <c r="AL103" s="5" t="inlineStr"/>
      <c r="AM103" s="5" t="inlineStr"/>
    </row>
    <row r="104">
      <c r="A104" s="5" t="n">
        <v>103</v>
      </c>
      <c r="B104" s="5" t="inlineStr">
        <is>
          <t>121</t>
        </is>
      </c>
      <c r="C104" s="5" t="inlineStr">
        <is>
          <t>nearest labels (80% agree)</t>
        </is>
      </c>
      <c r="D104" s="5" t="inlineStr">
        <is>
          <t>wall</t>
        </is>
      </c>
      <c r="E104" s="5" t="inlineStr">
        <is>
          <t>core_wall_solid</t>
        </is>
      </c>
      <c r="F104" s="5" t="inlineStr">
        <is>
          <t>(none)</t>
        </is>
      </c>
      <c r="G104" s="5" t="inlineStr"/>
      <c r="H104" s="5" t="inlineStr">
        <is>
          <t>none</t>
        </is>
      </c>
      <c r="I104" s="5" t="n">
        <v>739</v>
      </c>
      <c r="J104" s="5" t="n">
        <v>20</v>
      </c>
      <c r="K104" s="9">
        <f>IF(AND(ISNUMBER(I104),ISNUMBER(J104),J104&gt;0),I104/J104,"")</f>
        <v/>
      </c>
      <c r="L104" s="5" t="n">
        <v>1.503</v>
      </c>
      <c r="M104" s="5" t="n"/>
      <c r="N104" s="5" t="n">
        <v>179.9</v>
      </c>
      <c r="O104" s="5" t="inlineStr">
        <is>
          <t>solid fill</t>
        </is>
      </c>
      <c r="P104" s="5" t="inlineStr">
        <is>
          <t>straight stretch of a thin filled outline with bends (pair of parallel faces)</t>
        </is>
      </c>
      <c r="Q104" s="5">
        <f>IF(OR(D104="column",D104="wall"),IF(I104&lt;='P vs V'!$B$3*J104,"column","wall"),"")</f>
        <v/>
      </c>
      <c r="R104" s="5" t="inlineStr"/>
      <c r="S104" s="5" t="inlineStr"/>
      <c r="T104" s="5" t="n"/>
      <c r="U104" s="5" t="inlineStr">
        <is>
          <t>yes</t>
        </is>
      </c>
      <c r="V104" s="5" t="inlineStr">
        <is>
          <t>no</t>
        </is>
      </c>
      <c r="W104" s="5" t="inlineStr">
        <is>
          <t>yes</t>
        </is>
      </c>
      <c r="X104" s="5" t="inlineStr">
        <is>
          <t>no</t>
        </is>
      </c>
      <c r="Y104" s="5" t="inlineStr">
        <is>
          <t>no</t>
        </is>
      </c>
      <c r="Z104" s="5" t="inlineStr">
        <is>
          <t>no</t>
        </is>
      </c>
      <c r="AA104" s="5" t="n">
        <v>0.02</v>
      </c>
      <c r="AB104" s="5" t="n"/>
      <c r="AC104" s="5" t="n"/>
      <c r="AD104" s="5" t="n"/>
      <c r="AE104" s="5" t="n">
        <v>4783.2</v>
      </c>
      <c r="AF104" s="5" t="n">
        <v>1524.9</v>
      </c>
      <c r="AG104" s="5" t="n">
        <v>5001.4</v>
      </c>
      <c r="AH104" s="5" t="n">
        <v>1531.4</v>
      </c>
      <c r="AI104" s="5" t="inlineStr">
        <is>
          <t>new</t>
        </is>
      </c>
      <c r="AJ104" s="5" t="inlineStr"/>
      <c r="AK104" s="5" t="inlineStr">
        <is>
          <t>piece of a wall network the colour pipeline left unsplit</t>
        </is>
      </c>
      <c r="AL104" s="5" t="inlineStr"/>
      <c r="AM104" s="5" t="inlineStr"/>
    </row>
    <row r="105">
      <c r="A105" s="5" t="n">
        <v>104</v>
      </c>
      <c r="B105" s="5" t="inlineStr">
        <is>
          <t>121</t>
        </is>
      </c>
      <c r="C105" s="5" t="inlineStr">
        <is>
          <t>nearest labels (100% agree)</t>
        </is>
      </c>
      <c r="D105" s="5" t="inlineStr">
        <is>
          <t>wall</t>
        </is>
      </c>
      <c r="E105" s="5" t="inlineStr">
        <is>
          <t>core_wall_solid</t>
        </is>
      </c>
      <c r="F105" s="5" t="inlineStr">
        <is>
          <t>(none)</t>
        </is>
      </c>
      <c r="G105" s="5" t="inlineStr"/>
      <c r="H105" s="5" t="inlineStr">
        <is>
          <t>none</t>
        </is>
      </c>
      <c r="I105" s="5" t="n">
        <v>382</v>
      </c>
      <c r="J105" s="5" t="n">
        <v>20</v>
      </c>
      <c r="K105" s="9">
        <f>IF(AND(ISNUMBER(I105),ISNUMBER(J105),J105&gt;0),I105/J105,"")</f>
        <v/>
      </c>
      <c r="L105" s="5" t="n">
        <v>0.773</v>
      </c>
      <c r="M105" s="5" t="n"/>
      <c r="N105" s="5" t="n">
        <v>89.8</v>
      </c>
      <c r="O105" s="5" t="inlineStr">
        <is>
          <t>solid fill</t>
        </is>
      </c>
      <c r="P105" s="5" t="inlineStr">
        <is>
          <t>straight stretch of a thin filled outline with bends (pair of parallel faces)</t>
        </is>
      </c>
      <c r="Q105" s="5">
        <f>IF(OR(D105="column",D105="wall"),IF(I105&lt;='P vs V'!$B$3*J105,"column","wall"),"")</f>
        <v/>
      </c>
      <c r="R105" s="5" t="inlineStr"/>
      <c r="S105" s="5" t="inlineStr"/>
      <c r="T105" s="5" t="n"/>
      <c r="U105" s="5" t="inlineStr">
        <is>
          <t>yes</t>
        </is>
      </c>
      <c r="V105" s="5" t="inlineStr">
        <is>
          <t>no</t>
        </is>
      </c>
      <c r="W105" s="5" t="inlineStr">
        <is>
          <t>yes</t>
        </is>
      </c>
      <c r="X105" s="5" t="inlineStr">
        <is>
          <t>no</t>
        </is>
      </c>
      <c r="Y105" s="5" t="inlineStr">
        <is>
          <t>no</t>
        </is>
      </c>
      <c r="Z105" s="5" t="inlineStr">
        <is>
          <t>no</t>
        </is>
      </c>
      <c r="AA105" s="5" t="n">
        <v>2.09</v>
      </c>
      <c r="AB105" s="5" t="n"/>
      <c r="AC105" s="5" t="n"/>
      <c r="AD105" s="5" t="n"/>
      <c r="AE105" s="5" t="n">
        <v>5012.9</v>
      </c>
      <c r="AF105" s="5" t="n">
        <v>1533.8</v>
      </c>
      <c r="AG105" s="5" t="n">
        <v>5019.2</v>
      </c>
      <c r="AH105" s="5" t="n">
        <v>1646.7</v>
      </c>
      <c r="AI105" s="5" t="inlineStr">
        <is>
          <t>new</t>
        </is>
      </c>
      <c r="AJ105" s="5" t="inlineStr"/>
      <c r="AK105" s="5" t="inlineStr">
        <is>
          <t>piece of a wall network the colour pipeline left unsplit</t>
        </is>
      </c>
      <c r="AL105" s="5" t="inlineStr"/>
      <c r="AM105" s="5" t="inlineStr"/>
    </row>
    <row r="106">
      <c r="A106" s="5" t="n">
        <v>105</v>
      </c>
      <c r="B106" s="5" t="inlineStr">
        <is>
          <t>121</t>
        </is>
      </c>
      <c r="C106" s="5" t="inlineStr">
        <is>
          <t>nearest labels (100% agree)</t>
        </is>
      </c>
      <c r="D106" s="5" t="inlineStr">
        <is>
          <t>wall</t>
        </is>
      </c>
      <c r="E106" s="5" t="inlineStr">
        <is>
          <t>retaining_wall</t>
        </is>
      </c>
      <c r="F106" s="5" t="inlineStr">
        <is>
          <t>VP20</t>
        </is>
      </c>
      <c r="G106" s="5" t="inlineStr"/>
      <c r="H106" s="5" t="inlineStr">
        <is>
          <t>thickness matches a VP type</t>
        </is>
      </c>
      <c r="I106" s="5" t="n">
        <v>2719</v>
      </c>
      <c r="J106" s="5" t="n">
        <v>20</v>
      </c>
      <c r="K106" s="9">
        <f>IF(AND(ISNUMBER(I106),ISNUMBER(J106),J106&gt;0),I106/J106,"")</f>
        <v/>
      </c>
      <c r="L106" s="5" t="n">
        <v>5.403</v>
      </c>
      <c r="M106" s="5" t="n"/>
      <c r="N106" s="5" t="n">
        <v>90</v>
      </c>
      <c r="O106" s="5" t="inlineStr">
        <is>
          <t>solid fill</t>
        </is>
      </c>
      <c r="P106" s="5" t="inlineStr">
        <is>
          <t>solid fill, rectangle, L &gt; 4 W (EN 1992-1-1 5.3.1(7))</t>
        </is>
      </c>
      <c r="Q106" s="5">
        <f>IF(OR(D106="column",D106="wall"),IF(I106&lt;='P vs V'!$B$3*J106,"column","wall"),"")</f>
        <v/>
      </c>
      <c r="R106" s="5" t="inlineStr"/>
      <c r="S106" s="5" t="inlineStr"/>
      <c r="T106" s="5" t="n"/>
      <c r="U106" s="5" t="inlineStr">
        <is>
          <t>no</t>
        </is>
      </c>
      <c r="V106" s="5" t="inlineStr">
        <is>
          <t>no</t>
        </is>
      </c>
      <c r="W106" s="5" t="inlineStr">
        <is>
          <t>no</t>
        </is>
      </c>
      <c r="X106" s="5" t="inlineStr">
        <is>
          <t>yes</t>
        </is>
      </c>
      <c r="Y106" s="5" t="inlineStr">
        <is>
          <t>yes</t>
        </is>
      </c>
      <c r="Z106" s="5" t="inlineStr">
        <is>
          <t>yes</t>
        </is>
      </c>
      <c r="AA106" s="5" t="n">
        <v>2.56</v>
      </c>
      <c r="AB106" s="5" t="n"/>
      <c r="AC106" s="5" t="n"/>
      <c r="AD106" s="5" t="n"/>
      <c r="AE106" s="5" t="n">
        <v>4158.5</v>
      </c>
      <c r="AF106" s="5" t="n">
        <v>1333.7</v>
      </c>
      <c r="AG106" s="5" t="n">
        <v>4164.9</v>
      </c>
      <c r="AH106" s="5" t="n">
        <v>2136.6</v>
      </c>
      <c r="AI106" s="5" t="inlineStr">
        <is>
          <t>yes</t>
        </is>
      </c>
      <c r="AJ106" s="5" t="inlineStr">
        <is>
          <t>retaining_wall</t>
        </is>
      </c>
      <c r="AK106" s="5" t="inlineStr"/>
      <c r="AL106" s="5" t="inlineStr">
        <is>
          <t>(0.87, 0.0, 0.87)</t>
        </is>
      </c>
      <c r="AM106" s="5" t="inlineStr">
        <is>
          <t>DM-VOILE</t>
        </is>
      </c>
    </row>
    <row r="107">
      <c r="A107" s="5" t="n">
        <v>106</v>
      </c>
      <c r="B107" s="5" t="inlineStr">
        <is>
          <t>121</t>
        </is>
      </c>
      <c r="C107" s="5" t="inlineStr">
        <is>
          <t>nearest labels (60% agree)</t>
        </is>
      </c>
      <c r="D107" s="5" t="inlineStr">
        <is>
          <t>wall</t>
        </is>
      </c>
      <c r="E107" s="5" t="inlineStr">
        <is>
          <t>retaining_wall</t>
        </is>
      </c>
      <c r="F107" s="5" t="inlineStr">
        <is>
          <t>VP20</t>
        </is>
      </c>
      <c r="G107" s="5" t="inlineStr"/>
      <c r="H107" s="5" t="inlineStr">
        <is>
          <t>thickness matches a VP type</t>
        </is>
      </c>
      <c r="I107" s="5" t="n">
        <v>885</v>
      </c>
      <c r="J107" s="5" t="n">
        <v>20</v>
      </c>
      <c r="K107" s="9">
        <f>IF(AND(ISNUMBER(I107),ISNUMBER(J107),J107&gt;0),I107/J107,"")</f>
        <v/>
      </c>
      <c r="L107" s="5" t="n">
        <v>1.769</v>
      </c>
      <c r="M107" s="5" t="n"/>
      <c r="N107" s="5" t="n">
        <v>179.9</v>
      </c>
      <c r="O107" s="5" t="inlineStr">
        <is>
          <t>solid fill</t>
        </is>
      </c>
      <c r="P107" s="5" t="inlineStr">
        <is>
          <t>solid fill, rectangle, L &gt; 4 W (EN 1992-1-1 5.3.1(7))</t>
        </is>
      </c>
      <c r="Q107" s="5">
        <f>IF(OR(D107="column",D107="wall"),IF(I107&lt;='P vs V'!$B$3*J107,"column","wall"),"")</f>
        <v/>
      </c>
      <c r="R107" s="5" t="inlineStr"/>
      <c r="S107" s="5" t="inlineStr"/>
      <c r="T107" s="5" t="n"/>
      <c r="U107" s="5" t="inlineStr">
        <is>
          <t>no</t>
        </is>
      </c>
      <c r="V107" s="5" t="inlineStr">
        <is>
          <t>no</t>
        </is>
      </c>
      <c r="W107" s="5" t="inlineStr">
        <is>
          <t>yes</t>
        </is>
      </c>
      <c r="X107" s="5" t="inlineStr">
        <is>
          <t>yes</t>
        </is>
      </c>
      <c r="Y107" s="5" t="inlineStr">
        <is>
          <t>yes</t>
        </is>
      </c>
      <c r="Z107" s="5" t="inlineStr">
        <is>
          <t>no</t>
        </is>
      </c>
      <c r="AA107" s="5" t="n">
        <v>7.54</v>
      </c>
      <c r="AB107" s="5" t="n"/>
      <c r="AC107" s="5" t="n"/>
      <c r="AD107" s="5" t="n"/>
      <c r="AE107" s="5" t="n">
        <v>4511.3</v>
      </c>
      <c r="AF107" s="5" t="n">
        <v>2033.3</v>
      </c>
      <c r="AG107" s="5" t="n">
        <v>4772.6</v>
      </c>
      <c r="AH107" s="5" t="n">
        <v>2039.8</v>
      </c>
      <c r="AI107" s="5" t="inlineStr">
        <is>
          <t>new</t>
        </is>
      </c>
      <c r="AJ107" s="5" t="inlineStr"/>
      <c r="AK107" s="5" t="inlineStr">
        <is>
          <t>piece of a wall network the colour pipeline left unsplit</t>
        </is>
      </c>
      <c r="AL107" s="5" t="inlineStr">
        <is>
          <t>(0.87, 0.0, 0.87)</t>
        </is>
      </c>
      <c r="AM107" s="5" t="inlineStr">
        <is>
          <t>DM-VOILE</t>
        </is>
      </c>
    </row>
    <row r="108">
      <c r="A108" s="5" t="n">
        <v>107</v>
      </c>
      <c r="B108" s="5" t="inlineStr">
        <is>
          <t>121</t>
        </is>
      </c>
      <c r="C108" s="5" t="inlineStr">
        <is>
          <t>own label</t>
        </is>
      </c>
      <c r="D108" s="5" t="inlineStr">
        <is>
          <t>wall</t>
        </is>
      </c>
      <c r="E108" s="5" t="inlineStr">
        <is>
          <t>shear_wall</t>
        </is>
      </c>
      <c r="F108" s="5" t="inlineStr">
        <is>
          <t>V1/121</t>
        </is>
      </c>
      <c r="G108" s="5" t="inlineStr">
        <is>
          <t>V1/121/121</t>
        </is>
      </c>
      <c r="H108" s="5" t="inlineStr">
        <is>
          <t>printed</t>
        </is>
      </c>
      <c r="I108" s="5" t="n">
        <v>200</v>
      </c>
      <c r="J108" s="5" t="n">
        <v>25</v>
      </c>
      <c r="K108" s="9">
        <f>IF(AND(ISNUMBER(I108),ISNUMBER(J108),J108&gt;0),I108/J108,"")</f>
        <v/>
      </c>
      <c r="L108" s="5" t="n">
        <v>0.501</v>
      </c>
      <c r="M108" s="5" t="n"/>
      <c r="N108" s="5" t="n">
        <v>179.9</v>
      </c>
      <c r="O108" s="5" t="inlineStr">
        <is>
          <t>solid fill</t>
        </is>
      </c>
      <c r="P108" s="5" t="inlineStr">
        <is>
          <t>solid fill, rectangle, L &gt; 4 W (EN 1992-1-1 5.3.1(7))</t>
        </is>
      </c>
      <c r="Q108" s="5">
        <f>IF(OR(D108="column",D108="wall"),IF(I108&lt;='P vs V'!$B$3*J108,"column","wall"),"")</f>
        <v/>
      </c>
      <c r="R108" s="5" t="inlineStr">
        <is>
          <t>S7</t>
        </is>
      </c>
      <c r="S108" s="5" t="inlineStr"/>
      <c r="T108" s="5" t="n"/>
      <c r="U108" s="5" t="inlineStr">
        <is>
          <t>no</t>
        </is>
      </c>
      <c r="V108" s="5" t="inlineStr">
        <is>
          <t>no</t>
        </is>
      </c>
      <c r="W108" s="5" t="inlineStr">
        <is>
          <t>no</t>
        </is>
      </c>
      <c r="X108" s="5" t="inlineStr">
        <is>
          <t>no</t>
        </is>
      </c>
      <c r="Y108" s="5" t="inlineStr">
        <is>
          <t>yes</t>
        </is>
      </c>
      <c r="Z108" s="5" t="inlineStr">
        <is>
          <t>yes</t>
        </is>
      </c>
      <c r="AA108" s="5" t="n">
        <v>3.95</v>
      </c>
      <c r="AB108" s="5" t="n"/>
      <c r="AC108" s="5" t="n"/>
      <c r="AD108" s="5" t="n"/>
      <c r="AE108" s="5" t="n">
        <v>4517.5</v>
      </c>
      <c r="AF108" s="5" t="n">
        <v>1772.5</v>
      </c>
      <c r="AG108" s="5" t="n">
        <v>4576.6</v>
      </c>
      <c r="AH108" s="5" t="n">
        <v>1780</v>
      </c>
      <c r="AI108" s="5" t="inlineStr">
        <is>
          <t>yes</t>
        </is>
      </c>
      <c r="AJ108" s="5" t="inlineStr">
        <is>
          <t>shear_wall</t>
        </is>
      </c>
      <c r="AK108" s="5" t="inlineStr"/>
      <c r="AL108" s="5" t="inlineStr">
        <is>
          <t>(0.87, 0.0, 0.87)</t>
        </is>
      </c>
      <c r="AM108" s="5" t="inlineStr">
        <is>
          <t>DM-VOILE</t>
        </is>
      </c>
    </row>
    <row r="109">
      <c r="A109" s="5" t="n">
        <v>108</v>
      </c>
      <c r="B109" s="5" t="inlineStr">
        <is>
          <t>121</t>
        </is>
      </c>
      <c r="C109" s="5" t="inlineStr">
        <is>
          <t>own label</t>
        </is>
      </c>
      <c r="D109" s="5" t="inlineStr">
        <is>
          <t>wall</t>
        </is>
      </c>
      <c r="E109" s="5" t="inlineStr">
        <is>
          <t>shear_wall</t>
        </is>
      </c>
      <c r="F109" s="5" t="inlineStr">
        <is>
          <t>V1/121</t>
        </is>
      </c>
      <c r="G109" s="5" t="inlineStr"/>
      <c r="H109" s="5" t="inlineStr">
        <is>
          <t>inferred from building + size</t>
        </is>
      </c>
      <c r="I109" s="5" t="n">
        <v>200</v>
      </c>
      <c r="J109" s="5" t="n">
        <v>25</v>
      </c>
      <c r="K109" s="9">
        <f>IF(AND(ISNUMBER(I109),ISNUMBER(J109),J109&gt;0),I109/J109,"")</f>
        <v/>
      </c>
      <c r="L109" s="5" t="n">
        <v>0.501</v>
      </c>
      <c r="M109" s="5" t="n"/>
      <c r="N109" s="5" t="n">
        <v>179.9</v>
      </c>
      <c r="O109" s="5" t="inlineStr">
        <is>
          <t>solid fill</t>
        </is>
      </c>
      <c r="P109" s="5" t="inlineStr">
        <is>
          <t>solid fill, rectangle, L &gt; 4 W (EN 1992-1-1 5.3.1(7))</t>
        </is>
      </c>
      <c r="Q109" s="5">
        <f>IF(OR(D109="column",D109="wall"),IF(I109&lt;='P vs V'!$B$3*J109,"column","wall"),"")</f>
        <v/>
      </c>
      <c r="R109" s="5" t="inlineStr">
        <is>
          <t>S7</t>
        </is>
      </c>
      <c r="S109" s="5" t="inlineStr"/>
      <c r="T109" s="5" t="n"/>
      <c r="U109" s="5" t="inlineStr">
        <is>
          <t>no</t>
        </is>
      </c>
      <c r="V109" s="5" t="inlineStr">
        <is>
          <t>no</t>
        </is>
      </c>
      <c r="W109" s="5" t="inlineStr">
        <is>
          <t>yes</t>
        </is>
      </c>
      <c r="X109" s="5" t="inlineStr">
        <is>
          <t>no</t>
        </is>
      </c>
      <c r="Y109" s="5" t="inlineStr">
        <is>
          <t>no</t>
        </is>
      </c>
      <c r="Z109" s="5" t="inlineStr">
        <is>
          <t>no</t>
        </is>
      </c>
      <c r="AA109" s="5" t="n">
        <v>8.359999999999999</v>
      </c>
      <c r="AB109" s="5" t="n"/>
      <c r="AC109" s="5" t="n"/>
      <c r="AD109" s="5" t="n"/>
      <c r="AE109" s="5" t="n">
        <v>4960.4</v>
      </c>
      <c r="AF109" s="5" t="n">
        <v>1771.5</v>
      </c>
      <c r="AG109" s="5" t="n">
        <v>5019.5</v>
      </c>
      <c r="AH109" s="5" t="n">
        <v>1779</v>
      </c>
      <c r="AI109" s="5" t="inlineStr">
        <is>
          <t>new</t>
        </is>
      </c>
      <c r="AJ109" s="5" t="inlineStr"/>
      <c r="AK109" s="5" t="inlineStr">
        <is>
          <t>piece of a wall network the colour pipeline left unsplit</t>
        </is>
      </c>
      <c r="AL109" s="5" t="inlineStr">
        <is>
          <t>(0.87, 0.0, 0.87)</t>
        </is>
      </c>
      <c r="AM109" s="5" t="inlineStr">
        <is>
          <t>DM-VOILE</t>
        </is>
      </c>
    </row>
    <row r="110">
      <c r="A110" s="5" t="n">
        <v>109</v>
      </c>
      <c r="B110" s="5" t="inlineStr">
        <is>
          <t>121</t>
        </is>
      </c>
      <c r="C110" s="5" t="inlineStr">
        <is>
          <t>own label</t>
        </is>
      </c>
      <c r="D110" s="5" t="inlineStr">
        <is>
          <t>wall</t>
        </is>
      </c>
      <c r="E110" s="5" t="inlineStr">
        <is>
          <t>shear_wall</t>
        </is>
      </c>
      <c r="F110" s="5" t="inlineStr">
        <is>
          <t>V1/121</t>
        </is>
      </c>
      <c r="G110" s="5" t="inlineStr">
        <is>
          <t>V1/121/121</t>
        </is>
      </c>
      <c r="H110" s="5" t="inlineStr">
        <is>
          <t>printed</t>
        </is>
      </c>
      <c r="I110" s="5" t="n">
        <v>200</v>
      </c>
      <c r="J110" s="5" t="n">
        <v>25</v>
      </c>
      <c r="K110" s="9">
        <f>IF(AND(ISNUMBER(I110),ISNUMBER(J110),J110&gt;0),I110/J110,"")</f>
        <v/>
      </c>
      <c r="L110" s="5" t="n">
        <v>0.5</v>
      </c>
      <c r="M110" s="5" t="n"/>
      <c r="N110" s="5" t="n">
        <v>0</v>
      </c>
      <c r="O110" s="5" t="inlineStr">
        <is>
          <t>solid fill</t>
        </is>
      </c>
      <c r="P110" s="5" t="inlineStr">
        <is>
          <t>solid fill, rectangle, L &gt; 4 W (EN 1992-1-1 5.3.1(7))</t>
        </is>
      </c>
      <c r="Q110" s="5">
        <f>IF(OR(D110="column",D110="wall"),IF(I110&lt;='P vs V'!$B$3*J110,"column","wall"),"")</f>
        <v/>
      </c>
      <c r="R110" s="5" t="inlineStr">
        <is>
          <t>SC4</t>
        </is>
      </c>
      <c r="S110" s="5" t="inlineStr"/>
      <c r="T110" s="5" t="n"/>
      <c r="U110" s="5" t="inlineStr">
        <is>
          <t>no</t>
        </is>
      </c>
      <c r="V110" s="5" t="inlineStr">
        <is>
          <t>no</t>
        </is>
      </c>
      <c r="W110" s="5" t="inlineStr">
        <is>
          <t>no</t>
        </is>
      </c>
      <c r="X110" s="5" t="inlineStr">
        <is>
          <t>no</t>
        </is>
      </c>
      <c r="Y110" s="5" t="inlineStr">
        <is>
          <t>yes</t>
        </is>
      </c>
      <c r="Z110" s="5" t="inlineStr">
        <is>
          <t>yes</t>
        </is>
      </c>
      <c r="AA110" s="5" t="n">
        <v>0</v>
      </c>
      <c r="AB110" s="5" t="n"/>
      <c r="AC110" s="5" t="n"/>
      <c r="AD110" s="5" t="n"/>
      <c r="AE110" s="5" t="n">
        <v>4517.3</v>
      </c>
      <c r="AF110" s="5" t="n">
        <v>1656</v>
      </c>
      <c r="AG110" s="5" t="n">
        <v>4576.3</v>
      </c>
      <c r="AH110" s="5" t="n">
        <v>1663.4</v>
      </c>
      <c r="AI110" s="5" t="inlineStr">
        <is>
          <t>yes</t>
        </is>
      </c>
      <c r="AJ110" s="5" t="inlineStr">
        <is>
          <t>shear_wall</t>
        </is>
      </c>
      <c r="AK110" s="5" t="inlineStr"/>
      <c r="AL110" s="5" t="inlineStr">
        <is>
          <t>(0.87, 0.0, 0.87)</t>
        </is>
      </c>
      <c r="AM110" s="5" t="inlineStr">
        <is>
          <t>DM-VOILE</t>
        </is>
      </c>
    </row>
    <row r="111">
      <c r="A111" s="5" t="n">
        <v>110</v>
      </c>
      <c r="B111" s="5" t="inlineStr">
        <is>
          <t>121</t>
        </is>
      </c>
      <c r="C111" s="5" t="inlineStr">
        <is>
          <t>own label</t>
        </is>
      </c>
      <c r="D111" s="5" t="inlineStr">
        <is>
          <t>wall</t>
        </is>
      </c>
      <c r="E111" s="5" t="inlineStr">
        <is>
          <t>shear_wall</t>
        </is>
      </c>
      <c r="F111" s="5" t="inlineStr">
        <is>
          <t>V1/121</t>
        </is>
      </c>
      <c r="G111" s="5" t="inlineStr">
        <is>
          <t>V1/121/121</t>
        </is>
      </c>
      <c r="H111" s="5" t="inlineStr">
        <is>
          <t>printed</t>
        </is>
      </c>
      <c r="I111" s="5" t="n">
        <v>200</v>
      </c>
      <c r="J111" s="5" t="n">
        <v>25</v>
      </c>
      <c r="K111" s="9">
        <f>IF(AND(ISNUMBER(I111),ISNUMBER(J111),J111&gt;0),I111/J111,"")</f>
        <v/>
      </c>
      <c r="L111" s="5" t="n">
        <v>0.499</v>
      </c>
      <c r="M111" s="5" t="n"/>
      <c r="N111" s="5" t="n">
        <v>0</v>
      </c>
      <c r="O111" s="5" t="inlineStr">
        <is>
          <t>solid fill</t>
        </is>
      </c>
      <c r="P111" s="5" t="inlineStr">
        <is>
          <t>solid fill, rectangle, L &gt; 4 W (EN 1992-1-1 5.3.1(7))</t>
        </is>
      </c>
      <c r="Q111" s="5">
        <f>IF(OR(D111="column",D111="wall"),IF(I111&lt;='P vs V'!$B$3*J111,"column","wall"),"")</f>
        <v/>
      </c>
      <c r="R111" s="5" t="inlineStr">
        <is>
          <t>SC3</t>
        </is>
      </c>
      <c r="S111" s="5" t="inlineStr"/>
      <c r="T111" s="5" t="n"/>
      <c r="U111" s="5" t="inlineStr">
        <is>
          <t>no</t>
        </is>
      </c>
      <c r="V111" s="5" t="inlineStr">
        <is>
          <t>no</t>
        </is>
      </c>
      <c r="W111" s="5" t="inlineStr">
        <is>
          <t>no</t>
        </is>
      </c>
      <c r="X111" s="5" t="inlineStr">
        <is>
          <t>no</t>
        </is>
      </c>
      <c r="Y111" s="5" t="inlineStr">
        <is>
          <t>yes</t>
        </is>
      </c>
      <c r="Z111" s="5" t="inlineStr">
        <is>
          <t>yes</t>
        </is>
      </c>
      <c r="AA111" s="5" t="n">
        <v>6.52</v>
      </c>
      <c r="AB111" s="5" t="n"/>
      <c r="AC111" s="5" t="n"/>
      <c r="AD111" s="5" t="n"/>
      <c r="AE111" s="5" t="n">
        <v>4519.6</v>
      </c>
      <c r="AF111" s="5" t="n">
        <v>1333.5</v>
      </c>
      <c r="AG111" s="5" t="n">
        <v>4578.6</v>
      </c>
      <c r="AH111" s="5" t="n">
        <v>1340.9</v>
      </c>
      <c r="AI111" s="5" t="inlineStr">
        <is>
          <t>yes</t>
        </is>
      </c>
      <c r="AJ111" s="5" t="inlineStr">
        <is>
          <t>shear_wall</t>
        </is>
      </c>
      <c r="AK111" s="5" t="inlineStr"/>
      <c r="AL111" s="5" t="inlineStr">
        <is>
          <t>(0.87, 0.0, 0.87)</t>
        </is>
      </c>
      <c r="AM111" s="5" t="inlineStr">
        <is>
          <t>DM-VOILE</t>
        </is>
      </c>
    </row>
    <row r="112">
      <c r="A112" s="5" t="n">
        <v>111</v>
      </c>
      <c r="B112" s="5" t="inlineStr">
        <is>
          <t>121</t>
        </is>
      </c>
      <c r="C112" s="5" t="inlineStr">
        <is>
          <t>own label</t>
        </is>
      </c>
      <c r="D112" s="5" t="inlineStr">
        <is>
          <t>wall</t>
        </is>
      </c>
      <c r="E112" s="5" t="inlineStr">
        <is>
          <t>shear_wall</t>
        </is>
      </c>
      <c r="F112" s="5" t="inlineStr">
        <is>
          <t>V2/121</t>
        </is>
      </c>
      <c r="G112" s="5" t="inlineStr">
        <is>
          <t>V2/121/121</t>
        </is>
      </c>
      <c r="H112" s="5" t="inlineStr">
        <is>
          <t>printed</t>
        </is>
      </c>
      <c r="I112" s="5" t="n">
        <v>125</v>
      </c>
      <c r="J112" s="5" t="n">
        <v>25</v>
      </c>
      <c r="K112" s="9">
        <f>IF(AND(ISNUMBER(I112),ISNUMBER(J112),J112&gt;0),I112/J112,"")</f>
        <v/>
      </c>
      <c r="L112" s="5" t="n">
        <v>0.312</v>
      </c>
      <c r="M112" s="5" t="n"/>
      <c r="N112" s="5" t="n">
        <v>0</v>
      </c>
      <c r="O112" s="5" t="inlineStr">
        <is>
          <t>solid fill</t>
        </is>
      </c>
      <c r="P112" s="5" t="inlineStr">
        <is>
          <t>solid fill, rectangle, L &gt; 4 W (EN 1992-1-1 5.3.1(7))</t>
        </is>
      </c>
      <c r="Q112" s="5">
        <f>IF(OR(D112="column",D112="wall"),IF(I112&lt;='P vs V'!$B$3*J112,"column","wall"),"")</f>
        <v/>
      </c>
      <c r="R112" s="5" t="inlineStr">
        <is>
          <t>SC1</t>
        </is>
      </c>
      <c r="S112" s="5" t="inlineStr"/>
      <c r="T112" s="5" t="n"/>
      <c r="U112" s="5" t="inlineStr">
        <is>
          <t>no</t>
        </is>
      </c>
      <c r="V112" s="5" t="inlineStr">
        <is>
          <t>no</t>
        </is>
      </c>
      <c r="W112" s="5" t="inlineStr">
        <is>
          <t>yes</t>
        </is>
      </c>
      <c r="X112" s="5" t="inlineStr">
        <is>
          <t>no</t>
        </is>
      </c>
      <c r="Y112" s="5" t="inlineStr">
        <is>
          <t>yes</t>
        </is>
      </c>
      <c r="Z112" s="5" t="inlineStr">
        <is>
          <t>no</t>
        </is>
      </c>
      <c r="AA112" s="5" t="n">
        <v>6.5</v>
      </c>
      <c r="AB112" s="5" t="n"/>
      <c r="AC112" s="5" t="n"/>
      <c r="AD112" s="5" t="n"/>
      <c r="AE112" s="5" t="n">
        <v>4749.1</v>
      </c>
      <c r="AF112" s="5" t="n">
        <v>1333.5</v>
      </c>
      <c r="AG112" s="5" t="n">
        <v>4786.1</v>
      </c>
      <c r="AH112" s="5" t="n">
        <v>1340.9</v>
      </c>
      <c r="AI112" s="5" t="inlineStr">
        <is>
          <t>new</t>
        </is>
      </c>
      <c r="AJ112" s="5" t="inlineStr"/>
      <c r="AK112" s="5" t="inlineStr">
        <is>
          <t>piece of a wall network the colour pipeline left unsplit</t>
        </is>
      </c>
      <c r="AL112" s="5" t="inlineStr">
        <is>
          <t>(0.87, 0.0, 0.87)</t>
        </is>
      </c>
      <c r="AM112" s="5" t="inlineStr">
        <is>
          <t>DM-VOILE</t>
        </is>
      </c>
    </row>
    <row r="113">
      <c r="A113" s="5" t="n">
        <v>112</v>
      </c>
      <c r="B113" s="5" t="inlineStr">
        <is>
          <t>121</t>
        </is>
      </c>
      <c r="C113" s="5" t="inlineStr">
        <is>
          <t>own label</t>
        </is>
      </c>
      <c r="D113" s="5" t="inlineStr">
        <is>
          <t>wall</t>
        </is>
      </c>
      <c r="E113" s="5" t="inlineStr">
        <is>
          <t>shear_wall</t>
        </is>
      </c>
      <c r="F113" s="5" t="inlineStr">
        <is>
          <t>V2/121</t>
        </is>
      </c>
      <c r="G113" s="5" t="inlineStr">
        <is>
          <t>V2/121/121</t>
        </is>
      </c>
      <c r="H113" s="5" t="inlineStr">
        <is>
          <t>printed</t>
        </is>
      </c>
      <c r="I113" s="5" t="n">
        <v>125</v>
      </c>
      <c r="J113" s="5" t="n">
        <v>25</v>
      </c>
      <c r="K113" s="9">
        <f>IF(AND(ISNUMBER(I113),ISNUMBER(J113),J113&gt;0),I113/J113,"")</f>
        <v/>
      </c>
      <c r="L113" s="5" t="n">
        <v>0.312</v>
      </c>
      <c r="M113" s="5" t="n"/>
      <c r="N113" s="5" t="n">
        <v>179.9</v>
      </c>
      <c r="O113" s="5" t="inlineStr">
        <is>
          <t>solid fill</t>
        </is>
      </c>
      <c r="P113" s="5" t="inlineStr">
        <is>
          <t>solid fill, rectangle, L &gt; 4 W (EN 1992-1-1 5.3.1(7))</t>
        </is>
      </c>
      <c r="Q113" s="5">
        <f>IF(OR(D113="column",D113="wall"),IF(I113&lt;='P vs V'!$B$3*J113,"column","wall"),"")</f>
        <v/>
      </c>
      <c r="R113" s="5" t="inlineStr">
        <is>
          <t>SC1</t>
        </is>
      </c>
      <c r="S113" s="5" t="inlineStr"/>
      <c r="T113" s="5" t="n"/>
      <c r="U113" s="5" t="inlineStr">
        <is>
          <t>no</t>
        </is>
      </c>
      <c r="V113" s="5" t="inlineStr">
        <is>
          <t>no</t>
        </is>
      </c>
      <c r="W113" s="5" t="inlineStr">
        <is>
          <t>yes</t>
        </is>
      </c>
      <c r="X113" s="5" t="inlineStr">
        <is>
          <t>no</t>
        </is>
      </c>
      <c r="Y113" s="5" t="inlineStr">
        <is>
          <t>no</t>
        </is>
      </c>
      <c r="Z113" s="5" t="inlineStr">
        <is>
          <t>no</t>
        </is>
      </c>
      <c r="AA113" s="5" t="n">
        <v>4.31</v>
      </c>
      <c r="AB113" s="5" t="n"/>
      <c r="AC113" s="5" t="n"/>
      <c r="AD113" s="5" t="n"/>
      <c r="AE113" s="5" t="n">
        <v>4750.8</v>
      </c>
      <c r="AF113" s="5" t="n">
        <v>2127.9</v>
      </c>
      <c r="AG113" s="5" t="n">
        <v>4787.7</v>
      </c>
      <c r="AH113" s="5" t="n">
        <v>2135.3</v>
      </c>
      <c r="AI113" s="5" t="inlineStr">
        <is>
          <t>new</t>
        </is>
      </c>
      <c r="AJ113" s="5" t="inlineStr"/>
      <c r="AK113" s="5" t="inlineStr">
        <is>
          <t>piece of a wall network the colour pipeline left unsplit</t>
        </is>
      </c>
      <c r="AL113" s="5" t="inlineStr">
        <is>
          <t>(0.87, 0.0, 0.87)</t>
        </is>
      </c>
      <c r="AM113" s="5" t="inlineStr">
        <is>
          <t>DM-VOILE</t>
        </is>
      </c>
    </row>
    <row r="114">
      <c r="A114" s="5" t="n">
        <v>113</v>
      </c>
      <c r="B114" s="5" t="inlineStr">
        <is>
          <t>121</t>
        </is>
      </c>
      <c r="C114" s="5" t="inlineStr">
        <is>
          <t>own label</t>
        </is>
      </c>
      <c r="D114" s="5" t="inlineStr">
        <is>
          <t>wall</t>
        </is>
      </c>
      <c r="E114" s="5" t="inlineStr">
        <is>
          <t>shear_wall</t>
        </is>
      </c>
      <c r="F114" s="5" t="inlineStr">
        <is>
          <t>V2/121</t>
        </is>
      </c>
      <c r="G114" s="5" t="inlineStr">
        <is>
          <t>V2/121/121</t>
        </is>
      </c>
      <c r="H114" s="5" t="inlineStr">
        <is>
          <t>printed</t>
        </is>
      </c>
      <c r="I114" s="5" t="n">
        <v>125</v>
      </c>
      <c r="J114" s="5" t="n">
        <v>25</v>
      </c>
      <c r="K114" s="9">
        <f>IF(AND(ISNUMBER(I114),ISNUMBER(J114),J114&gt;0),I114/J114,"")</f>
        <v/>
      </c>
      <c r="L114" s="5" t="n">
        <v>0.312</v>
      </c>
      <c r="M114" s="5" t="n"/>
      <c r="N114" s="5" t="n">
        <v>179.9</v>
      </c>
      <c r="O114" s="5" t="inlineStr">
        <is>
          <t>solid fill</t>
        </is>
      </c>
      <c r="P114" s="5" t="inlineStr">
        <is>
          <t>solid fill, rectangle, L &gt; 4 W (EN 1992-1-1 5.3.1(7))</t>
        </is>
      </c>
      <c r="Q114" s="5">
        <f>IF(OR(D114="column",D114="wall"),IF(I114&lt;='P vs V'!$B$3*J114,"column","wall"),"")</f>
        <v/>
      </c>
      <c r="R114" s="5" t="inlineStr">
        <is>
          <t>SC3</t>
        </is>
      </c>
      <c r="S114" s="5" t="inlineStr"/>
      <c r="T114" s="5" t="n"/>
      <c r="U114" s="5" t="inlineStr">
        <is>
          <t>no</t>
        </is>
      </c>
      <c r="V114" s="5" t="inlineStr">
        <is>
          <t>no</t>
        </is>
      </c>
      <c r="W114" s="5" t="inlineStr">
        <is>
          <t>yes</t>
        </is>
      </c>
      <c r="X114" s="5" t="inlineStr">
        <is>
          <t>no</t>
        </is>
      </c>
      <c r="Y114" s="5" t="inlineStr">
        <is>
          <t>no</t>
        </is>
      </c>
      <c r="Z114" s="5" t="inlineStr">
        <is>
          <t>no</t>
        </is>
      </c>
      <c r="AA114" s="5" t="n">
        <v>4.31</v>
      </c>
      <c r="AB114" s="5" t="n"/>
      <c r="AC114" s="5" t="n"/>
      <c r="AD114" s="5" t="n"/>
      <c r="AE114" s="5" t="n">
        <v>4518.3</v>
      </c>
      <c r="AF114" s="5" t="n">
        <v>2128.4</v>
      </c>
      <c r="AG114" s="5" t="n">
        <v>4555.3</v>
      </c>
      <c r="AH114" s="5" t="n">
        <v>2135.8</v>
      </c>
      <c r="AI114" s="5" t="inlineStr">
        <is>
          <t>new</t>
        </is>
      </c>
      <c r="AJ114" s="5" t="inlineStr"/>
      <c r="AK114" s="5" t="inlineStr">
        <is>
          <t>piece of a wall network the colour pipeline left unsplit</t>
        </is>
      </c>
      <c r="AL114" s="5" t="inlineStr">
        <is>
          <t>(0.87, 0.0, 0.87)</t>
        </is>
      </c>
      <c r="AM114" s="5" t="inlineStr">
        <is>
          <t>DM-VOILE</t>
        </is>
      </c>
    </row>
    <row r="115">
      <c r="A115" s="5" t="n">
        <v>114</v>
      </c>
      <c r="B115" s="5" t="inlineStr">
        <is>
          <t>121</t>
        </is>
      </c>
      <c r="C115" s="5" t="inlineStr">
        <is>
          <t>own label</t>
        </is>
      </c>
      <c r="D115" s="5" t="inlineStr">
        <is>
          <t>wall</t>
        </is>
      </c>
      <c r="E115" s="5" t="inlineStr">
        <is>
          <t>shear_wall</t>
        </is>
      </c>
      <c r="F115" s="5" t="inlineStr">
        <is>
          <t>V3/121</t>
        </is>
      </c>
      <c r="G115" s="5" t="inlineStr">
        <is>
          <t>V3/121/121</t>
        </is>
      </c>
      <c r="H115" s="5" t="inlineStr">
        <is>
          <t>printed</t>
        </is>
      </c>
      <c r="I115" s="5" t="n">
        <v>125</v>
      </c>
      <c r="J115" s="5" t="n">
        <v>25</v>
      </c>
      <c r="K115" s="9">
        <f>IF(AND(ISNUMBER(I115),ISNUMBER(J115),J115&gt;0),I115/J115,"")</f>
        <v/>
      </c>
      <c r="L115" s="5" t="n">
        <v>0.314</v>
      </c>
      <c r="M115" s="5" t="n"/>
      <c r="N115" s="5" t="n">
        <v>0</v>
      </c>
      <c r="O115" s="5" t="inlineStr">
        <is>
          <t>solid fill</t>
        </is>
      </c>
      <c r="P115" s="5" t="inlineStr">
        <is>
          <t>solid fill, rectangle, L &gt; 4 W (EN 1992-1-1 5.3.1(7))</t>
        </is>
      </c>
      <c r="Q115" s="5">
        <f>IF(OR(D115="column",D115="wall"),IF(I115&lt;='P vs V'!$B$3*J115,"column","wall"),"")</f>
        <v/>
      </c>
      <c r="R115" s="5" t="inlineStr">
        <is>
          <t>SC1</t>
        </is>
      </c>
      <c r="S115" s="5" t="inlineStr"/>
      <c r="T115" s="5" t="n"/>
      <c r="U115" s="5" t="inlineStr">
        <is>
          <t>no</t>
        </is>
      </c>
      <c r="V115" s="5" t="inlineStr">
        <is>
          <t>no</t>
        </is>
      </c>
      <c r="W115" s="5" t="inlineStr">
        <is>
          <t>no</t>
        </is>
      </c>
      <c r="X115" s="5" t="inlineStr">
        <is>
          <t>no</t>
        </is>
      </c>
      <c r="Y115" s="5" t="inlineStr">
        <is>
          <t>yes</t>
        </is>
      </c>
      <c r="Z115" s="5" t="inlineStr">
        <is>
          <t>yes</t>
        </is>
      </c>
      <c r="AA115" s="5" t="n">
        <v>0.86</v>
      </c>
      <c r="AB115" s="5" t="n"/>
      <c r="AC115" s="5" t="n"/>
      <c r="AD115" s="5" t="n"/>
      <c r="AE115" s="5" t="n">
        <v>4278</v>
      </c>
      <c r="AF115" s="5" t="n">
        <v>2128.9</v>
      </c>
      <c r="AG115" s="5" t="n">
        <v>4314.9</v>
      </c>
      <c r="AH115" s="5" t="n">
        <v>2136.4</v>
      </c>
      <c r="AI115" s="5" t="inlineStr">
        <is>
          <t>yes</t>
        </is>
      </c>
      <c r="AJ115" s="5" t="inlineStr">
        <is>
          <t>shear_wall</t>
        </is>
      </c>
      <c r="AK115" s="5" t="inlineStr"/>
      <c r="AL115" s="5" t="inlineStr">
        <is>
          <t>(0.87, 0.0, 0.87)</t>
        </is>
      </c>
      <c r="AM115" s="5" t="inlineStr">
        <is>
          <t>DM-VOILE</t>
        </is>
      </c>
    </row>
    <row r="116">
      <c r="A116" s="5" t="n">
        <v>115</v>
      </c>
      <c r="B116" s="5" t="inlineStr">
        <is>
          <t>121</t>
        </is>
      </c>
      <c r="C116" s="5" t="inlineStr">
        <is>
          <t>own label</t>
        </is>
      </c>
      <c r="D116" s="5" t="inlineStr">
        <is>
          <t>wall</t>
        </is>
      </c>
      <c r="E116" s="5" t="inlineStr">
        <is>
          <t>shear_wall</t>
        </is>
      </c>
      <c r="F116" s="5" t="inlineStr">
        <is>
          <t>V3/121</t>
        </is>
      </c>
      <c r="G116" s="5" t="inlineStr">
        <is>
          <t>V3/121/121</t>
        </is>
      </c>
      <c r="H116" s="5" t="inlineStr">
        <is>
          <t>printed</t>
        </is>
      </c>
      <c r="I116" s="5" t="n">
        <v>125</v>
      </c>
      <c r="J116" s="5" t="n">
        <v>25</v>
      </c>
      <c r="K116" s="9">
        <f>IF(AND(ISNUMBER(I116),ISNUMBER(J116),J116&gt;0),I116/J116,"")</f>
        <v/>
      </c>
      <c r="L116" s="5" t="n">
        <v>0.313</v>
      </c>
      <c r="M116" s="5" t="n"/>
      <c r="N116" s="5" t="n">
        <v>0</v>
      </c>
      <c r="O116" s="5" t="inlineStr">
        <is>
          <t>solid fill</t>
        </is>
      </c>
      <c r="P116" s="5" t="inlineStr">
        <is>
          <t>solid fill, rectangle, L &gt; 4 W (EN 1992-1-1 5.3.1(7))</t>
        </is>
      </c>
      <c r="Q116" s="5">
        <f>IF(OR(D116="column",D116="wall"),IF(I116&lt;='P vs V'!$B$3*J116,"column","wall"),"")</f>
        <v/>
      </c>
      <c r="R116" s="5" t="inlineStr"/>
      <c r="S116" s="5" t="inlineStr"/>
      <c r="T116" s="5" t="n"/>
      <c r="U116" s="5" t="inlineStr">
        <is>
          <t>yes</t>
        </is>
      </c>
      <c r="V116" s="5" t="inlineStr">
        <is>
          <t>no</t>
        </is>
      </c>
      <c r="W116" s="5" t="inlineStr">
        <is>
          <t>no</t>
        </is>
      </c>
      <c r="X116" s="5" t="inlineStr">
        <is>
          <t>no</t>
        </is>
      </c>
      <c r="Y116" s="5" t="inlineStr">
        <is>
          <t>yes</t>
        </is>
      </c>
      <c r="Z116" s="5" t="inlineStr">
        <is>
          <t>yes</t>
        </is>
      </c>
      <c r="AA116" s="5" t="n">
        <v>6.54</v>
      </c>
      <c r="AB116" s="5" t="n"/>
      <c r="AC116" s="5" t="n"/>
      <c r="AD116" s="5" t="n"/>
      <c r="AE116" s="5" t="n">
        <v>4253.5</v>
      </c>
      <c r="AF116" s="5" t="n">
        <v>1333.6</v>
      </c>
      <c r="AG116" s="5" t="n">
        <v>4290.5</v>
      </c>
      <c r="AH116" s="5" t="n">
        <v>1341</v>
      </c>
      <c r="AI116" s="5" t="inlineStr">
        <is>
          <t>yes</t>
        </is>
      </c>
      <c r="AJ116" s="5" t="inlineStr">
        <is>
          <t>shear_wall</t>
        </is>
      </c>
      <c r="AK116" s="5" t="inlineStr"/>
      <c r="AL116" s="5" t="inlineStr">
        <is>
          <t>(0.87, 0.0, 0.87)</t>
        </is>
      </c>
      <c r="AM116" s="5" t="inlineStr">
        <is>
          <t>DM-VOILE</t>
        </is>
      </c>
    </row>
    <row r="117">
      <c r="A117" s="5" t="n">
        <v>116</v>
      </c>
      <c r="B117" s="5" t="inlineStr">
        <is>
          <t>121</t>
        </is>
      </c>
      <c r="C117" s="5" t="inlineStr">
        <is>
          <t>own label</t>
        </is>
      </c>
      <c r="D117" s="5" t="inlineStr">
        <is>
          <t>wall</t>
        </is>
      </c>
      <c r="E117" s="5" t="inlineStr">
        <is>
          <t>shear_wall</t>
        </is>
      </c>
      <c r="F117" s="5" t="inlineStr">
        <is>
          <t>V3/121</t>
        </is>
      </c>
      <c r="G117" s="5" t="inlineStr">
        <is>
          <t>V3/121/121</t>
        </is>
      </c>
      <c r="H117" s="5" t="inlineStr">
        <is>
          <t>printed</t>
        </is>
      </c>
      <c r="I117" s="5" t="n">
        <v>125</v>
      </c>
      <c r="J117" s="5" t="n">
        <v>25</v>
      </c>
      <c r="K117" s="9">
        <f>IF(AND(ISNUMBER(I117),ISNUMBER(J117),J117&gt;0),I117/J117,"")</f>
        <v/>
      </c>
      <c r="L117" s="5" t="n">
        <v>0.308</v>
      </c>
      <c r="M117" s="5" t="n"/>
      <c r="N117" s="5" t="n">
        <v>0</v>
      </c>
      <c r="O117" s="5" t="inlineStr">
        <is>
          <t>solid fill</t>
        </is>
      </c>
      <c r="P117" s="5" t="inlineStr">
        <is>
          <t>solid fill, rectangle, L &gt; 4 W (EN 1992-1-1 5.3.1(7))</t>
        </is>
      </c>
      <c r="Q117" s="5">
        <f>IF(OR(D117="column",D117="wall"),IF(I117&lt;='P vs V'!$B$3*J117,"column","wall"),"")</f>
        <v/>
      </c>
      <c r="R117" s="5" t="inlineStr"/>
      <c r="S117" s="5" t="inlineStr"/>
      <c r="T117" s="5" t="n"/>
      <c r="U117" s="5" t="inlineStr">
        <is>
          <t>yes</t>
        </is>
      </c>
      <c r="V117" s="5" t="inlineStr">
        <is>
          <t>no</t>
        </is>
      </c>
      <c r="W117" s="5" t="inlineStr">
        <is>
          <t>no</t>
        </is>
      </c>
      <c r="X117" s="5" t="inlineStr">
        <is>
          <t>no</t>
        </is>
      </c>
      <c r="Y117" s="5" t="inlineStr">
        <is>
          <t>yes</t>
        </is>
      </c>
      <c r="Z117" s="5" t="inlineStr">
        <is>
          <t>yes</t>
        </is>
      </c>
      <c r="AA117" s="5" t="n">
        <v>1.16</v>
      </c>
      <c r="AB117" s="5" t="n"/>
      <c r="AC117" s="5" t="n"/>
      <c r="AD117" s="5" t="n"/>
      <c r="AE117" s="5" t="n">
        <v>4277.3</v>
      </c>
      <c r="AF117" s="5" t="n">
        <v>1560.9</v>
      </c>
      <c r="AG117" s="5" t="n">
        <v>4314.2</v>
      </c>
      <c r="AH117" s="5" t="n">
        <v>1568.2</v>
      </c>
      <c r="AI117" s="5" t="inlineStr">
        <is>
          <t>yes</t>
        </is>
      </c>
      <c r="AJ117" s="5" t="inlineStr">
        <is>
          <t>shear_wall</t>
        </is>
      </c>
      <c r="AK117" s="5" t="inlineStr"/>
      <c r="AL117" s="5" t="inlineStr">
        <is>
          <t>(0.87, 0.0, 0.87)</t>
        </is>
      </c>
      <c r="AM117" s="5" t="inlineStr">
        <is>
          <t>DM-VOILE</t>
        </is>
      </c>
    </row>
    <row r="118">
      <c r="A118" s="5" t="n">
        <v>117</v>
      </c>
      <c r="B118" s="5" t="inlineStr">
        <is>
          <t>121</t>
        </is>
      </c>
      <c r="C118" s="5" t="inlineStr">
        <is>
          <t>own label</t>
        </is>
      </c>
      <c r="D118" s="5" t="inlineStr">
        <is>
          <t>wall</t>
        </is>
      </c>
      <c r="E118" s="5" t="inlineStr">
        <is>
          <t>shear_wall</t>
        </is>
      </c>
      <c r="F118" s="5" t="inlineStr">
        <is>
          <t>V3/121</t>
        </is>
      </c>
      <c r="G118" s="5" t="inlineStr">
        <is>
          <t>V3/121/121</t>
        </is>
      </c>
      <c r="H118" s="5" t="inlineStr">
        <is>
          <t>printed</t>
        </is>
      </c>
      <c r="I118" s="5" t="n">
        <v>125</v>
      </c>
      <c r="J118" s="5" t="n">
        <v>25</v>
      </c>
      <c r="K118" s="9">
        <f>IF(AND(ISNUMBER(I118),ISNUMBER(J118),J118&gt;0),I118/J118,"")</f>
        <v/>
      </c>
      <c r="L118" s="5" t="n">
        <v>0.307</v>
      </c>
      <c r="M118" s="5" t="n"/>
      <c r="N118" s="5" t="n">
        <v>0</v>
      </c>
      <c r="O118" s="5" t="inlineStr">
        <is>
          <t>solid fill</t>
        </is>
      </c>
      <c r="P118" s="5" t="inlineStr">
        <is>
          <t>solid fill, rectangle, L &gt; 4 W (EN 1992-1-1 5.3.1(7))</t>
        </is>
      </c>
      <c r="Q118" s="5">
        <f>IF(OR(D118="column",D118="wall"),IF(I118&lt;='P vs V'!$B$3*J118,"column","wall"),"")</f>
        <v/>
      </c>
      <c r="R118" s="5" t="inlineStr">
        <is>
          <t>S2</t>
        </is>
      </c>
      <c r="S118" s="5" t="inlineStr"/>
      <c r="T118" s="5" t="n"/>
      <c r="U118" s="5" t="inlineStr">
        <is>
          <t>no</t>
        </is>
      </c>
      <c r="V118" s="5" t="inlineStr">
        <is>
          <t>no</t>
        </is>
      </c>
      <c r="W118" s="5" t="inlineStr">
        <is>
          <t>no</t>
        </is>
      </c>
      <c r="X118" s="5" t="inlineStr">
        <is>
          <t>no</t>
        </is>
      </c>
      <c r="Y118" s="5" t="inlineStr">
        <is>
          <t>yes</t>
        </is>
      </c>
      <c r="Z118" s="5" t="inlineStr">
        <is>
          <t>yes</t>
        </is>
      </c>
      <c r="AA118" s="5" t="n">
        <v>2.48</v>
      </c>
      <c r="AB118" s="5" t="n"/>
      <c r="AC118" s="5" t="n"/>
      <c r="AD118" s="5" t="n"/>
      <c r="AE118" s="5" t="n">
        <v>4277.9</v>
      </c>
      <c r="AF118" s="5" t="n">
        <v>2019.2</v>
      </c>
      <c r="AG118" s="5" t="n">
        <v>4314.8</v>
      </c>
      <c r="AH118" s="5" t="n">
        <v>2026.4</v>
      </c>
      <c r="AI118" s="5" t="inlineStr">
        <is>
          <t>yes</t>
        </is>
      </c>
      <c r="AJ118" s="5" t="inlineStr">
        <is>
          <t>shear_wall</t>
        </is>
      </c>
      <c r="AK118" s="5" t="inlineStr"/>
      <c r="AL118" s="5" t="inlineStr">
        <is>
          <t>(0.87, 0.0, 0.87)</t>
        </is>
      </c>
      <c r="AM118" s="5" t="inlineStr">
        <is>
          <t>DM-VOILE</t>
        </is>
      </c>
    </row>
    <row r="119">
      <c r="A119" s="5" t="n">
        <v>118</v>
      </c>
      <c r="B119" s="5" t="inlineStr">
        <is>
          <t>121</t>
        </is>
      </c>
      <c r="C119" s="5" t="inlineStr">
        <is>
          <t>own label</t>
        </is>
      </c>
      <c r="D119" s="5" t="inlineStr">
        <is>
          <t>wall</t>
        </is>
      </c>
      <c r="E119" s="5" t="inlineStr">
        <is>
          <t>shear_wall</t>
        </is>
      </c>
      <c r="F119" s="5" t="inlineStr">
        <is>
          <t>V3/121</t>
        </is>
      </c>
      <c r="G119" s="5" t="inlineStr">
        <is>
          <t>V3/121/121</t>
        </is>
      </c>
      <c r="H119" s="5" t="inlineStr">
        <is>
          <t>printed</t>
        </is>
      </c>
      <c r="I119" s="5" t="n">
        <v>125</v>
      </c>
      <c r="J119" s="5" t="n">
        <v>25</v>
      </c>
      <c r="K119" s="9">
        <f>IF(AND(ISNUMBER(I119),ISNUMBER(J119),J119&gt;0),I119/J119,"")</f>
        <v/>
      </c>
      <c r="L119" s="5" t="n">
        <v>0.307</v>
      </c>
      <c r="M119" s="5" t="n"/>
      <c r="N119" s="5" t="n">
        <v>0</v>
      </c>
      <c r="O119" s="5" t="inlineStr">
        <is>
          <t>solid fill</t>
        </is>
      </c>
      <c r="P119" s="5" t="inlineStr">
        <is>
          <t>solid fill, rectangle, L &gt; 4 W (EN 1992-1-1 5.3.1(7))</t>
        </is>
      </c>
      <c r="Q119" s="5">
        <f>IF(OR(D119="column",D119="wall"),IF(I119&lt;='P vs V'!$B$3*J119,"column","wall"),"")</f>
        <v/>
      </c>
      <c r="R119" s="5" t="inlineStr">
        <is>
          <t>S2</t>
        </is>
      </c>
      <c r="S119" s="5" t="inlineStr"/>
      <c r="T119" s="5" t="n"/>
      <c r="U119" s="5" t="inlineStr">
        <is>
          <t>no</t>
        </is>
      </c>
      <c r="V119" s="5" t="inlineStr">
        <is>
          <t>no</t>
        </is>
      </c>
      <c r="W119" s="5" t="inlineStr">
        <is>
          <t>no</t>
        </is>
      </c>
      <c r="X119" s="5" t="inlineStr">
        <is>
          <t>no</t>
        </is>
      </c>
      <c r="Y119" s="5" t="inlineStr">
        <is>
          <t>yes</t>
        </is>
      </c>
      <c r="Z119" s="5" t="inlineStr">
        <is>
          <t>yes</t>
        </is>
      </c>
      <c r="AA119" s="5" t="n">
        <v>4.56</v>
      </c>
      <c r="AB119" s="5" t="n"/>
      <c r="AC119" s="5" t="n"/>
      <c r="AD119" s="5" t="n"/>
      <c r="AE119" s="5" t="n">
        <v>4277.6</v>
      </c>
      <c r="AF119" s="5" t="n">
        <v>1791</v>
      </c>
      <c r="AG119" s="5" t="n">
        <v>4314.5</v>
      </c>
      <c r="AH119" s="5" t="n">
        <v>1798.2</v>
      </c>
      <c r="AI119" s="5" t="inlineStr">
        <is>
          <t>yes</t>
        </is>
      </c>
      <c r="AJ119" s="5" t="inlineStr">
        <is>
          <t>shear_wall</t>
        </is>
      </c>
      <c r="AK119" s="5" t="inlineStr"/>
      <c r="AL119" s="5" t="inlineStr">
        <is>
          <t>(0.87, 0.0, 0.87)</t>
        </is>
      </c>
      <c r="AM119" s="5" t="inlineStr">
        <is>
          <t>DM-VOILE</t>
        </is>
      </c>
    </row>
    <row r="120">
      <c r="A120" s="5" t="n">
        <v>119</v>
      </c>
      <c r="B120" s="5" t="inlineStr">
        <is>
          <t>121</t>
        </is>
      </c>
      <c r="C120" s="5" t="inlineStr">
        <is>
          <t>own label</t>
        </is>
      </c>
      <c r="D120" s="5" t="inlineStr">
        <is>
          <t>wall</t>
        </is>
      </c>
      <c r="E120" s="5" t="inlineStr">
        <is>
          <t>shear_wall</t>
        </is>
      </c>
      <c r="F120" s="5" t="inlineStr">
        <is>
          <t>V6/121</t>
        </is>
      </c>
      <c r="G120" s="5" t="inlineStr">
        <is>
          <t>V6/121/121</t>
        </is>
      </c>
      <c r="H120" s="5" t="inlineStr">
        <is>
          <t>printed</t>
        </is>
      </c>
      <c r="I120" s="5" t="n">
        <v>250</v>
      </c>
      <c r="J120" s="5" t="n">
        <v>25</v>
      </c>
      <c r="K120" s="9">
        <f>IF(AND(ISNUMBER(I120),ISNUMBER(J120),J120&gt;0),I120/J120,"")</f>
        <v/>
      </c>
      <c r="L120" s="5" t="n">
        <v>0.624</v>
      </c>
      <c r="M120" s="5" t="n"/>
      <c r="N120" s="5" t="n">
        <v>89.90000000000001</v>
      </c>
      <c r="O120" s="5" t="inlineStr">
        <is>
          <t>solid fill</t>
        </is>
      </c>
      <c r="P120" s="5" t="inlineStr">
        <is>
          <t>solid fill, rectangle, L &gt; 4 W (EN 1992-1-1 5.3.1(7))</t>
        </is>
      </c>
      <c r="Q120" s="5">
        <f>IF(OR(D120="column",D120="wall"),IF(I120&lt;='P vs V'!$B$3*J120,"column","wall"),"")</f>
        <v/>
      </c>
      <c r="R120" s="5" t="inlineStr">
        <is>
          <t>S7</t>
        </is>
      </c>
      <c r="S120" s="5" t="inlineStr"/>
      <c r="T120" s="5" t="n"/>
      <c r="U120" s="5" t="inlineStr">
        <is>
          <t>no</t>
        </is>
      </c>
      <c r="V120" s="5" t="inlineStr">
        <is>
          <t>no</t>
        </is>
      </c>
      <c r="W120" s="5" t="inlineStr">
        <is>
          <t>yes</t>
        </is>
      </c>
      <c r="X120" s="5" t="inlineStr">
        <is>
          <t>no</t>
        </is>
      </c>
      <c r="Y120" s="5" t="inlineStr">
        <is>
          <t>yes</t>
        </is>
      </c>
      <c r="Z120" s="5" t="inlineStr">
        <is>
          <t>no</t>
        </is>
      </c>
      <c r="AA120" s="5" t="n">
        <v>3.04</v>
      </c>
      <c r="AB120" s="5" t="n"/>
      <c r="AC120" s="5" t="n"/>
      <c r="AD120" s="5" t="n"/>
      <c r="AE120" s="5" t="n">
        <v>4764.7</v>
      </c>
      <c r="AF120" s="5" t="n">
        <v>1707.2</v>
      </c>
      <c r="AG120" s="5" t="n">
        <v>4772.2</v>
      </c>
      <c r="AH120" s="5" t="n">
        <v>1781</v>
      </c>
      <c r="AI120" s="5" t="inlineStr">
        <is>
          <t>new</t>
        </is>
      </c>
      <c r="AJ120" s="5" t="inlineStr"/>
      <c r="AK120" s="5" t="inlineStr">
        <is>
          <t>piece of a wall network the colour pipeline left unsplit</t>
        </is>
      </c>
      <c r="AL120" s="5" t="inlineStr">
        <is>
          <t>(0.87, 0.0, 0.87)</t>
        </is>
      </c>
      <c r="AM120" s="5" t="inlineStr">
        <is>
          <t>DM-VOILE</t>
        </is>
      </c>
    </row>
    <row r="121">
      <c r="A121" s="5" t="n">
        <v>120</v>
      </c>
      <c r="B121" s="5" t="inlineStr">
        <is>
          <t>121</t>
        </is>
      </c>
      <c r="C121" s="5" t="inlineStr">
        <is>
          <t>own label</t>
        </is>
      </c>
      <c r="D121" s="5" t="inlineStr">
        <is>
          <t>wall</t>
        </is>
      </c>
      <c r="E121" s="5" t="inlineStr">
        <is>
          <t>shear_wall</t>
        </is>
      </c>
      <c r="F121" s="5" t="inlineStr">
        <is>
          <t>V8/121</t>
        </is>
      </c>
      <c r="G121" s="5" t="inlineStr">
        <is>
          <t>V8/121/121</t>
        </is>
      </c>
      <c r="H121" s="5" t="inlineStr">
        <is>
          <t>printed</t>
        </is>
      </c>
      <c r="I121" s="5" t="n">
        <v>250</v>
      </c>
      <c r="J121" s="5" t="n">
        <v>25</v>
      </c>
      <c r="K121" s="9">
        <f>IF(AND(ISNUMBER(I121),ISNUMBER(J121),J121&gt;0),I121/J121,"")</f>
        <v/>
      </c>
      <c r="L121" s="5" t="n">
        <v>0.622</v>
      </c>
      <c r="M121" s="5" t="n"/>
      <c r="N121" s="5" t="n">
        <v>179.9</v>
      </c>
      <c r="O121" s="5" t="inlineStr">
        <is>
          <t>solid fill</t>
        </is>
      </c>
      <c r="P121" s="5" t="inlineStr">
        <is>
          <t>solid fill, rectangle, L &gt; 4 W (EN 1992-1-1 5.3.1(7))</t>
        </is>
      </c>
      <c r="Q121" s="5">
        <f>IF(OR(D121="column",D121="wall"),IF(I121&lt;='P vs V'!$B$3*J121,"column","wall"),"")</f>
        <v/>
      </c>
      <c r="R121" s="5" t="inlineStr">
        <is>
          <t>S6</t>
        </is>
      </c>
      <c r="S121" s="5" t="inlineStr"/>
      <c r="T121" s="5" t="n"/>
      <c r="U121" s="5" t="inlineStr">
        <is>
          <t>no</t>
        </is>
      </c>
      <c r="V121" s="5" t="inlineStr">
        <is>
          <t>no</t>
        </is>
      </c>
      <c r="W121" s="5" t="inlineStr">
        <is>
          <t>no</t>
        </is>
      </c>
      <c r="X121" s="5" t="inlineStr">
        <is>
          <t>no</t>
        </is>
      </c>
      <c r="Y121" s="5" t="inlineStr">
        <is>
          <t>yes</t>
        </is>
      </c>
      <c r="Z121" s="5" t="inlineStr">
        <is>
          <t>yes</t>
        </is>
      </c>
      <c r="AA121" s="5" t="n">
        <v>9.32</v>
      </c>
      <c r="AB121" s="5" t="n"/>
      <c r="AC121" s="5" t="n"/>
      <c r="AD121" s="5" t="n"/>
      <c r="AE121" s="5" t="n">
        <v>4517.9</v>
      </c>
      <c r="AF121" s="5" t="n">
        <v>1940.7</v>
      </c>
      <c r="AG121" s="5" t="n">
        <v>4591.7</v>
      </c>
      <c r="AH121" s="5" t="n">
        <v>1948.3</v>
      </c>
      <c r="AI121" s="5" t="inlineStr">
        <is>
          <t>yes</t>
        </is>
      </c>
      <c r="AJ121" s="5" t="inlineStr">
        <is>
          <t>shear_wall</t>
        </is>
      </c>
      <c r="AK121" s="5" t="inlineStr"/>
      <c r="AL121" s="5" t="inlineStr">
        <is>
          <t>(0.87, 0.0, 0.87)</t>
        </is>
      </c>
      <c r="AM121" s="5" t="inlineStr">
        <is>
          <t>DM-VOILE</t>
        </is>
      </c>
    </row>
    <row r="122">
      <c r="A122" s="5" t="n">
        <v>121</v>
      </c>
      <c r="B122" s="5" t="inlineStr">
        <is>
          <t>121</t>
        </is>
      </c>
      <c r="C122" s="5" t="inlineStr">
        <is>
          <t>own label</t>
        </is>
      </c>
      <c r="D122" s="5" t="inlineStr">
        <is>
          <t>wall</t>
        </is>
      </c>
      <c r="E122" s="5" t="inlineStr">
        <is>
          <t>shear_wall</t>
        </is>
      </c>
      <c r="F122" s="5" t="inlineStr">
        <is>
          <t>V9/121</t>
        </is>
      </c>
      <c r="G122" s="5" t="inlineStr">
        <is>
          <t>V9/121/121</t>
        </is>
      </c>
      <c r="H122" s="5" t="inlineStr">
        <is>
          <t>printed</t>
        </is>
      </c>
      <c r="I122" s="5" t="n">
        <v>817</v>
      </c>
      <c r="J122" s="5" t="n">
        <v>20</v>
      </c>
      <c r="K122" s="9">
        <f>IF(AND(ISNUMBER(I122),ISNUMBER(J122),J122&gt;0),I122/J122,"")</f>
        <v/>
      </c>
      <c r="L122" s="5" t="n">
        <v>1.638</v>
      </c>
      <c r="M122" s="5" t="n"/>
      <c r="N122" s="5" t="n">
        <v>179.9</v>
      </c>
      <c r="O122" s="5" t="inlineStr">
        <is>
          <t>solid fill</t>
        </is>
      </c>
      <c r="P122" s="5" t="inlineStr">
        <is>
          <t>straight stretch of a thin filled outline with bends (pair of parallel faces)</t>
        </is>
      </c>
      <c r="Q122" s="5">
        <f>IF(OR(D122="column",D122="wall"),IF(I122&lt;='P vs V'!$B$3*J122,"column","wall"),"")</f>
        <v/>
      </c>
      <c r="R122" s="5" t="inlineStr"/>
      <c r="S122" s="5" t="inlineStr"/>
      <c r="T122" s="5" t="n"/>
      <c r="U122" s="5" t="inlineStr">
        <is>
          <t>no</t>
        </is>
      </c>
      <c r="V122" s="5" t="inlineStr">
        <is>
          <t>no</t>
        </is>
      </c>
      <c r="W122" s="5" t="inlineStr">
        <is>
          <t>yes</t>
        </is>
      </c>
      <c r="X122" s="5" t="inlineStr">
        <is>
          <t>no</t>
        </is>
      </c>
      <c r="Y122" s="5" t="inlineStr">
        <is>
          <t>no</t>
        </is>
      </c>
      <c r="Z122" s="5" t="inlineStr">
        <is>
          <t>no</t>
        </is>
      </c>
      <c r="AA122" s="5" t="n">
        <v>6.55</v>
      </c>
      <c r="AB122" s="5" t="n"/>
      <c r="AC122" s="5" t="n"/>
      <c r="AD122" s="5" t="n"/>
      <c r="AE122" s="5" t="n">
        <v>4772.2</v>
      </c>
      <c r="AF122" s="5" t="n">
        <v>1773</v>
      </c>
      <c r="AG122" s="5" t="n">
        <v>5013.4</v>
      </c>
      <c r="AH122" s="5" t="n">
        <v>1779.4</v>
      </c>
      <c r="AI122" s="5" t="inlineStr">
        <is>
          <t>new</t>
        </is>
      </c>
      <c r="AJ122" s="5" t="inlineStr"/>
      <c r="AK122" s="5" t="inlineStr">
        <is>
          <t>piece of a wall network the colour pipeline left unsplit</t>
        </is>
      </c>
      <c r="AL122" s="5" t="inlineStr"/>
      <c r="AM122" s="5" t="inlineStr"/>
    </row>
    <row r="123">
      <c r="A123" s="5" t="n">
        <v>122</v>
      </c>
      <c r="B123" s="5" t="inlineStr">
        <is>
          <t>121</t>
        </is>
      </c>
      <c r="C123" s="5" t="inlineStr">
        <is>
          <t>nearest labels (80% agree)</t>
        </is>
      </c>
      <c r="D123" s="5" t="inlineStr">
        <is>
          <t>wall</t>
        </is>
      </c>
      <c r="E123" s="5" t="inlineStr">
        <is>
          <t>shear_wall</t>
        </is>
      </c>
      <c r="F123" s="5" t="inlineStr">
        <is>
          <t>(none)</t>
        </is>
      </c>
      <c r="G123" s="5" t="inlineStr"/>
      <c r="H123" s="5" t="inlineStr">
        <is>
          <t>none</t>
        </is>
      </c>
      <c r="I123" s="5" t="n">
        <v>300</v>
      </c>
      <c r="J123" s="5" t="n">
        <v>25</v>
      </c>
      <c r="K123" s="9">
        <f>IF(AND(ISNUMBER(I123),ISNUMBER(J123),J123&gt;0),I123/J123,"")</f>
        <v/>
      </c>
      <c r="L123" s="5" t="n">
        <v>0.749</v>
      </c>
      <c r="M123" s="5" t="n"/>
      <c r="N123" s="5" t="n">
        <v>89.90000000000001</v>
      </c>
      <c r="O123" s="5" t="inlineStr">
        <is>
          <t>solid fill</t>
        </is>
      </c>
      <c r="P123" s="5" t="inlineStr">
        <is>
          <t>solid fill, rectangle, L &gt; 4 W (EN 1992-1-1 5.3.1(7))</t>
        </is>
      </c>
      <c r="Q123" s="5">
        <f>IF(OR(D123="column",D123="wall"),IF(I123&lt;='P vs V'!$B$3*J123,"column","wall"),"")</f>
        <v/>
      </c>
      <c r="R123" s="5" t="inlineStr">
        <is>
          <t>S5</t>
        </is>
      </c>
      <c r="S123" s="5" t="inlineStr"/>
      <c r="T123" s="5" t="n"/>
      <c r="U123" s="5" t="inlineStr">
        <is>
          <t>no</t>
        </is>
      </c>
      <c r="V123" s="5" t="inlineStr">
        <is>
          <t>no</t>
        </is>
      </c>
      <c r="W123" s="5" t="inlineStr">
        <is>
          <t>yes</t>
        </is>
      </c>
      <c r="X123" s="5" t="inlineStr">
        <is>
          <t>no</t>
        </is>
      </c>
      <c r="Y123" s="5" t="inlineStr">
        <is>
          <t>yes</t>
        </is>
      </c>
      <c r="Z123" s="5" t="inlineStr">
        <is>
          <t>no</t>
        </is>
      </c>
      <c r="AA123" s="5" t="n">
        <v>9.789999999999999</v>
      </c>
      <c r="AB123" s="5" t="n"/>
      <c r="AC123" s="5" t="n"/>
      <c r="AD123" s="5" t="n"/>
      <c r="AE123" s="5" t="n">
        <v>4765.1</v>
      </c>
      <c r="AF123" s="5" t="n">
        <v>1925.6</v>
      </c>
      <c r="AG123" s="5" t="n">
        <v>4772.7</v>
      </c>
      <c r="AH123" s="5" t="n">
        <v>2014.2</v>
      </c>
      <c r="AI123" s="5" t="inlineStr">
        <is>
          <t>new</t>
        </is>
      </c>
      <c r="AJ123" s="5" t="inlineStr"/>
      <c r="AK123" s="5" t="inlineStr">
        <is>
          <t>piece of a wall network the colour pipeline left unsplit</t>
        </is>
      </c>
      <c r="AL123" s="5" t="inlineStr">
        <is>
          <t>(0.87, 0.0, 0.87)</t>
        </is>
      </c>
      <c r="AM123" s="5" t="inlineStr">
        <is>
          <t>DM-VOILE</t>
        </is>
      </c>
    </row>
    <row r="124">
      <c r="A124" s="5" t="n">
        <v>123</v>
      </c>
      <c r="B124" s="5" t="inlineStr">
        <is>
          <t>121</t>
        </is>
      </c>
      <c r="C124" s="5" t="inlineStr">
        <is>
          <t>nearest labels (80% agree)</t>
        </is>
      </c>
      <c r="D124" s="5" t="inlineStr">
        <is>
          <t>wall</t>
        </is>
      </c>
      <c r="E124" s="5" t="inlineStr">
        <is>
          <t>shear_wall</t>
        </is>
      </c>
      <c r="F124" s="5" t="inlineStr">
        <is>
          <t>(none)</t>
        </is>
      </c>
      <c r="G124" s="5" t="inlineStr"/>
      <c r="H124" s="5" t="inlineStr">
        <is>
          <t>none</t>
        </is>
      </c>
      <c r="I124" s="5" t="n">
        <v>1205</v>
      </c>
      <c r="J124" s="5" t="n">
        <v>20</v>
      </c>
      <c r="K124" s="9">
        <f>IF(AND(ISNUMBER(I124),ISNUMBER(J124),J124&gt;0),I124/J124,"")</f>
        <v/>
      </c>
      <c r="L124" s="5" t="n">
        <v>2.395</v>
      </c>
      <c r="M124" s="5" t="n"/>
      <c r="N124" s="5" t="n">
        <v>89.90000000000001</v>
      </c>
      <c r="O124" s="5" t="inlineStr">
        <is>
          <t>solid fill</t>
        </is>
      </c>
      <c r="P124" s="5" t="inlineStr">
        <is>
          <t>straight stretch of a thin filled outline with bends (pair of parallel faces)</t>
        </is>
      </c>
      <c r="Q124" s="5">
        <f>IF(OR(D124="column",D124="wall"),IF(I124&lt;='P vs V'!$B$3*J124,"column","wall"),"")</f>
        <v/>
      </c>
      <c r="R124" s="5" t="inlineStr"/>
      <c r="S124" s="5" t="inlineStr"/>
      <c r="T124" s="5" t="n"/>
      <c r="U124" s="5" t="inlineStr">
        <is>
          <t>no</t>
        </is>
      </c>
      <c r="V124" s="5" t="inlineStr">
        <is>
          <t>no</t>
        </is>
      </c>
      <c r="W124" s="5" t="inlineStr">
        <is>
          <t>yes</t>
        </is>
      </c>
      <c r="X124" s="5" t="inlineStr">
        <is>
          <t>no</t>
        </is>
      </c>
      <c r="Y124" s="5" t="inlineStr">
        <is>
          <t>yes</t>
        </is>
      </c>
      <c r="Z124" s="5" t="inlineStr">
        <is>
          <t>yes</t>
        </is>
      </c>
      <c r="AA124" s="5" t="n">
        <v>10.15</v>
      </c>
      <c r="AB124" s="5" t="n"/>
      <c r="AC124" s="5" t="n"/>
      <c r="AD124" s="5" t="n"/>
      <c r="AE124" s="5" t="n">
        <v>4766.3</v>
      </c>
      <c r="AF124" s="5" t="n">
        <v>1779.4</v>
      </c>
      <c r="AG124" s="5" t="n">
        <v>4772.9</v>
      </c>
      <c r="AH124" s="5" t="n">
        <v>2135.2</v>
      </c>
      <c r="AI124" s="5" t="inlineStr">
        <is>
          <t>new</t>
        </is>
      </c>
      <c r="AJ124" s="5" t="inlineStr"/>
      <c r="AK124" s="5" t="inlineStr">
        <is>
          <t>piece of a wall network the colour pipeline left unsplit</t>
        </is>
      </c>
      <c r="AL124" s="5" t="inlineStr"/>
      <c r="AM124" s="5" t="inlineStr"/>
    </row>
    <row r="125">
      <c r="A125" s="5" t="n">
        <v>124</v>
      </c>
      <c r="B125" s="5" t="inlineStr">
        <is>
          <t>121</t>
        </is>
      </c>
      <c r="C125" s="5" t="inlineStr">
        <is>
          <t>nearest labels (100% agree)</t>
        </is>
      </c>
      <c r="D125" s="5" t="inlineStr">
        <is>
          <t>wall</t>
        </is>
      </c>
      <c r="E125" s="5" t="inlineStr">
        <is>
          <t>shear_wall</t>
        </is>
      </c>
      <c r="F125" s="5" t="inlineStr">
        <is>
          <t>(none)</t>
        </is>
      </c>
      <c r="G125" s="5" t="inlineStr"/>
      <c r="H125" s="5" t="inlineStr">
        <is>
          <t>none</t>
        </is>
      </c>
      <c r="I125" s="5" t="n">
        <v>418</v>
      </c>
      <c r="J125" s="5" t="n">
        <v>20</v>
      </c>
      <c r="K125" s="9">
        <f>IF(AND(ISNUMBER(I125),ISNUMBER(J125),J125&gt;0),I125/J125,"")</f>
        <v/>
      </c>
      <c r="L125" s="5" t="n">
        <v>0.835</v>
      </c>
      <c r="M125" s="5" t="n"/>
      <c r="N125" s="5" t="n">
        <v>89.90000000000001</v>
      </c>
      <c r="O125" s="5" t="inlineStr">
        <is>
          <t>solid fill</t>
        </is>
      </c>
      <c r="P125" s="5" t="inlineStr">
        <is>
          <t>straight stretch of a thin filled outline with bends (pair of parallel faces)</t>
        </is>
      </c>
      <c r="Q125" s="5">
        <f>IF(OR(D125="column",D125="wall"),IF(I125&lt;='P vs V'!$B$3*J125,"column","wall"),"")</f>
        <v/>
      </c>
      <c r="R125" s="5" t="inlineStr"/>
      <c r="S125" s="5" t="inlineStr"/>
      <c r="T125" s="5" t="n"/>
      <c r="U125" s="5" t="inlineStr">
        <is>
          <t>no</t>
        </is>
      </c>
      <c r="V125" s="5" t="inlineStr">
        <is>
          <t>no</t>
        </is>
      </c>
      <c r="W125" s="5" t="inlineStr">
        <is>
          <t>yes</t>
        </is>
      </c>
      <c r="X125" s="5" t="inlineStr">
        <is>
          <t>no</t>
        </is>
      </c>
      <c r="Y125" s="5" t="inlineStr">
        <is>
          <t>no</t>
        </is>
      </c>
      <c r="Z125" s="5" t="inlineStr">
        <is>
          <t>no</t>
        </is>
      </c>
      <c r="AA125" s="5" t="n">
        <v>6.19</v>
      </c>
      <c r="AB125" s="5" t="n"/>
      <c r="AC125" s="5" t="n"/>
      <c r="AD125" s="5" t="n"/>
      <c r="AE125" s="5" t="n">
        <v>5013.2</v>
      </c>
      <c r="AF125" s="5" t="n">
        <v>1649.6</v>
      </c>
      <c r="AG125" s="5" t="n">
        <v>5019.4</v>
      </c>
      <c r="AH125" s="5" t="n">
        <v>1773</v>
      </c>
      <c r="AI125" s="5" t="inlineStr">
        <is>
          <t>new</t>
        </is>
      </c>
      <c r="AJ125" s="5" t="inlineStr"/>
      <c r="AK125" s="5" t="inlineStr">
        <is>
          <t>piece of a wall network the colour pipeline left unsplit</t>
        </is>
      </c>
      <c r="AL125" s="5" t="inlineStr"/>
      <c r="AM125" s="5" t="inlineStr"/>
    </row>
    <row r="126">
      <c r="A126" s="5" t="n">
        <v>125</v>
      </c>
      <c r="B126" s="5" t="inlineStr">
        <is>
          <t>121</t>
        </is>
      </c>
      <c r="C126" s="5" t="inlineStr">
        <is>
          <t>nearest labels (100% agree)</t>
        </is>
      </c>
      <c r="D126" s="5" t="inlineStr">
        <is>
          <t>wall</t>
        </is>
      </c>
      <c r="E126" s="5" t="inlineStr">
        <is>
          <t>shear_wall</t>
        </is>
      </c>
      <c r="F126" s="5" t="inlineStr">
        <is>
          <t>(none)</t>
        </is>
      </c>
      <c r="G126" s="5" t="inlineStr"/>
      <c r="H126" s="5" t="inlineStr">
        <is>
          <t>none</t>
        </is>
      </c>
      <c r="I126" s="5" t="n">
        <v>199</v>
      </c>
      <c r="J126" s="5" t="n">
        <v>20</v>
      </c>
      <c r="K126" s="9">
        <f>IF(AND(ISNUMBER(I126),ISNUMBER(J126),J126&gt;0),I126/J126,"")</f>
        <v/>
      </c>
      <c r="L126" s="5" t="n">
        <v>0.4</v>
      </c>
      <c r="M126" s="5" t="n"/>
      <c r="N126" s="5" t="n">
        <v>89.8</v>
      </c>
      <c r="O126" s="5" t="inlineStr">
        <is>
          <t>solid fill</t>
        </is>
      </c>
      <c r="P126" s="5" t="inlineStr">
        <is>
          <t>straight stretch of a thin filled outline with bends (pair of parallel faces)</t>
        </is>
      </c>
      <c r="Q126" s="5">
        <f>IF(OR(D126="column",D126="wall"),IF(I126&lt;='P vs V'!$B$3*J126,"column","wall"),"")</f>
        <v/>
      </c>
      <c r="R126" s="5" t="inlineStr"/>
      <c r="S126" s="5" t="inlineStr"/>
      <c r="T126" s="5" t="n"/>
      <c r="U126" s="5" t="inlineStr">
        <is>
          <t>no</t>
        </is>
      </c>
      <c r="V126" s="5" t="inlineStr">
        <is>
          <t>no</t>
        </is>
      </c>
      <c r="W126" s="5" t="inlineStr">
        <is>
          <t>yes</t>
        </is>
      </c>
      <c r="X126" s="5" t="inlineStr">
        <is>
          <t>no</t>
        </is>
      </c>
      <c r="Y126" s="5" t="inlineStr">
        <is>
          <t>yes</t>
        </is>
      </c>
      <c r="Z126" s="5" t="inlineStr">
        <is>
          <t>no</t>
        </is>
      </c>
      <c r="AA126" s="5" t="n">
        <v>6.8</v>
      </c>
      <c r="AB126" s="5" t="n"/>
      <c r="AC126" s="5" t="n"/>
      <c r="AD126" s="5" t="n"/>
      <c r="AE126" s="5" t="n">
        <v>4766.3</v>
      </c>
      <c r="AF126" s="5" t="n">
        <v>1828.4</v>
      </c>
      <c r="AG126" s="5" t="n">
        <v>4772.4</v>
      </c>
      <c r="AH126" s="5" t="n">
        <v>1887.1</v>
      </c>
      <c r="AI126" s="5" t="inlineStr">
        <is>
          <t>new</t>
        </is>
      </c>
      <c r="AJ126" s="5" t="inlineStr"/>
      <c r="AK126" s="5" t="inlineStr">
        <is>
          <t>piece of a wall network the colour pipeline left unsplit</t>
        </is>
      </c>
      <c r="AL126" s="5" t="inlineStr"/>
      <c r="AM126" s="5" t="inlineStr"/>
    </row>
    <row r="127">
      <c r="A127" s="5" t="n">
        <v>126</v>
      </c>
      <c r="B127" s="5" t="inlineStr">
        <is>
          <t>121</t>
        </is>
      </c>
      <c r="C127" s="5" t="inlineStr">
        <is>
          <t>nearest labels (100% agree)</t>
        </is>
      </c>
      <c r="D127" s="5" t="inlineStr">
        <is>
          <t>wall</t>
        </is>
      </c>
      <c r="E127" s="5" t="inlineStr">
        <is>
          <t>shear_wall</t>
        </is>
      </c>
      <c r="F127" s="5" t="inlineStr">
        <is>
          <t>(none)</t>
        </is>
      </c>
      <c r="G127" s="5" t="inlineStr"/>
      <c r="H127" s="5" t="inlineStr">
        <is>
          <t>none</t>
        </is>
      </c>
      <c r="I127" s="5" t="n">
        <v>150</v>
      </c>
      <c r="J127" s="5" t="n">
        <v>20</v>
      </c>
      <c r="K127" s="9">
        <f>IF(AND(ISNUMBER(I127),ISNUMBER(J127),J127&gt;0),I127/J127,"")</f>
        <v/>
      </c>
      <c r="L127" s="5" t="n">
        <v>0.302</v>
      </c>
      <c r="M127" s="5" t="n"/>
      <c r="N127" s="5" t="n">
        <v>0.1</v>
      </c>
      <c r="O127" s="5" t="inlineStr">
        <is>
          <t>solid fill</t>
        </is>
      </c>
      <c r="P127" s="5" t="inlineStr">
        <is>
          <t>straight stretch of a thin filled outline with bends (pair of parallel faces)</t>
        </is>
      </c>
      <c r="Q127" s="5">
        <f>IF(OR(D127="column",D127="wall"),IF(I127&lt;='P vs V'!$B$3*J127,"column","wall"),"")</f>
        <v/>
      </c>
      <c r="R127" s="5" t="inlineStr"/>
      <c r="S127" s="5" t="inlineStr"/>
      <c r="T127" s="5" t="n"/>
      <c r="U127" s="5" t="inlineStr">
        <is>
          <t>no</t>
        </is>
      </c>
      <c r="V127" s="5" t="inlineStr">
        <is>
          <t>no</t>
        </is>
      </c>
      <c r="W127" s="5" t="inlineStr">
        <is>
          <t>yes</t>
        </is>
      </c>
      <c r="X127" s="5" t="inlineStr">
        <is>
          <t>no</t>
        </is>
      </c>
      <c r="Y127" s="5" t="inlineStr">
        <is>
          <t>yes</t>
        </is>
      </c>
      <c r="Z127" s="5" t="inlineStr">
        <is>
          <t>no</t>
        </is>
      </c>
      <c r="AA127" s="5" t="n">
        <v>5.63</v>
      </c>
      <c r="AB127" s="5" t="n"/>
      <c r="AC127" s="5" t="n"/>
      <c r="AD127" s="5" t="n"/>
      <c r="AE127" s="5" t="n">
        <v>4722.1</v>
      </c>
      <c r="AF127" s="5" t="n">
        <v>1822.5</v>
      </c>
      <c r="AG127" s="5" t="n">
        <v>4766.3</v>
      </c>
      <c r="AH127" s="5" t="n">
        <v>1828.5</v>
      </c>
      <c r="AI127" s="5" t="inlineStr">
        <is>
          <t>new</t>
        </is>
      </c>
      <c r="AJ127" s="5" t="inlineStr"/>
      <c r="AK127" s="5" t="inlineStr">
        <is>
          <t>piece of a wall network the colour pipeline left unsplit</t>
        </is>
      </c>
      <c r="AL127" s="5" t="inlineStr"/>
      <c r="AM127" s="5" t="inlineStr"/>
    </row>
    <row r="128">
      <c r="A128" s="5" t="n">
        <v>127</v>
      </c>
      <c r="B128" s="5" t="inlineStr">
        <is>
          <t>121</t>
        </is>
      </c>
      <c r="C128" s="5" t="inlineStr">
        <is>
          <t>nearest labels (100% agree)</t>
        </is>
      </c>
      <c r="D128" s="5" t="inlineStr">
        <is>
          <t>wall</t>
        </is>
      </c>
      <c r="E128" s="5" t="inlineStr">
        <is>
          <t>shear_wall</t>
        </is>
      </c>
      <c r="F128" s="5" t="inlineStr">
        <is>
          <t>(none)</t>
        </is>
      </c>
      <c r="G128" s="5" t="inlineStr"/>
      <c r="H128" s="5" t="inlineStr">
        <is>
          <t>none</t>
        </is>
      </c>
      <c r="I128" s="5" t="n">
        <v>200</v>
      </c>
      <c r="J128" s="5" t="n">
        <v>20</v>
      </c>
      <c r="K128" s="9">
        <f>IF(AND(ISNUMBER(I128),ISNUMBER(J128),J128&gt;0),I128/J128,"")</f>
        <v/>
      </c>
      <c r="L128" s="5" t="n">
        <v>0.4</v>
      </c>
      <c r="M128" s="5" t="n"/>
      <c r="N128" s="5" t="n">
        <v>89.90000000000001</v>
      </c>
      <c r="O128" s="5" t="inlineStr">
        <is>
          <t>solid fill</t>
        </is>
      </c>
      <c r="P128" s="5" t="inlineStr">
        <is>
          <t>straight stretch of a thin filled outline with bends (pair of parallel faces)</t>
        </is>
      </c>
      <c r="Q128" s="5">
        <f>IF(OR(D128="column",D128="wall"),IF(I128&lt;='P vs V'!$B$3*J128,"column","wall"),"")</f>
        <v/>
      </c>
      <c r="R128" s="5" t="inlineStr"/>
      <c r="S128" s="5" t="inlineStr"/>
      <c r="T128" s="5" t="n"/>
      <c r="U128" s="5" t="inlineStr">
        <is>
          <t>no</t>
        </is>
      </c>
      <c r="V128" s="5" t="inlineStr">
        <is>
          <t>no</t>
        </is>
      </c>
      <c r="W128" s="5" t="inlineStr">
        <is>
          <t>yes</t>
        </is>
      </c>
      <c r="X128" s="5" t="inlineStr">
        <is>
          <t>no</t>
        </is>
      </c>
      <c r="Y128" s="5" t="inlineStr">
        <is>
          <t>yes</t>
        </is>
      </c>
      <c r="Z128" s="5" t="inlineStr">
        <is>
          <t>no</t>
        </is>
      </c>
      <c r="AA128" s="5" t="n">
        <v>6.73</v>
      </c>
      <c r="AB128" s="5" t="n"/>
      <c r="AC128" s="5" t="n"/>
      <c r="AD128" s="5" t="n"/>
      <c r="AE128" s="5" t="n">
        <v>4716.2</v>
      </c>
      <c r="AF128" s="5" t="n">
        <v>1828.4</v>
      </c>
      <c r="AG128" s="5" t="n">
        <v>4722.2</v>
      </c>
      <c r="AH128" s="5" t="n">
        <v>1887.4</v>
      </c>
      <c r="AI128" s="5" t="inlineStr">
        <is>
          <t>new</t>
        </is>
      </c>
      <c r="AJ128" s="5" t="inlineStr"/>
      <c r="AK128" s="5" t="inlineStr">
        <is>
          <t>piece of a wall network the colour pipeline left unsplit</t>
        </is>
      </c>
      <c r="AL128" s="5" t="inlineStr"/>
      <c r="AM128" s="5" t="inlineStr"/>
    </row>
    <row r="129">
      <c r="A129" s="5" t="n">
        <v>128</v>
      </c>
      <c r="B129" s="5" t="inlineStr">
        <is>
          <t>121</t>
        </is>
      </c>
      <c r="C129" s="5" t="inlineStr">
        <is>
          <t>nearest labels (100% agree)</t>
        </is>
      </c>
      <c r="D129" s="5" t="inlineStr">
        <is>
          <t>wall</t>
        </is>
      </c>
      <c r="E129" s="5" t="inlineStr">
        <is>
          <t>shear_wall</t>
        </is>
      </c>
      <c r="F129" s="5" t="inlineStr">
        <is>
          <t>(none)</t>
        </is>
      </c>
      <c r="G129" s="5" t="inlineStr"/>
      <c r="H129" s="5" t="inlineStr">
        <is>
          <t>none</t>
        </is>
      </c>
      <c r="I129" s="5" t="n">
        <v>130</v>
      </c>
      <c r="J129" s="5" t="n">
        <v>20</v>
      </c>
      <c r="K129" s="9">
        <f>IF(AND(ISNUMBER(I129),ISNUMBER(J129),J129&gt;0),I129/J129,"")</f>
        <v/>
      </c>
      <c r="L129" s="5" t="n">
        <v>0.263</v>
      </c>
      <c r="M129" s="5" t="n"/>
      <c r="N129" s="5" t="n">
        <v>179.9</v>
      </c>
      <c r="O129" s="5" t="inlineStr">
        <is>
          <t>solid fill</t>
        </is>
      </c>
      <c r="P129" s="5" t="inlineStr">
        <is>
          <t>straight stretch of a thin filled outline with bends (pair of parallel faces)</t>
        </is>
      </c>
      <c r="Q129" s="5">
        <f>IF(OR(D129="column",D129="wall"),IF(I129&lt;='P vs V'!$B$3*J129,"column","wall"),"")</f>
        <v/>
      </c>
      <c r="R129" s="5" t="inlineStr"/>
      <c r="S129" s="5" t="inlineStr"/>
      <c r="T129" s="5" t="n"/>
      <c r="U129" s="5" t="inlineStr">
        <is>
          <t>no</t>
        </is>
      </c>
      <c r="V129" s="5" t="inlineStr">
        <is>
          <t>no</t>
        </is>
      </c>
      <c r="W129" s="5" t="inlineStr">
        <is>
          <t>yes</t>
        </is>
      </c>
      <c r="X129" s="5" t="inlineStr">
        <is>
          <t>no</t>
        </is>
      </c>
      <c r="Y129" s="5" t="inlineStr">
        <is>
          <t>yes</t>
        </is>
      </c>
      <c r="Z129" s="5" t="inlineStr">
        <is>
          <t>no</t>
        </is>
      </c>
      <c r="AA129" s="5" t="n">
        <v>7.83</v>
      </c>
      <c r="AB129" s="5" t="n"/>
      <c r="AC129" s="5" t="n"/>
      <c r="AD129" s="5" t="n"/>
      <c r="AE129" s="5" t="n">
        <v>4722.3</v>
      </c>
      <c r="AF129" s="5" t="n">
        <v>1887.4</v>
      </c>
      <c r="AG129" s="5" t="n">
        <v>4760.7</v>
      </c>
      <c r="AH129" s="5" t="n">
        <v>1893.4</v>
      </c>
      <c r="AI129" s="5" t="inlineStr">
        <is>
          <t>new</t>
        </is>
      </c>
      <c r="AJ129" s="5" t="inlineStr"/>
      <c r="AK129" s="5" t="inlineStr">
        <is>
          <t>piece of a wall network the colour pipeline left unsplit</t>
        </is>
      </c>
      <c r="AL129" s="5" t="inlineStr"/>
      <c r="AM129" s="5" t="inlineStr"/>
    </row>
    <row r="130">
      <c r="A130" s="5" t="n">
        <v>129</v>
      </c>
      <c r="B130" s="5" t="inlineStr">
        <is>
          <t>121</t>
        </is>
      </c>
      <c r="C130" s="5" t="inlineStr">
        <is>
          <t>nearest labels (100% agree)</t>
        </is>
      </c>
      <c r="D130" s="5" t="inlineStr">
        <is>
          <t>wall</t>
        </is>
      </c>
      <c r="E130" s="5" t="inlineStr">
        <is>
          <t>core_wall_hatched</t>
        </is>
      </c>
      <c r="F130" s="5" t="inlineStr">
        <is>
          <t>(none)</t>
        </is>
      </c>
      <c r="G130" s="5" t="inlineStr"/>
      <c r="H130" s="5" t="inlineStr">
        <is>
          <t>none</t>
        </is>
      </c>
      <c r="I130" s="5" t="n">
        <v>149</v>
      </c>
      <c r="J130" s="5" t="n">
        <v>20</v>
      </c>
      <c r="K130" s="9">
        <f>IF(AND(ISNUMBER(I130),ISNUMBER(J130),J130&gt;0),I130/J130,"")</f>
        <v/>
      </c>
      <c r="L130" s="5" t="n">
        <v>0.3</v>
      </c>
      <c r="M130" s="5" t="n">
        <v>1.49</v>
      </c>
      <c r="N130" s="5" t="n">
        <v>89.90000000000001</v>
      </c>
      <c r="O130" s="5" t="inlineStr">
        <is>
          <t>cross-hatch</t>
        </is>
      </c>
      <c r="P130" s="5" t="inlineStr">
        <is>
          <t>cross-hatch of short strokes in two perpendicular families</t>
        </is>
      </c>
      <c r="Q130" s="5">
        <f>IF(OR(D130="column",D130="wall"),IF(I130&lt;='P vs V'!$B$3*J130,"column","wall"),"")</f>
        <v/>
      </c>
      <c r="R130" s="5" t="inlineStr"/>
      <c r="S130" s="5" t="inlineStr"/>
      <c r="T130" s="5" t="n"/>
      <c r="U130" s="5" t="inlineStr">
        <is>
          <t>yes</t>
        </is>
      </c>
      <c r="V130" s="5" t="inlineStr">
        <is>
          <t>no</t>
        </is>
      </c>
      <c r="W130" s="5" t="inlineStr">
        <is>
          <t>yes</t>
        </is>
      </c>
      <c r="X130" s="5" t="inlineStr">
        <is>
          <t>no</t>
        </is>
      </c>
      <c r="Y130" s="5" t="inlineStr">
        <is>
          <t>no</t>
        </is>
      </c>
      <c r="Z130" s="5" t="inlineStr">
        <is>
          <t>no</t>
        </is>
      </c>
      <c r="AA130" s="5" t="n">
        <v>1.22</v>
      </c>
      <c r="AB130" s="5" t="n">
        <v>0.28</v>
      </c>
      <c r="AC130" s="5" t="n"/>
      <c r="AD130" s="5" t="n"/>
      <c r="AE130" s="5" t="n">
        <v>4705.3</v>
      </c>
      <c r="AF130" s="5" t="n">
        <v>1533.1</v>
      </c>
      <c r="AG130" s="5" t="n">
        <v>4711.3</v>
      </c>
      <c r="AH130" s="5" t="n">
        <v>1597.3</v>
      </c>
      <c r="AI130" s="5" t="inlineStr">
        <is>
          <t>n/a</t>
        </is>
      </c>
      <c r="AJ130" s="5" t="inlineStr"/>
      <c r="AK130" s="5" t="inlineStr"/>
      <c r="AL130" s="5" t="inlineStr"/>
      <c r="AM130" s="5" t="inlineStr"/>
    </row>
    <row r="131">
      <c r="A131" s="5" t="n">
        <v>130</v>
      </c>
      <c r="B131" s="5" t="inlineStr">
        <is>
          <t>121</t>
        </is>
      </c>
      <c r="C131" s="5" t="inlineStr">
        <is>
          <t>nearest labels (100% agree)</t>
        </is>
      </c>
      <c r="D131" s="5" t="inlineStr">
        <is>
          <t>wall</t>
        </is>
      </c>
      <c r="E131" s="5" t="inlineStr">
        <is>
          <t>core_wall_hatched</t>
        </is>
      </c>
      <c r="F131" s="5" t="inlineStr">
        <is>
          <t>(none)</t>
        </is>
      </c>
      <c r="G131" s="5" t="inlineStr"/>
      <c r="H131" s="5" t="inlineStr">
        <is>
          <t>none</t>
        </is>
      </c>
      <c r="I131" s="5" t="n">
        <v>231</v>
      </c>
      <c r="J131" s="5" t="n">
        <v>20</v>
      </c>
      <c r="K131" s="9">
        <f>IF(AND(ISNUMBER(I131),ISNUMBER(J131),J131&gt;0),I131/J131,"")</f>
        <v/>
      </c>
      <c r="L131" s="5" t="n">
        <v>0.467</v>
      </c>
      <c r="M131" s="5" t="n">
        <v>2.31</v>
      </c>
      <c r="N131" s="5" t="n">
        <v>179.9</v>
      </c>
      <c r="O131" s="5" t="inlineStr">
        <is>
          <t>cross-hatch</t>
        </is>
      </c>
      <c r="P131" s="5" t="inlineStr">
        <is>
          <t>cross-hatch of short strokes in two perpendicular families</t>
        </is>
      </c>
      <c r="Q131" s="5">
        <f>IF(OR(D131="column",D131="wall"),IF(I131&lt;='P vs V'!$B$3*J131,"column","wall"),"")</f>
        <v/>
      </c>
      <c r="R131" s="5" t="inlineStr"/>
      <c r="S131" s="5" t="inlineStr"/>
      <c r="T131" s="5" t="n"/>
      <c r="U131" s="5" t="inlineStr">
        <is>
          <t>yes</t>
        </is>
      </c>
      <c r="V131" s="5" t="inlineStr">
        <is>
          <t>no</t>
        </is>
      </c>
      <c r="W131" s="5" t="inlineStr">
        <is>
          <t>no</t>
        </is>
      </c>
      <c r="X131" s="5" t="inlineStr">
        <is>
          <t>yes</t>
        </is>
      </c>
      <c r="Y131" s="5" t="inlineStr">
        <is>
          <t>no</t>
        </is>
      </c>
      <c r="Z131" s="5" t="inlineStr">
        <is>
          <t>no</t>
        </is>
      </c>
      <c r="AA131" s="5" t="n">
        <v>1.77</v>
      </c>
      <c r="AB131" s="5" t="n">
        <v>0.28</v>
      </c>
      <c r="AC131" s="5" t="n"/>
      <c r="AD131" s="5" t="n"/>
      <c r="AE131" s="5" t="n">
        <v>4772.8</v>
      </c>
      <c r="AF131" s="5" t="n">
        <v>1578.4</v>
      </c>
      <c r="AG131" s="5" t="n">
        <v>4869.7</v>
      </c>
      <c r="AH131" s="5" t="n">
        <v>1584.5</v>
      </c>
      <c r="AI131" s="5" t="inlineStr">
        <is>
          <t>n/a</t>
        </is>
      </c>
      <c r="AJ131" s="5" t="inlineStr"/>
      <c r="AK131" s="5" t="inlineStr"/>
      <c r="AL131" s="5" t="inlineStr"/>
      <c r="AM131" s="5" t="inlineStr"/>
    </row>
    <row r="132">
      <c r="A132" s="5" t="n">
        <v>131</v>
      </c>
      <c r="B132" s="5" t="inlineStr">
        <is>
          <t>121</t>
        </is>
      </c>
      <c r="C132" s="5" t="inlineStr">
        <is>
          <t>nearest labels (100% agree)</t>
        </is>
      </c>
      <c r="D132" s="5" t="inlineStr">
        <is>
          <t>wall</t>
        </is>
      </c>
      <c r="E132" s="5" t="inlineStr">
        <is>
          <t>core_wall_hatched</t>
        </is>
      </c>
      <c r="F132" s="5" t="inlineStr">
        <is>
          <t>(none)</t>
        </is>
      </c>
      <c r="G132" s="5" t="inlineStr"/>
      <c r="H132" s="5" t="inlineStr">
        <is>
          <t>none</t>
        </is>
      </c>
      <c r="I132" s="5" t="n">
        <v>586</v>
      </c>
      <c r="J132" s="5" t="n">
        <v>20</v>
      </c>
      <c r="K132" s="9">
        <f>IF(AND(ISNUMBER(I132),ISNUMBER(J132),J132&gt;0),I132/J132,"")</f>
        <v/>
      </c>
      <c r="L132" s="5" t="n">
        <v>1.184</v>
      </c>
      <c r="M132" s="5" t="n">
        <v>5.86</v>
      </c>
      <c r="N132" s="5" t="n">
        <v>179.8</v>
      </c>
      <c r="O132" s="5" t="inlineStr">
        <is>
          <t>cross-hatch</t>
        </is>
      </c>
      <c r="P132" s="5" t="inlineStr">
        <is>
          <t>cross-hatch of short strokes in two perpendicular families</t>
        </is>
      </c>
      <c r="Q132" s="5">
        <f>IF(OR(D132="column",D132="wall"),IF(I132&lt;='P vs V'!$B$3*J132,"column","wall"),"")</f>
        <v/>
      </c>
      <c r="R132" s="5" t="inlineStr"/>
      <c r="S132" s="5" t="inlineStr"/>
      <c r="T132" s="5" t="n"/>
      <c r="U132" s="5" t="inlineStr">
        <is>
          <t>yes</t>
        </is>
      </c>
      <c r="V132" s="5" t="inlineStr">
        <is>
          <t>no</t>
        </is>
      </c>
      <c r="W132" s="5" t="inlineStr">
        <is>
          <t>yes</t>
        </is>
      </c>
      <c r="X132" s="5" t="inlineStr">
        <is>
          <t>yes</t>
        </is>
      </c>
      <c r="Y132" s="5" t="inlineStr">
        <is>
          <t>no</t>
        </is>
      </c>
      <c r="Z132" s="5" t="inlineStr">
        <is>
          <t>no</t>
        </is>
      </c>
      <c r="AA132" s="5" t="n">
        <v>2.93</v>
      </c>
      <c r="AB132" s="5" t="n">
        <v>0.28</v>
      </c>
      <c r="AC132" s="5" t="n"/>
      <c r="AD132" s="5" t="n"/>
      <c r="AE132" s="5" t="n">
        <v>4755.2</v>
      </c>
      <c r="AF132" s="5" t="n">
        <v>1612.1</v>
      </c>
      <c r="AG132" s="5" t="n">
        <v>4873.3</v>
      </c>
      <c r="AH132" s="5" t="n">
        <v>1621.9</v>
      </c>
      <c r="AI132" s="5" t="inlineStr">
        <is>
          <t>n/a</t>
        </is>
      </c>
      <c r="AJ132" s="5" t="inlineStr"/>
      <c r="AK132" s="5" t="inlineStr"/>
      <c r="AL132" s="5" t="inlineStr"/>
      <c r="AM132" s="5" t="inlineStr"/>
    </row>
    <row r="133">
      <c r="A133" s="5" t="n">
        <v>132</v>
      </c>
      <c r="B133" s="5" t="inlineStr">
        <is>
          <t>121</t>
        </is>
      </c>
      <c r="C133" s="5" t="inlineStr">
        <is>
          <t>nearest labels (60% agree)</t>
        </is>
      </c>
      <c r="D133" s="5" t="inlineStr">
        <is>
          <t>footing</t>
        </is>
      </c>
      <c r="E133" s="5" t="inlineStr">
        <is>
          <t>combined_footing</t>
        </is>
      </c>
      <c r="F133" s="5" t="inlineStr">
        <is>
          <t>SC1</t>
        </is>
      </c>
      <c r="G133" s="5" t="inlineStr">
        <is>
          <t>SC1-</t>
        </is>
      </c>
      <c r="H133" s="5" t="inlineStr">
        <is>
          <t>printed</t>
        </is>
      </c>
      <c r="I133" s="5" t="n">
        <v>500</v>
      </c>
      <c r="J133" s="5" t="n">
        <v>350</v>
      </c>
      <c r="K133" s="9">
        <f>IF(AND(ISNUMBER(I133),ISNUMBER(J133),J133&gt;0),I133/J133,"")</f>
        <v/>
      </c>
      <c r="L133" s="5" t="n">
        <v>17.505</v>
      </c>
      <c r="M133" s="5" t="n"/>
      <c r="N133" s="5" t="n">
        <v>0</v>
      </c>
      <c r="O133" s="5" t="inlineStr">
        <is>
          <t>closed outline</t>
        </is>
      </c>
      <c r="P133" s="5" t="inlineStr">
        <is>
          <t>closed rectangular outline around a column/wall or next to an S/SC label</t>
        </is>
      </c>
      <c r="Q133" s="5">
        <f>IF(OR(D133="column",D133="wall"),IF(I133&lt;='P vs V'!$B$3*J133,"column","wall"),"")</f>
        <v/>
      </c>
      <c r="R133" s="5" t="inlineStr"/>
      <c r="S133" s="5" t="inlineStr">
        <is>
          <t>wall+wall</t>
        </is>
      </c>
      <c r="T133" s="5" t="n">
        <v>5</v>
      </c>
      <c r="U133" s="5" t="inlineStr">
        <is>
          <t>no</t>
        </is>
      </c>
      <c r="V133" s="5" t="inlineStr">
        <is>
          <t>no</t>
        </is>
      </c>
      <c r="W133" s="5" t="inlineStr">
        <is>
          <t>yes</t>
        </is>
      </c>
      <c r="X133" s="5" t="inlineStr">
        <is>
          <t>no</t>
        </is>
      </c>
      <c r="Y133" s="5" t="inlineStr">
        <is>
          <t>yes</t>
        </is>
      </c>
      <c r="Z133" s="5" t="inlineStr">
        <is>
          <t>no</t>
        </is>
      </c>
      <c r="AA133" s="5" t="n">
        <v>6.72</v>
      </c>
      <c r="AB133" s="5" t="n"/>
      <c r="AC133" s="5" t="n"/>
      <c r="AD133" s="5" t="n"/>
      <c r="AE133" s="5" t="n">
        <v>4693.8</v>
      </c>
      <c r="AF133" s="5" t="n">
        <v>1278.8</v>
      </c>
      <c r="AG133" s="5" t="n">
        <v>4841.4</v>
      </c>
      <c r="AH133" s="5" t="n">
        <v>1382.3</v>
      </c>
      <c r="AI133" s="5" t="inlineStr">
        <is>
          <t>yes</t>
        </is>
      </c>
      <c r="AJ133" s="5" t="inlineStr">
        <is>
          <t>combined_footing</t>
        </is>
      </c>
      <c r="AK133" s="5" t="inlineStr"/>
      <c r="AL133" s="5" t="inlineStr">
        <is>
          <t>(0.72, 0.72, 0.0)</t>
        </is>
      </c>
      <c r="AM133" s="5" t="inlineStr">
        <is>
          <t>DM-SEMELLES</t>
        </is>
      </c>
    </row>
    <row r="134">
      <c r="A134" s="5" t="n">
        <v>133</v>
      </c>
      <c r="B134" s="5" t="inlineStr">
        <is>
          <t>121</t>
        </is>
      </c>
      <c r="C134" s="5" t="inlineStr">
        <is>
          <t>nearest labels (60% agree)</t>
        </is>
      </c>
      <c r="D134" s="5" t="inlineStr">
        <is>
          <t>footing</t>
        </is>
      </c>
      <c r="E134" s="5" t="inlineStr">
        <is>
          <t>combined_footing</t>
        </is>
      </c>
      <c r="F134" s="5" t="inlineStr">
        <is>
          <t>SC1</t>
        </is>
      </c>
      <c r="G134" s="5" t="inlineStr">
        <is>
          <t>SC1-</t>
        </is>
      </c>
      <c r="H134" s="5" t="inlineStr">
        <is>
          <t>printed</t>
        </is>
      </c>
      <c r="I134" s="5" t="n">
        <v>500</v>
      </c>
      <c r="J134" s="5" t="n">
        <v>350</v>
      </c>
      <c r="K134" s="9">
        <f>IF(AND(ISNUMBER(I134),ISNUMBER(J134),J134&gt;0),I134/J134,"")</f>
        <v/>
      </c>
      <c r="L134" s="5" t="n">
        <v>17.504</v>
      </c>
      <c r="M134" s="5" t="n"/>
      <c r="N134" s="5" t="n">
        <v>0</v>
      </c>
      <c r="O134" s="5" t="inlineStr">
        <is>
          <t>closed outline</t>
        </is>
      </c>
      <c r="P134" s="5" t="inlineStr">
        <is>
          <t>closed rectangular outline around a column/wall or next to an S/SC label</t>
        </is>
      </c>
      <c r="Q134" s="5">
        <f>IF(OR(D134="column",D134="wall"),IF(I134&lt;='P vs V'!$B$3*J134,"column","wall"),"")</f>
        <v/>
      </c>
      <c r="R134" s="5" t="inlineStr"/>
      <c r="S134" s="5" t="inlineStr">
        <is>
          <t>wall+wall</t>
        </is>
      </c>
      <c r="T134" s="5" t="n">
        <v>40</v>
      </c>
      <c r="U134" s="5" t="inlineStr">
        <is>
          <t>no</t>
        </is>
      </c>
      <c r="V134" s="5" t="inlineStr">
        <is>
          <t>no</t>
        </is>
      </c>
      <c r="W134" s="5" t="inlineStr">
        <is>
          <t>yes</t>
        </is>
      </c>
      <c r="X134" s="5" t="inlineStr">
        <is>
          <t>no</t>
        </is>
      </c>
      <c r="Y134" s="5" t="inlineStr">
        <is>
          <t>yes</t>
        </is>
      </c>
      <c r="Z134" s="5" t="inlineStr">
        <is>
          <t>yes</t>
        </is>
      </c>
      <c r="AA134" s="5" t="n">
        <v>0</v>
      </c>
      <c r="AB134" s="5" t="n"/>
      <c r="AC134" s="5" t="n"/>
      <c r="AD134" s="5" t="n"/>
      <c r="AE134" s="5" t="n">
        <v>4247.9</v>
      </c>
      <c r="AF134" s="5" t="n">
        <v>2084.4</v>
      </c>
      <c r="AG134" s="5" t="n">
        <v>4395.7</v>
      </c>
      <c r="AH134" s="5" t="n">
        <v>2187.9</v>
      </c>
      <c r="AI134" s="5" t="inlineStr">
        <is>
          <t>yes</t>
        </is>
      </c>
      <c r="AJ134" s="5" t="inlineStr">
        <is>
          <t>combined_footing</t>
        </is>
      </c>
      <c r="AK134" s="5" t="inlineStr"/>
      <c r="AL134" s="5" t="inlineStr">
        <is>
          <t>(0.72, 0.72, 0.0)</t>
        </is>
      </c>
      <c r="AM134" s="5" t="inlineStr">
        <is>
          <t>DM-SEMELLES</t>
        </is>
      </c>
    </row>
    <row r="135">
      <c r="A135" s="5" t="n">
        <v>134</v>
      </c>
      <c r="B135" s="5" t="inlineStr">
        <is>
          <t>121</t>
        </is>
      </c>
      <c r="C135" s="5" t="inlineStr">
        <is>
          <t>own label</t>
        </is>
      </c>
      <c r="D135" s="5" t="inlineStr">
        <is>
          <t>footing</t>
        </is>
      </c>
      <c r="E135" s="5" t="inlineStr">
        <is>
          <t>combined_footing</t>
        </is>
      </c>
      <c r="F135" s="5" t="inlineStr">
        <is>
          <t>SC4</t>
        </is>
      </c>
      <c r="G135" s="5" t="inlineStr">
        <is>
          <t>SC4-121</t>
        </is>
      </c>
      <c r="H135" s="5" t="inlineStr">
        <is>
          <t>printed</t>
        </is>
      </c>
      <c r="I135" s="5" t="n">
        <v>450</v>
      </c>
      <c r="J135" s="5" t="n">
        <v>450</v>
      </c>
      <c r="K135" s="9">
        <f>IF(AND(ISNUMBER(I135),ISNUMBER(J135),J135&gt;0),I135/J135,"")</f>
        <v/>
      </c>
      <c r="L135" s="5" t="n">
        <v>20.252</v>
      </c>
      <c r="M135" s="5" t="n"/>
      <c r="N135" s="5" t="n">
        <v>0.1</v>
      </c>
      <c r="O135" s="5" t="inlineStr">
        <is>
          <t>closed outline</t>
        </is>
      </c>
      <c r="P135" s="5" t="inlineStr">
        <is>
          <t>closed rectangular outline around a column/wall or next to an S/SC label</t>
        </is>
      </c>
      <c r="Q135" s="5">
        <f>IF(OR(D135="column",D135="wall"),IF(I135&lt;='P vs V'!$B$3*J135,"column","wall"),"")</f>
        <v/>
      </c>
      <c r="R135" s="5" t="inlineStr"/>
      <c r="S135" s="5" t="inlineStr">
        <is>
          <t>column+wall</t>
        </is>
      </c>
      <c r="T135" s="5" t="n">
        <v>19</v>
      </c>
      <c r="U135" s="5" t="inlineStr">
        <is>
          <t>no</t>
        </is>
      </c>
      <c r="V135" s="5" t="inlineStr">
        <is>
          <t>no</t>
        </is>
      </c>
      <c r="W135" s="5" t="inlineStr">
        <is>
          <t>yes</t>
        </is>
      </c>
      <c r="X135" s="5" t="inlineStr">
        <is>
          <t>no</t>
        </is>
      </c>
      <c r="Y135" s="5" t="inlineStr">
        <is>
          <t>yes</t>
        </is>
      </c>
      <c r="Z135" s="5" t="inlineStr">
        <is>
          <t>yes</t>
        </is>
      </c>
      <c r="AA135" s="5" t="n">
        <v>0.68</v>
      </c>
      <c r="AB135" s="5" t="n"/>
      <c r="AC135" s="5" t="n"/>
      <c r="AD135" s="5" t="n"/>
      <c r="AE135" s="5" t="n">
        <v>4501.3</v>
      </c>
      <c r="AF135" s="5" t="n">
        <v>1573.1</v>
      </c>
      <c r="AG135" s="5" t="n">
        <v>4634.2</v>
      </c>
      <c r="AH135" s="5" t="n">
        <v>1706.1</v>
      </c>
      <c r="AI135" s="5" t="inlineStr">
        <is>
          <t>yes</t>
        </is>
      </c>
      <c r="AJ135" s="5" t="inlineStr">
        <is>
          <t>combined_footing</t>
        </is>
      </c>
      <c r="AK135" s="5" t="inlineStr"/>
      <c r="AL135" s="5" t="inlineStr">
        <is>
          <t>(0.72, 0.72, 0.0)</t>
        </is>
      </c>
      <c r="AM135" s="5" t="inlineStr">
        <is>
          <t>DM-SEMELLES</t>
        </is>
      </c>
    </row>
    <row r="136">
      <c r="A136" s="5" t="n">
        <v>135</v>
      </c>
      <c r="B136" s="5" t="inlineStr">
        <is>
          <t>121</t>
        </is>
      </c>
      <c r="C136" s="5" t="inlineStr">
        <is>
          <t>own label</t>
        </is>
      </c>
      <c r="D136" s="5" t="inlineStr">
        <is>
          <t>footing</t>
        </is>
      </c>
      <c r="E136" s="5" t="inlineStr">
        <is>
          <t>isolated_footing</t>
        </is>
      </c>
      <c r="F136" s="5" t="inlineStr">
        <is>
          <t>S0</t>
        </is>
      </c>
      <c r="G136" s="5" t="inlineStr">
        <is>
          <t>S0-121</t>
        </is>
      </c>
      <c r="H136" s="5" t="inlineStr">
        <is>
          <t>printed</t>
        </is>
      </c>
      <c r="I136" s="5" t="n">
        <v>350</v>
      </c>
      <c r="J136" s="5" t="n">
        <v>280</v>
      </c>
      <c r="K136" s="9">
        <f>IF(AND(ISNUMBER(I136),ISNUMBER(J136),J136&gt;0),I136/J136,"")</f>
        <v/>
      </c>
      <c r="L136" s="5" t="n">
        <v>9.802</v>
      </c>
      <c r="M136" s="5" t="n"/>
      <c r="N136" s="5" t="n">
        <v>179.9</v>
      </c>
      <c r="O136" s="5" t="inlineStr">
        <is>
          <t>closed outline</t>
        </is>
      </c>
      <c r="P136" s="5" t="inlineStr">
        <is>
          <t>closed rectangular outline around a column/wall or next to an S/SC label</t>
        </is>
      </c>
      <c r="Q136" s="5">
        <f>IF(OR(D136="column",D136="wall"),IF(I136&lt;='P vs V'!$B$3*J136,"column","wall"),"")</f>
        <v/>
      </c>
      <c r="R136" s="5" t="inlineStr"/>
      <c r="S136" s="5" t="inlineStr">
        <is>
          <t>column</t>
        </is>
      </c>
      <c r="T136" s="5" t="n">
        <v>8</v>
      </c>
      <c r="U136" s="5" t="inlineStr">
        <is>
          <t>no</t>
        </is>
      </c>
      <c r="V136" s="5" t="inlineStr">
        <is>
          <t>no</t>
        </is>
      </c>
      <c r="W136" s="5" t="inlineStr">
        <is>
          <t>yes</t>
        </is>
      </c>
      <c r="X136" s="5" t="inlineStr">
        <is>
          <t>no</t>
        </is>
      </c>
      <c r="Y136" s="5" t="inlineStr">
        <is>
          <t>yes</t>
        </is>
      </c>
      <c r="Z136" s="5" t="inlineStr">
        <is>
          <t>yes</t>
        </is>
      </c>
      <c r="AA136" s="5" t="n">
        <v>0</v>
      </c>
      <c r="AB136" s="5" t="n"/>
      <c r="AC136" s="5" t="n"/>
      <c r="AD136" s="5" t="n"/>
      <c r="AE136" s="5" t="n">
        <v>4555.1</v>
      </c>
      <c r="AF136" s="5" t="n">
        <v>1488.1</v>
      </c>
      <c r="AG136" s="5" t="n">
        <v>4658.6</v>
      </c>
      <c r="AH136" s="5" t="n">
        <v>1571</v>
      </c>
      <c r="AI136" s="5" t="inlineStr">
        <is>
          <t>yes</t>
        </is>
      </c>
      <c r="AJ136" s="5" t="inlineStr">
        <is>
          <t>isolated_footing</t>
        </is>
      </c>
      <c r="AK136" s="5" t="inlineStr"/>
      <c r="AL136" s="5" t="inlineStr">
        <is>
          <t>(0.72, 0.72, 0.0)</t>
        </is>
      </c>
      <c r="AM136" s="5" t="inlineStr">
        <is>
          <t>DM-SEMELLES</t>
        </is>
      </c>
    </row>
    <row r="137">
      <c r="A137" s="5" t="n">
        <v>136</v>
      </c>
      <c r="B137" s="5" t="inlineStr">
        <is>
          <t>121</t>
        </is>
      </c>
      <c r="C137" s="5" t="inlineStr">
        <is>
          <t>own label</t>
        </is>
      </c>
      <c r="D137" s="5" t="inlineStr">
        <is>
          <t>footing</t>
        </is>
      </c>
      <c r="E137" s="5" t="inlineStr">
        <is>
          <t>isolated_footing</t>
        </is>
      </c>
      <c r="F137" s="5" t="inlineStr">
        <is>
          <t>S2</t>
        </is>
      </c>
      <c r="G137" s="5" t="inlineStr">
        <is>
          <t>S2-121121</t>
        </is>
      </c>
      <c r="H137" s="5" t="inlineStr">
        <is>
          <t>printed</t>
        </is>
      </c>
      <c r="I137" s="5" t="n">
        <v>350</v>
      </c>
      <c r="J137" s="5" t="n">
        <v>200</v>
      </c>
      <c r="K137" s="9">
        <f>IF(AND(ISNUMBER(I137),ISNUMBER(J137),J137&gt;0),I137/J137,"")</f>
        <v/>
      </c>
      <c r="L137" s="5" t="n">
        <v>7.004</v>
      </c>
      <c r="M137" s="5" t="n"/>
      <c r="N137" s="5" t="n">
        <v>0</v>
      </c>
      <c r="O137" s="5" t="inlineStr">
        <is>
          <t>closed outline</t>
        </is>
      </c>
      <c r="P137" s="5" t="inlineStr">
        <is>
          <t>closed rectangular outline around a column/wall or next to an S/SC label</t>
        </is>
      </c>
      <c r="Q137" s="5">
        <f>IF(OR(D137="column",D137="wall"),IF(I137&lt;='P vs V'!$B$3*J137,"column","wall"),"")</f>
        <v/>
      </c>
      <c r="R137" s="5" t="inlineStr"/>
      <c r="S137" s="5" t="inlineStr">
        <is>
          <t>wall</t>
        </is>
      </c>
      <c r="T137" s="5" t="n">
        <v>0</v>
      </c>
      <c r="U137" s="5" t="inlineStr">
        <is>
          <t>no</t>
        </is>
      </c>
      <c r="V137" s="5" t="inlineStr">
        <is>
          <t>no</t>
        </is>
      </c>
      <c r="W137" s="5" t="inlineStr">
        <is>
          <t>yes</t>
        </is>
      </c>
      <c r="X137" s="5" t="inlineStr">
        <is>
          <t>no</t>
        </is>
      </c>
      <c r="Y137" s="5" t="inlineStr">
        <is>
          <t>yes</t>
        </is>
      </c>
      <c r="Z137" s="5" t="inlineStr">
        <is>
          <t>yes</t>
        </is>
      </c>
      <c r="AA137" s="5" t="n">
        <v>2.48</v>
      </c>
      <c r="AB137" s="5" t="n"/>
      <c r="AC137" s="5" t="n"/>
      <c r="AD137" s="5" t="n"/>
      <c r="AE137" s="5" t="n">
        <v>4244.6</v>
      </c>
      <c r="AF137" s="5" t="n">
        <v>1993.2</v>
      </c>
      <c r="AG137" s="5" t="n">
        <v>4348.1</v>
      </c>
      <c r="AH137" s="5" t="n">
        <v>2052.4</v>
      </c>
      <c r="AI137" s="5" t="inlineStr">
        <is>
          <t>yes</t>
        </is>
      </c>
      <c r="AJ137" s="5" t="inlineStr">
        <is>
          <t>isolated_footing</t>
        </is>
      </c>
      <c r="AK137" s="5" t="inlineStr"/>
      <c r="AL137" s="5" t="inlineStr">
        <is>
          <t>(0.72, 0.72, 0.0)</t>
        </is>
      </c>
      <c r="AM137" s="5" t="inlineStr">
        <is>
          <t>DM-SEMELLES</t>
        </is>
      </c>
    </row>
    <row r="138">
      <c r="A138" s="5" t="n">
        <v>137</v>
      </c>
      <c r="B138" s="5" t="inlineStr">
        <is>
          <t>121</t>
        </is>
      </c>
      <c r="C138" s="5" t="inlineStr">
        <is>
          <t>own label</t>
        </is>
      </c>
      <c r="D138" s="5" t="inlineStr">
        <is>
          <t>footing</t>
        </is>
      </c>
      <c r="E138" s="5" t="inlineStr">
        <is>
          <t>isolated_footing</t>
        </is>
      </c>
      <c r="F138" s="5" t="inlineStr">
        <is>
          <t>S2</t>
        </is>
      </c>
      <c r="G138" s="5" t="inlineStr">
        <is>
          <t>S2-121121</t>
        </is>
      </c>
      <c r="H138" s="5" t="inlineStr">
        <is>
          <t>printed</t>
        </is>
      </c>
      <c r="I138" s="5" t="n">
        <v>350</v>
      </c>
      <c r="J138" s="5" t="n">
        <v>200</v>
      </c>
      <c r="K138" s="9">
        <f>IF(AND(ISNUMBER(I138),ISNUMBER(J138),J138&gt;0),I138/J138,"")</f>
        <v/>
      </c>
      <c r="L138" s="5" t="n">
        <v>6.999</v>
      </c>
      <c r="M138" s="5" t="n"/>
      <c r="N138" s="5" t="n">
        <v>0</v>
      </c>
      <c r="O138" s="5" t="inlineStr">
        <is>
          <t>closed outline</t>
        </is>
      </c>
      <c r="P138" s="5" t="inlineStr">
        <is>
          <t>closed rectangular outline around a column/wall or next to an S/SC label</t>
        </is>
      </c>
      <c r="Q138" s="5">
        <f>IF(OR(D138="column",D138="wall"),IF(I138&lt;='P vs V'!$B$3*J138,"column","wall"),"")</f>
        <v/>
      </c>
      <c r="R138" s="5" t="inlineStr"/>
      <c r="S138" s="5" t="inlineStr">
        <is>
          <t>wall</t>
        </is>
      </c>
      <c r="T138" s="5" t="n">
        <v>0</v>
      </c>
      <c r="U138" s="5" t="inlineStr">
        <is>
          <t>no</t>
        </is>
      </c>
      <c r="V138" s="5" t="inlineStr">
        <is>
          <t>no</t>
        </is>
      </c>
      <c r="W138" s="5" t="inlineStr">
        <is>
          <t>yes</t>
        </is>
      </c>
      <c r="X138" s="5" t="inlineStr">
        <is>
          <t>no</t>
        </is>
      </c>
      <c r="Y138" s="5" t="inlineStr">
        <is>
          <t>yes</t>
        </is>
      </c>
      <c r="Z138" s="5" t="inlineStr">
        <is>
          <t>yes</t>
        </is>
      </c>
      <c r="AA138" s="5" t="n">
        <v>4.56</v>
      </c>
      <c r="AB138" s="5" t="n"/>
      <c r="AC138" s="5" t="n"/>
      <c r="AD138" s="5" t="n"/>
      <c r="AE138" s="5" t="n">
        <v>4244.4</v>
      </c>
      <c r="AF138" s="5" t="n">
        <v>1765</v>
      </c>
      <c r="AG138" s="5" t="n">
        <v>4347.7</v>
      </c>
      <c r="AH138" s="5" t="n">
        <v>1824.2</v>
      </c>
      <c r="AI138" s="5" t="inlineStr">
        <is>
          <t>yes</t>
        </is>
      </c>
      <c r="AJ138" s="5" t="inlineStr">
        <is>
          <t>isolated_footing</t>
        </is>
      </c>
      <c r="AK138" s="5" t="inlineStr"/>
      <c r="AL138" s="5" t="inlineStr">
        <is>
          <t>(0.72, 0.72, 0.0)</t>
        </is>
      </c>
      <c r="AM138" s="5" t="inlineStr">
        <is>
          <t>DM-SEMELLES</t>
        </is>
      </c>
    </row>
    <row r="139">
      <c r="A139" s="5" t="n">
        <v>138</v>
      </c>
      <c r="B139" s="5" t="inlineStr">
        <is>
          <t>121</t>
        </is>
      </c>
      <c r="C139" s="5" t="inlineStr">
        <is>
          <t>own label</t>
        </is>
      </c>
      <c r="D139" s="5" t="inlineStr">
        <is>
          <t>footing</t>
        </is>
      </c>
      <c r="E139" s="5" t="inlineStr">
        <is>
          <t>isolated_footing</t>
        </is>
      </c>
      <c r="F139" s="5" t="inlineStr">
        <is>
          <t>S5</t>
        </is>
      </c>
      <c r="G139" s="5" t="inlineStr">
        <is>
          <t>S5-121121</t>
        </is>
      </c>
      <c r="H139" s="5" t="inlineStr">
        <is>
          <t>printed</t>
        </is>
      </c>
      <c r="I139" s="5" t="n">
        <v>450</v>
      </c>
      <c r="J139" s="5" t="n">
        <v>400</v>
      </c>
      <c r="K139" s="9">
        <f>IF(AND(ISNUMBER(I139),ISNUMBER(J139),J139&gt;0),I139/J139,"")</f>
        <v/>
      </c>
      <c r="L139" s="5" t="n">
        <v>18</v>
      </c>
      <c r="M139" s="5" t="n"/>
      <c r="N139" s="5" t="n">
        <v>89.90000000000001</v>
      </c>
      <c r="O139" s="5" t="inlineStr">
        <is>
          <t>closed outline</t>
        </is>
      </c>
      <c r="P139" s="5" t="inlineStr">
        <is>
          <t>closed rectangular outline around a column/wall or next to an S/SC label</t>
        </is>
      </c>
      <c r="Q139" s="5">
        <f>IF(OR(D139="column",D139="wall"),IF(I139&lt;='P vs V'!$B$3*J139,"column","wall"),"")</f>
        <v/>
      </c>
      <c r="R139" s="5" t="inlineStr"/>
      <c r="S139" s="5" t="inlineStr">
        <is>
          <t>wall</t>
        </is>
      </c>
      <c r="T139" s="5" t="n">
        <v>0</v>
      </c>
      <c r="U139" s="5" t="inlineStr">
        <is>
          <t>no</t>
        </is>
      </c>
      <c r="V139" s="5" t="inlineStr">
        <is>
          <t>no</t>
        </is>
      </c>
      <c r="W139" s="5" t="inlineStr">
        <is>
          <t>yes</t>
        </is>
      </c>
      <c r="X139" s="5" t="inlineStr">
        <is>
          <t>no</t>
        </is>
      </c>
      <c r="Y139" s="5" t="inlineStr">
        <is>
          <t>yes</t>
        </is>
      </c>
      <c r="Z139" s="5" t="inlineStr">
        <is>
          <t>yes</t>
        </is>
      </c>
      <c r="AA139" s="5" t="n">
        <v>9.789999999999999</v>
      </c>
      <c r="AB139" s="5" t="n"/>
      <c r="AC139" s="5" t="n"/>
      <c r="AD139" s="5" t="n"/>
      <c r="AE139" s="5" t="n">
        <v>4709.7</v>
      </c>
      <c r="AF139" s="5" t="n">
        <v>1903.4</v>
      </c>
      <c r="AG139" s="5" t="n">
        <v>4828.1</v>
      </c>
      <c r="AH139" s="5" t="n">
        <v>2036.5</v>
      </c>
      <c r="AI139" s="5" t="inlineStr">
        <is>
          <t>yes</t>
        </is>
      </c>
      <c r="AJ139" s="5" t="inlineStr">
        <is>
          <t>isolated_footing</t>
        </is>
      </c>
      <c r="AK139" s="5" t="inlineStr"/>
      <c r="AL139" s="5" t="inlineStr">
        <is>
          <t>(0.72, 0.72, 0.0)</t>
        </is>
      </c>
      <c r="AM139" s="5" t="inlineStr">
        <is>
          <t>DM-SEMELLES</t>
        </is>
      </c>
    </row>
    <row r="140">
      <c r="A140" s="5" t="n">
        <v>139</v>
      </c>
      <c r="B140" s="5" t="inlineStr">
        <is>
          <t>121</t>
        </is>
      </c>
      <c r="C140" s="5" t="inlineStr">
        <is>
          <t>own label</t>
        </is>
      </c>
      <c r="D140" s="5" t="inlineStr">
        <is>
          <t>footing</t>
        </is>
      </c>
      <c r="E140" s="5" t="inlineStr">
        <is>
          <t>isolated_footing</t>
        </is>
      </c>
      <c r="F140" s="5" t="inlineStr">
        <is>
          <t>S7</t>
        </is>
      </c>
      <c r="G140" s="5" t="inlineStr">
        <is>
          <t>S7-121</t>
        </is>
      </c>
      <c r="H140" s="5" t="inlineStr">
        <is>
          <t>printed</t>
        </is>
      </c>
      <c r="I140" s="5" t="n">
        <v>450</v>
      </c>
      <c r="J140" s="5" t="n">
        <v>350</v>
      </c>
      <c r="K140" s="9">
        <f>IF(AND(ISNUMBER(I140),ISNUMBER(J140),J140&gt;0),I140/J140,"")</f>
        <v/>
      </c>
      <c r="L140" s="5" t="n">
        <v>15.76</v>
      </c>
      <c r="M140" s="5" t="n"/>
      <c r="N140" s="5" t="n">
        <v>0.1</v>
      </c>
      <c r="O140" s="5" t="inlineStr">
        <is>
          <t>closed outline</t>
        </is>
      </c>
      <c r="P140" s="5" t="inlineStr">
        <is>
          <t>closed rectangular outline around a column/wall or next to an S/SC label</t>
        </is>
      </c>
      <c r="Q140" s="5">
        <f>IF(OR(D140="column",D140="wall"),IF(I140&lt;='P vs V'!$B$3*J140,"column","wall"),"")</f>
        <v/>
      </c>
      <c r="R140" s="5" t="inlineStr"/>
      <c r="S140" s="5" t="inlineStr">
        <is>
          <t>wall</t>
        </is>
      </c>
      <c r="T140" s="5" t="n">
        <v>5</v>
      </c>
      <c r="U140" s="5" t="inlineStr">
        <is>
          <t>no</t>
        </is>
      </c>
      <c r="V140" s="5" t="inlineStr">
        <is>
          <t>no</t>
        </is>
      </c>
      <c r="W140" s="5" t="inlineStr">
        <is>
          <t>yes</t>
        </is>
      </c>
      <c r="X140" s="5" t="inlineStr">
        <is>
          <t>no</t>
        </is>
      </c>
      <c r="Y140" s="5" t="inlineStr">
        <is>
          <t>no</t>
        </is>
      </c>
      <c r="Z140" s="5" t="inlineStr">
        <is>
          <t>no</t>
        </is>
      </c>
      <c r="AA140" s="5" t="n">
        <v>8.31</v>
      </c>
      <c r="AB140" s="5" t="n"/>
      <c r="AC140" s="5" t="n"/>
      <c r="AD140" s="5" t="n"/>
      <c r="AE140" s="5" t="n">
        <v>4923.4</v>
      </c>
      <c r="AF140" s="5" t="n">
        <v>1722</v>
      </c>
      <c r="AG140" s="5" t="n">
        <v>5056.4</v>
      </c>
      <c r="AH140" s="5" t="n">
        <v>1825.5</v>
      </c>
      <c r="AI140" s="5" t="inlineStr">
        <is>
          <t>yes</t>
        </is>
      </c>
      <c r="AJ140" s="5" t="inlineStr">
        <is>
          <t>isolated_footing</t>
        </is>
      </c>
      <c r="AK140" s="5" t="inlineStr"/>
      <c r="AL140" s="5" t="inlineStr">
        <is>
          <t>(0.72, 0.72, 0.0)</t>
        </is>
      </c>
      <c r="AM140" s="5" t="inlineStr">
        <is>
          <t>DM-SEMELLES</t>
        </is>
      </c>
    </row>
    <row r="141">
      <c r="A141" s="5" t="n">
        <v>140</v>
      </c>
      <c r="B141" s="5" t="inlineStr">
        <is>
          <t>121</t>
        </is>
      </c>
      <c r="C141" s="5" t="inlineStr">
        <is>
          <t>own label</t>
        </is>
      </c>
      <c r="D141" s="5" t="inlineStr">
        <is>
          <t>footing</t>
        </is>
      </c>
      <c r="E141" s="5" t="inlineStr">
        <is>
          <t>isolated_footing</t>
        </is>
      </c>
      <c r="F141" s="5" t="inlineStr">
        <is>
          <t>S7</t>
        </is>
      </c>
      <c r="G141" s="5" t="inlineStr">
        <is>
          <t>S7-121</t>
        </is>
      </c>
      <c r="H141" s="5" t="inlineStr">
        <is>
          <t>printed</t>
        </is>
      </c>
      <c r="I141" s="5" t="n">
        <v>450</v>
      </c>
      <c r="J141" s="5" t="n">
        <v>350</v>
      </c>
      <c r="K141" s="9">
        <f>IF(AND(ISNUMBER(I141),ISNUMBER(J141),J141&gt;0),I141/J141,"")</f>
        <v/>
      </c>
      <c r="L141" s="5" t="n">
        <v>15.759</v>
      </c>
      <c r="M141" s="5" t="n"/>
      <c r="N141" s="5" t="n">
        <v>89.90000000000001</v>
      </c>
      <c r="O141" s="5" t="inlineStr">
        <is>
          <t>closed outline</t>
        </is>
      </c>
      <c r="P141" s="5" t="inlineStr">
        <is>
          <t>closed rectangular outline around a column/wall or next to an S/SC label</t>
        </is>
      </c>
      <c r="Q141" s="5">
        <f>IF(OR(D141="column",D141="wall"),IF(I141&lt;='P vs V'!$B$3*J141,"column","wall"),"")</f>
        <v/>
      </c>
      <c r="R141" s="5" t="inlineStr"/>
      <c r="S141" s="5" t="inlineStr">
        <is>
          <t>wall</t>
        </is>
      </c>
      <c r="T141" s="5" t="n">
        <v>0</v>
      </c>
      <c r="U141" s="5" t="inlineStr">
        <is>
          <t>no</t>
        </is>
      </c>
      <c r="V141" s="5" t="inlineStr">
        <is>
          <t>no</t>
        </is>
      </c>
      <c r="W141" s="5" t="inlineStr">
        <is>
          <t>yes</t>
        </is>
      </c>
      <c r="X141" s="5" t="inlineStr">
        <is>
          <t>no</t>
        </is>
      </c>
      <c r="Y141" s="5" t="inlineStr">
        <is>
          <t>yes</t>
        </is>
      </c>
      <c r="Z141" s="5" t="inlineStr">
        <is>
          <t>yes</t>
        </is>
      </c>
      <c r="AA141" s="5" t="n">
        <v>3.04</v>
      </c>
      <c r="AB141" s="5" t="n"/>
      <c r="AC141" s="5" t="n"/>
      <c r="AD141" s="5" t="n"/>
      <c r="AE141" s="5" t="n">
        <v>4716.6</v>
      </c>
      <c r="AF141" s="5" t="n">
        <v>1677.5</v>
      </c>
      <c r="AG141" s="5" t="n">
        <v>4820.2</v>
      </c>
      <c r="AH141" s="5" t="n">
        <v>1810.7</v>
      </c>
      <c r="AI141" s="5" t="inlineStr">
        <is>
          <t>yes</t>
        </is>
      </c>
      <c r="AJ141" s="5" t="inlineStr">
        <is>
          <t>isolated_footing</t>
        </is>
      </c>
      <c r="AK141" s="5" t="inlineStr"/>
      <c r="AL141" s="5" t="inlineStr">
        <is>
          <t>(0.72, 0.72, 0.0)</t>
        </is>
      </c>
      <c r="AM141" s="5" t="inlineStr">
        <is>
          <t>DM-SEMELLES</t>
        </is>
      </c>
    </row>
    <row r="142">
      <c r="A142" s="5" t="n">
        <v>141</v>
      </c>
      <c r="B142" s="5" t="inlineStr">
        <is>
          <t>121</t>
        </is>
      </c>
      <c r="C142" s="5" t="inlineStr">
        <is>
          <t>own label</t>
        </is>
      </c>
      <c r="D142" s="5" t="inlineStr">
        <is>
          <t>footing</t>
        </is>
      </c>
      <c r="E142" s="5" t="inlineStr">
        <is>
          <t>isolated_footing</t>
        </is>
      </c>
      <c r="F142" s="5" t="inlineStr">
        <is>
          <t>S7</t>
        </is>
      </c>
      <c r="G142" s="5" t="inlineStr">
        <is>
          <t>S7-121</t>
        </is>
      </c>
      <c r="H142" s="5" t="inlineStr">
        <is>
          <t>printed</t>
        </is>
      </c>
      <c r="I142" s="5" t="n">
        <v>450</v>
      </c>
      <c r="J142" s="5" t="n">
        <v>350</v>
      </c>
      <c r="K142" s="9">
        <f>IF(AND(ISNUMBER(I142),ISNUMBER(J142),J142&gt;0),I142/J142,"")</f>
        <v/>
      </c>
      <c r="L142" s="5" t="n">
        <v>15.755</v>
      </c>
      <c r="M142" s="5" t="n"/>
      <c r="N142" s="5" t="n">
        <v>0.1</v>
      </c>
      <c r="O142" s="5" t="inlineStr">
        <is>
          <t>closed outline</t>
        </is>
      </c>
      <c r="P142" s="5" t="inlineStr">
        <is>
          <t>closed rectangular outline around a column/wall or next to an S/SC label</t>
        </is>
      </c>
      <c r="Q142" s="5">
        <f>IF(OR(D142="column",D142="wall"),IF(I142&lt;='P vs V'!$B$3*J142,"column","wall"),"")</f>
        <v/>
      </c>
      <c r="R142" s="5" t="inlineStr"/>
      <c r="S142" s="5" t="inlineStr">
        <is>
          <t>wall</t>
        </is>
      </c>
      <c r="T142" s="5" t="n">
        <v>0</v>
      </c>
      <c r="U142" s="5" t="inlineStr">
        <is>
          <t>no</t>
        </is>
      </c>
      <c r="V142" s="5" t="inlineStr">
        <is>
          <t>no</t>
        </is>
      </c>
      <c r="W142" s="5" t="inlineStr">
        <is>
          <t>yes</t>
        </is>
      </c>
      <c r="X142" s="5" t="inlineStr">
        <is>
          <t>no</t>
        </is>
      </c>
      <c r="Y142" s="5" t="inlineStr">
        <is>
          <t>yes</t>
        </is>
      </c>
      <c r="Z142" s="5" t="inlineStr">
        <is>
          <t>yes</t>
        </is>
      </c>
      <c r="AA142" s="5" t="n">
        <v>3.95</v>
      </c>
      <c r="AB142" s="5" t="n"/>
      <c r="AC142" s="5" t="n"/>
      <c r="AD142" s="5" t="n"/>
      <c r="AE142" s="5" t="n">
        <v>4480.6</v>
      </c>
      <c r="AF142" s="5" t="n">
        <v>1724.5</v>
      </c>
      <c r="AG142" s="5" t="n">
        <v>4613.6</v>
      </c>
      <c r="AH142" s="5" t="n">
        <v>1827.9</v>
      </c>
      <c r="AI142" s="5" t="inlineStr">
        <is>
          <t>yes</t>
        </is>
      </c>
      <c r="AJ142" s="5" t="inlineStr">
        <is>
          <t>isolated_footing</t>
        </is>
      </c>
      <c r="AK142" s="5" t="inlineStr"/>
      <c r="AL142" s="5" t="inlineStr">
        <is>
          <t>(0.72, 0.72, 0.0)</t>
        </is>
      </c>
      <c r="AM142" s="5" t="inlineStr">
        <is>
          <t>DM-SEMELLES</t>
        </is>
      </c>
    </row>
    <row r="143">
      <c r="A143" s="5" t="n">
        <v>142</v>
      </c>
      <c r="B143" s="5" t="inlineStr">
        <is>
          <t>121</t>
        </is>
      </c>
      <c r="C143" s="5" t="inlineStr">
        <is>
          <t>nearest labels (100% agree)</t>
        </is>
      </c>
      <c r="D143" s="5" t="inlineStr">
        <is>
          <t>mass_concrete_pad</t>
        </is>
      </c>
      <c r="E143" s="5" t="inlineStr">
        <is>
          <t>mass_concrete_pad</t>
        </is>
      </c>
      <c r="F143" s="5" t="inlineStr">
        <is>
          <t>(none)</t>
        </is>
      </c>
      <c r="G143" s="5" t="inlineStr"/>
      <c r="H143" s="5" t="inlineStr">
        <is>
          <t>none</t>
        </is>
      </c>
      <c r="I143" s="5" t="n">
        <v>60</v>
      </c>
      <c r="J143" s="5" t="n">
        <v>60</v>
      </c>
      <c r="K143" s="9">
        <f>IF(AND(ISNUMBER(I143),ISNUMBER(J143),J143&gt;0),I143/J143,"")</f>
        <v/>
      </c>
      <c r="L143" s="5" t="n">
        <v>0.359</v>
      </c>
      <c r="M143" s="5" t="n"/>
      <c r="N143" s="5" t="n">
        <v>90</v>
      </c>
      <c r="O143" s="5" t="inlineStr">
        <is>
          <t>closed outline + stipple</t>
        </is>
      </c>
      <c r="P143" s="5" t="inlineStr">
        <is>
          <t>small closed square filled with stipple dots, no label</t>
        </is>
      </c>
      <c r="Q143" s="5">
        <f>IF(OR(D143="column",D143="wall"),IF(I143&lt;='P vs V'!$B$3*J143,"column","wall"),"")</f>
        <v/>
      </c>
      <c r="R143" s="5" t="inlineStr"/>
      <c r="S143" s="5" t="inlineStr"/>
      <c r="T143" s="5" t="n"/>
      <c r="U143" s="5" t="inlineStr">
        <is>
          <t>no</t>
        </is>
      </c>
      <c r="V143" s="5" t="inlineStr">
        <is>
          <t>no</t>
        </is>
      </c>
      <c r="W143" s="5" t="inlineStr">
        <is>
          <t>no</t>
        </is>
      </c>
      <c r="X143" s="5" t="inlineStr">
        <is>
          <t>no</t>
        </is>
      </c>
      <c r="Y143" s="5" t="inlineStr">
        <is>
          <t>yes</t>
        </is>
      </c>
      <c r="Z143" s="5" t="inlineStr">
        <is>
          <t>yes</t>
        </is>
      </c>
      <c r="AA143" s="5" t="n">
        <v>0.01</v>
      </c>
      <c r="AB143" s="5" t="n"/>
      <c r="AC143" s="5" t="n">
        <v>53</v>
      </c>
      <c r="AD143" s="5" t="n"/>
      <c r="AE143" s="5" t="n">
        <v>4290.4</v>
      </c>
      <c r="AF143" s="5" t="n">
        <v>1651.6</v>
      </c>
      <c r="AG143" s="5" t="n">
        <v>4308.1</v>
      </c>
      <c r="AH143" s="5" t="n">
        <v>1669.3</v>
      </c>
      <c r="AI143" s="5" t="inlineStr">
        <is>
          <t>yes</t>
        </is>
      </c>
      <c r="AJ143" s="5" t="inlineStr">
        <is>
          <t>mass_concrete_pad</t>
        </is>
      </c>
      <c r="AK143" s="5" t="inlineStr"/>
      <c r="AL143" s="5" t="inlineStr">
        <is>
          <t>(0.5, 0.5, 0.5)</t>
        </is>
      </c>
      <c r="AM143" s="5" t="inlineStr">
        <is>
          <t>DM-MGB</t>
        </is>
      </c>
    </row>
    <row r="144">
      <c r="A144" s="5" t="n">
        <v>143</v>
      </c>
      <c r="B144" s="5" t="inlineStr">
        <is>
          <t>121</t>
        </is>
      </c>
      <c r="C144" s="5" t="inlineStr">
        <is>
          <t>nearest labels (60% agree)</t>
        </is>
      </c>
      <c r="D144" s="5" t="inlineStr">
        <is>
          <t>grade_beam</t>
        </is>
      </c>
      <c r="E144" s="5" t="inlineStr">
        <is>
          <t>grade_beam</t>
        </is>
      </c>
      <c r="F144" s="5" t="inlineStr">
        <is>
          <t>LG25x40</t>
        </is>
      </c>
      <c r="G144" s="5" t="inlineStr"/>
      <c r="H144" s="5" t="inlineStr">
        <is>
          <t>band width matches label</t>
        </is>
      </c>
      <c r="I144" s="5" t="n">
        <v>227</v>
      </c>
      <c r="J144" s="5" t="n">
        <v>25</v>
      </c>
      <c r="K144" s="9">
        <f>IF(AND(ISNUMBER(I144),ISNUMBER(J144),J144&gt;0),I144/J144,"")</f>
        <v/>
      </c>
      <c r="L144" s="5" t="n">
        <v>0.5679999999999999</v>
      </c>
      <c r="M144" s="5" t="n">
        <v>2.27</v>
      </c>
      <c r="N144" s="5" t="n">
        <v>179.9</v>
      </c>
      <c r="O144" s="5" t="inlineStr">
        <is>
          <t>parallel line pair</t>
        </is>
      </c>
      <c r="P144" s="5" t="inlineStr">
        <is>
          <t>two parallel lines at the width written in the LG label, empty inside</t>
        </is>
      </c>
      <c r="Q144" s="5">
        <f>IF(OR(D144="column",D144="wall"),IF(I144&lt;='P vs V'!$B$3*J144,"column","wall"),"")</f>
        <v/>
      </c>
      <c r="R144" s="5" t="inlineStr"/>
      <c r="S144" s="5" t="inlineStr"/>
      <c r="T144" s="5" t="n"/>
      <c r="U144" s="5" t="inlineStr">
        <is>
          <t>no</t>
        </is>
      </c>
      <c r="V144" s="5" t="inlineStr">
        <is>
          <t>no</t>
        </is>
      </c>
      <c r="W144" s="5" t="inlineStr">
        <is>
          <t>no</t>
        </is>
      </c>
      <c r="X144" s="5" t="inlineStr">
        <is>
          <t>no</t>
        </is>
      </c>
      <c r="Y144" s="5" t="inlineStr">
        <is>
          <t>no</t>
        </is>
      </c>
      <c r="Z144" s="5" t="inlineStr">
        <is>
          <t>no</t>
        </is>
      </c>
      <c r="AA144" s="5" t="n">
        <v>3.63</v>
      </c>
      <c r="AB144" s="5" t="n"/>
      <c r="AC144" s="5" t="n"/>
      <c r="AD144" s="5" t="n"/>
      <c r="AE144" s="5" t="n">
        <v>4395.6</v>
      </c>
      <c r="AF144" s="5" t="n">
        <v>2128.5</v>
      </c>
      <c r="AG144" s="5" t="n">
        <v>4462.7</v>
      </c>
      <c r="AH144" s="5" t="n">
        <v>2136.1</v>
      </c>
      <c r="AI144" s="5" t="inlineStr">
        <is>
          <t>n/a</t>
        </is>
      </c>
      <c r="AJ144" s="5" t="inlineStr"/>
      <c r="AK144" s="5" t="inlineStr"/>
      <c r="AL144" s="5" t="inlineStr"/>
      <c r="AM144" s="5" t="inlineStr"/>
    </row>
    <row r="145">
      <c r="A145" s="5" t="n">
        <v>144</v>
      </c>
      <c r="B145" s="5" t="inlineStr">
        <is>
          <t>121</t>
        </is>
      </c>
      <c r="C145" s="5" t="inlineStr">
        <is>
          <t>nearest labels (60% agree)</t>
        </is>
      </c>
      <c r="D145" s="5" t="inlineStr">
        <is>
          <t>grade_beam</t>
        </is>
      </c>
      <c r="E145" s="5" t="inlineStr">
        <is>
          <t>grade_beam</t>
        </is>
      </c>
      <c r="F145" s="5" t="inlineStr">
        <is>
          <t>LG25x40</t>
        </is>
      </c>
      <c r="G145" s="5" t="inlineStr"/>
      <c r="H145" s="5" t="inlineStr">
        <is>
          <t>band width matches label</t>
        </is>
      </c>
      <c r="I145" s="5" t="n">
        <v>283</v>
      </c>
      <c r="J145" s="5" t="n">
        <v>25</v>
      </c>
      <c r="K145" s="9">
        <f>IF(AND(ISNUMBER(I145),ISNUMBER(J145),J145&gt;0),I145/J145,"")</f>
        <v/>
      </c>
      <c r="L145" s="5" t="n">
        <v>0.708</v>
      </c>
      <c r="M145" s="5" t="n">
        <v>2.83</v>
      </c>
      <c r="N145" s="5" t="n">
        <v>179.9</v>
      </c>
      <c r="O145" s="5" t="inlineStr">
        <is>
          <t>parallel line pair</t>
        </is>
      </c>
      <c r="P145" s="5" t="inlineStr">
        <is>
          <t>two parallel lines at the width written in the LG label, empty inside</t>
        </is>
      </c>
      <c r="Q145" s="5">
        <f>IF(OR(D145="column",D145="wall"),IF(I145&lt;='P vs V'!$B$3*J145,"column","wall"),"")</f>
        <v/>
      </c>
      <c r="R145" s="5" t="inlineStr"/>
      <c r="S145" s="5" t="inlineStr"/>
      <c r="T145" s="5" t="n"/>
      <c r="U145" s="5" t="inlineStr">
        <is>
          <t>no</t>
        </is>
      </c>
      <c r="V145" s="5" t="inlineStr">
        <is>
          <t>no</t>
        </is>
      </c>
      <c r="W145" s="5" t="inlineStr">
        <is>
          <t>yes</t>
        </is>
      </c>
      <c r="X145" s="5" t="inlineStr">
        <is>
          <t>no</t>
        </is>
      </c>
      <c r="Y145" s="5" t="inlineStr">
        <is>
          <t>no</t>
        </is>
      </c>
      <c r="Z145" s="5" t="inlineStr">
        <is>
          <t>yes</t>
        </is>
      </c>
      <c r="AA145" s="5" t="n">
        <v>3.92</v>
      </c>
      <c r="AB145" s="5" t="n"/>
      <c r="AC145" s="5" t="n"/>
      <c r="AD145" s="5" t="n"/>
      <c r="AE145" s="5" t="n">
        <v>4164.4</v>
      </c>
      <c r="AF145" s="5" t="n">
        <v>2129</v>
      </c>
      <c r="AG145" s="5" t="n">
        <v>4248</v>
      </c>
      <c r="AH145" s="5" t="n">
        <v>2136.6</v>
      </c>
      <c r="AI145" s="5" t="inlineStr">
        <is>
          <t>n/a</t>
        </is>
      </c>
      <c r="AJ145" s="5" t="inlineStr"/>
      <c r="AK145" s="5" t="inlineStr"/>
      <c r="AL145" s="5" t="inlineStr"/>
      <c r="AM145" s="5" t="inlineStr"/>
    </row>
    <row r="146">
      <c r="A146" s="5" t="n">
        <v>145</v>
      </c>
      <c r="B146" s="5" t="inlineStr">
        <is>
          <t>121</t>
        </is>
      </c>
      <c r="C146" s="5" t="inlineStr">
        <is>
          <t>nearest labels (60% agree)</t>
        </is>
      </c>
      <c r="D146" s="5" t="inlineStr">
        <is>
          <t>grade_beam</t>
        </is>
      </c>
      <c r="E146" s="5" t="inlineStr">
        <is>
          <t>grade_beam</t>
        </is>
      </c>
      <c r="F146" s="5" t="inlineStr">
        <is>
          <t>LG25x40</t>
        </is>
      </c>
      <c r="G146" s="5" t="inlineStr"/>
      <c r="H146" s="5" t="inlineStr">
        <is>
          <t>band width matches label</t>
        </is>
      </c>
      <c r="I146" s="5" t="n">
        <v>227</v>
      </c>
      <c r="J146" s="5" t="n">
        <v>25</v>
      </c>
      <c r="K146" s="9">
        <f>IF(AND(ISNUMBER(I146),ISNUMBER(J146),J146&gt;0),I146/J146,"")</f>
        <v/>
      </c>
      <c r="L146" s="5" t="n">
        <v>0.5679999999999999</v>
      </c>
      <c r="M146" s="5" t="n">
        <v>2.27</v>
      </c>
      <c r="N146" s="5" t="n">
        <v>179.9</v>
      </c>
      <c r="O146" s="5" t="inlineStr">
        <is>
          <t>parallel line pair</t>
        </is>
      </c>
      <c r="P146" s="5" t="inlineStr">
        <is>
          <t>two parallel lines at the width written in the LG label, empty inside</t>
        </is>
      </c>
      <c r="Q146" s="5">
        <f>IF(OR(D146="column",D146="wall"),IF(I146&lt;='P vs V'!$B$3*J146,"column","wall"),"")</f>
        <v/>
      </c>
      <c r="R146" s="5" t="inlineStr"/>
      <c r="S146" s="5" t="inlineStr"/>
      <c r="T146" s="5" t="n"/>
      <c r="U146" s="5" t="inlineStr">
        <is>
          <t>no</t>
        </is>
      </c>
      <c r="V146" s="5" t="inlineStr">
        <is>
          <t>no</t>
        </is>
      </c>
      <c r="W146" s="5" t="inlineStr">
        <is>
          <t>no</t>
        </is>
      </c>
      <c r="X146" s="5" t="inlineStr">
        <is>
          <t>no</t>
        </is>
      </c>
      <c r="Y146" s="5" t="inlineStr">
        <is>
          <t>no</t>
        </is>
      </c>
      <c r="Z146" s="5" t="inlineStr">
        <is>
          <t>no</t>
        </is>
      </c>
      <c r="AA146" s="5" t="n">
        <v>3.63</v>
      </c>
      <c r="AB146" s="5" t="n"/>
      <c r="AC146" s="5" t="n"/>
      <c r="AD146" s="5" t="n"/>
      <c r="AE146" s="5" t="n">
        <v>4395.6</v>
      </c>
      <c r="AF146" s="5" t="n">
        <v>2139.3</v>
      </c>
      <c r="AG146" s="5" t="n">
        <v>4462.7</v>
      </c>
      <c r="AH146" s="5" t="n">
        <v>2146.9</v>
      </c>
      <c r="AI146" s="5" t="inlineStr">
        <is>
          <t>n/a</t>
        </is>
      </c>
      <c r="AJ146" s="5" t="inlineStr"/>
      <c r="AK146" s="5" t="inlineStr"/>
      <c r="AL146" s="5" t="inlineStr"/>
      <c r="AM146" s="5" t="inlineStr"/>
    </row>
    <row r="147">
      <c r="A147" s="5" t="n">
        <v>146</v>
      </c>
      <c r="B147" s="5" t="inlineStr">
        <is>
          <t>121</t>
        </is>
      </c>
      <c r="C147" s="5" t="inlineStr">
        <is>
          <t>nearest labels (60% agree)</t>
        </is>
      </c>
      <c r="D147" s="5" t="inlineStr">
        <is>
          <t>grade_beam</t>
        </is>
      </c>
      <c r="E147" s="5" t="inlineStr">
        <is>
          <t>grade_beam</t>
        </is>
      </c>
      <c r="F147" s="5" t="inlineStr">
        <is>
          <t>LG25x40</t>
        </is>
      </c>
      <c r="G147" s="5" t="inlineStr"/>
      <c r="H147" s="5" t="inlineStr">
        <is>
          <t>band width matches label</t>
        </is>
      </c>
      <c r="I147" s="5" t="n">
        <v>278</v>
      </c>
      <c r="J147" s="5" t="n">
        <v>25</v>
      </c>
      <c r="K147" s="9">
        <f>IF(AND(ISNUMBER(I147),ISNUMBER(J147),J147&gt;0),I147/J147,"")</f>
        <v/>
      </c>
      <c r="L147" s="5" t="n">
        <v>0.695</v>
      </c>
      <c r="M147" s="5" t="n">
        <v>2.78</v>
      </c>
      <c r="N147" s="5" t="n">
        <v>179.9</v>
      </c>
      <c r="O147" s="5" t="inlineStr">
        <is>
          <t>parallel line pair</t>
        </is>
      </c>
      <c r="P147" s="5" t="inlineStr">
        <is>
          <t>two parallel lines at the width written in the LG label, empty inside</t>
        </is>
      </c>
      <c r="Q147" s="5">
        <f>IF(OR(D147="column",D147="wall"),IF(I147&lt;='P vs V'!$B$3*J147,"column","wall"),"")</f>
        <v/>
      </c>
      <c r="R147" s="5" t="inlineStr"/>
      <c r="S147" s="5" t="inlineStr"/>
      <c r="T147" s="5" t="n"/>
      <c r="U147" s="5" t="inlineStr">
        <is>
          <t>no</t>
        </is>
      </c>
      <c r="V147" s="5" t="inlineStr">
        <is>
          <t>no</t>
        </is>
      </c>
      <c r="W147" s="5" t="inlineStr">
        <is>
          <t>yes</t>
        </is>
      </c>
      <c r="X147" s="5" t="inlineStr">
        <is>
          <t>no</t>
        </is>
      </c>
      <c r="Y147" s="5" t="inlineStr">
        <is>
          <t>no</t>
        </is>
      </c>
      <c r="Z147" s="5" t="inlineStr">
        <is>
          <t>yes</t>
        </is>
      </c>
      <c r="AA147" s="5" t="n">
        <v>3.89</v>
      </c>
      <c r="AB147" s="5" t="n"/>
      <c r="AC147" s="5" t="n"/>
      <c r="AD147" s="5" t="n"/>
      <c r="AE147" s="5" t="n">
        <v>4165.9</v>
      </c>
      <c r="AF147" s="5" t="n">
        <v>2139.8</v>
      </c>
      <c r="AG147" s="5" t="n">
        <v>4248</v>
      </c>
      <c r="AH147" s="5" t="n">
        <v>2147.4</v>
      </c>
      <c r="AI147" s="5" t="inlineStr">
        <is>
          <t>n/a</t>
        </is>
      </c>
      <c r="AJ147" s="5" t="inlineStr"/>
      <c r="AK147" s="5" t="inlineStr"/>
      <c r="AL147" s="5" t="inlineStr"/>
      <c r="AM147" s="5" t="inlineStr"/>
    </row>
    <row r="148">
      <c r="A148" s="5" t="n">
        <v>147</v>
      </c>
      <c r="B148" s="5" t="inlineStr">
        <is>
          <t>121</t>
        </is>
      </c>
      <c r="C148" s="5" t="inlineStr">
        <is>
          <t>nearest labels (60% agree)</t>
        </is>
      </c>
      <c r="D148" s="5" t="inlineStr">
        <is>
          <t>grade_beam</t>
        </is>
      </c>
      <c r="E148" s="5" t="inlineStr">
        <is>
          <t>grade_beam</t>
        </is>
      </c>
      <c r="F148" s="5" t="inlineStr">
        <is>
          <t>LG25x40</t>
        </is>
      </c>
      <c r="G148" s="5" t="inlineStr"/>
      <c r="H148" s="5" t="inlineStr">
        <is>
          <t>band width matches label</t>
        </is>
      </c>
      <c r="I148" s="5" t="n">
        <v>350</v>
      </c>
      <c r="J148" s="5" t="n">
        <v>25</v>
      </c>
      <c r="K148" s="9">
        <f>IF(AND(ISNUMBER(I148),ISNUMBER(J148),J148&gt;0),I148/J148,"")</f>
        <v/>
      </c>
      <c r="L148" s="5" t="n">
        <v>0.875</v>
      </c>
      <c r="M148" s="5" t="n">
        <v>3.5</v>
      </c>
      <c r="N148" s="5" t="n">
        <v>179.9</v>
      </c>
      <c r="O148" s="5" t="inlineStr">
        <is>
          <t>parallel line pair</t>
        </is>
      </c>
      <c r="P148" s="5" t="inlineStr">
        <is>
          <t>two parallel lines at the width written in the LG label, empty inside</t>
        </is>
      </c>
      <c r="Q148" s="5">
        <f>IF(OR(D148="column",D148="wall"),IF(I148&lt;='P vs V'!$B$3*J148,"column","wall"),"")</f>
        <v/>
      </c>
      <c r="R148" s="5" t="inlineStr"/>
      <c r="S148" s="5" t="inlineStr"/>
      <c r="T148" s="5" t="n"/>
      <c r="U148" s="5" t="inlineStr">
        <is>
          <t>no</t>
        </is>
      </c>
      <c r="V148" s="5" t="inlineStr">
        <is>
          <t>no</t>
        </is>
      </c>
      <c r="W148" s="5" t="inlineStr">
        <is>
          <t>no</t>
        </is>
      </c>
      <c r="X148" s="5" t="inlineStr">
        <is>
          <t>no</t>
        </is>
      </c>
      <c r="Y148" s="5" t="inlineStr">
        <is>
          <t>no</t>
        </is>
      </c>
      <c r="Z148" s="5" t="inlineStr">
        <is>
          <t>no</t>
        </is>
      </c>
      <c r="AA148" s="5" t="n">
        <v>7.01</v>
      </c>
      <c r="AB148" s="5" t="n"/>
      <c r="AC148" s="5" t="n"/>
      <c r="AD148" s="5" t="n"/>
      <c r="AE148" s="5" t="n">
        <v>4502.5</v>
      </c>
      <c r="AF148" s="5" t="n">
        <v>2048.5</v>
      </c>
      <c r="AG148" s="5" t="n">
        <v>4605.9</v>
      </c>
      <c r="AH148" s="5" t="n">
        <v>2056.2</v>
      </c>
      <c r="AI148" s="5" t="inlineStr">
        <is>
          <t>n/a</t>
        </is>
      </c>
      <c r="AJ148" s="5" t="inlineStr"/>
      <c r="AK148" s="5" t="inlineStr"/>
      <c r="AL148" s="5" t="inlineStr"/>
      <c r="AM148" s="5" t="inlineStr"/>
    </row>
    <row r="149">
      <c r="A149" s="5" t="n">
        <v>148</v>
      </c>
      <c r="B149" s="5" t="inlineStr">
        <is>
          <t>121</t>
        </is>
      </c>
      <c r="C149" s="5" t="inlineStr">
        <is>
          <t>nearest labels (100% agree)</t>
        </is>
      </c>
      <c r="D149" s="5" t="inlineStr">
        <is>
          <t>grade_beam</t>
        </is>
      </c>
      <c r="E149" s="5" t="inlineStr">
        <is>
          <t>grade_beam</t>
        </is>
      </c>
      <c r="F149" s="5" t="inlineStr">
        <is>
          <t>LG25x40</t>
        </is>
      </c>
      <c r="G149" s="5" t="inlineStr"/>
      <c r="H149" s="5" t="inlineStr">
        <is>
          <t>band width matches label</t>
        </is>
      </c>
      <c r="I149" s="5" t="n">
        <v>290</v>
      </c>
      <c r="J149" s="5" t="n">
        <v>25</v>
      </c>
      <c r="K149" s="9">
        <f>IF(AND(ISNUMBER(I149),ISNUMBER(J149),J149&gt;0),I149/J149,"")</f>
        <v/>
      </c>
      <c r="L149" s="5" t="n">
        <v>0.725</v>
      </c>
      <c r="M149" s="5" t="n">
        <v>2.9</v>
      </c>
      <c r="N149" s="5" t="n">
        <v>89.90000000000001</v>
      </c>
      <c r="O149" s="5" t="inlineStr">
        <is>
          <t>parallel line pair</t>
        </is>
      </c>
      <c r="P149" s="5" t="inlineStr">
        <is>
          <t>two parallel lines at the width written in the LG label, empty inside</t>
        </is>
      </c>
      <c r="Q149" s="5">
        <f>IF(OR(D149="column",D149="wall"),IF(I149&lt;='P vs V'!$B$3*J149,"column","wall"),"")</f>
        <v/>
      </c>
      <c r="R149" s="5" t="inlineStr"/>
      <c r="S149" s="5" t="inlineStr"/>
      <c r="T149" s="5" t="n"/>
      <c r="U149" s="5" t="inlineStr">
        <is>
          <t>no</t>
        </is>
      </c>
      <c r="V149" s="5" t="inlineStr">
        <is>
          <t>no</t>
        </is>
      </c>
      <c r="W149" s="5" t="inlineStr">
        <is>
          <t>yes</t>
        </is>
      </c>
      <c r="X149" s="5" t="inlineStr">
        <is>
          <t>no</t>
        </is>
      </c>
      <c r="Y149" s="5" t="inlineStr">
        <is>
          <t>no</t>
        </is>
      </c>
      <c r="Z149" s="5" t="inlineStr">
        <is>
          <t>yes</t>
        </is>
      </c>
      <c r="AA149" s="5" t="n">
        <v>6.84</v>
      </c>
      <c r="AB149" s="5" t="n"/>
      <c r="AC149" s="5" t="n"/>
      <c r="AD149" s="5" t="n"/>
      <c r="AE149" s="5" t="n">
        <v>4772.3</v>
      </c>
      <c r="AF149" s="5" t="n">
        <v>1815</v>
      </c>
      <c r="AG149" s="5" t="n">
        <v>4779.8</v>
      </c>
      <c r="AH149" s="5" t="n">
        <v>1900.7</v>
      </c>
      <c r="AI149" s="5" t="inlineStr">
        <is>
          <t>n/a</t>
        </is>
      </c>
      <c r="AJ149" s="5" t="inlineStr"/>
      <c r="AK149" s="5" t="inlineStr"/>
      <c r="AL149" s="5" t="inlineStr"/>
      <c r="AM149" s="5" t="inlineStr"/>
    </row>
    <row r="150">
      <c r="A150" s="5" t="n">
        <v>149</v>
      </c>
      <c r="B150" s="5" t="inlineStr">
        <is>
          <t>121</t>
        </is>
      </c>
      <c r="C150" s="5" t="inlineStr">
        <is>
          <t>nearest labels (100% agree)</t>
        </is>
      </c>
      <c r="D150" s="5" t="inlineStr">
        <is>
          <t>grade_beam</t>
        </is>
      </c>
      <c r="E150" s="5" t="inlineStr">
        <is>
          <t>grade_beam</t>
        </is>
      </c>
      <c r="F150" s="5" t="inlineStr">
        <is>
          <t>LG25x40</t>
        </is>
      </c>
      <c r="G150" s="5" t="inlineStr"/>
      <c r="H150" s="5" t="inlineStr">
        <is>
          <t>band width matches label</t>
        </is>
      </c>
      <c r="I150" s="5" t="n">
        <v>240</v>
      </c>
      <c r="J150" s="5" t="n">
        <v>25</v>
      </c>
      <c r="K150" s="9">
        <f>IF(AND(ISNUMBER(I150),ISNUMBER(J150),J150&gt;0),I150/J150,"")</f>
        <v/>
      </c>
      <c r="L150" s="5" t="n">
        <v>0.6</v>
      </c>
      <c r="M150" s="5" t="n">
        <v>2.4</v>
      </c>
      <c r="N150" s="5" t="n">
        <v>89.90000000000001</v>
      </c>
      <c r="O150" s="5" t="inlineStr">
        <is>
          <t>parallel line pair</t>
        </is>
      </c>
      <c r="P150" s="5" t="inlineStr">
        <is>
          <t>two parallel lines at the width written in the LG label, empty inside</t>
        </is>
      </c>
      <c r="Q150" s="5">
        <f>IF(OR(D150="column",D150="wall"),IF(I150&lt;='P vs V'!$B$3*J150,"column","wall"),"")</f>
        <v/>
      </c>
      <c r="R150" s="5" t="inlineStr"/>
      <c r="S150" s="5" t="inlineStr"/>
      <c r="T150" s="5" t="n"/>
      <c r="U150" s="5" t="inlineStr">
        <is>
          <t>no</t>
        </is>
      </c>
      <c r="V150" s="5" t="inlineStr">
        <is>
          <t>no</t>
        </is>
      </c>
      <c r="W150" s="5" t="inlineStr">
        <is>
          <t>yes</t>
        </is>
      </c>
      <c r="X150" s="5" t="inlineStr">
        <is>
          <t>no</t>
        </is>
      </c>
      <c r="Y150" s="5" t="inlineStr">
        <is>
          <t>no</t>
        </is>
      </c>
      <c r="Z150" s="5" t="inlineStr">
        <is>
          <t>yes</t>
        </is>
      </c>
      <c r="AA150" s="5" t="n">
        <v>6.73</v>
      </c>
      <c r="AB150" s="5" t="n"/>
      <c r="AC150" s="5" t="n"/>
      <c r="AD150" s="5" t="n"/>
      <c r="AE150" s="5" t="n">
        <v>4708.8</v>
      </c>
      <c r="AF150" s="5" t="n">
        <v>1822.5</v>
      </c>
      <c r="AG150" s="5" t="n">
        <v>4716.3</v>
      </c>
      <c r="AH150" s="5" t="n">
        <v>1893.4</v>
      </c>
      <c r="AI150" s="5" t="inlineStr">
        <is>
          <t>n/a</t>
        </is>
      </c>
      <c r="AJ150" s="5" t="inlineStr"/>
      <c r="AK150" s="5" t="inlineStr"/>
      <c r="AL150" s="5" t="inlineStr"/>
      <c r="AM150" s="5" t="inlineStr"/>
    </row>
    <row r="151">
      <c r="A151" s="5" t="n">
        <v>150</v>
      </c>
      <c r="B151" s="5" t="inlineStr">
        <is>
          <t>121</t>
        </is>
      </c>
      <c r="C151" s="5" t="inlineStr">
        <is>
          <t>nearest labels (100% agree)</t>
        </is>
      </c>
      <c r="D151" s="5" t="inlineStr">
        <is>
          <t>grade_beam</t>
        </is>
      </c>
      <c r="E151" s="5" t="inlineStr">
        <is>
          <t>grade_beam</t>
        </is>
      </c>
      <c r="F151" s="5" t="inlineStr">
        <is>
          <t>LG25x40</t>
        </is>
      </c>
      <c r="G151" s="5" t="inlineStr"/>
      <c r="H151" s="5" t="inlineStr">
        <is>
          <t>band width matches label</t>
        </is>
      </c>
      <c r="I151" s="5" t="n">
        <v>170</v>
      </c>
      <c r="J151" s="5" t="n">
        <v>25</v>
      </c>
      <c r="K151" s="9">
        <f>IF(AND(ISNUMBER(I151),ISNUMBER(J151),J151&gt;0),I151/J151,"")</f>
        <v/>
      </c>
      <c r="L151" s="5" t="n">
        <v>0.425</v>
      </c>
      <c r="M151" s="5" t="n">
        <v>1.7</v>
      </c>
      <c r="N151" s="5" t="n">
        <v>179.9</v>
      </c>
      <c r="O151" s="5" t="inlineStr">
        <is>
          <t>parallel line pair</t>
        </is>
      </c>
      <c r="P151" s="5" t="inlineStr">
        <is>
          <t>two parallel lines at the width written in the LG label, empty inside</t>
        </is>
      </c>
      <c r="Q151" s="5">
        <f>IF(OR(D151="column",D151="wall"),IF(I151&lt;='P vs V'!$B$3*J151,"column","wall"),"")</f>
        <v/>
      </c>
      <c r="R151" s="5" t="inlineStr"/>
      <c r="S151" s="5" t="inlineStr"/>
      <c r="T151" s="5" t="n"/>
      <c r="U151" s="5" t="inlineStr">
        <is>
          <t>no</t>
        </is>
      </c>
      <c r="V151" s="5" t="inlineStr">
        <is>
          <t>no</t>
        </is>
      </c>
      <c r="W151" s="5" t="inlineStr">
        <is>
          <t>yes</t>
        </is>
      </c>
      <c r="X151" s="5" t="inlineStr">
        <is>
          <t>no</t>
        </is>
      </c>
      <c r="Y151" s="5" t="inlineStr">
        <is>
          <t>no</t>
        </is>
      </c>
      <c r="Z151" s="5" t="inlineStr">
        <is>
          <t>yes</t>
        </is>
      </c>
      <c r="AA151" s="5" t="n">
        <v>8.050000000000001</v>
      </c>
      <c r="AB151" s="5" t="n"/>
      <c r="AC151" s="5" t="n"/>
      <c r="AD151" s="5" t="n"/>
      <c r="AE151" s="5" t="n">
        <v>4716.3</v>
      </c>
      <c r="AF151" s="5" t="n">
        <v>1893.3</v>
      </c>
      <c r="AG151" s="5" t="n">
        <v>4766.6</v>
      </c>
      <c r="AH151" s="5" t="n">
        <v>1900.8</v>
      </c>
      <c r="AI151" s="5" t="inlineStr">
        <is>
          <t>n/a</t>
        </is>
      </c>
      <c r="AJ151" s="5" t="inlineStr"/>
      <c r="AK151" s="5" t="inlineStr"/>
      <c r="AL151" s="5" t="inlineStr"/>
      <c r="AM151" s="5" t="inlineStr"/>
    </row>
    <row r="152">
      <c r="A152" s="5" t="n">
        <v>151</v>
      </c>
      <c r="B152" s="5" t="inlineStr">
        <is>
          <t>121</t>
        </is>
      </c>
      <c r="C152" s="5" t="inlineStr">
        <is>
          <t>nearest labels (100% agree)</t>
        </is>
      </c>
      <c r="D152" s="5" t="inlineStr">
        <is>
          <t>grade_beam</t>
        </is>
      </c>
      <c r="E152" s="5" t="inlineStr">
        <is>
          <t>grade_beam</t>
        </is>
      </c>
      <c r="F152" s="5" t="inlineStr">
        <is>
          <t>LG25x40</t>
        </is>
      </c>
      <c r="G152" s="5" t="inlineStr"/>
      <c r="H152" s="5" t="inlineStr">
        <is>
          <t>band width matches label</t>
        </is>
      </c>
      <c r="I152" s="5" t="n">
        <v>170</v>
      </c>
      <c r="J152" s="5" t="n">
        <v>25</v>
      </c>
      <c r="K152" s="9">
        <f>IF(AND(ISNUMBER(I152),ISNUMBER(J152),J152&gt;0),I152/J152,"")</f>
        <v/>
      </c>
      <c r="L152" s="5" t="n">
        <v>0.425</v>
      </c>
      <c r="M152" s="5" t="n">
        <v>1.7</v>
      </c>
      <c r="N152" s="5" t="n">
        <v>179.9</v>
      </c>
      <c r="O152" s="5" t="inlineStr">
        <is>
          <t>parallel line pair</t>
        </is>
      </c>
      <c r="P152" s="5" t="inlineStr">
        <is>
          <t>two parallel lines at the width written in the LG label, empty inside</t>
        </is>
      </c>
      <c r="Q152" s="5">
        <f>IF(OR(D152="column",D152="wall"),IF(I152&lt;='P vs V'!$B$3*J152,"column","wall"),"")</f>
        <v/>
      </c>
      <c r="R152" s="5" t="inlineStr"/>
      <c r="S152" s="5" t="inlineStr"/>
      <c r="T152" s="5" t="n"/>
      <c r="U152" s="5" t="inlineStr">
        <is>
          <t>no</t>
        </is>
      </c>
      <c r="V152" s="5" t="inlineStr">
        <is>
          <t>no</t>
        </is>
      </c>
      <c r="W152" s="5" t="inlineStr">
        <is>
          <t>yes</t>
        </is>
      </c>
      <c r="X152" s="5" t="inlineStr">
        <is>
          <t>no</t>
        </is>
      </c>
      <c r="Y152" s="5" t="inlineStr">
        <is>
          <t>no</t>
        </is>
      </c>
      <c r="Z152" s="5" t="inlineStr">
        <is>
          <t>yes</t>
        </is>
      </c>
      <c r="AA152" s="5" t="n">
        <v>5.4</v>
      </c>
      <c r="AB152" s="5" t="n"/>
      <c r="AC152" s="5" t="n"/>
      <c r="AD152" s="5" t="n"/>
      <c r="AE152" s="5" t="n">
        <v>4716.2</v>
      </c>
      <c r="AF152" s="5" t="n">
        <v>1815.1</v>
      </c>
      <c r="AG152" s="5" t="n">
        <v>4766.4</v>
      </c>
      <c r="AH152" s="5" t="n">
        <v>1822.5</v>
      </c>
      <c r="AI152" s="5" t="inlineStr">
        <is>
          <t>n/a</t>
        </is>
      </c>
      <c r="AJ152" s="5" t="inlineStr"/>
      <c r="AK152" s="5" t="inlineStr"/>
      <c r="AL152" s="5" t="inlineStr"/>
      <c r="AM152" s="5" t="inlineStr"/>
    </row>
    <row r="153">
      <c r="A153" s="5" t="n">
        <v>152</v>
      </c>
      <c r="B153" s="5" t="inlineStr">
        <is>
          <t>121</t>
        </is>
      </c>
      <c r="C153" s="5" t="inlineStr">
        <is>
          <t>nearest labels (60% agree)</t>
        </is>
      </c>
      <c r="D153" s="5" t="inlineStr">
        <is>
          <t>grade_beam</t>
        </is>
      </c>
      <c r="E153" s="5" t="inlineStr">
        <is>
          <t>grade_beam</t>
        </is>
      </c>
      <c r="F153" s="5" t="inlineStr">
        <is>
          <t>LG40x15</t>
        </is>
      </c>
      <c r="G153" s="5" t="inlineStr"/>
      <c r="H153" s="5" t="inlineStr">
        <is>
          <t>band width matches label</t>
        </is>
      </c>
      <c r="I153" s="5" t="n">
        <v>770</v>
      </c>
      <c r="J153" s="5" t="n">
        <v>40</v>
      </c>
      <c r="K153" s="9">
        <f>IF(AND(ISNUMBER(I153),ISNUMBER(J153),J153&gt;0),I153/J153,"")</f>
        <v/>
      </c>
      <c r="L153" s="5" t="n">
        <v>3.079</v>
      </c>
      <c r="M153" s="5" t="n">
        <v>7.7</v>
      </c>
      <c r="N153" s="5" t="n">
        <v>90</v>
      </c>
      <c r="O153" s="5" t="inlineStr">
        <is>
          <t>parallel line pair</t>
        </is>
      </c>
      <c r="P153" s="5" t="inlineStr">
        <is>
          <t>two parallel lines at the width written in the LG label, empty inside</t>
        </is>
      </c>
      <c r="Q153" s="5">
        <f>IF(OR(D153="column",D153="wall"),IF(I153&lt;='P vs V'!$B$3*J153,"column","wall"),"")</f>
        <v/>
      </c>
      <c r="R153" s="5" t="inlineStr"/>
      <c r="S153" s="5" t="inlineStr"/>
      <c r="T153" s="5" t="n"/>
      <c r="U153" s="5" t="inlineStr">
        <is>
          <t>yes</t>
        </is>
      </c>
      <c r="V153" s="5" t="inlineStr">
        <is>
          <t>no</t>
        </is>
      </c>
      <c r="W153" s="5" t="inlineStr">
        <is>
          <t>yes</t>
        </is>
      </c>
      <c r="X153" s="5" t="inlineStr">
        <is>
          <t>no</t>
        </is>
      </c>
      <c r="Y153" s="5" t="inlineStr">
        <is>
          <t>no</t>
        </is>
      </c>
      <c r="Z153" s="5" t="inlineStr">
        <is>
          <t>yes</t>
        </is>
      </c>
      <c r="AA153" s="5" t="n">
        <v>2.81</v>
      </c>
      <c r="AB153" s="5" t="n"/>
      <c r="AC153" s="5" t="n"/>
      <c r="AD153" s="5" t="n"/>
      <c r="AE153" s="5" t="n">
        <v>4292.7</v>
      </c>
      <c r="AF153" s="5" t="n">
        <v>1333.6</v>
      </c>
      <c r="AG153" s="5" t="n">
        <v>4304.7</v>
      </c>
      <c r="AH153" s="5" t="n">
        <v>1560.9</v>
      </c>
      <c r="AI153" s="5" t="inlineStr">
        <is>
          <t>n/a</t>
        </is>
      </c>
      <c r="AJ153" s="5" t="inlineStr"/>
      <c r="AK153" s="5" t="inlineStr"/>
      <c r="AL153" s="5" t="inlineStr"/>
      <c r="AM153" s="5" t="inlineStr"/>
    </row>
    <row r="154">
      <c r="A154" s="5" t="n">
        <v>153</v>
      </c>
      <c r="B154" s="5" t="inlineStr">
        <is>
          <t>121</t>
        </is>
      </c>
      <c r="C154" s="5" t="inlineStr">
        <is>
          <t>nearest labels (100% agree)</t>
        </is>
      </c>
      <c r="D154" s="5" t="inlineStr">
        <is>
          <t>grade_beam</t>
        </is>
      </c>
      <c r="E154" s="5" t="inlineStr">
        <is>
          <t>grade_beam</t>
        </is>
      </c>
      <c r="F154" s="5" t="inlineStr">
        <is>
          <t>LG40x15</t>
        </is>
      </c>
      <c r="G154" s="5" t="inlineStr"/>
      <c r="H154" s="5" t="inlineStr">
        <is>
          <t>band width matches label</t>
        </is>
      </c>
      <c r="I154" s="5" t="n">
        <v>283</v>
      </c>
      <c r="J154" s="5" t="n">
        <v>40</v>
      </c>
      <c r="K154" s="9">
        <f>IF(AND(ISNUMBER(I154),ISNUMBER(J154),J154&gt;0),I154/J154,"")</f>
        <v/>
      </c>
      <c r="L154" s="5" t="n">
        <v>1.13</v>
      </c>
      <c r="M154" s="5" t="n">
        <v>2.83</v>
      </c>
      <c r="N154" s="5" t="n">
        <v>90</v>
      </c>
      <c r="O154" s="5" t="inlineStr">
        <is>
          <t>parallel line pair</t>
        </is>
      </c>
      <c r="P154" s="5" t="inlineStr">
        <is>
          <t>two parallel lines at the width written in the LG label, empty inside</t>
        </is>
      </c>
      <c r="Q154" s="5">
        <f>IF(OR(D154="column",D154="wall"),IF(I154&lt;='P vs V'!$B$3*J154,"column","wall"),"")</f>
        <v/>
      </c>
      <c r="R154" s="5" t="inlineStr"/>
      <c r="S154" s="5" t="inlineStr"/>
      <c r="T154" s="5" t="n"/>
      <c r="U154" s="5" t="inlineStr">
        <is>
          <t>no</t>
        </is>
      </c>
      <c r="V154" s="5" t="inlineStr">
        <is>
          <t>no</t>
        </is>
      </c>
      <c r="W154" s="5" t="inlineStr">
        <is>
          <t>yes</t>
        </is>
      </c>
      <c r="X154" s="5" t="inlineStr">
        <is>
          <t>no</t>
        </is>
      </c>
      <c r="Y154" s="5" t="inlineStr">
        <is>
          <t>no</t>
        </is>
      </c>
      <c r="Z154" s="5" t="inlineStr">
        <is>
          <t>yes</t>
        </is>
      </c>
      <c r="AA154" s="5" t="n">
        <v>1.7</v>
      </c>
      <c r="AB154" s="5" t="n"/>
      <c r="AC154" s="5" t="n"/>
      <c r="AD154" s="5" t="n"/>
      <c r="AE154" s="5" t="n">
        <v>4292.9</v>
      </c>
      <c r="AF154" s="5" t="n">
        <v>1568.2</v>
      </c>
      <c r="AG154" s="5" t="n">
        <v>4304.8</v>
      </c>
      <c r="AH154" s="5" t="n">
        <v>1651.6</v>
      </c>
      <c r="AI154" s="5" t="inlineStr">
        <is>
          <t>n/a</t>
        </is>
      </c>
      <c r="AJ154" s="5" t="inlineStr"/>
      <c r="AK154" s="5" t="inlineStr"/>
      <c r="AL154" s="5" t="inlineStr"/>
      <c r="AM154" s="5" t="inlineStr"/>
    </row>
    <row r="155">
      <c r="A155" s="5" t="n">
        <v>154</v>
      </c>
      <c r="B155" s="5" t="inlineStr">
        <is>
          <t>121</t>
        </is>
      </c>
      <c r="C155" s="5" t="inlineStr">
        <is>
          <t>nearest labels (100% agree)</t>
        </is>
      </c>
      <c r="D155" s="5" t="inlineStr">
        <is>
          <t>grade_beam</t>
        </is>
      </c>
      <c r="E155" s="5" t="inlineStr">
        <is>
          <t>grade_beam</t>
        </is>
      </c>
      <c r="F155" s="5" t="inlineStr">
        <is>
          <t>LG40x15</t>
        </is>
      </c>
      <c r="G155" s="5" t="inlineStr"/>
      <c r="H155" s="5" t="inlineStr">
        <is>
          <t>band width matches label</t>
        </is>
      </c>
      <c r="I155" s="5" t="n">
        <v>324</v>
      </c>
      <c r="J155" s="5" t="n">
        <v>40</v>
      </c>
      <c r="K155" s="9">
        <f>IF(AND(ISNUMBER(I155),ISNUMBER(J155),J155&gt;0),I155/J155,"")</f>
        <v/>
      </c>
      <c r="L155" s="5" t="n">
        <v>1.298</v>
      </c>
      <c r="M155" s="5" t="n">
        <v>3.24</v>
      </c>
      <c r="N155" s="5" t="n">
        <v>90</v>
      </c>
      <c r="O155" s="5" t="inlineStr">
        <is>
          <t>parallel line pair</t>
        </is>
      </c>
      <c r="P155" s="5" t="inlineStr">
        <is>
          <t>two parallel lines at the width written in the LG label, empty inside</t>
        </is>
      </c>
      <c r="Q155" s="5">
        <f>IF(OR(D155="column",D155="wall"),IF(I155&lt;='P vs V'!$B$3*J155,"column","wall"),"")</f>
        <v/>
      </c>
      <c r="R155" s="5" t="inlineStr"/>
      <c r="S155" s="5" t="inlineStr"/>
      <c r="T155" s="5" t="n"/>
      <c r="U155" s="5" t="inlineStr">
        <is>
          <t>no</t>
        </is>
      </c>
      <c r="V155" s="5" t="inlineStr">
        <is>
          <t>no</t>
        </is>
      </c>
      <c r="W155" s="5" t="inlineStr">
        <is>
          <t>no</t>
        </is>
      </c>
      <c r="X155" s="5" t="inlineStr">
        <is>
          <t>no</t>
        </is>
      </c>
      <c r="Y155" s="5" t="inlineStr">
        <is>
          <t>no</t>
        </is>
      </c>
      <c r="Z155" s="5" t="inlineStr">
        <is>
          <t>no</t>
        </is>
      </c>
      <c r="AA155" s="5" t="n">
        <v>1.93</v>
      </c>
      <c r="AB155" s="5" t="n"/>
      <c r="AC155" s="5" t="n"/>
      <c r="AD155" s="5" t="n"/>
      <c r="AE155" s="5" t="n">
        <v>4293</v>
      </c>
      <c r="AF155" s="5" t="n">
        <v>1669.3</v>
      </c>
      <c r="AG155" s="5" t="n">
        <v>4304.9</v>
      </c>
      <c r="AH155" s="5" t="n">
        <v>1765.1</v>
      </c>
      <c r="AI155" s="5" t="inlineStr">
        <is>
          <t>n/a</t>
        </is>
      </c>
      <c r="AJ155" s="5" t="inlineStr"/>
      <c r="AK155" s="5" t="inlineStr"/>
      <c r="AL155" s="5" t="inlineStr"/>
      <c r="AM155" s="5" t="inlineStr"/>
    </row>
    <row r="156">
      <c r="A156" s="5" t="n">
        <v>155</v>
      </c>
      <c r="B156" s="5" t="inlineStr">
        <is>
          <t>121</t>
        </is>
      </c>
      <c r="C156" s="5" t="inlineStr">
        <is>
          <t>nearest labels (100% agree)</t>
        </is>
      </c>
      <c r="D156" s="5" t="inlineStr">
        <is>
          <t>grade_beam</t>
        </is>
      </c>
      <c r="E156" s="5" t="inlineStr">
        <is>
          <t>grade_beam</t>
        </is>
      </c>
      <c r="F156" s="5" t="inlineStr">
        <is>
          <t>LG40x15</t>
        </is>
      </c>
      <c r="G156" s="5" t="inlineStr"/>
      <c r="H156" s="5" t="inlineStr">
        <is>
          <t>band width matches label</t>
        </is>
      </c>
      <c r="I156" s="5" t="n">
        <v>573</v>
      </c>
      <c r="J156" s="5" t="n">
        <v>40</v>
      </c>
      <c r="K156" s="9">
        <f>IF(AND(ISNUMBER(I156),ISNUMBER(J156),J156&gt;0),I156/J156,"")</f>
        <v/>
      </c>
      <c r="L156" s="5" t="n">
        <v>2.291</v>
      </c>
      <c r="M156" s="5" t="n">
        <v>5.73</v>
      </c>
      <c r="N156" s="5" t="n">
        <v>90</v>
      </c>
      <c r="O156" s="5" t="inlineStr">
        <is>
          <t>parallel line pair</t>
        </is>
      </c>
      <c r="P156" s="5" t="inlineStr">
        <is>
          <t>two parallel lines at the width written in the LG label, empty inside</t>
        </is>
      </c>
      <c r="Q156" s="5">
        <f>IF(OR(D156="column",D156="wall"),IF(I156&lt;='P vs V'!$B$3*J156,"column","wall"),"")</f>
        <v/>
      </c>
      <c r="R156" s="5" t="inlineStr"/>
      <c r="S156" s="5" t="inlineStr"/>
      <c r="T156" s="5" t="n"/>
      <c r="U156" s="5" t="inlineStr">
        <is>
          <t>no</t>
        </is>
      </c>
      <c r="V156" s="5" t="inlineStr">
        <is>
          <t>no</t>
        </is>
      </c>
      <c r="W156" s="5" t="inlineStr">
        <is>
          <t>no</t>
        </is>
      </c>
      <c r="X156" s="5" t="inlineStr">
        <is>
          <t>no</t>
        </is>
      </c>
      <c r="Y156" s="5" t="inlineStr">
        <is>
          <t>no</t>
        </is>
      </c>
      <c r="Z156" s="5" t="inlineStr">
        <is>
          <t>no</t>
        </is>
      </c>
      <c r="AA156" s="5" t="n">
        <v>6.23</v>
      </c>
      <c r="AB156" s="5" t="n"/>
      <c r="AC156" s="5" t="n"/>
      <c r="AD156" s="5" t="n"/>
      <c r="AE156" s="5" t="n">
        <v>4293.1</v>
      </c>
      <c r="AF156" s="5" t="n">
        <v>1824.1</v>
      </c>
      <c r="AG156" s="5" t="n">
        <v>4305.1</v>
      </c>
      <c r="AH156" s="5" t="n">
        <v>1993.3</v>
      </c>
      <c r="AI156" s="5" t="inlineStr">
        <is>
          <t>n/a</t>
        </is>
      </c>
      <c r="AJ156" s="5" t="inlineStr"/>
      <c r="AK156" s="5" t="inlineStr"/>
      <c r="AL156" s="5" t="inlineStr"/>
      <c r="AM156" s="5" t="inlineStr"/>
    </row>
    <row r="157">
      <c r="A157" s="5" t="n">
        <v>156</v>
      </c>
      <c r="B157" s="5" t="inlineStr">
        <is>
          <t>121</t>
        </is>
      </c>
      <c r="C157" s="5" t="inlineStr">
        <is>
          <t>nearest labels (60% agree)</t>
        </is>
      </c>
      <c r="D157" s="5" t="inlineStr">
        <is>
          <t>grade_beam</t>
        </is>
      </c>
      <c r="E157" s="5" t="inlineStr">
        <is>
          <t>grade_beam</t>
        </is>
      </c>
      <c r="F157" s="5" t="inlineStr">
        <is>
          <t>LG40x15</t>
        </is>
      </c>
      <c r="G157" s="5" t="inlineStr"/>
      <c r="H157" s="5" t="inlineStr">
        <is>
          <t>band width matches label</t>
        </is>
      </c>
      <c r="I157" s="5" t="n">
        <v>109</v>
      </c>
      <c r="J157" s="5" t="n">
        <v>40</v>
      </c>
      <c r="K157" s="9">
        <f>IF(AND(ISNUMBER(I157),ISNUMBER(J157),J157&gt;0),I157/J157,"")</f>
        <v/>
      </c>
      <c r="L157" s="5" t="n">
        <v>0.435</v>
      </c>
      <c r="M157" s="5" t="n">
        <v>1.09</v>
      </c>
      <c r="N157" s="5" t="n">
        <v>90</v>
      </c>
      <c r="O157" s="5" t="inlineStr">
        <is>
          <t>parallel line pair</t>
        </is>
      </c>
      <c r="P157" s="5" t="inlineStr">
        <is>
          <t>two parallel lines at the width written in the LG label, empty inside</t>
        </is>
      </c>
      <c r="Q157" s="5">
        <f>IF(OR(D157="column",D157="wall"),IF(I157&lt;='P vs V'!$B$3*J157,"column","wall"),"")</f>
        <v/>
      </c>
      <c r="R157" s="5" t="inlineStr"/>
      <c r="S157" s="5" t="inlineStr"/>
      <c r="T157" s="5" t="n"/>
      <c r="U157" s="5" t="inlineStr">
        <is>
          <t>no</t>
        </is>
      </c>
      <c r="V157" s="5" t="inlineStr">
        <is>
          <t>no</t>
        </is>
      </c>
      <c r="W157" s="5" t="inlineStr">
        <is>
          <t>no</t>
        </is>
      </c>
      <c r="X157" s="5" t="inlineStr">
        <is>
          <t>no</t>
        </is>
      </c>
      <c r="Y157" s="5" t="inlineStr">
        <is>
          <t>no</t>
        </is>
      </c>
      <c r="Z157" s="5" t="inlineStr">
        <is>
          <t>no</t>
        </is>
      </c>
      <c r="AA157" s="5" t="n">
        <v>1.09</v>
      </c>
      <c r="AB157" s="5" t="n"/>
      <c r="AC157" s="5" t="n"/>
      <c r="AD157" s="5" t="n"/>
      <c r="AE157" s="5" t="n">
        <v>4293.3</v>
      </c>
      <c r="AF157" s="5" t="n">
        <v>2052.3</v>
      </c>
      <c r="AG157" s="5" t="n">
        <v>4305.1</v>
      </c>
      <c r="AH157" s="5" t="n">
        <v>2084.5</v>
      </c>
      <c r="AI157" s="5" t="inlineStr">
        <is>
          <t>n/a</t>
        </is>
      </c>
      <c r="AJ157" s="5" t="inlineStr"/>
      <c r="AK157" s="5" t="inlineStr"/>
      <c r="AL157" s="5" t="inlineStr"/>
      <c r="AM157" s="5" t="inlineStr"/>
    </row>
    <row r="158">
      <c r="A158" s="5" t="n">
        <v>157</v>
      </c>
      <c r="B158" s="5" t="inlineStr">
        <is>
          <t>121</t>
        </is>
      </c>
      <c r="C158" s="5" t="inlineStr">
        <is>
          <t>nearest labels (80% agree)</t>
        </is>
      </c>
      <c r="D158" s="5" t="inlineStr">
        <is>
          <t>grade_beam</t>
        </is>
      </c>
      <c r="E158" s="5" t="inlineStr">
        <is>
          <t>grade_beam</t>
        </is>
      </c>
      <c r="F158" s="5" t="inlineStr">
        <is>
          <t>LG40x15</t>
        </is>
      </c>
      <c r="G158" s="5" t="inlineStr"/>
      <c r="H158" s="5" t="inlineStr">
        <is>
          <t>band width matches label</t>
        </is>
      </c>
      <c r="I158" s="5" t="n">
        <v>596</v>
      </c>
      <c r="J158" s="5" t="n">
        <v>40</v>
      </c>
      <c r="K158" s="9">
        <f>IF(AND(ISNUMBER(I158),ISNUMBER(J158),J158&gt;0),I158/J158,"")</f>
        <v/>
      </c>
      <c r="L158" s="5" t="n">
        <v>2.386</v>
      </c>
      <c r="M158" s="5" t="n">
        <v>5.96</v>
      </c>
      <c r="N158" s="5" t="n">
        <v>90</v>
      </c>
      <c r="O158" s="5" t="inlineStr">
        <is>
          <t>parallel line pair</t>
        </is>
      </c>
      <c r="P158" s="5" t="inlineStr">
        <is>
          <t>two parallel lines at the width written in the LG label, empty inside</t>
        </is>
      </c>
      <c r="Q158" s="5">
        <f>IF(OR(D158="column",D158="wall"),IF(I158&lt;='P vs V'!$B$3*J158,"column","wall"),"")</f>
        <v/>
      </c>
      <c r="R158" s="5" t="inlineStr"/>
      <c r="S158" s="5" t="inlineStr"/>
      <c r="T158" s="5" t="n"/>
      <c r="U158" s="5" t="inlineStr">
        <is>
          <t>no</t>
        </is>
      </c>
      <c r="V158" s="5" t="inlineStr">
        <is>
          <t>no</t>
        </is>
      </c>
      <c r="W158" s="5" t="inlineStr">
        <is>
          <t>no</t>
        </is>
      </c>
      <c r="X158" s="5" t="inlineStr">
        <is>
          <t>no</t>
        </is>
      </c>
      <c r="Y158" s="5" t="inlineStr">
        <is>
          <t>no</t>
        </is>
      </c>
      <c r="Z158" s="5" t="inlineStr">
        <is>
          <t>yes</t>
        </is>
      </c>
      <c r="AA158" s="5" t="n">
        <v>1.51</v>
      </c>
      <c r="AB158" s="5" t="n"/>
      <c r="AC158" s="5" t="n"/>
      <c r="AD158" s="5" t="n"/>
      <c r="AE158" s="5" t="n">
        <v>4540.3</v>
      </c>
      <c r="AF158" s="5" t="n">
        <v>1397</v>
      </c>
      <c r="AG158" s="5" t="n">
        <v>4552.2</v>
      </c>
      <c r="AH158" s="5" t="n">
        <v>1573.2</v>
      </c>
      <c r="AI158" s="5" t="inlineStr">
        <is>
          <t>n/a</t>
        </is>
      </c>
      <c r="AJ158" s="5" t="inlineStr"/>
      <c r="AK158" s="5" t="inlineStr"/>
      <c r="AL158" s="5" t="inlineStr"/>
      <c r="AM158" s="5" t="inlineStr"/>
    </row>
    <row r="159">
      <c r="A159" s="5" t="n">
        <v>158</v>
      </c>
      <c r="B159" s="5" t="inlineStr">
        <is>
          <t>121</t>
        </is>
      </c>
      <c r="C159" s="5" t="inlineStr">
        <is>
          <t>nearest labels (100% agree)</t>
        </is>
      </c>
      <c r="D159" s="5" t="inlineStr">
        <is>
          <t>grade_beam</t>
        </is>
      </c>
      <c r="E159" s="5" t="inlineStr">
        <is>
          <t>grade_beam</t>
        </is>
      </c>
      <c r="F159" s="5" t="inlineStr">
        <is>
          <t>LG40x15</t>
        </is>
      </c>
      <c r="G159" s="5" t="inlineStr"/>
      <c r="H159" s="5" t="inlineStr">
        <is>
          <t>band width matches label</t>
        </is>
      </c>
      <c r="I159" s="5" t="n">
        <v>63</v>
      </c>
      <c r="J159" s="5" t="n">
        <v>40</v>
      </c>
      <c r="K159" s="9">
        <f>IF(AND(ISNUMBER(I159),ISNUMBER(J159),J159&gt;0),I159/J159,"")</f>
        <v/>
      </c>
      <c r="L159" s="5" t="n">
        <v>0.251</v>
      </c>
      <c r="M159" s="5" t="n">
        <v>0.63</v>
      </c>
      <c r="N159" s="5" t="n">
        <v>90</v>
      </c>
      <c r="O159" s="5" t="inlineStr">
        <is>
          <t>parallel line pair</t>
        </is>
      </c>
      <c r="P159" s="5" t="inlineStr">
        <is>
          <t>two parallel lines at the width written in the LG label, empty inside</t>
        </is>
      </c>
      <c r="Q159" s="5">
        <f>IF(OR(D159="column",D159="wall"),IF(I159&lt;='P vs V'!$B$3*J159,"column","wall"),"")</f>
        <v/>
      </c>
      <c r="R159" s="5" t="inlineStr"/>
      <c r="S159" s="5" t="inlineStr"/>
      <c r="T159" s="5" t="n"/>
      <c r="U159" s="5" t="inlineStr">
        <is>
          <t>no</t>
        </is>
      </c>
      <c r="V159" s="5" t="inlineStr">
        <is>
          <t>no</t>
        </is>
      </c>
      <c r="W159" s="5" t="inlineStr">
        <is>
          <t>no</t>
        </is>
      </c>
      <c r="X159" s="5" t="inlineStr">
        <is>
          <t>no</t>
        </is>
      </c>
      <c r="Y159" s="5" t="inlineStr">
        <is>
          <t>no</t>
        </is>
      </c>
      <c r="Z159" s="5" t="inlineStr">
        <is>
          <t>no</t>
        </is>
      </c>
      <c r="AA159" s="5" t="n">
        <v>1.89</v>
      </c>
      <c r="AB159" s="5" t="n"/>
      <c r="AC159" s="5" t="n"/>
      <c r="AD159" s="5" t="n"/>
      <c r="AE159" s="5" t="n">
        <v>4540.1</v>
      </c>
      <c r="AF159" s="5" t="n">
        <v>1706</v>
      </c>
      <c r="AG159" s="5" t="n">
        <v>4552</v>
      </c>
      <c r="AH159" s="5" t="n">
        <v>1724.5</v>
      </c>
      <c r="AI159" s="5" t="inlineStr">
        <is>
          <t>n/a</t>
        </is>
      </c>
      <c r="AJ159" s="5" t="inlineStr"/>
      <c r="AK159" s="5" t="inlineStr"/>
      <c r="AL159" s="5" t="inlineStr"/>
      <c r="AM159" s="5" t="inlineStr"/>
    </row>
    <row r="160">
      <c r="A160" s="5" t="n">
        <v>159</v>
      </c>
      <c r="B160" s="5" t="inlineStr">
        <is>
          <t>121</t>
        </is>
      </c>
      <c r="C160" s="5" t="inlineStr">
        <is>
          <t>nearest labels (80% agree)</t>
        </is>
      </c>
      <c r="D160" s="5" t="inlineStr">
        <is>
          <t>grade_beam</t>
        </is>
      </c>
      <c r="E160" s="5" t="inlineStr">
        <is>
          <t>grade_beam</t>
        </is>
      </c>
      <c r="F160" s="5" t="inlineStr">
        <is>
          <t>LG40x15</t>
        </is>
      </c>
      <c r="G160" s="5" t="inlineStr"/>
      <c r="H160" s="5" t="inlineStr">
        <is>
          <t>band width matches label</t>
        </is>
      </c>
      <c r="I160" s="5" t="n">
        <v>170</v>
      </c>
      <c r="J160" s="5" t="n">
        <v>40</v>
      </c>
      <c r="K160" s="9">
        <f>IF(AND(ISNUMBER(I160),ISNUMBER(J160),J160&gt;0),I160/J160,"")</f>
        <v/>
      </c>
      <c r="L160" s="5" t="n">
        <v>0.68</v>
      </c>
      <c r="M160" s="5" t="n">
        <v>1.7</v>
      </c>
      <c r="N160" s="5" t="n">
        <v>90</v>
      </c>
      <c r="O160" s="5" t="inlineStr">
        <is>
          <t>parallel line pair</t>
        </is>
      </c>
      <c r="P160" s="5" t="inlineStr">
        <is>
          <t>two parallel lines at the width written in the LG label, empty inside</t>
        </is>
      </c>
      <c r="Q160" s="5">
        <f>IF(OR(D160="column",D160="wall"),IF(I160&lt;='P vs V'!$B$3*J160,"column","wall"),"")</f>
        <v/>
      </c>
      <c r="R160" s="5" t="inlineStr"/>
      <c r="S160" s="5" t="inlineStr"/>
      <c r="T160" s="5" t="n"/>
      <c r="U160" s="5" t="inlineStr">
        <is>
          <t>no</t>
        </is>
      </c>
      <c r="V160" s="5" t="inlineStr">
        <is>
          <t>no</t>
        </is>
      </c>
      <c r="W160" s="5" t="inlineStr">
        <is>
          <t>no</t>
        </is>
      </c>
      <c r="X160" s="5" t="inlineStr">
        <is>
          <t>no</t>
        </is>
      </c>
      <c r="Y160" s="5" t="inlineStr">
        <is>
          <t>no</t>
        </is>
      </c>
      <c r="Z160" s="5" t="inlineStr">
        <is>
          <t>no</t>
        </is>
      </c>
      <c r="AA160" s="5" t="n">
        <v>6.55</v>
      </c>
      <c r="AB160" s="5" t="n"/>
      <c r="AC160" s="5" t="n"/>
      <c r="AD160" s="5" t="n"/>
      <c r="AE160" s="5" t="n">
        <v>4540</v>
      </c>
      <c r="AF160" s="5" t="n">
        <v>1827.9</v>
      </c>
      <c r="AG160" s="5" t="n">
        <v>4551.9</v>
      </c>
      <c r="AH160" s="5" t="n">
        <v>1878</v>
      </c>
      <c r="AI160" s="5" t="inlineStr">
        <is>
          <t>n/a</t>
        </is>
      </c>
      <c r="AJ160" s="5" t="inlineStr"/>
      <c r="AK160" s="5" t="inlineStr"/>
      <c r="AL160" s="5" t="inlineStr"/>
      <c r="AM160" s="5" t="inlineStr"/>
    </row>
    <row r="161">
      <c r="A161" s="5" t="n">
        <v>160</v>
      </c>
      <c r="B161" s="5" t="inlineStr">
        <is>
          <t>121</t>
        </is>
      </c>
      <c r="C161" s="5" t="inlineStr">
        <is>
          <t>nearest labels (60% agree)</t>
        </is>
      </c>
      <c r="D161" s="5" t="inlineStr">
        <is>
          <t>grade_beam</t>
        </is>
      </c>
      <c r="E161" s="5" t="inlineStr">
        <is>
          <t>grade_beam</t>
        </is>
      </c>
      <c r="F161" s="5" t="inlineStr">
        <is>
          <t>LG40x15</t>
        </is>
      </c>
      <c r="G161" s="5" t="inlineStr"/>
      <c r="H161" s="5" t="inlineStr">
        <is>
          <t>band width matches label</t>
        </is>
      </c>
      <c r="I161" s="5" t="n">
        <v>77</v>
      </c>
      <c r="J161" s="5" t="n">
        <v>40</v>
      </c>
      <c r="K161" s="9">
        <f>IF(AND(ISNUMBER(I161),ISNUMBER(J161),J161&gt;0),I161/J161,"")</f>
        <v/>
      </c>
      <c r="L161" s="5" t="n">
        <v>0.31</v>
      </c>
      <c r="M161" s="5" t="n">
        <v>0.77</v>
      </c>
      <c r="N161" s="5" t="n">
        <v>90</v>
      </c>
      <c r="O161" s="5" t="inlineStr">
        <is>
          <t>parallel line pair</t>
        </is>
      </c>
      <c r="P161" s="5" t="inlineStr">
        <is>
          <t>two parallel lines at the width written in the LG label, empty inside</t>
        </is>
      </c>
      <c r="Q161" s="5">
        <f>IF(OR(D161="column",D161="wall"),IF(I161&lt;='P vs V'!$B$3*J161,"column","wall"),"")</f>
        <v/>
      </c>
      <c r="R161" s="5" t="inlineStr"/>
      <c r="S161" s="5" t="inlineStr"/>
      <c r="T161" s="5" t="n"/>
      <c r="U161" s="5" t="inlineStr">
        <is>
          <t>no</t>
        </is>
      </c>
      <c r="V161" s="5" t="inlineStr">
        <is>
          <t>no</t>
        </is>
      </c>
      <c r="W161" s="5" t="inlineStr">
        <is>
          <t>yes</t>
        </is>
      </c>
      <c r="X161" s="5" t="inlineStr">
        <is>
          <t>no</t>
        </is>
      </c>
      <c r="Y161" s="5" t="inlineStr">
        <is>
          <t>no</t>
        </is>
      </c>
      <c r="Z161" s="5" t="inlineStr">
        <is>
          <t>yes</t>
        </is>
      </c>
      <c r="AA161" s="5" t="n">
        <v>7.94</v>
      </c>
      <c r="AB161" s="5" t="n"/>
      <c r="AC161" s="5" t="n"/>
      <c r="AD161" s="5" t="n"/>
      <c r="AE161" s="5" t="n">
        <v>4539.9</v>
      </c>
      <c r="AF161" s="5" t="n">
        <v>2010.9</v>
      </c>
      <c r="AG161" s="5" t="n">
        <v>4551.7</v>
      </c>
      <c r="AH161" s="5" t="n">
        <v>2033.8</v>
      </c>
      <c r="AI161" s="5" t="inlineStr">
        <is>
          <t>n/a</t>
        </is>
      </c>
      <c r="AJ161" s="5" t="inlineStr"/>
      <c r="AK161" s="5" t="inlineStr"/>
      <c r="AL161" s="5" t="inlineStr"/>
      <c r="AM161" s="5" t="inlineStr"/>
    </row>
    <row r="162">
      <c r="A162" s="5" t="n">
        <v>161</v>
      </c>
      <c r="B162" s="5" t="inlineStr">
        <is>
          <t>121</t>
        </is>
      </c>
      <c r="C162" s="5" t="inlineStr">
        <is>
          <t>nearest labels (60% agree)</t>
        </is>
      </c>
      <c r="D162" s="5" t="inlineStr">
        <is>
          <t>grade_beam</t>
        </is>
      </c>
      <c r="E162" s="5" t="inlineStr">
        <is>
          <t>grade_beam</t>
        </is>
      </c>
      <c r="F162" s="5" t="inlineStr">
        <is>
          <t>LG40x15</t>
        </is>
      </c>
      <c r="G162" s="5" t="inlineStr"/>
      <c r="H162" s="5" t="inlineStr">
        <is>
          <t>band width matches label</t>
        </is>
      </c>
      <c r="I162" s="5" t="n">
        <v>280</v>
      </c>
      <c r="J162" s="5" t="n">
        <v>40</v>
      </c>
      <c r="K162" s="9">
        <f>IF(AND(ISNUMBER(I162),ISNUMBER(J162),J162&gt;0),I162/J162,"")</f>
        <v/>
      </c>
      <c r="L162" s="5" t="n">
        <v>1.119</v>
      </c>
      <c r="M162" s="5" t="n">
        <v>2.8</v>
      </c>
      <c r="N162" s="5" t="n">
        <v>0</v>
      </c>
      <c r="O162" s="5" t="inlineStr">
        <is>
          <t>parallel line pair</t>
        </is>
      </c>
      <c r="P162" s="5" t="inlineStr">
        <is>
          <t>two parallel lines at the width written in the LG label, empty inside</t>
        </is>
      </c>
      <c r="Q162" s="5">
        <f>IF(OR(D162="column",D162="wall"),IF(I162&lt;='P vs V'!$B$3*J162,"column","wall"),"")</f>
        <v/>
      </c>
      <c r="R162" s="5" t="inlineStr"/>
      <c r="S162" s="5" t="inlineStr"/>
      <c r="T162" s="5" t="n"/>
      <c r="U162" s="5" t="inlineStr">
        <is>
          <t>no</t>
        </is>
      </c>
      <c r="V162" s="5" t="inlineStr">
        <is>
          <t>no</t>
        </is>
      </c>
      <c r="W162" s="5" t="inlineStr">
        <is>
          <t>no</t>
        </is>
      </c>
      <c r="X162" s="5" t="inlineStr">
        <is>
          <t>no</t>
        </is>
      </c>
      <c r="Y162" s="5" t="inlineStr">
        <is>
          <t>no</t>
        </is>
      </c>
      <c r="Z162" s="5" t="inlineStr">
        <is>
          <t>yes</t>
        </is>
      </c>
      <c r="AA162" s="5" t="n">
        <v>6.43</v>
      </c>
      <c r="AB162" s="5" t="n"/>
      <c r="AC162" s="5" t="n"/>
      <c r="AD162" s="5" t="n"/>
      <c r="AE162" s="5" t="n">
        <v>4611.2</v>
      </c>
      <c r="AF162" s="5" t="n">
        <v>1333.6</v>
      </c>
      <c r="AG162" s="5" t="n">
        <v>4693.8</v>
      </c>
      <c r="AH162" s="5" t="n">
        <v>1345.4</v>
      </c>
      <c r="AI162" s="5" t="inlineStr">
        <is>
          <t>n/a</t>
        </is>
      </c>
      <c r="AJ162" s="5" t="inlineStr"/>
      <c r="AK162" s="5" t="inlineStr"/>
      <c r="AL162" s="5" t="inlineStr"/>
      <c r="AM162" s="5" t="inlineStr"/>
    </row>
    <row r="163">
      <c r="A163" s="5" t="n">
        <v>162</v>
      </c>
      <c r="B163" s="5" t="inlineStr">
        <is>
          <t>121</t>
        </is>
      </c>
      <c r="C163" s="5" t="inlineStr">
        <is>
          <t>nearest labels (60% agree)</t>
        </is>
      </c>
      <c r="D163" s="5" t="inlineStr">
        <is>
          <t>grade_beam</t>
        </is>
      </c>
      <c r="E163" s="5" t="inlineStr">
        <is>
          <t>grade_beam</t>
        </is>
      </c>
      <c r="F163" s="5" t="inlineStr">
        <is>
          <t>LG40x15</t>
        </is>
      </c>
      <c r="G163" s="5" t="inlineStr"/>
      <c r="H163" s="5" t="inlineStr">
        <is>
          <t>band width matches label</t>
        </is>
      </c>
      <c r="I163" s="5" t="n">
        <v>280</v>
      </c>
      <c r="J163" s="5" t="n">
        <v>40</v>
      </c>
      <c r="K163" s="9">
        <f>IF(AND(ISNUMBER(I163),ISNUMBER(J163),J163&gt;0),I163/J163,"")</f>
        <v/>
      </c>
      <c r="L163" s="5" t="n">
        <v>1.119</v>
      </c>
      <c r="M163" s="5" t="n">
        <v>2.8</v>
      </c>
      <c r="N163" s="5" t="n">
        <v>0</v>
      </c>
      <c r="O163" s="5" t="inlineStr">
        <is>
          <t>parallel line pair</t>
        </is>
      </c>
      <c r="P163" s="5" t="inlineStr">
        <is>
          <t>two parallel lines at the width written in the LG label, empty inside</t>
        </is>
      </c>
      <c r="Q163" s="5">
        <f>IF(OR(D163="column",D163="wall"),IF(I163&lt;='P vs V'!$B$3*J163,"column","wall"),"")</f>
        <v/>
      </c>
      <c r="R163" s="5" t="inlineStr"/>
      <c r="S163" s="5" t="inlineStr"/>
      <c r="T163" s="5" t="n"/>
      <c r="U163" s="5" t="inlineStr">
        <is>
          <t>no</t>
        </is>
      </c>
      <c r="V163" s="5" t="inlineStr">
        <is>
          <t>no</t>
        </is>
      </c>
      <c r="W163" s="5" t="inlineStr">
        <is>
          <t>no</t>
        </is>
      </c>
      <c r="X163" s="5" t="inlineStr">
        <is>
          <t>no</t>
        </is>
      </c>
      <c r="Y163" s="5" t="inlineStr">
        <is>
          <t>no</t>
        </is>
      </c>
      <c r="Z163" s="5" t="inlineStr">
        <is>
          <t>yes</t>
        </is>
      </c>
      <c r="AA163" s="5" t="n">
        <v>6.13</v>
      </c>
      <c r="AB163" s="5" t="n"/>
      <c r="AC163" s="5" t="n"/>
      <c r="AD163" s="5" t="n"/>
      <c r="AE163" s="5" t="n">
        <v>4611.2</v>
      </c>
      <c r="AF163" s="5" t="n">
        <v>1318.7</v>
      </c>
      <c r="AG163" s="5" t="n">
        <v>4693.8</v>
      </c>
      <c r="AH163" s="5" t="n">
        <v>1330.5</v>
      </c>
      <c r="AI163" s="5" t="inlineStr">
        <is>
          <t>n/a</t>
        </is>
      </c>
      <c r="AJ163" s="5" t="inlineStr"/>
      <c r="AK163" s="5" t="inlineStr"/>
      <c r="AL163" s="5" t="inlineStr"/>
      <c r="AM163" s="5" t="inlineStr"/>
    </row>
    <row r="164">
      <c r="A164" s="5" t="n">
        <v>163</v>
      </c>
      <c r="B164" s="5" t="inlineStr">
        <is>
          <t>121</t>
        </is>
      </c>
      <c r="C164" s="5" t="inlineStr">
        <is>
          <t>nearest labels (80% agree)</t>
        </is>
      </c>
      <c r="D164" s="5" t="inlineStr">
        <is>
          <t>grade_beam</t>
        </is>
      </c>
      <c r="E164" s="5" t="inlineStr">
        <is>
          <t>grade_beam</t>
        </is>
      </c>
      <c r="F164" s="5" t="inlineStr">
        <is>
          <t>LG40x15</t>
        </is>
      </c>
      <c r="G164" s="5" t="inlineStr"/>
      <c r="H164" s="5" t="inlineStr">
        <is>
          <t>band width matches label</t>
        </is>
      </c>
      <c r="I164" s="5" t="n">
        <v>309</v>
      </c>
      <c r="J164" s="5" t="n">
        <v>40</v>
      </c>
      <c r="K164" s="9">
        <f>IF(AND(ISNUMBER(I164),ISNUMBER(J164),J164&gt;0),I164/J164,"")</f>
        <v/>
      </c>
      <c r="L164" s="5" t="n">
        <v>1.237</v>
      </c>
      <c r="M164" s="5" t="n">
        <v>3.09</v>
      </c>
      <c r="N164" s="5" t="n">
        <v>90</v>
      </c>
      <c r="O164" s="5" t="inlineStr">
        <is>
          <t>parallel line pair</t>
        </is>
      </c>
      <c r="P164" s="5" t="inlineStr">
        <is>
          <t>two parallel lines at the width written in the LG label, empty inside</t>
        </is>
      </c>
      <c r="Q164" s="5">
        <f>IF(OR(D164="column",D164="wall"),IF(I164&lt;='P vs V'!$B$3*J164,"column","wall"),"")</f>
        <v/>
      </c>
      <c r="R164" s="5" t="inlineStr"/>
      <c r="S164" s="5" t="inlineStr"/>
      <c r="T164" s="5" t="n"/>
      <c r="U164" s="5" t="inlineStr">
        <is>
          <t>no</t>
        </is>
      </c>
      <c r="V164" s="5" t="inlineStr">
        <is>
          <t>no</t>
        </is>
      </c>
      <c r="W164" s="5" t="inlineStr">
        <is>
          <t>no</t>
        </is>
      </c>
      <c r="X164" s="5" t="inlineStr">
        <is>
          <t>no</t>
        </is>
      </c>
      <c r="Y164" s="5" t="inlineStr">
        <is>
          <t>no</t>
        </is>
      </c>
      <c r="Z164" s="5" t="inlineStr">
        <is>
          <t>no</t>
        </is>
      </c>
      <c r="AA164" s="5" t="n">
        <v>2.95</v>
      </c>
      <c r="AB164" s="5" t="n"/>
      <c r="AC164" s="5" t="n"/>
      <c r="AD164" s="5" t="n"/>
      <c r="AE164" s="5" t="n">
        <v>4603.4</v>
      </c>
      <c r="AF164" s="5" t="n">
        <v>1396.9</v>
      </c>
      <c r="AG164" s="5" t="n">
        <v>4615.3</v>
      </c>
      <c r="AH164" s="5" t="n">
        <v>1488.2</v>
      </c>
      <c r="AI164" s="5" t="inlineStr">
        <is>
          <t>n/a</t>
        </is>
      </c>
      <c r="AJ164" s="5" t="inlineStr"/>
      <c r="AK164" s="5" t="inlineStr"/>
      <c r="AL164" s="5" t="inlineStr"/>
      <c r="AM164" s="5" t="inlineStr"/>
    </row>
    <row r="165">
      <c r="A165" s="5" t="n">
        <v>164</v>
      </c>
      <c r="B165" s="5" t="inlineStr">
        <is>
          <t>121</t>
        </is>
      </c>
      <c r="C165" s="5" t="inlineStr">
        <is>
          <t>nearest labels (100% agree)</t>
        </is>
      </c>
      <c r="D165" s="5" t="inlineStr">
        <is>
          <t>grade_beam</t>
        </is>
      </c>
      <c r="E165" s="5" t="inlineStr">
        <is>
          <t>grade_beam</t>
        </is>
      </c>
      <c r="F165" s="5" t="inlineStr">
        <is>
          <t>LG40x15</t>
        </is>
      </c>
      <c r="G165" s="5" t="inlineStr"/>
      <c r="H165" s="5" t="inlineStr">
        <is>
          <t>band width matches label</t>
        </is>
      </c>
      <c r="I165" s="5" t="n">
        <v>63</v>
      </c>
      <c r="J165" s="5" t="n">
        <v>40</v>
      </c>
      <c r="K165" s="9">
        <f>IF(AND(ISNUMBER(I165),ISNUMBER(J165),J165&gt;0),I165/J165,"")</f>
        <v/>
      </c>
      <c r="L165" s="5" t="n">
        <v>0.251</v>
      </c>
      <c r="M165" s="5" t="n">
        <v>0.63</v>
      </c>
      <c r="N165" s="5" t="n">
        <v>90</v>
      </c>
      <c r="O165" s="5" t="inlineStr">
        <is>
          <t>parallel line pair</t>
        </is>
      </c>
      <c r="P165" s="5" t="inlineStr">
        <is>
          <t>two parallel lines at the width written in the LG label, empty inside</t>
        </is>
      </c>
      <c r="Q165" s="5">
        <f>IF(OR(D165="column",D165="wall"),IF(I165&lt;='P vs V'!$B$3*J165,"column","wall"),"")</f>
        <v/>
      </c>
      <c r="R165" s="5" t="inlineStr"/>
      <c r="S165" s="5" t="inlineStr"/>
      <c r="T165" s="5" t="n"/>
      <c r="U165" s="5" t="inlineStr">
        <is>
          <t>no</t>
        </is>
      </c>
      <c r="V165" s="5" t="inlineStr">
        <is>
          <t>no</t>
        </is>
      </c>
      <c r="W165" s="5" t="inlineStr">
        <is>
          <t>no</t>
        </is>
      </c>
      <c r="X165" s="5" t="inlineStr">
        <is>
          <t>no</t>
        </is>
      </c>
      <c r="Y165" s="5" t="inlineStr">
        <is>
          <t>no</t>
        </is>
      </c>
      <c r="Z165" s="5" t="inlineStr">
        <is>
          <t>no</t>
        </is>
      </c>
      <c r="AA165" s="5" t="n">
        <v>1.89</v>
      </c>
      <c r="AB165" s="5" t="n"/>
      <c r="AC165" s="5" t="n"/>
      <c r="AD165" s="5" t="n"/>
      <c r="AE165" s="5" t="n">
        <v>4603.2</v>
      </c>
      <c r="AF165" s="5" t="n">
        <v>1706.1</v>
      </c>
      <c r="AG165" s="5" t="n">
        <v>4615</v>
      </c>
      <c r="AH165" s="5" t="n">
        <v>1724.6</v>
      </c>
      <c r="AI165" s="5" t="inlineStr">
        <is>
          <t>n/a</t>
        </is>
      </c>
      <c r="AJ165" s="5" t="inlineStr"/>
      <c r="AK165" s="5" t="inlineStr"/>
      <c r="AL165" s="5" t="inlineStr"/>
      <c r="AM165" s="5" t="inlineStr"/>
    </row>
    <row r="166">
      <c r="A166" s="5" t="n">
        <v>165</v>
      </c>
      <c r="B166" s="5" t="inlineStr">
        <is>
          <t>121</t>
        </is>
      </c>
      <c r="C166" s="5" t="inlineStr">
        <is>
          <t>nearest labels (100% agree)</t>
        </is>
      </c>
      <c r="D166" s="5" t="inlineStr">
        <is>
          <t>grade_beam</t>
        </is>
      </c>
      <c r="E166" s="5" t="inlineStr">
        <is>
          <t>grade_beam</t>
        </is>
      </c>
      <c r="F166" s="5" t="inlineStr">
        <is>
          <t>LG40x15</t>
        </is>
      </c>
      <c r="G166" s="5" t="inlineStr"/>
      <c r="H166" s="5" t="inlineStr">
        <is>
          <t>band width matches label</t>
        </is>
      </c>
      <c r="I166" s="5" t="n">
        <v>270</v>
      </c>
      <c r="J166" s="5" t="n">
        <v>40</v>
      </c>
      <c r="K166" s="9">
        <f>IF(AND(ISNUMBER(I166),ISNUMBER(J166),J166&gt;0),I166/J166,"")</f>
        <v/>
      </c>
      <c r="L166" s="5" t="n">
        <v>1.081</v>
      </c>
      <c r="M166" s="5" t="n">
        <v>2.7</v>
      </c>
      <c r="N166" s="5" t="n">
        <v>0</v>
      </c>
      <c r="O166" s="5" t="inlineStr">
        <is>
          <t>parallel line pair</t>
        </is>
      </c>
      <c r="P166" s="5" t="inlineStr">
        <is>
          <t>two parallel lines at the width written in the LG label, empty inside</t>
        </is>
      </c>
      <c r="Q166" s="5">
        <f>IF(OR(D166="column",D166="wall"),IF(I166&lt;='P vs V'!$B$3*J166,"column","wall"),"")</f>
        <v/>
      </c>
      <c r="R166" s="5" t="inlineStr"/>
      <c r="S166" s="5" t="inlineStr"/>
      <c r="T166" s="5" t="n"/>
      <c r="U166" s="5" t="inlineStr">
        <is>
          <t>no</t>
        </is>
      </c>
      <c r="V166" s="5" t="inlineStr">
        <is>
          <t>no</t>
        </is>
      </c>
      <c r="W166" s="5" t="inlineStr">
        <is>
          <t>yes</t>
        </is>
      </c>
      <c r="X166" s="5" t="inlineStr">
        <is>
          <t>no</t>
        </is>
      </c>
      <c r="Y166" s="5" t="inlineStr">
        <is>
          <t>no</t>
        </is>
      </c>
      <c r="Z166" s="5" t="inlineStr">
        <is>
          <t>no</t>
        </is>
      </c>
      <c r="AA166" s="5" t="n">
        <v>4.55</v>
      </c>
      <c r="AB166" s="5" t="n"/>
      <c r="AC166" s="5" t="n"/>
      <c r="AD166" s="5" t="n"/>
      <c r="AE166" s="5" t="n">
        <v>4164.6</v>
      </c>
      <c r="AF166" s="5" t="n">
        <v>1788.5</v>
      </c>
      <c r="AG166" s="5" t="n">
        <v>4244.4</v>
      </c>
      <c r="AH166" s="5" t="n">
        <v>1800.4</v>
      </c>
      <c r="AI166" s="5" t="inlineStr">
        <is>
          <t>n/a</t>
        </is>
      </c>
      <c r="AJ166" s="5" t="inlineStr"/>
      <c r="AK166" s="5" t="inlineStr"/>
      <c r="AL166" s="5" t="inlineStr"/>
      <c r="AM166" s="5" t="inlineStr"/>
    </row>
    <row r="167">
      <c r="A167" s="5" t="n">
        <v>166</v>
      </c>
      <c r="B167" s="5" t="inlineStr">
        <is>
          <t>121</t>
        </is>
      </c>
      <c r="C167" s="5" t="inlineStr">
        <is>
          <t>nearest labels (100% agree)</t>
        </is>
      </c>
      <c r="D167" s="5" t="inlineStr">
        <is>
          <t>grade_beam</t>
        </is>
      </c>
      <c r="E167" s="5" t="inlineStr">
        <is>
          <t>grade_beam</t>
        </is>
      </c>
      <c r="F167" s="5" t="inlineStr">
        <is>
          <t>LG40x15</t>
        </is>
      </c>
      <c r="G167" s="5" t="inlineStr"/>
      <c r="H167" s="5" t="inlineStr">
        <is>
          <t>band width matches label</t>
        </is>
      </c>
      <c r="I167" s="5" t="n">
        <v>450</v>
      </c>
      <c r="J167" s="5" t="n">
        <v>40</v>
      </c>
      <c r="K167" s="9">
        <f>IF(AND(ISNUMBER(I167),ISNUMBER(J167),J167&gt;0),I167/J167,"")</f>
        <v/>
      </c>
      <c r="L167" s="5" t="n">
        <v>1.8</v>
      </c>
      <c r="M167" s="5" t="n">
        <v>4.5</v>
      </c>
      <c r="N167" s="5" t="n">
        <v>0</v>
      </c>
      <c r="O167" s="5" t="inlineStr">
        <is>
          <t>parallel line pair</t>
        </is>
      </c>
      <c r="P167" s="5" t="inlineStr">
        <is>
          <t>two parallel lines at the width written in the LG label, empty inside</t>
        </is>
      </c>
      <c r="Q167" s="5">
        <f>IF(OR(D167="column",D167="wall"),IF(I167&lt;='P vs V'!$B$3*J167,"column","wall"),"")</f>
        <v/>
      </c>
      <c r="R167" s="5" t="inlineStr"/>
      <c r="S167" s="5" t="inlineStr"/>
      <c r="T167" s="5" t="n"/>
      <c r="U167" s="5" t="inlineStr">
        <is>
          <t>no</t>
        </is>
      </c>
      <c r="V167" s="5" t="inlineStr">
        <is>
          <t>no</t>
        </is>
      </c>
      <c r="W167" s="5" t="inlineStr">
        <is>
          <t>no</t>
        </is>
      </c>
      <c r="X167" s="5" t="inlineStr">
        <is>
          <t>no</t>
        </is>
      </c>
      <c r="Y167" s="5" t="inlineStr">
        <is>
          <t>no</t>
        </is>
      </c>
      <c r="Z167" s="5" t="inlineStr">
        <is>
          <t>no</t>
        </is>
      </c>
      <c r="AA167" s="5" t="n">
        <v>4.56</v>
      </c>
      <c r="AB167" s="5" t="n"/>
      <c r="AC167" s="5" t="n"/>
      <c r="AD167" s="5" t="n"/>
      <c r="AE167" s="5" t="n">
        <v>4347.7</v>
      </c>
      <c r="AF167" s="5" t="n">
        <v>1788.7</v>
      </c>
      <c r="AG167" s="5" t="n">
        <v>4480.6</v>
      </c>
      <c r="AH167" s="5" t="n">
        <v>1800.6</v>
      </c>
      <c r="AI167" s="5" t="inlineStr">
        <is>
          <t>n/a</t>
        </is>
      </c>
      <c r="AJ167" s="5" t="inlineStr"/>
      <c r="AK167" s="5" t="inlineStr"/>
      <c r="AL167" s="5" t="inlineStr"/>
      <c r="AM167" s="5" t="inlineStr"/>
    </row>
    <row r="168">
      <c r="A168" s="5" t="n">
        <v>167</v>
      </c>
      <c r="B168" s="5" t="inlineStr">
        <is>
          <t>121</t>
        </is>
      </c>
      <c r="C168" s="5" t="inlineStr">
        <is>
          <t>nearest labels (80% agree)</t>
        </is>
      </c>
      <c r="D168" s="5" t="inlineStr">
        <is>
          <t>grade_beam</t>
        </is>
      </c>
      <c r="E168" s="5" t="inlineStr">
        <is>
          <t>grade_beam</t>
        </is>
      </c>
      <c r="F168" s="5" t="inlineStr">
        <is>
          <t>LG40x15</t>
        </is>
      </c>
      <c r="G168" s="5" t="inlineStr"/>
      <c r="H168" s="5" t="inlineStr">
        <is>
          <t>band width matches label</t>
        </is>
      </c>
      <c r="I168" s="5" t="n">
        <v>271</v>
      </c>
      <c r="J168" s="5" t="n">
        <v>40</v>
      </c>
      <c r="K168" s="9">
        <f>IF(AND(ISNUMBER(I168),ISNUMBER(J168),J168&gt;0),I168/J168,"")</f>
        <v/>
      </c>
      <c r="L168" s="5" t="n">
        <v>1.086</v>
      </c>
      <c r="M168" s="5" t="n">
        <v>2.71</v>
      </c>
      <c r="N168" s="5" t="n">
        <v>0</v>
      </c>
      <c r="O168" s="5" t="inlineStr">
        <is>
          <t>parallel line pair</t>
        </is>
      </c>
      <c r="P168" s="5" t="inlineStr">
        <is>
          <t>two parallel lines at the width written in the LG label, empty inside</t>
        </is>
      </c>
      <c r="Q168" s="5">
        <f>IF(OR(D168="column",D168="wall"),IF(I168&lt;='P vs V'!$B$3*J168,"column","wall"),"")</f>
        <v/>
      </c>
      <c r="R168" s="5" t="inlineStr"/>
      <c r="S168" s="5" t="inlineStr"/>
      <c r="T168" s="5" t="n"/>
      <c r="U168" s="5" t="inlineStr">
        <is>
          <t>no</t>
        </is>
      </c>
      <c r="V168" s="5" t="inlineStr">
        <is>
          <t>no</t>
        </is>
      </c>
      <c r="W168" s="5" t="inlineStr">
        <is>
          <t>yes</t>
        </is>
      </c>
      <c r="X168" s="5" t="inlineStr">
        <is>
          <t>no</t>
        </is>
      </c>
      <c r="Y168" s="5" t="inlineStr">
        <is>
          <t>no</t>
        </is>
      </c>
      <c r="Z168" s="5" t="inlineStr">
        <is>
          <t>no</t>
        </is>
      </c>
      <c r="AA168" s="5" t="n">
        <v>4.6</v>
      </c>
      <c r="AB168" s="5" t="n"/>
      <c r="AC168" s="5" t="n"/>
      <c r="AD168" s="5" t="n"/>
      <c r="AE168" s="5" t="n">
        <v>4164.5</v>
      </c>
      <c r="AF168" s="5" t="n">
        <v>2016.8</v>
      </c>
      <c r="AG168" s="5" t="n">
        <v>4244.7</v>
      </c>
      <c r="AH168" s="5" t="n">
        <v>2028.7</v>
      </c>
      <c r="AI168" s="5" t="inlineStr">
        <is>
          <t>n/a</t>
        </is>
      </c>
      <c r="AJ168" s="5" t="inlineStr"/>
      <c r="AK168" s="5" t="inlineStr"/>
      <c r="AL168" s="5" t="inlineStr"/>
      <c r="AM168" s="5" t="inlineStr"/>
    </row>
    <row r="169">
      <c r="A169" s="5" t="n">
        <v>168</v>
      </c>
      <c r="B169" s="5" t="inlineStr">
        <is>
          <t>121</t>
        </is>
      </c>
      <c r="C169" s="5" t="inlineStr">
        <is>
          <t>nearest labels (40% agree)</t>
        </is>
      </c>
      <c r="D169" s="5" t="inlineStr">
        <is>
          <t>grade_beam</t>
        </is>
      </c>
      <c r="E169" s="5" t="inlineStr">
        <is>
          <t>grade_beam</t>
        </is>
      </c>
      <c r="F169" s="5" t="inlineStr">
        <is>
          <t>LG40x15</t>
        </is>
      </c>
      <c r="G169" s="5" t="inlineStr"/>
      <c r="H169" s="5" t="inlineStr">
        <is>
          <t>band width matches label</t>
        </is>
      </c>
      <c r="I169" s="5" t="n">
        <v>650</v>
      </c>
      <c r="J169" s="5" t="n">
        <v>40</v>
      </c>
      <c r="K169" s="9">
        <f>IF(AND(ISNUMBER(I169),ISNUMBER(J169),J169&gt;0),I169/J169,"")</f>
        <v/>
      </c>
      <c r="L169" s="5" t="n">
        <v>2.601</v>
      </c>
      <c r="M169" s="5" t="n">
        <v>6.5</v>
      </c>
      <c r="N169" s="5" t="n">
        <v>0</v>
      </c>
      <c r="O169" s="5" t="inlineStr">
        <is>
          <t>parallel line pair</t>
        </is>
      </c>
      <c r="P169" s="5" t="inlineStr">
        <is>
          <t>two parallel lines at the width written in the LG label, empty inside</t>
        </is>
      </c>
      <c r="Q169" s="5">
        <f>IF(OR(D169="column",D169="wall"),IF(I169&lt;='P vs V'!$B$3*J169,"column","wall"),"")</f>
        <v/>
      </c>
      <c r="R169" s="5" t="inlineStr"/>
      <c r="S169" s="5" t="inlineStr"/>
      <c r="T169" s="5" t="n"/>
      <c r="U169" s="5" t="inlineStr">
        <is>
          <t>no</t>
        </is>
      </c>
      <c r="V169" s="5" t="inlineStr">
        <is>
          <t>no</t>
        </is>
      </c>
      <c r="W169" s="5" t="inlineStr">
        <is>
          <t>no</t>
        </is>
      </c>
      <c r="X169" s="5" t="inlineStr">
        <is>
          <t>no</t>
        </is>
      </c>
      <c r="Y169" s="5" t="inlineStr">
        <is>
          <t>no</t>
        </is>
      </c>
      <c r="Z169" s="5" t="inlineStr">
        <is>
          <t>yes</t>
        </is>
      </c>
      <c r="AA169" s="5" t="n">
        <v>4.74</v>
      </c>
      <c r="AB169" s="5" t="n"/>
      <c r="AC169" s="5" t="n"/>
      <c r="AD169" s="5" t="n"/>
      <c r="AE169" s="5" t="n">
        <v>4348</v>
      </c>
      <c r="AF169" s="5" t="n">
        <v>2017</v>
      </c>
      <c r="AG169" s="5" t="n">
        <v>4540</v>
      </c>
      <c r="AH169" s="5" t="n">
        <v>2029</v>
      </c>
      <c r="AI169" s="5" t="inlineStr">
        <is>
          <t>n/a</t>
        </is>
      </c>
      <c r="AJ169" s="5" t="inlineStr"/>
      <c r="AK169" s="5" t="inlineStr"/>
      <c r="AL169" s="5" t="inlineStr"/>
      <c r="AM169" s="5" t="inlineStr"/>
    </row>
    <row r="170">
      <c r="A170" s="5" t="n">
        <v>169</v>
      </c>
      <c r="B170" s="5" t="inlineStr">
        <is>
          <t>121</t>
        </is>
      </c>
      <c r="C170" s="5" t="inlineStr">
        <is>
          <t>nearest labels (80% agree)</t>
        </is>
      </c>
      <c r="D170" s="5" t="inlineStr">
        <is>
          <t>grade_beam</t>
        </is>
      </c>
      <c r="E170" s="5" t="inlineStr">
        <is>
          <t>grade_beam</t>
        </is>
      </c>
      <c r="F170" s="5" t="inlineStr">
        <is>
          <t>LG40x15</t>
        </is>
      </c>
      <c r="G170" s="5" t="inlineStr"/>
      <c r="H170" s="5" t="inlineStr">
        <is>
          <t>band width matches label</t>
        </is>
      </c>
      <c r="I170" s="5" t="n">
        <v>381</v>
      </c>
      <c r="J170" s="5" t="n">
        <v>40</v>
      </c>
      <c r="K170" s="9">
        <f>IF(AND(ISNUMBER(I170),ISNUMBER(J170),J170&gt;0),I170/J170,"")</f>
        <v/>
      </c>
      <c r="L170" s="5" t="n">
        <v>1.524</v>
      </c>
      <c r="M170" s="5" t="n">
        <v>3.81</v>
      </c>
      <c r="N170" s="5" t="n">
        <v>0</v>
      </c>
      <c r="O170" s="5" t="inlineStr">
        <is>
          <t>parallel line pair</t>
        </is>
      </c>
      <c r="P170" s="5" t="inlineStr">
        <is>
          <t>two parallel lines at the width written in the LG label, empty inside</t>
        </is>
      </c>
      <c r="Q170" s="5">
        <f>IF(OR(D170="column",D170="wall"),IF(I170&lt;='P vs V'!$B$3*J170,"column","wall"),"")</f>
        <v/>
      </c>
      <c r="R170" s="5" t="inlineStr"/>
      <c r="S170" s="5" t="inlineStr"/>
      <c r="T170" s="5" t="n"/>
      <c r="U170" s="5" t="inlineStr">
        <is>
          <t>yes</t>
        </is>
      </c>
      <c r="V170" s="5" t="inlineStr">
        <is>
          <t>no</t>
        </is>
      </c>
      <c r="W170" s="5" t="inlineStr">
        <is>
          <t>yes</t>
        </is>
      </c>
      <c r="X170" s="5" t="inlineStr">
        <is>
          <t>no</t>
        </is>
      </c>
      <c r="Y170" s="5" t="inlineStr">
        <is>
          <t>no</t>
        </is>
      </c>
      <c r="Z170" s="5" t="inlineStr">
        <is>
          <t>no</t>
        </is>
      </c>
      <c r="AA170" s="5" t="n">
        <v>1.15</v>
      </c>
      <c r="AB170" s="5" t="n"/>
      <c r="AC170" s="5" t="n"/>
      <c r="AD170" s="5" t="n"/>
      <c r="AE170" s="5" t="n">
        <v>4164.8</v>
      </c>
      <c r="AF170" s="5" t="n">
        <v>1558.6</v>
      </c>
      <c r="AG170" s="5" t="n">
        <v>4277.3</v>
      </c>
      <c r="AH170" s="5" t="n">
        <v>1570.5</v>
      </c>
      <c r="AI170" s="5" t="inlineStr">
        <is>
          <t>n/a</t>
        </is>
      </c>
      <c r="AJ170" s="5" t="inlineStr"/>
      <c r="AK170" s="5" t="inlineStr"/>
      <c r="AL170" s="5" t="inlineStr"/>
      <c r="AM170" s="5" t="inlineStr"/>
    </row>
    <row r="171">
      <c r="A171" s="5" t="n">
        <v>170</v>
      </c>
      <c r="B171" s="5" t="inlineStr">
        <is>
          <t>121</t>
        </is>
      </c>
      <c r="C171" s="5" t="inlineStr">
        <is>
          <t>nearest labels (100% agree)</t>
        </is>
      </c>
      <c r="D171" s="5" t="inlineStr">
        <is>
          <t>grade_beam</t>
        </is>
      </c>
      <c r="E171" s="5" t="inlineStr">
        <is>
          <t>grade_beam</t>
        </is>
      </c>
      <c r="F171" s="5" t="inlineStr">
        <is>
          <t>LG40x15</t>
        </is>
      </c>
      <c r="G171" s="5" t="inlineStr"/>
      <c r="H171" s="5" t="inlineStr">
        <is>
          <t>band width matches label</t>
        </is>
      </c>
      <c r="I171" s="5" t="n">
        <v>766</v>
      </c>
      <c r="J171" s="5" t="n">
        <v>40</v>
      </c>
      <c r="K171" s="9">
        <f>IF(AND(ISNUMBER(I171),ISNUMBER(J171),J171&gt;0),I171/J171,"")</f>
        <v/>
      </c>
      <c r="L171" s="5" t="n">
        <v>3.062</v>
      </c>
      <c r="M171" s="5" t="n">
        <v>7.66</v>
      </c>
      <c r="N171" s="5" t="n">
        <v>0</v>
      </c>
      <c r="O171" s="5" t="inlineStr">
        <is>
          <t>parallel line pair</t>
        </is>
      </c>
      <c r="P171" s="5" t="inlineStr">
        <is>
          <t>two parallel lines at the width written in the LG label, empty inside</t>
        </is>
      </c>
      <c r="Q171" s="5">
        <f>IF(OR(D171="column",D171="wall"),IF(I171&lt;='P vs V'!$B$3*J171,"column","wall"),"")</f>
        <v/>
      </c>
      <c r="R171" s="5" t="inlineStr"/>
      <c r="S171" s="5" t="inlineStr"/>
      <c r="T171" s="5" t="n"/>
      <c r="U171" s="5" t="inlineStr">
        <is>
          <t>no</t>
        </is>
      </c>
      <c r="V171" s="5" t="inlineStr">
        <is>
          <t>no</t>
        </is>
      </c>
      <c r="W171" s="5" t="inlineStr">
        <is>
          <t>yes</t>
        </is>
      </c>
      <c r="X171" s="5" t="inlineStr">
        <is>
          <t>no</t>
        </is>
      </c>
      <c r="Y171" s="5" t="inlineStr">
        <is>
          <t>no</t>
        </is>
      </c>
      <c r="Z171" s="5" t="inlineStr">
        <is>
          <t>yes</t>
        </is>
      </c>
      <c r="AA171" s="5" t="n">
        <v>1.17</v>
      </c>
      <c r="AB171" s="5" t="n"/>
      <c r="AC171" s="5" t="n"/>
      <c r="AD171" s="5" t="n"/>
      <c r="AE171" s="5" t="n">
        <v>4314.2</v>
      </c>
      <c r="AF171" s="5" t="n">
        <v>1558.7</v>
      </c>
      <c r="AG171" s="5" t="n">
        <v>4540.3</v>
      </c>
      <c r="AH171" s="5" t="n">
        <v>1570.7</v>
      </c>
      <c r="AI171" s="5" t="inlineStr">
        <is>
          <t>n/a</t>
        </is>
      </c>
      <c r="AJ171" s="5" t="inlineStr"/>
      <c r="AK171" s="5" t="inlineStr"/>
      <c r="AL171" s="5" t="inlineStr"/>
      <c r="AM171" s="5" t="inlineStr"/>
    </row>
    <row r="172">
      <c r="A172" s="5" t="n">
        <v>171</v>
      </c>
      <c r="B172" s="5" t="inlineStr">
        <is>
          <t>121</t>
        </is>
      </c>
      <c r="C172" s="5" t="inlineStr">
        <is>
          <t>nearest labels (100% agree)</t>
        </is>
      </c>
      <c r="D172" s="5" t="inlineStr">
        <is>
          <t>grade_beam</t>
        </is>
      </c>
      <c r="E172" s="5" t="inlineStr">
        <is>
          <t>grade_beam</t>
        </is>
      </c>
      <c r="F172" s="5" t="inlineStr">
        <is>
          <t>LG40x15</t>
        </is>
      </c>
      <c r="G172" s="5" t="inlineStr"/>
      <c r="H172" s="5" t="inlineStr">
        <is>
          <t>band width matches label</t>
        </is>
      </c>
      <c r="I172" s="5" t="n">
        <v>655</v>
      </c>
      <c r="J172" s="5" t="n">
        <v>40</v>
      </c>
      <c r="K172" s="9">
        <f>IF(AND(ISNUMBER(I172),ISNUMBER(J172),J172&gt;0),I172/J172,"")</f>
        <v/>
      </c>
      <c r="L172" s="5" t="n">
        <v>2.618</v>
      </c>
      <c r="M172" s="5" t="n">
        <v>6.55</v>
      </c>
      <c r="N172" s="5" t="n">
        <v>0</v>
      </c>
      <c r="O172" s="5" t="inlineStr">
        <is>
          <t>parallel line pair</t>
        </is>
      </c>
      <c r="P172" s="5" t="inlineStr">
        <is>
          <t>two parallel lines at the width written in the LG label, empty inside</t>
        </is>
      </c>
      <c r="Q172" s="5">
        <f>IF(OR(D172="column",D172="wall"),IF(I172&lt;='P vs V'!$B$3*J172,"column","wall"),"")</f>
        <v/>
      </c>
      <c r="R172" s="5" t="inlineStr"/>
      <c r="S172" s="5" t="inlineStr"/>
      <c r="T172" s="5" t="n"/>
      <c r="U172" s="5" t="inlineStr">
        <is>
          <t>no</t>
        </is>
      </c>
      <c r="V172" s="5" t="inlineStr">
        <is>
          <t>no</t>
        </is>
      </c>
      <c r="W172" s="5" t="inlineStr">
        <is>
          <t>no</t>
        </is>
      </c>
      <c r="X172" s="5" t="inlineStr">
        <is>
          <t>no</t>
        </is>
      </c>
      <c r="Y172" s="5" t="inlineStr">
        <is>
          <t>no</t>
        </is>
      </c>
      <c r="Z172" s="5" t="inlineStr">
        <is>
          <t>no</t>
        </is>
      </c>
      <c r="AA172" s="5" t="n">
        <v>0.01</v>
      </c>
      <c r="AB172" s="5" t="n"/>
      <c r="AC172" s="5" t="n"/>
      <c r="AD172" s="5" t="n"/>
      <c r="AE172" s="5" t="n">
        <v>4308.1</v>
      </c>
      <c r="AF172" s="5" t="n">
        <v>1653.6</v>
      </c>
      <c r="AG172" s="5" t="n">
        <v>4501.3</v>
      </c>
      <c r="AH172" s="5" t="n">
        <v>1665.5</v>
      </c>
      <c r="AI172" s="5" t="inlineStr">
        <is>
          <t>n/a</t>
        </is>
      </c>
      <c r="AJ172" s="5" t="inlineStr"/>
      <c r="AK172" s="5" t="inlineStr"/>
      <c r="AL172" s="5" t="inlineStr"/>
      <c r="AM172" s="5" t="inlineStr"/>
    </row>
    <row r="173">
      <c r="A173" s="5" t="n">
        <v>172</v>
      </c>
      <c r="B173" s="5" t="inlineStr">
        <is>
          <t>121</t>
        </is>
      </c>
      <c r="C173" s="5" t="inlineStr">
        <is>
          <t>nearest labels (80% agree)</t>
        </is>
      </c>
      <c r="D173" s="5" t="inlineStr">
        <is>
          <t>grade_beam</t>
        </is>
      </c>
      <c r="E173" s="5" t="inlineStr">
        <is>
          <t>grade_beam</t>
        </is>
      </c>
      <c r="F173" s="5" t="inlineStr">
        <is>
          <t>LG40x15</t>
        </is>
      </c>
      <c r="G173" s="5" t="inlineStr"/>
      <c r="H173" s="5" t="inlineStr">
        <is>
          <t>band width matches label</t>
        </is>
      </c>
      <c r="I173" s="5" t="n">
        <v>274</v>
      </c>
      <c r="J173" s="5" t="n">
        <v>40</v>
      </c>
      <c r="K173" s="9">
        <f>IF(AND(ISNUMBER(I173),ISNUMBER(J173),J173&gt;0),I173/J173,"")</f>
        <v/>
      </c>
      <c r="L173" s="5" t="n">
        <v>1.096</v>
      </c>
      <c r="M173" s="5" t="n">
        <v>2.74</v>
      </c>
      <c r="N173" s="5" t="n">
        <v>0</v>
      </c>
      <c r="O173" s="5" t="inlineStr">
        <is>
          <t>parallel line pair</t>
        </is>
      </c>
      <c r="P173" s="5" t="inlineStr">
        <is>
          <t>two parallel lines at the width written in the LG label, empty inside</t>
        </is>
      </c>
      <c r="Q173" s="5">
        <f>IF(OR(D173="column",D173="wall"),IF(I173&lt;='P vs V'!$B$3*J173,"column","wall"),"")</f>
        <v/>
      </c>
      <c r="R173" s="5" t="inlineStr"/>
      <c r="S173" s="5" t="inlineStr"/>
      <c r="T173" s="5" t="n"/>
      <c r="U173" s="5" t="inlineStr">
        <is>
          <t>no</t>
        </is>
      </c>
      <c r="V173" s="5" t="inlineStr">
        <is>
          <t>no</t>
        </is>
      </c>
      <c r="W173" s="5" t="inlineStr">
        <is>
          <t>no</t>
        </is>
      </c>
      <c r="X173" s="5" t="inlineStr">
        <is>
          <t>no</t>
        </is>
      </c>
      <c r="Y173" s="5" t="inlineStr">
        <is>
          <t>no</t>
        </is>
      </c>
      <c r="Z173" s="5" t="inlineStr">
        <is>
          <t>no</t>
        </is>
      </c>
      <c r="AA173" s="5" t="n">
        <v>9.65</v>
      </c>
      <c r="AB173" s="5" t="n"/>
      <c r="AC173" s="5" t="n"/>
      <c r="AD173" s="5" t="n"/>
      <c r="AE173" s="5" t="n">
        <v>4628.9</v>
      </c>
      <c r="AF173" s="5" t="n">
        <v>1938.4</v>
      </c>
      <c r="AG173" s="5" t="n">
        <v>4709.8</v>
      </c>
      <c r="AH173" s="5" t="n">
        <v>1950.3</v>
      </c>
      <c r="AI173" s="5" t="inlineStr">
        <is>
          <t>n/a</t>
        </is>
      </c>
      <c r="AJ173" s="5" t="inlineStr"/>
      <c r="AK173" s="5" t="inlineStr"/>
      <c r="AL173" s="5" t="inlineStr"/>
      <c r="AM173" s="5" t="inlineStr"/>
    </row>
    <row r="174">
      <c r="A174" s="5" t="n">
        <v>173</v>
      </c>
      <c r="B174" s="5" t="inlineStr">
        <is>
          <t>121</t>
        </is>
      </c>
      <c r="C174" s="5" t="inlineStr">
        <is>
          <t>nearest labels (100% agree)</t>
        </is>
      </c>
      <c r="D174" s="5" t="inlineStr">
        <is>
          <t>grade_beam</t>
        </is>
      </c>
      <c r="E174" s="5" t="inlineStr">
        <is>
          <t>grade_beam</t>
        </is>
      </c>
      <c r="F174" s="5" t="inlineStr">
        <is>
          <t>LG40x15</t>
        </is>
      </c>
      <c r="G174" s="5" t="inlineStr"/>
      <c r="H174" s="5" t="inlineStr">
        <is>
          <t>band width matches label</t>
        </is>
      </c>
      <c r="I174" s="5" t="n">
        <v>350</v>
      </c>
      <c r="J174" s="5" t="n">
        <v>40</v>
      </c>
      <c r="K174" s="9">
        <f>IF(AND(ISNUMBER(I174),ISNUMBER(J174),J174&gt;0),I174/J174,"")</f>
        <v/>
      </c>
      <c r="L174" s="5" t="n">
        <v>1.4</v>
      </c>
      <c r="M174" s="5" t="n">
        <v>3.5</v>
      </c>
      <c r="N174" s="5" t="n">
        <v>0.1</v>
      </c>
      <c r="O174" s="5" t="inlineStr">
        <is>
          <t>parallel line pair</t>
        </is>
      </c>
      <c r="P174" s="5" t="inlineStr">
        <is>
          <t>two parallel lines at the width written in the LG label, empty inside</t>
        </is>
      </c>
      <c r="Q174" s="5">
        <f>IF(OR(D174="column",D174="wall"),IF(I174&lt;='P vs V'!$B$3*J174,"column","wall"),"")</f>
        <v/>
      </c>
      <c r="R174" s="5" t="inlineStr"/>
      <c r="S174" s="5" t="inlineStr"/>
      <c r="T174" s="5" t="n"/>
      <c r="U174" s="5" t="inlineStr">
        <is>
          <t>no</t>
        </is>
      </c>
      <c r="V174" s="5" t="inlineStr">
        <is>
          <t>no</t>
        </is>
      </c>
      <c r="W174" s="5" t="inlineStr">
        <is>
          <t>no</t>
        </is>
      </c>
      <c r="X174" s="5" t="inlineStr">
        <is>
          <t>no</t>
        </is>
      </c>
      <c r="Y174" s="5" t="inlineStr">
        <is>
          <t>no</t>
        </is>
      </c>
      <c r="Z174" s="5" t="inlineStr">
        <is>
          <t>yes</t>
        </is>
      </c>
      <c r="AA174" s="5" t="n">
        <v>3.96</v>
      </c>
      <c r="AB174" s="5" t="n"/>
      <c r="AC174" s="5" t="n"/>
      <c r="AD174" s="5" t="n"/>
      <c r="AE174" s="5" t="n">
        <v>4613.5</v>
      </c>
      <c r="AF174" s="5" t="n">
        <v>1770.3</v>
      </c>
      <c r="AG174" s="5" t="n">
        <v>4716.8</v>
      </c>
      <c r="AH174" s="5" t="n">
        <v>1782.2</v>
      </c>
      <c r="AI174" s="5" t="inlineStr">
        <is>
          <t>n/a</t>
        </is>
      </c>
      <c r="AJ174" s="5" t="inlineStr"/>
      <c r="AK174" s="5" t="inlineStr"/>
      <c r="AL174" s="5" t="inlineStr"/>
      <c r="AM174" s="5" t="inlineStr"/>
    </row>
    <row r="175">
      <c r="A175" s="5" t="n">
        <v>174</v>
      </c>
      <c r="B175" s="5" t="inlineStr">
        <is>
          <t>121</t>
        </is>
      </c>
      <c r="C175" s="5" t="inlineStr">
        <is>
          <t>nearest labels (100% agree)</t>
        </is>
      </c>
      <c r="D175" s="5" t="inlineStr">
        <is>
          <t>grade_beam</t>
        </is>
      </c>
      <c r="E175" s="5" t="inlineStr">
        <is>
          <t>grade_beam</t>
        </is>
      </c>
      <c r="F175" s="5" t="inlineStr">
        <is>
          <t>LG40x15</t>
        </is>
      </c>
      <c r="G175" s="5" t="inlineStr"/>
      <c r="H175" s="5" t="inlineStr">
        <is>
          <t>band width matches label</t>
        </is>
      </c>
      <c r="I175" s="5" t="n">
        <v>90</v>
      </c>
      <c r="J175" s="5" t="n">
        <v>40</v>
      </c>
      <c r="K175" s="9">
        <f>IF(AND(ISNUMBER(I175),ISNUMBER(J175),J175&gt;0),I175/J175,"")</f>
        <v/>
      </c>
      <c r="L175" s="5" t="n">
        <v>0.359</v>
      </c>
      <c r="M175" s="5" t="n">
        <v>0.9</v>
      </c>
      <c r="N175" s="5" t="n">
        <v>179.9</v>
      </c>
      <c r="O175" s="5" t="inlineStr">
        <is>
          <t>parallel line pair</t>
        </is>
      </c>
      <c r="P175" s="5" t="inlineStr">
        <is>
          <t>two parallel lines at the width written in the LG label, empty inside</t>
        </is>
      </c>
      <c r="Q175" s="5">
        <f>IF(OR(D175="column",D175="wall"),IF(I175&lt;='P vs V'!$B$3*J175,"column","wall"),"")</f>
        <v/>
      </c>
      <c r="R175" s="5" t="inlineStr"/>
      <c r="S175" s="5" t="inlineStr"/>
      <c r="T175" s="5" t="n"/>
      <c r="U175" s="5" t="inlineStr">
        <is>
          <t>no</t>
        </is>
      </c>
      <c r="V175" s="5" t="inlineStr">
        <is>
          <t>no</t>
        </is>
      </c>
      <c r="W175" s="5" t="inlineStr">
        <is>
          <t>no</t>
        </is>
      </c>
      <c r="X175" s="5" t="inlineStr">
        <is>
          <t>no</t>
        </is>
      </c>
      <c r="Y175" s="5" t="inlineStr">
        <is>
          <t>no</t>
        </is>
      </c>
      <c r="Z175" s="5" t="inlineStr">
        <is>
          <t>no</t>
        </is>
      </c>
      <c r="AA175" s="5" t="n">
        <v>0</v>
      </c>
      <c r="AB175" s="5" t="n"/>
      <c r="AC175" s="5" t="n"/>
      <c r="AD175" s="5" t="n"/>
      <c r="AE175" s="5" t="n">
        <v>4658.6</v>
      </c>
      <c r="AF175" s="5" t="n">
        <v>1523.5</v>
      </c>
      <c r="AG175" s="5" t="n">
        <v>4685.1</v>
      </c>
      <c r="AH175" s="5" t="n">
        <v>1535.3</v>
      </c>
      <c r="AI175" s="5" t="inlineStr">
        <is>
          <t>n/a</t>
        </is>
      </c>
      <c r="AJ175" s="5" t="inlineStr"/>
      <c r="AK175" s="5" t="inlineStr"/>
      <c r="AL175" s="5" t="inlineStr"/>
      <c r="AM175" s="5" t="inlineStr"/>
    </row>
    <row r="176">
      <c r="A176" s="5" t="n">
        <v>175</v>
      </c>
      <c r="B176" s="5" t="inlineStr">
        <is>
          <t>121</t>
        </is>
      </c>
      <c r="C176" s="5" t="inlineStr">
        <is>
          <t>nearest labels (100% agree)</t>
        </is>
      </c>
      <c r="D176" s="5" t="inlineStr">
        <is>
          <t>grade_beam</t>
        </is>
      </c>
      <c r="E176" s="5" t="inlineStr">
        <is>
          <t>grade_beam</t>
        </is>
      </c>
      <c r="F176" s="5" t="inlineStr">
        <is>
          <t>LG40x15</t>
        </is>
      </c>
      <c r="G176" s="5" t="inlineStr"/>
      <c r="H176" s="5" t="inlineStr">
        <is>
          <t>band width matches label</t>
        </is>
      </c>
      <c r="I176" s="5" t="n">
        <v>172</v>
      </c>
      <c r="J176" s="5" t="n">
        <v>40</v>
      </c>
      <c r="K176" s="9">
        <f>IF(AND(ISNUMBER(I176),ISNUMBER(J176),J176&gt;0),I176/J176,"")</f>
        <v/>
      </c>
      <c r="L176" s="5" t="n">
        <v>0.6879999999999999</v>
      </c>
      <c r="M176" s="5" t="n">
        <v>1.72</v>
      </c>
      <c r="N176" s="5" t="n">
        <v>179.9</v>
      </c>
      <c r="O176" s="5" t="inlineStr">
        <is>
          <t>parallel line pair</t>
        </is>
      </c>
      <c r="P176" s="5" t="inlineStr">
        <is>
          <t>two parallel lines at the width written in the LG label, empty inside</t>
        </is>
      </c>
      <c r="Q176" s="5">
        <f>IF(OR(D176="column",D176="wall"),IF(I176&lt;='P vs V'!$B$3*J176,"column","wall"),"")</f>
        <v/>
      </c>
      <c r="R176" s="5" t="inlineStr"/>
      <c r="S176" s="5" t="inlineStr"/>
      <c r="T176" s="5" t="n"/>
      <c r="U176" s="5" t="inlineStr">
        <is>
          <t>no</t>
        </is>
      </c>
      <c r="V176" s="5" t="inlineStr">
        <is>
          <t>no</t>
        </is>
      </c>
      <c r="W176" s="5" t="inlineStr">
        <is>
          <t>no</t>
        </is>
      </c>
      <c r="X176" s="5" t="inlineStr">
        <is>
          <t>no</t>
        </is>
      </c>
      <c r="Y176" s="5" t="inlineStr">
        <is>
          <t>no</t>
        </is>
      </c>
      <c r="Z176" s="5" t="inlineStr">
        <is>
          <t>no</t>
        </is>
      </c>
      <c r="AA176" s="5" t="n">
        <v>1.45</v>
      </c>
      <c r="AB176" s="5" t="n"/>
      <c r="AC176" s="5" t="n"/>
      <c r="AD176" s="5" t="n"/>
      <c r="AE176" s="5" t="n">
        <v>4634.2</v>
      </c>
      <c r="AF176" s="5" t="n">
        <v>1610.5</v>
      </c>
      <c r="AG176" s="5" t="n">
        <v>4685</v>
      </c>
      <c r="AH176" s="5" t="n">
        <v>1622.5</v>
      </c>
      <c r="AI176" s="5" t="inlineStr">
        <is>
          <t>n/a</t>
        </is>
      </c>
      <c r="AJ176" s="5" t="inlineStr"/>
      <c r="AK176" s="5" t="inlineStr"/>
      <c r="AL176" s="5" t="inlineStr"/>
      <c r="AM176" s="5" t="inlineStr"/>
    </row>
    <row r="177">
      <c r="A177" s="5" t="n">
        <v>176</v>
      </c>
      <c r="B177" s="5" t="inlineStr">
        <is>
          <t>121</t>
        </is>
      </c>
      <c r="C177" s="5" t="inlineStr">
        <is>
          <t>nearest labels (100% agree)</t>
        </is>
      </c>
      <c r="D177" s="5" t="inlineStr">
        <is>
          <t>grade_beam</t>
        </is>
      </c>
      <c r="E177" s="5" t="inlineStr">
        <is>
          <t>grade_beam</t>
        </is>
      </c>
      <c r="F177" s="5" t="inlineStr">
        <is>
          <t>LG40x15</t>
        </is>
      </c>
      <c r="G177" s="5" t="inlineStr"/>
      <c r="H177" s="5" t="inlineStr">
        <is>
          <t>band width matches label</t>
        </is>
      </c>
      <c r="I177" s="5" t="n">
        <v>168</v>
      </c>
      <c r="J177" s="5" t="n">
        <v>40</v>
      </c>
      <c r="K177" s="9">
        <f>IF(AND(ISNUMBER(I177),ISNUMBER(J177),J177&gt;0),I177/J177,"")</f>
        <v/>
      </c>
      <c r="L177" s="5" t="n">
        <v>0.671</v>
      </c>
      <c r="M177" s="5" t="n">
        <v>1.68</v>
      </c>
      <c r="N177" s="5" t="n">
        <v>179.9</v>
      </c>
      <c r="O177" s="5" t="inlineStr">
        <is>
          <t>parallel line pair</t>
        </is>
      </c>
      <c r="P177" s="5" t="inlineStr">
        <is>
          <t>two parallel lines at the width written in the LG label, empty inside</t>
        </is>
      </c>
      <c r="Q177" s="5">
        <f>IF(OR(D177="column",D177="wall"),IF(I177&lt;='P vs V'!$B$3*J177,"column","wall"),"")</f>
        <v/>
      </c>
      <c r="R177" s="5" t="inlineStr"/>
      <c r="S177" s="5" t="inlineStr"/>
      <c r="T177" s="5" t="n"/>
      <c r="U177" s="5" t="inlineStr">
        <is>
          <t>no</t>
        </is>
      </c>
      <c r="V177" s="5" t="inlineStr">
        <is>
          <t>no</t>
        </is>
      </c>
      <c r="W177" s="5" t="inlineStr">
        <is>
          <t>yes</t>
        </is>
      </c>
      <c r="X177" s="5" t="inlineStr">
        <is>
          <t>no</t>
        </is>
      </c>
      <c r="Y177" s="5" t="inlineStr">
        <is>
          <t>no</t>
        </is>
      </c>
      <c r="Z177" s="5" t="inlineStr">
        <is>
          <t>yes</t>
        </is>
      </c>
      <c r="AA177" s="5" t="n">
        <v>5.33</v>
      </c>
      <c r="AB177" s="5" t="n"/>
      <c r="AC177" s="5" t="n"/>
      <c r="AD177" s="5" t="n"/>
      <c r="AE177" s="5" t="n">
        <v>4716.9</v>
      </c>
      <c r="AF177" s="5" t="n">
        <v>1810.6</v>
      </c>
      <c r="AG177" s="5" t="n">
        <v>4766.4</v>
      </c>
      <c r="AH177" s="5" t="n">
        <v>1822.5</v>
      </c>
      <c r="AI177" s="5" t="inlineStr">
        <is>
          <t>n/a</t>
        </is>
      </c>
      <c r="AJ177" s="5" t="inlineStr"/>
      <c r="AK177" s="5" t="inlineStr"/>
      <c r="AL177" s="5" t="inlineStr"/>
      <c r="AM177" s="5" t="inlineStr"/>
    </row>
    <row r="178">
      <c r="A178" s="5" t="n">
        <v>177</v>
      </c>
      <c r="B178" s="5" t="inlineStr">
        <is>
          <t>121</t>
        </is>
      </c>
      <c r="C178" s="5" t="inlineStr">
        <is>
          <t>nearest labels (80% agree)</t>
        </is>
      </c>
      <c r="D178" s="5" t="inlineStr">
        <is>
          <t>grade_beam</t>
        </is>
      </c>
      <c r="E178" s="5" t="inlineStr">
        <is>
          <t>grade_beam</t>
        </is>
      </c>
      <c r="F178" s="5" t="inlineStr">
        <is>
          <t>LG40x15</t>
        </is>
      </c>
      <c r="G178" s="5" t="inlineStr"/>
      <c r="H178" s="5" t="inlineStr">
        <is>
          <t>band width matches label</t>
        </is>
      </c>
      <c r="I178" s="5" t="n">
        <v>169</v>
      </c>
      <c r="J178" s="5" t="n">
        <v>40</v>
      </c>
      <c r="K178" s="9">
        <f>IF(AND(ISNUMBER(I178),ISNUMBER(J178),J178&gt;0),I178/J178,"")</f>
        <v/>
      </c>
      <c r="L178" s="5" t="n">
        <v>0.676</v>
      </c>
      <c r="M178" s="5" t="n">
        <v>1.69</v>
      </c>
      <c r="N178" s="5" t="n">
        <v>179.9</v>
      </c>
      <c r="O178" s="5" t="inlineStr">
        <is>
          <t>parallel line pair</t>
        </is>
      </c>
      <c r="P178" s="5" t="inlineStr">
        <is>
          <t>two parallel lines at the width written in the LG label, empty inside</t>
        </is>
      </c>
      <c r="Q178" s="5">
        <f>IF(OR(D178="column",D178="wall"),IF(I178&lt;='P vs V'!$B$3*J178,"column","wall"),"")</f>
        <v/>
      </c>
      <c r="R178" s="5" t="inlineStr"/>
      <c r="S178" s="5" t="inlineStr"/>
      <c r="T178" s="5" t="n"/>
      <c r="U178" s="5" t="inlineStr">
        <is>
          <t>no</t>
        </is>
      </c>
      <c r="V178" s="5" t="inlineStr">
        <is>
          <t>no</t>
        </is>
      </c>
      <c r="W178" s="5" t="inlineStr">
        <is>
          <t>yes</t>
        </is>
      </c>
      <c r="X178" s="5" t="inlineStr">
        <is>
          <t>no</t>
        </is>
      </c>
      <c r="Y178" s="5" t="inlineStr">
        <is>
          <t>no</t>
        </is>
      </c>
      <c r="Z178" s="5" t="inlineStr">
        <is>
          <t>no</t>
        </is>
      </c>
      <c r="AA178" s="5" t="n">
        <v>7.34</v>
      </c>
      <c r="AB178" s="5" t="n"/>
      <c r="AC178" s="5" t="n"/>
      <c r="AD178" s="5" t="n"/>
      <c r="AE178" s="5" t="n">
        <v>4710</v>
      </c>
      <c r="AF178" s="5" t="n">
        <v>2036.3</v>
      </c>
      <c r="AG178" s="5" t="n">
        <v>4759.9</v>
      </c>
      <c r="AH178" s="5" t="n">
        <v>2048.3</v>
      </c>
      <c r="AI178" s="5" t="inlineStr">
        <is>
          <t>n/a</t>
        </is>
      </c>
      <c r="AJ178" s="5" t="inlineStr"/>
      <c r="AK178" s="5" t="inlineStr"/>
      <c r="AL178" s="5" t="inlineStr"/>
      <c r="AM178" s="5" t="inlineStr"/>
    </row>
    <row r="179">
      <c r="A179" s="5" t="n">
        <v>178</v>
      </c>
      <c r="B179" s="5" t="inlineStr">
        <is>
          <t>121</t>
        </is>
      </c>
      <c r="C179" s="5" t="inlineStr">
        <is>
          <t>nearest labels (60% agree)</t>
        </is>
      </c>
      <c r="D179" s="5" t="inlineStr">
        <is>
          <t>strip_footing</t>
        </is>
      </c>
      <c r="E179" s="5" t="inlineStr">
        <is>
          <t>strip_footing</t>
        </is>
      </c>
      <c r="F179" s="5" t="inlineStr">
        <is>
          <t>SF1</t>
        </is>
      </c>
      <c r="G179" s="5" t="inlineStr"/>
      <c r="H179" s="5" t="inlineStr">
        <is>
          <t>band width matches label</t>
        </is>
      </c>
      <c r="I179" s="5" t="n">
        <v>3877</v>
      </c>
      <c r="J179" s="5" t="n">
        <v>80</v>
      </c>
      <c r="K179" s="9">
        <f>IF(AND(ISNUMBER(I179),ISNUMBER(J179),J179&gt;0),I179/J179,"")</f>
        <v/>
      </c>
      <c r="L179" s="5" t="n">
        <v>31.013</v>
      </c>
      <c r="M179" s="5" t="n">
        <v>38.77</v>
      </c>
      <c r="N179" s="5" t="n">
        <v>90</v>
      </c>
      <c r="O179" s="5" t="inlineStr">
        <is>
          <t>parallel line pair</t>
        </is>
      </c>
      <c r="P179" s="5" t="inlineStr">
        <is>
          <t>two parallel lines at the width written in the SF label, a wall inside</t>
        </is>
      </c>
      <c r="Q179" s="5">
        <f>IF(OR(D179="column",D179="wall"),IF(I179&lt;='P vs V'!$B$3*J179,"column","wall"),"")</f>
        <v/>
      </c>
      <c r="R179" s="5" t="inlineStr"/>
      <c r="S179" s="5" t="inlineStr"/>
      <c r="T179" s="5" t="n"/>
      <c r="U179" s="5" t="inlineStr">
        <is>
          <t>no</t>
        </is>
      </c>
      <c r="V179" s="5" t="inlineStr">
        <is>
          <t>no</t>
        </is>
      </c>
      <c r="W179" s="5" t="inlineStr">
        <is>
          <t>yes</t>
        </is>
      </c>
      <c r="X179" s="5" t="inlineStr">
        <is>
          <t>yes</t>
        </is>
      </c>
      <c r="Y179" s="5" t="inlineStr">
        <is>
          <t>yes</t>
        </is>
      </c>
      <c r="Z179" s="5" t="inlineStr">
        <is>
          <t>yes</t>
        </is>
      </c>
      <c r="AA179" s="5" t="n">
        <v>3.53</v>
      </c>
      <c r="AB179" s="5" t="n"/>
      <c r="AC179" s="5" t="n"/>
      <c r="AD179" s="5" t="n"/>
      <c r="AE179" s="5" t="n">
        <v>4149.2</v>
      </c>
      <c r="AF179" s="5" t="n">
        <v>1583.5</v>
      </c>
      <c r="AG179" s="5" t="n">
        <v>4173.6</v>
      </c>
      <c r="AH179" s="5" t="n">
        <v>2728.1</v>
      </c>
      <c r="AI179" s="5" t="inlineStr">
        <is>
          <t>n/a</t>
        </is>
      </c>
      <c r="AJ179" s="5" t="inlineStr"/>
      <c r="AK179" s="5" t="inlineStr"/>
      <c r="AL179" s="5" t="inlineStr"/>
      <c r="AM179" s="5" t="inlineStr"/>
    </row>
    <row r="180">
      <c r="A180" s="5" t="n">
        <v>179</v>
      </c>
      <c r="B180" s="5" t="inlineStr">
        <is>
          <t>121</t>
        </is>
      </c>
      <c r="C180" s="5" t="inlineStr">
        <is>
          <t>nearest labels (60% agree)</t>
        </is>
      </c>
      <c r="D180" s="5" t="inlineStr">
        <is>
          <t>strip_footing</t>
        </is>
      </c>
      <c r="E180" s="5" t="inlineStr">
        <is>
          <t>strip_footing</t>
        </is>
      </c>
      <c r="F180" s="5" t="inlineStr">
        <is>
          <t>SF1</t>
        </is>
      </c>
      <c r="G180" s="5" t="inlineStr"/>
      <c r="H180" s="5" t="inlineStr">
        <is>
          <t>band width matches label</t>
        </is>
      </c>
      <c r="I180" s="5" t="n">
        <v>703</v>
      </c>
      <c r="J180" s="5" t="n">
        <v>80</v>
      </c>
      <c r="K180" s="9">
        <f>IF(AND(ISNUMBER(I180),ISNUMBER(J180),J180&gt;0),I180/J180,"")</f>
        <v/>
      </c>
      <c r="L180" s="5" t="n">
        <v>5.624</v>
      </c>
      <c r="M180" s="5" t="n">
        <v>7.03</v>
      </c>
      <c r="N180" s="5" t="n">
        <v>179.9</v>
      </c>
      <c r="O180" s="5" t="inlineStr">
        <is>
          <t>parallel line pair</t>
        </is>
      </c>
      <c r="P180" s="5" t="inlineStr">
        <is>
          <t>two parallel lines at the width written in the SF label, a wall inside</t>
        </is>
      </c>
      <c r="Q180" s="5">
        <f>IF(OR(D180="column",D180="wall"),IF(I180&lt;='P vs V'!$B$3*J180,"column","wall"),"")</f>
        <v/>
      </c>
      <c r="R180" s="5" t="inlineStr"/>
      <c r="S180" s="5" t="inlineStr"/>
      <c r="T180" s="5" t="n"/>
      <c r="U180" s="5" t="inlineStr">
        <is>
          <t>no</t>
        </is>
      </c>
      <c r="V180" s="5" t="inlineStr">
        <is>
          <t>no</t>
        </is>
      </c>
      <c r="W180" s="5" t="inlineStr">
        <is>
          <t>yes</t>
        </is>
      </c>
      <c r="X180" s="5" t="inlineStr">
        <is>
          <t>yes</t>
        </is>
      </c>
      <c r="Y180" s="5" t="inlineStr">
        <is>
          <t>yes</t>
        </is>
      </c>
      <c r="Z180" s="5" t="inlineStr">
        <is>
          <t>yes</t>
        </is>
      </c>
      <c r="AA180" s="5" t="n">
        <v>7.54</v>
      </c>
      <c r="AB180" s="5" t="n"/>
      <c r="AC180" s="5" t="n"/>
      <c r="AD180" s="5" t="n"/>
      <c r="AE180" s="5" t="n">
        <v>4502.5</v>
      </c>
      <c r="AF180" s="5" t="n">
        <v>2024.6</v>
      </c>
      <c r="AG180" s="5" t="n">
        <v>4710</v>
      </c>
      <c r="AH180" s="5" t="n">
        <v>2048.7</v>
      </c>
      <c r="AI180" s="5" t="inlineStr">
        <is>
          <t>n/a</t>
        </is>
      </c>
      <c r="AJ180" s="5" t="inlineStr"/>
      <c r="AK180" s="5" t="inlineStr"/>
      <c r="AL180" s="5" t="inlineStr"/>
      <c r="AM180" s="5" t="inlineStr"/>
    </row>
    <row r="181">
      <c r="A181" s="5" t="n">
        <v>180</v>
      </c>
      <c r="B181" s="5" t="inlineStr">
        <is>
          <t>121</t>
        </is>
      </c>
      <c r="C181" s="5" t="inlineStr">
        <is>
          <t>nearest labels (100% agree)</t>
        </is>
      </c>
      <c r="D181" s="5" t="inlineStr">
        <is>
          <t>strip_footing</t>
        </is>
      </c>
      <c r="E181" s="5" t="inlineStr">
        <is>
          <t>strip_footing</t>
        </is>
      </c>
      <c r="F181" s="5" t="inlineStr">
        <is>
          <t>SF1</t>
        </is>
      </c>
      <c r="G181" s="5" t="inlineStr"/>
      <c r="H181" s="5" t="inlineStr">
        <is>
          <t>band width matches label</t>
        </is>
      </c>
      <c r="I181" s="5" t="n">
        <v>353</v>
      </c>
      <c r="J181" s="5" t="n">
        <v>80</v>
      </c>
      <c r="K181" s="9">
        <f>IF(AND(ISNUMBER(I181),ISNUMBER(J181),J181&gt;0),I181/J181,"")</f>
        <v/>
      </c>
      <c r="L181" s="5" t="n">
        <v>2.821</v>
      </c>
      <c r="M181" s="5" t="n">
        <v>3.53</v>
      </c>
      <c r="N181" s="5" t="n">
        <v>0</v>
      </c>
      <c r="O181" s="5" t="inlineStr">
        <is>
          <t>parallel line pair</t>
        </is>
      </c>
      <c r="P181" s="5" t="inlineStr">
        <is>
          <t>two parallel lines at the width written in the SF label, a wall inside</t>
        </is>
      </c>
      <c r="Q181" s="5">
        <f>IF(OR(D181="column",D181="wall"),IF(I181&lt;='P vs V'!$B$3*J181,"column","wall"),"")</f>
        <v/>
      </c>
      <c r="R181" s="5" t="inlineStr"/>
      <c r="S181" s="5" t="inlineStr"/>
      <c r="T181" s="5" t="n"/>
      <c r="U181" s="5" t="inlineStr">
        <is>
          <t>no</t>
        </is>
      </c>
      <c r="V181" s="5" t="inlineStr">
        <is>
          <t>no</t>
        </is>
      </c>
      <c r="W181" s="5" t="inlineStr">
        <is>
          <t>yes</t>
        </is>
      </c>
      <c r="X181" s="5" t="inlineStr">
        <is>
          <t>yes</t>
        </is>
      </c>
      <c r="Y181" s="5" t="inlineStr">
        <is>
          <t>no</t>
        </is>
      </c>
      <c r="Z181" s="5" t="inlineStr">
        <is>
          <t>no</t>
        </is>
      </c>
      <c r="AA181" s="5" t="n">
        <v>5.99</v>
      </c>
      <c r="AB181" s="5" t="n"/>
      <c r="AC181" s="5" t="n"/>
      <c r="AD181" s="5" t="n"/>
      <c r="AE181" s="5" t="n">
        <v>4819.4</v>
      </c>
      <c r="AF181" s="5" t="n">
        <v>1764.1</v>
      </c>
      <c r="AG181" s="5" t="n">
        <v>4923.5</v>
      </c>
      <c r="AH181" s="5" t="n">
        <v>1787.8</v>
      </c>
      <c r="AI181" s="5" t="inlineStr">
        <is>
          <t>n/a</t>
        </is>
      </c>
      <c r="AJ181" s="5" t="inlineStr"/>
      <c r="AK181" s="5" t="inlineStr"/>
      <c r="AL181" s="5" t="inlineStr"/>
      <c r="AM181" s="5" t="inlineStr"/>
    </row>
    <row r="182">
      <c r="A182" s="5" t="n">
        <v>181</v>
      </c>
      <c r="B182" s="5" t="inlineStr">
        <is>
          <t>121</t>
        </is>
      </c>
      <c r="C182" s="5" t="inlineStr">
        <is>
          <t>nearest labels (80% agree)</t>
        </is>
      </c>
      <c r="D182" s="5" t="inlineStr">
        <is>
          <t>strip_footing</t>
        </is>
      </c>
      <c r="E182" s="5" t="inlineStr">
        <is>
          <t>strip_footing</t>
        </is>
      </c>
      <c r="F182" s="5" t="inlineStr">
        <is>
          <t>SF1</t>
        </is>
      </c>
      <c r="G182" s="5" t="inlineStr"/>
      <c r="H182" s="5" t="inlineStr">
        <is>
          <t>band width matches label</t>
        </is>
      </c>
      <c r="I182" s="5" t="n">
        <v>344</v>
      </c>
      <c r="J182" s="5" t="n">
        <v>80</v>
      </c>
      <c r="K182" s="9">
        <f>IF(AND(ISNUMBER(I182),ISNUMBER(J182),J182&gt;0),I182/J182,"")</f>
        <v/>
      </c>
      <c r="L182" s="5" t="n">
        <v>2.755</v>
      </c>
      <c r="M182" s="5" t="n">
        <v>3.44</v>
      </c>
      <c r="N182" s="5" t="n">
        <v>90</v>
      </c>
      <c r="O182" s="5" t="inlineStr">
        <is>
          <t>parallel line pair</t>
        </is>
      </c>
      <c r="P182" s="5" t="inlineStr">
        <is>
          <t>two parallel lines at the width written in the SF label, a wall inside</t>
        </is>
      </c>
      <c r="Q182" s="5">
        <f>IF(OR(D182="column",D182="wall"),IF(I182&lt;='P vs V'!$B$3*J182,"column","wall"),"")</f>
        <v/>
      </c>
      <c r="R182" s="5" t="inlineStr"/>
      <c r="S182" s="5" t="inlineStr"/>
      <c r="T182" s="5" t="n"/>
      <c r="U182" s="5" t="inlineStr">
        <is>
          <t>no</t>
        </is>
      </c>
      <c r="V182" s="5" t="inlineStr">
        <is>
          <t>no</t>
        </is>
      </c>
      <c r="W182" s="5" t="inlineStr">
        <is>
          <t>yes</t>
        </is>
      </c>
      <c r="X182" s="5" t="inlineStr">
        <is>
          <t>yes</t>
        </is>
      </c>
      <c r="Y182" s="5" t="inlineStr">
        <is>
          <t>no</t>
        </is>
      </c>
      <c r="Z182" s="5" t="inlineStr">
        <is>
          <t>no</t>
        </is>
      </c>
      <c r="AA182" s="5" t="n">
        <v>3.25</v>
      </c>
      <c r="AB182" s="5" t="n"/>
      <c r="AC182" s="5" t="n"/>
      <c r="AD182" s="5" t="n"/>
      <c r="AE182" s="5" t="n">
        <v>4756.7</v>
      </c>
      <c r="AF182" s="5" t="n">
        <v>1382.3</v>
      </c>
      <c r="AG182" s="5" t="n">
        <v>4780.4</v>
      </c>
      <c r="AH182" s="5" t="n">
        <v>1484</v>
      </c>
      <c r="AI182" s="5" t="inlineStr">
        <is>
          <t>n/a</t>
        </is>
      </c>
      <c r="AJ182" s="5" t="inlineStr"/>
      <c r="AK182" s="5" t="inlineStr"/>
      <c r="AL182" s="5" t="inlineStr"/>
      <c r="AM182" s="5" t="inlineStr"/>
    </row>
    <row r="183">
      <c r="A183" s="5" t="n">
        <v>182</v>
      </c>
      <c r="B183" s="5" t="inlineStr">
        <is>
          <t>121</t>
        </is>
      </c>
      <c r="C183" s="5" t="inlineStr">
        <is>
          <t>nearest labels (100% agree)</t>
        </is>
      </c>
      <c r="D183" s="5" t="inlineStr">
        <is>
          <t>strip_footing</t>
        </is>
      </c>
      <c r="E183" s="5" t="inlineStr">
        <is>
          <t>strip_footing</t>
        </is>
      </c>
      <c r="F183" s="5" t="inlineStr">
        <is>
          <t>SF1</t>
        </is>
      </c>
      <c r="G183" s="5" t="inlineStr"/>
      <c r="H183" s="5" t="inlineStr">
        <is>
          <t>band width matches label</t>
        </is>
      </c>
      <c r="I183" s="5" t="n">
        <v>206</v>
      </c>
      <c r="J183" s="5" t="n">
        <v>80</v>
      </c>
      <c r="K183" s="9">
        <f>IF(AND(ISNUMBER(I183),ISNUMBER(J183),J183&gt;0),I183/J183,"")</f>
        <v/>
      </c>
      <c r="L183" s="5" t="n">
        <v>1.648</v>
      </c>
      <c r="M183" s="5" t="n">
        <v>2.06</v>
      </c>
      <c r="N183" s="5" t="n">
        <v>89.90000000000001</v>
      </c>
      <c r="O183" s="5" t="inlineStr">
        <is>
          <t>parallel line pair</t>
        </is>
      </c>
      <c r="P183" s="5" t="inlineStr">
        <is>
          <t>two parallel lines at the width written in the SF label, a wall inside</t>
        </is>
      </c>
      <c r="Q183" s="5">
        <f>IF(OR(D183="column",D183="wall"),IF(I183&lt;='P vs V'!$B$3*J183,"column","wall"),"")</f>
        <v/>
      </c>
      <c r="R183" s="5" t="inlineStr"/>
      <c r="S183" s="5" t="inlineStr"/>
      <c r="T183" s="5" t="n"/>
      <c r="U183" s="5" t="inlineStr">
        <is>
          <t>no</t>
        </is>
      </c>
      <c r="V183" s="5" t="inlineStr">
        <is>
          <t>no</t>
        </is>
      </c>
      <c r="W183" s="5" t="inlineStr">
        <is>
          <t>yes</t>
        </is>
      </c>
      <c r="X183" s="5" t="inlineStr">
        <is>
          <t>yes</t>
        </is>
      </c>
      <c r="Y183" s="5" t="inlineStr">
        <is>
          <t>no</t>
        </is>
      </c>
      <c r="Z183" s="5" t="inlineStr">
        <is>
          <t>no</t>
        </is>
      </c>
      <c r="AA183" s="5" t="n">
        <v>5.53</v>
      </c>
      <c r="AB183" s="5" t="n"/>
      <c r="AC183" s="5" t="n"/>
      <c r="AD183" s="5" t="n"/>
      <c r="AE183" s="5" t="n">
        <v>5004.4</v>
      </c>
      <c r="AF183" s="5" t="n">
        <v>1661.2</v>
      </c>
      <c r="AG183" s="5" t="n">
        <v>5028.1</v>
      </c>
      <c r="AH183" s="5" t="n">
        <v>1722.1</v>
      </c>
      <c r="AI183" s="5" t="inlineStr">
        <is>
          <t>n/a</t>
        </is>
      </c>
      <c r="AJ183" s="5" t="inlineStr"/>
      <c r="AK183" s="5" t="inlineStr"/>
      <c r="AL183" s="5" t="inlineStr"/>
      <c r="AM183" s="5" t="inlineStr"/>
    </row>
    <row r="184">
      <c r="A184" s="5" t="n">
        <v>183</v>
      </c>
      <c r="B184" s="5" t="inlineStr">
        <is>
          <t>121</t>
        </is>
      </c>
      <c r="C184" s="5" t="inlineStr">
        <is>
          <t>nearest labels (80% agree)</t>
        </is>
      </c>
      <c r="D184" s="5" t="inlineStr">
        <is>
          <t>strip_footing</t>
        </is>
      </c>
      <c r="E184" s="5" t="inlineStr">
        <is>
          <t>strip_footing</t>
        </is>
      </c>
      <c r="F184" s="5" t="inlineStr">
        <is>
          <t>SF1</t>
        </is>
      </c>
      <c r="G184" s="5" t="inlineStr"/>
      <c r="H184" s="5" t="inlineStr">
        <is>
          <t>band width matches label</t>
        </is>
      </c>
      <c r="I184" s="5" t="n">
        <v>120</v>
      </c>
      <c r="J184" s="5" t="n">
        <v>80</v>
      </c>
      <c r="K184" s="9">
        <f>IF(AND(ISNUMBER(I184),ISNUMBER(J184),J184&gt;0),I184/J184,"")</f>
        <v/>
      </c>
      <c r="L184" s="5" t="n">
        <v>0.959</v>
      </c>
      <c r="M184" s="5" t="n">
        <v>1.2</v>
      </c>
      <c r="N184" s="5" t="n">
        <v>90.09999999999999</v>
      </c>
      <c r="O184" s="5" t="inlineStr">
        <is>
          <t>parallel line pair</t>
        </is>
      </c>
      <c r="P184" s="5" t="inlineStr">
        <is>
          <t>two parallel lines at the width written in the SF label, a wall inside</t>
        </is>
      </c>
      <c r="Q184" s="5">
        <f>IF(OR(D184="column",D184="wall"),IF(I184&lt;='P vs V'!$B$3*J184,"column","wall"),"")</f>
        <v/>
      </c>
      <c r="R184" s="5" t="inlineStr"/>
      <c r="S184" s="5" t="inlineStr"/>
      <c r="T184" s="5" t="n"/>
      <c r="U184" s="5" t="inlineStr">
        <is>
          <t>no</t>
        </is>
      </c>
      <c r="V184" s="5" t="inlineStr">
        <is>
          <t>no</t>
        </is>
      </c>
      <c r="W184" s="5" t="inlineStr">
        <is>
          <t>yes</t>
        </is>
      </c>
      <c r="X184" s="5" t="inlineStr">
        <is>
          <t>yes</t>
        </is>
      </c>
      <c r="Y184" s="5" t="inlineStr">
        <is>
          <t>yes</t>
        </is>
      </c>
      <c r="Z184" s="5" t="inlineStr">
        <is>
          <t>no</t>
        </is>
      </c>
      <c r="AA184" s="5" t="n">
        <v>6.54</v>
      </c>
      <c r="AB184" s="5" t="n"/>
      <c r="AC184" s="5" t="n"/>
      <c r="AD184" s="5" t="n"/>
      <c r="AE184" s="5" t="n">
        <v>4759.9</v>
      </c>
      <c r="AF184" s="5" t="n">
        <v>2048.1</v>
      </c>
      <c r="AG184" s="5" t="n">
        <v>4783.5</v>
      </c>
      <c r="AH184" s="5" t="n">
        <v>2083.5</v>
      </c>
      <c r="AI184" s="5" t="inlineStr">
        <is>
          <t>n/a</t>
        </is>
      </c>
      <c r="AJ184" s="5" t="inlineStr"/>
      <c r="AK184" s="5" t="inlineStr"/>
      <c r="AL184" s="5" t="inlineStr"/>
      <c r="AM184" s="5" t="inlineStr"/>
    </row>
    <row r="185">
      <c r="A185" s="5" t="n">
        <v>184</v>
      </c>
      <c r="B185" s="5" t="inlineStr">
        <is>
          <t>121</t>
        </is>
      </c>
      <c r="C185" s="5" t="inlineStr">
        <is>
          <t>nearest labels (100% agree)</t>
        </is>
      </c>
      <c r="D185" s="5" t="inlineStr">
        <is>
          <t>strip_footing</t>
        </is>
      </c>
      <c r="E185" s="5" t="inlineStr">
        <is>
          <t>strip_footing</t>
        </is>
      </c>
      <c r="F185" s="5" t="inlineStr">
        <is>
          <t>SF4</t>
        </is>
      </c>
      <c r="G185" s="5" t="inlineStr"/>
      <c r="H185" s="5" t="inlineStr">
        <is>
          <t>band width matches label</t>
        </is>
      </c>
      <c r="I185" s="5" t="n">
        <v>338</v>
      </c>
      <c r="J185" s="5" t="n">
        <v>120</v>
      </c>
      <c r="K185" s="9">
        <f>IF(AND(ISNUMBER(I185),ISNUMBER(J185),J185&gt;0),I185/J185,"")</f>
        <v/>
      </c>
      <c r="L185" s="5" t="n">
        <v>4.05</v>
      </c>
      <c r="M185" s="5" t="n">
        <v>3.38</v>
      </c>
      <c r="N185" s="5" t="n">
        <v>179.9</v>
      </c>
      <c r="O185" s="5" t="inlineStr">
        <is>
          <t>parallel line pair</t>
        </is>
      </c>
      <c r="P185" s="5" t="inlineStr">
        <is>
          <t>two parallel lines at the width written in the SF label, a wall inside</t>
        </is>
      </c>
      <c r="Q185" s="5">
        <f>IF(OR(D185="column",D185="wall"),IF(I185&lt;='P vs V'!$B$3*J185,"column","wall"),"")</f>
        <v/>
      </c>
      <c r="R185" s="5" t="inlineStr"/>
      <c r="S185" s="5" t="inlineStr"/>
      <c r="T185" s="5" t="n"/>
      <c r="U185" s="5" t="inlineStr">
        <is>
          <t>yes</t>
        </is>
      </c>
      <c r="V185" s="5" t="inlineStr">
        <is>
          <t>yes</t>
        </is>
      </c>
      <c r="W185" s="5" t="inlineStr">
        <is>
          <t>yes</t>
        </is>
      </c>
      <c r="X185" s="5" t="inlineStr">
        <is>
          <t>yes</t>
        </is>
      </c>
      <c r="Y185" s="5" t="inlineStr">
        <is>
          <t>no</t>
        </is>
      </c>
      <c r="Z185" s="5" t="inlineStr">
        <is>
          <t>no</t>
        </is>
      </c>
      <c r="AA185" s="5" t="n">
        <v>2.28</v>
      </c>
      <c r="AB185" s="5" t="n"/>
      <c r="AC185" s="5" t="n"/>
      <c r="AD185" s="5" t="n"/>
      <c r="AE185" s="5" t="n">
        <v>4771.7</v>
      </c>
      <c r="AF185" s="5" t="n">
        <v>1578.4</v>
      </c>
      <c r="AG185" s="5" t="n">
        <v>4871.5</v>
      </c>
      <c r="AH185" s="5" t="n">
        <v>1614.1</v>
      </c>
      <c r="AI185" s="5" t="inlineStr">
        <is>
          <t>n/a</t>
        </is>
      </c>
      <c r="AJ185" s="5" t="inlineStr"/>
      <c r="AK185" s="5" t="inlineStr"/>
      <c r="AL185" s="5" t="inlineStr"/>
      <c r="AM185" s="5" t="inlineStr"/>
    </row>
    <row r="186">
      <c r="A186" s="5" t="n">
        <v>185</v>
      </c>
      <c r="B186" s="5" t="inlineStr">
        <is>
          <t>121</t>
        </is>
      </c>
      <c r="C186" s="5" t="inlineStr">
        <is>
          <t>nearest labels (100% agree)</t>
        </is>
      </c>
      <c r="D186" s="5" t="inlineStr">
        <is>
          <t>strip_footing</t>
        </is>
      </c>
      <c r="E186" s="5" t="inlineStr">
        <is>
          <t>strip_footing</t>
        </is>
      </c>
      <c r="F186" s="5" t="inlineStr">
        <is>
          <t>SF4</t>
        </is>
      </c>
      <c r="G186" s="5" t="inlineStr"/>
      <c r="H186" s="5" t="inlineStr">
        <is>
          <t>band width matches label</t>
        </is>
      </c>
      <c r="I186" s="5" t="n">
        <v>337</v>
      </c>
      <c r="J186" s="5" t="n">
        <v>120</v>
      </c>
      <c r="K186" s="9">
        <f>IF(AND(ISNUMBER(I186),ISNUMBER(J186),J186&gt;0),I186/J186,"")</f>
        <v/>
      </c>
      <c r="L186" s="5" t="n">
        <v>4.049</v>
      </c>
      <c r="M186" s="5" t="n">
        <v>3.37</v>
      </c>
      <c r="N186" s="5" t="n">
        <v>179.9</v>
      </c>
      <c r="O186" s="5" t="inlineStr">
        <is>
          <t>parallel line pair</t>
        </is>
      </c>
      <c r="P186" s="5" t="inlineStr">
        <is>
          <t>two parallel lines at the width written in the SF label, a wall inside</t>
        </is>
      </c>
      <c r="Q186" s="5">
        <f>IF(OR(D186="column",D186="wall"),IF(I186&lt;='P vs V'!$B$3*J186,"column","wall"),"")</f>
        <v/>
      </c>
      <c r="R186" s="5" t="inlineStr"/>
      <c r="S186" s="5" t="inlineStr"/>
      <c r="T186" s="5" t="n"/>
      <c r="U186" s="5" t="inlineStr">
        <is>
          <t>yes</t>
        </is>
      </c>
      <c r="V186" s="5" t="inlineStr">
        <is>
          <t>yes</t>
        </is>
      </c>
      <c r="W186" s="5" t="inlineStr">
        <is>
          <t>yes</t>
        </is>
      </c>
      <c r="X186" s="5" t="inlineStr">
        <is>
          <t>yes</t>
        </is>
      </c>
      <c r="Y186" s="5" t="inlineStr">
        <is>
          <t>no</t>
        </is>
      </c>
      <c r="Z186" s="5" t="inlineStr">
        <is>
          <t>no</t>
        </is>
      </c>
      <c r="AA186" s="5" t="n">
        <v>2.48</v>
      </c>
      <c r="AB186" s="5" t="n"/>
      <c r="AC186" s="5" t="n"/>
      <c r="AD186" s="5" t="n"/>
      <c r="AE186" s="5" t="n">
        <v>4771.8</v>
      </c>
      <c r="AF186" s="5" t="n">
        <v>1584.3</v>
      </c>
      <c r="AG186" s="5" t="n">
        <v>4871.5</v>
      </c>
      <c r="AH186" s="5" t="n">
        <v>1620</v>
      </c>
      <c r="AI186" s="5" t="inlineStr">
        <is>
          <t>n/a</t>
        </is>
      </c>
      <c r="AJ186" s="5" t="inlineStr"/>
      <c r="AK186" s="5" t="inlineStr"/>
      <c r="AL186" s="5" t="inlineStr"/>
      <c r="AM186" s="5" t="inlineStr"/>
    </row>
    <row r="187">
      <c r="A187" s="5" t="n">
        <v>186</v>
      </c>
      <c r="B187" s="5" t="inlineStr">
        <is>
          <t>121</t>
        </is>
      </c>
      <c r="C187" s="5" t="inlineStr">
        <is>
          <t>nearest labels (60% agree)</t>
        </is>
      </c>
      <c r="D187" s="5" t="inlineStr">
        <is>
          <t>raft</t>
        </is>
      </c>
      <c r="E187" s="5" t="inlineStr">
        <is>
          <t>crane_raft (probable)</t>
        </is>
      </c>
      <c r="F187" s="5" t="inlineStr">
        <is>
          <t>Radier 190</t>
        </is>
      </c>
      <c r="G187" s="5" t="inlineStr">
        <is>
          <t>Radier</t>
        </is>
      </c>
      <c r="H187" s="5" t="inlineStr">
        <is>
          <t>printed</t>
        </is>
      </c>
      <c r="I187" s="5" t="n">
        <v>925</v>
      </c>
      <c r="J187" s="5" t="n">
        <v>780</v>
      </c>
      <c r="K187" s="9">
        <f>IF(AND(ISNUMBER(I187),ISNUMBER(J187),J187&gt;0),I187/J187,"")</f>
        <v/>
      </c>
      <c r="L187" s="5" t="n">
        <v>72.155</v>
      </c>
      <c r="M187" s="5" t="n"/>
      <c r="N187" s="5" t="n">
        <v>90</v>
      </c>
      <c r="O187" s="5" t="inlineStr">
        <is>
          <t>stamp + corner diagonals</t>
        </is>
      </c>
      <c r="P187" s="5" t="inlineStr">
        <is>
          <t>'Radier' stamp; extent from the corner diagonals that stop at the stamp</t>
        </is>
      </c>
      <c r="Q187" s="5">
        <f>IF(OR(D187="column",D187="wall"),IF(I187&lt;='P vs V'!$B$3*J187,"column","wall"),"")</f>
        <v/>
      </c>
      <c r="R187" s="5" t="inlineStr"/>
      <c r="S187" s="5" t="inlineStr"/>
      <c r="T187" s="5" t="n"/>
      <c r="U187" s="5" t="inlineStr">
        <is>
          <t>no</t>
        </is>
      </c>
      <c r="V187" s="5" t="inlineStr">
        <is>
          <t>no</t>
        </is>
      </c>
      <c r="W187" s="5" t="inlineStr">
        <is>
          <t>yes</t>
        </is>
      </c>
      <c r="X187" s="5" t="inlineStr">
        <is>
          <t>no</t>
        </is>
      </c>
      <c r="Y187" s="5" t="inlineStr">
        <is>
          <t>yes</t>
        </is>
      </c>
      <c r="Z187" s="5" t="inlineStr">
        <is>
          <t>yes</t>
        </is>
      </c>
      <c r="AA187" s="5" t="n">
        <v>2.83</v>
      </c>
      <c r="AB187" s="5" t="n"/>
      <c r="AC187" s="5" t="n"/>
      <c r="AD187" s="5" t="n">
        <v>190</v>
      </c>
      <c r="AE187" s="5" t="n">
        <v>4145.2</v>
      </c>
      <c r="AF187" s="5" t="n">
        <v>1310.4</v>
      </c>
      <c r="AG187" s="5" t="n">
        <v>4375.6</v>
      </c>
      <c r="AH187" s="5" t="n">
        <v>1583.5</v>
      </c>
      <c r="AI187" s="5" t="inlineStr">
        <is>
          <t>n/a</t>
        </is>
      </c>
      <c r="AJ187" s="5" t="inlineStr"/>
      <c r="AK187" s="5" t="inlineStr"/>
      <c r="AL187" s="5" t="inlineStr"/>
      <c r="AM187" s="5" t="inlineStr"/>
    </row>
    <row r="188">
      <c r="A188" s="5" t="n">
        <v>187</v>
      </c>
      <c r="B188" s="5" t="inlineStr">
        <is>
          <t>121</t>
        </is>
      </c>
      <c r="C188" s="5" t="inlineStr">
        <is>
          <t>nearest labels (100% agree)</t>
        </is>
      </c>
      <c r="D188" s="5" t="inlineStr">
        <is>
          <t>raft</t>
        </is>
      </c>
      <c r="E188" s="5" t="inlineStr">
        <is>
          <t>raft</t>
        </is>
      </c>
      <c r="F188" s="5" t="inlineStr">
        <is>
          <t>Radier 90</t>
        </is>
      </c>
      <c r="G188" s="5" t="inlineStr">
        <is>
          <t>Radier</t>
        </is>
      </c>
      <c r="H188" s="5" t="inlineStr">
        <is>
          <t>printed</t>
        </is>
      </c>
      <c r="I188" s="5" t="n">
        <v>1200</v>
      </c>
      <c r="J188" s="5" t="n">
        <v>600</v>
      </c>
      <c r="K188" s="9">
        <f>IF(AND(ISNUMBER(I188),ISNUMBER(J188),J188&gt;0),I188/J188,"")</f>
        <v/>
      </c>
      <c r="L188" s="5" t="n">
        <v>71.905</v>
      </c>
      <c r="M188" s="5" t="n"/>
      <c r="N188" s="5" t="n">
        <v>0</v>
      </c>
      <c r="O188" s="5" t="inlineStr">
        <is>
          <t>stamp + corner diagonals</t>
        </is>
      </c>
      <c r="P188" s="5" t="inlineStr">
        <is>
          <t>'Radier' stamp; extent from the corner diagonals that stop at the stamp</t>
        </is>
      </c>
      <c r="Q188" s="5">
        <f>IF(OR(D188="column",D188="wall"),IF(I188&lt;='P vs V'!$B$3*J188,"column","wall"),"")</f>
        <v/>
      </c>
      <c r="R188" s="5" t="inlineStr"/>
      <c r="S188" s="5" t="inlineStr"/>
      <c r="T188" s="5" t="n"/>
      <c r="U188" s="5" t="inlineStr">
        <is>
          <t>no</t>
        </is>
      </c>
      <c r="V188" s="5" t="inlineStr">
        <is>
          <t>yes</t>
        </is>
      </c>
      <c r="W188" s="5" t="inlineStr">
        <is>
          <t>yes</t>
        </is>
      </c>
      <c r="X188" s="5" t="inlineStr">
        <is>
          <t>no</t>
        </is>
      </c>
      <c r="Y188" s="5" t="inlineStr">
        <is>
          <t>yes</t>
        </is>
      </c>
      <c r="Z188" s="5" t="inlineStr">
        <is>
          <t>no</t>
        </is>
      </c>
      <c r="AA188" s="5" t="n">
        <v>1.48</v>
      </c>
      <c r="AB188" s="5" t="n"/>
      <c r="AC188" s="5" t="n"/>
      <c r="AD188" s="5" t="n">
        <v>90</v>
      </c>
      <c r="AE188" s="5" t="n">
        <v>4684.9</v>
      </c>
      <c r="AF188" s="5" t="n">
        <v>1484.1</v>
      </c>
      <c r="AG188" s="5" t="n">
        <v>5039.4</v>
      </c>
      <c r="AH188" s="5" t="n">
        <v>1661.2</v>
      </c>
      <c r="AI188" s="5" t="inlineStr">
        <is>
          <t>n/a</t>
        </is>
      </c>
      <c r="AJ188" s="5" t="inlineStr"/>
      <c r="AK188" s="5" t="inlineStr"/>
      <c r="AL188" s="5" t="inlineStr"/>
      <c r="AM188" s="5" t="inlineStr"/>
    </row>
    <row r="189">
      <c r="A189" s="5" t="n">
        <v>188</v>
      </c>
      <c r="B189" s="5" t="inlineStr">
        <is>
          <t>121</t>
        </is>
      </c>
      <c r="C189" s="5" t="inlineStr">
        <is>
          <t>nearest labels (100% agree)</t>
        </is>
      </c>
      <c r="D189" s="5" t="inlineStr">
        <is>
          <t>sump_pit</t>
        </is>
      </c>
      <c r="E189" s="5" t="inlineStr">
        <is>
          <t>sump_pit</t>
        </is>
      </c>
      <c r="F189" s="5" t="inlineStr">
        <is>
          <t>Fosse 2.00x1.50x1.50</t>
        </is>
      </c>
      <c r="G189" s="5" t="inlineStr">
        <is>
          <t>FOSSE DE RELEVAGE2.00x1.50x1.50</t>
        </is>
      </c>
      <c r="H189" s="5" t="inlineStr">
        <is>
          <t>printed</t>
        </is>
      </c>
      <c r="I189" s="5" t="n">
        <v>200</v>
      </c>
      <c r="J189" s="5" t="n">
        <v>150</v>
      </c>
      <c r="K189" s="9">
        <f>IF(AND(ISNUMBER(I189),ISNUMBER(J189),J189&gt;0),I189/J189,"")</f>
        <v/>
      </c>
      <c r="L189" s="5" t="n">
        <v>3</v>
      </c>
      <c r="M189" s="5" t="n"/>
      <c r="N189" s="5" t="n">
        <v>30.9</v>
      </c>
      <c r="O189" s="5" t="inlineStr">
        <is>
          <t>text</t>
        </is>
      </c>
      <c r="P189" s="5" t="inlineStr">
        <is>
          <t>'FOSSE DE RELEVAGE LxWxH' text (size read from the text)</t>
        </is>
      </c>
      <c r="Q189" s="5">
        <f>IF(OR(D189="column",D189="wall"),IF(I189&lt;='P vs V'!$B$3*J189,"column","wall"),"")</f>
        <v/>
      </c>
      <c r="R189" s="5" t="inlineStr"/>
      <c r="S189" s="5" t="inlineStr"/>
      <c r="T189" s="5" t="n"/>
      <c r="U189" s="5" t="inlineStr">
        <is>
          <t>no</t>
        </is>
      </c>
      <c r="V189" s="5" t="inlineStr">
        <is>
          <t>no</t>
        </is>
      </c>
      <c r="W189" s="5" t="inlineStr">
        <is>
          <t>no</t>
        </is>
      </c>
      <c r="X189" s="5" t="inlineStr">
        <is>
          <t>no</t>
        </is>
      </c>
      <c r="Y189" s="5" t="inlineStr">
        <is>
          <t>no</t>
        </is>
      </c>
      <c r="Z189" s="5" t="inlineStr">
        <is>
          <t>no</t>
        </is>
      </c>
      <c r="AA189" s="5" t="n">
        <v>7.16</v>
      </c>
      <c r="AB189" s="5" t="n"/>
      <c r="AC189" s="5" t="n"/>
      <c r="AD189" s="5" t="n"/>
      <c r="AE189" s="5" t="n">
        <v>4666.5</v>
      </c>
      <c r="AF189" s="5" t="n">
        <v>1856.1</v>
      </c>
      <c r="AG189" s="5" t="n">
        <v>4696</v>
      </c>
      <c r="AH189" s="5" t="n">
        <v>1885.6</v>
      </c>
      <c r="AI189" s="5" t="inlineStr">
        <is>
          <t>n/a</t>
        </is>
      </c>
      <c r="AJ189" s="5" t="inlineStr"/>
      <c r="AK189" s="5" t="inlineStr"/>
      <c r="AL189" s="5" t="inlineStr"/>
      <c r="AM189" s="5" t="inlineStr"/>
    </row>
    <row r="190">
      <c r="A190" s="5" t="n">
        <v>189</v>
      </c>
      <c r="B190" s="5" t="inlineStr">
        <is>
          <t>122</t>
        </is>
      </c>
      <c r="C190" s="5" t="inlineStr">
        <is>
          <t>own label</t>
        </is>
      </c>
      <c r="D190" s="5" t="inlineStr">
        <is>
          <t>column</t>
        </is>
      </c>
      <c r="E190" s="5" t="inlineStr">
        <is>
          <t>column</t>
        </is>
      </c>
      <c r="F190" s="5" t="inlineStr">
        <is>
          <t>P2/122</t>
        </is>
      </c>
      <c r="G190" s="5" t="inlineStr">
        <is>
          <t>P2/122/122</t>
        </is>
      </c>
      <c r="H190" s="5" t="inlineStr">
        <is>
          <t>printed</t>
        </is>
      </c>
      <c r="I190" s="5" t="n">
        <v>100</v>
      </c>
      <c r="J190" s="5" t="n">
        <v>30</v>
      </c>
      <c r="K190" s="9">
        <f>IF(AND(ISNUMBER(I190),ISNUMBER(J190),J190&gt;0),I190/J190,"")</f>
        <v/>
      </c>
      <c r="L190" s="5" t="n">
        <v>0.301</v>
      </c>
      <c r="M190" s="5" t="n"/>
      <c r="N190" s="5" t="n">
        <v>179.9</v>
      </c>
      <c r="O190" s="5" t="inlineStr">
        <is>
          <t>solid fill</t>
        </is>
      </c>
      <c r="P190" s="5" t="inlineStr">
        <is>
          <t>solid fill, rectangle, L &lt;= 4 W (EN 1992-1-1 5.3.1(7))</t>
        </is>
      </c>
      <c r="Q190" s="5">
        <f>IF(OR(D190="column",D190="wall"),IF(I190&lt;='P vs V'!$B$3*J190,"column","wall"),"")</f>
        <v/>
      </c>
      <c r="R190" s="5" t="inlineStr">
        <is>
          <t>S12</t>
        </is>
      </c>
      <c r="S190" s="5" t="inlineStr"/>
      <c r="T190" s="5" t="n"/>
      <c r="U190" s="5" t="inlineStr">
        <is>
          <t>no</t>
        </is>
      </c>
      <c r="V190" s="5" t="inlineStr">
        <is>
          <t>no</t>
        </is>
      </c>
      <c r="W190" s="5" t="inlineStr">
        <is>
          <t>no</t>
        </is>
      </c>
      <c r="X190" s="5" t="inlineStr">
        <is>
          <t>no</t>
        </is>
      </c>
      <c r="Y190" s="5" t="inlineStr">
        <is>
          <t>yes</t>
        </is>
      </c>
      <c r="Z190" s="5" t="inlineStr">
        <is>
          <t>yes</t>
        </is>
      </c>
      <c r="AA190" s="5" t="n">
        <v>0.57</v>
      </c>
      <c r="AB190" s="5" t="n"/>
      <c r="AC190" s="5" t="n"/>
      <c r="AD190" s="5" t="n"/>
      <c r="AE190" s="5" t="n">
        <v>4582.2</v>
      </c>
      <c r="AF190" s="5" t="n">
        <v>2698</v>
      </c>
      <c r="AG190" s="5" t="n">
        <v>4611.8</v>
      </c>
      <c r="AH190" s="5" t="n">
        <v>2707</v>
      </c>
      <c r="AI190" s="5" t="inlineStr">
        <is>
          <t>yes</t>
        </is>
      </c>
      <c r="AJ190" s="5" t="inlineStr">
        <is>
          <t>column</t>
        </is>
      </c>
      <c r="AK190" s="5" t="inlineStr"/>
      <c r="AL190" s="5" t="inlineStr">
        <is>
          <t>(0.0, 0.0, 1.0)</t>
        </is>
      </c>
      <c r="AM190" s="5" t="inlineStr">
        <is>
          <t>DM-Poteaux</t>
        </is>
      </c>
    </row>
    <row r="191">
      <c r="A191" s="5" t="n">
        <v>190</v>
      </c>
      <c r="B191" s="5" t="inlineStr">
        <is>
          <t>122</t>
        </is>
      </c>
      <c r="C191" s="5" t="inlineStr">
        <is>
          <t>own label</t>
        </is>
      </c>
      <c r="D191" s="5" t="inlineStr">
        <is>
          <t>column</t>
        </is>
      </c>
      <c r="E191" s="5" t="inlineStr">
        <is>
          <t>column</t>
        </is>
      </c>
      <c r="F191" s="5" t="inlineStr">
        <is>
          <t>P2a/122</t>
        </is>
      </c>
      <c r="G191" s="5" t="inlineStr">
        <is>
          <t>P2a/122a/122</t>
        </is>
      </c>
      <c r="H191" s="5" t="inlineStr">
        <is>
          <t>printed</t>
        </is>
      </c>
      <c r="I191" s="5" t="n">
        <v>100</v>
      </c>
      <c r="J191" s="5" t="n">
        <v>30</v>
      </c>
      <c r="K191" s="9">
        <f>IF(AND(ISNUMBER(I191),ISNUMBER(J191),J191&gt;0),I191/J191,"")</f>
        <v/>
      </c>
      <c r="L191" s="5" t="n">
        <v>0.299</v>
      </c>
      <c r="M191" s="5" t="n"/>
      <c r="N191" s="5" t="n">
        <v>179.9</v>
      </c>
      <c r="O191" s="5" t="inlineStr">
        <is>
          <t>solid fill</t>
        </is>
      </c>
      <c r="P191" s="5" t="inlineStr">
        <is>
          <t>solid fill, rectangle, L &lt;= 4 W (EN 1992-1-1 5.3.1(7))</t>
        </is>
      </c>
      <c r="Q191" s="5">
        <f>IF(OR(D191="column",D191="wall"),IF(I191&lt;='P vs V'!$B$3*J191,"column","wall"),"")</f>
        <v/>
      </c>
      <c r="R191" s="5" t="inlineStr"/>
      <c r="S191" s="5" t="inlineStr"/>
      <c r="T191" s="5" t="n"/>
      <c r="U191" s="5" t="inlineStr">
        <is>
          <t>yes</t>
        </is>
      </c>
      <c r="V191" s="5" t="inlineStr">
        <is>
          <t>no</t>
        </is>
      </c>
      <c r="W191" s="5" t="inlineStr">
        <is>
          <t>no</t>
        </is>
      </c>
      <c r="X191" s="5" t="inlineStr">
        <is>
          <t>no</t>
        </is>
      </c>
      <c r="Y191" s="5" t="inlineStr">
        <is>
          <t>no</t>
        </is>
      </c>
      <c r="Z191" s="5" t="inlineStr">
        <is>
          <t>no</t>
        </is>
      </c>
      <c r="AA191" s="5" t="n">
        <v>0.57</v>
      </c>
      <c r="AB191" s="5" t="n"/>
      <c r="AC191" s="5" t="n"/>
      <c r="AD191" s="5" t="n"/>
      <c r="AE191" s="5" t="n">
        <v>4705.4</v>
      </c>
      <c r="AF191" s="5" t="n">
        <v>2697.8</v>
      </c>
      <c r="AG191" s="5" t="n">
        <v>4734.9</v>
      </c>
      <c r="AH191" s="5" t="n">
        <v>2706.7</v>
      </c>
      <c r="AI191" s="5" t="inlineStr">
        <is>
          <t>yes</t>
        </is>
      </c>
      <c r="AJ191" s="5" t="inlineStr">
        <is>
          <t>column</t>
        </is>
      </c>
      <c r="AK191" s="5" t="inlineStr"/>
      <c r="AL191" s="5" t="inlineStr">
        <is>
          <t>(0.0, 0.0, 1.0)</t>
        </is>
      </c>
      <c r="AM191" s="5" t="inlineStr">
        <is>
          <t>DM-Poteaux</t>
        </is>
      </c>
    </row>
    <row r="192">
      <c r="A192" s="5" t="n">
        <v>191</v>
      </c>
      <c r="B192" s="5" t="inlineStr">
        <is>
          <t>122</t>
        </is>
      </c>
      <c r="C192" s="5" t="inlineStr">
        <is>
          <t>own label</t>
        </is>
      </c>
      <c r="D192" s="5" t="inlineStr">
        <is>
          <t>column</t>
        </is>
      </c>
      <c r="E192" s="5" t="inlineStr">
        <is>
          <t>column</t>
        </is>
      </c>
      <c r="F192" s="5" t="inlineStr">
        <is>
          <t>P2a/122</t>
        </is>
      </c>
      <c r="G192" s="5" t="inlineStr">
        <is>
          <t>P2a/122/122</t>
        </is>
      </c>
      <c r="H192" s="5" t="inlineStr">
        <is>
          <t>printed</t>
        </is>
      </c>
      <c r="I192" s="5" t="n">
        <v>100</v>
      </c>
      <c r="J192" s="5" t="n">
        <v>30</v>
      </c>
      <c r="K192" s="9">
        <f>IF(AND(ISNUMBER(I192),ISNUMBER(J192),J192&gt;0),I192/J192,"")</f>
        <v/>
      </c>
      <c r="L192" s="5" t="n">
        <v>0.299</v>
      </c>
      <c r="M192" s="5" t="n"/>
      <c r="N192" s="5" t="n">
        <v>179.9</v>
      </c>
      <c r="O192" s="5" t="inlineStr">
        <is>
          <t>solid fill</t>
        </is>
      </c>
      <c r="P192" s="5" t="inlineStr">
        <is>
          <t>solid fill, rectangle, L &lt;= 4 W (EN 1992-1-1 5.3.1(7))</t>
        </is>
      </c>
      <c r="Q192" s="5">
        <f>IF(OR(D192="column",D192="wall"),IF(I192&lt;='P vs V'!$B$3*J192,"column","wall"),"")</f>
        <v/>
      </c>
      <c r="R192" s="5" t="inlineStr"/>
      <c r="S192" s="5" t="inlineStr"/>
      <c r="T192" s="5" t="n"/>
      <c r="U192" s="5" t="inlineStr">
        <is>
          <t>yes</t>
        </is>
      </c>
      <c r="V192" s="5" t="inlineStr">
        <is>
          <t>yes</t>
        </is>
      </c>
      <c r="W192" s="5" t="inlineStr">
        <is>
          <t>no</t>
        </is>
      </c>
      <c r="X192" s="5" t="inlineStr">
        <is>
          <t>no</t>
        </is>
      </c>
      <c r="Y192" s="5" t="inlineStr">
        <is>
          <t>no</t>
        </is>
      </c>
      <c r="Z192" s="5" t="inlineStr">
        <is>
          <t>no</t>
        </is>
      </c>
      <c r="AA192" s="5" t="n">
        <v>1.47</v>
      </c>
      <c r="AB192" s="5" t="n"/>
      <c r="AC192" s="5" t="n"/>
      <c r="AD192" s="5" t="n"/>
      <c r="AE192" s="5" t="n">
        <v>4705.2</v>
      </c>
      <c r="AF192" s="5" t="n">
        <v>2609.2</v>
      </c>
      <c r="AG192" s="5" t="n">
        <v>4734.7</v>
      </c>
      <c r="AH192" s="5" t="n">
        <v>2618.2</v>
      </c>
      <c r="AI192" s="5" t="inlineStr">
        <is>
          <t>yes</t>
        </is>
      </c>
      <c r="AJ192" s="5" t="inlineStr">
        <is>
          <t>column</t>
        </is>
      </c>
      <c r="AK192" s="5" t="inlineStr"/>
      <c r="AL192" s="5" t="inlineStr">
        <is>
          <t>(0.0, 0.0, 1.0)</t>
        </is>
      </c>
      <c r="AM192" s="5" t="inlineStr">
        <is>
          <t>DM-Poteaux</t>
        </is>
      </c>
    </row>
    <row r="193">
      <c r="A193" s="5" t="n">
        <v>192</v>
      </c>
      <c r="B193" s="5" t="inlineStr">
        <is>
          <t>122</t>
        </is>
      </c>
      <c r="C193" s="5" t="inlineStr">
        <is>
          <t>own label</t>
        </is>
      </c>
      <c r="D193" s="5" t="inlineStr">
        <is>
          <t>column</t>
        </is>
      </c>
      <c r="E193" s="5" t="inlineStr">
        <is>
          <t>column</t>
        </is>
      </c>
      <c r="F193" s="5" t="inlineStr">
        <is>
          <t>P3/122</t>
        </is>
      </c>
      <c r="G193" s="5" t="inlineStr">
        <is>
          <t>P3/122/122</t>
        </is>
      </c>
      <c r="H193" s="5" t="inlineStr">
        <is>
          <t>printed</t>
        </is>
      </c>
      <c r="I193" s="5" t="n">
        <v>50</v>
      </c>
      <c r="J193" s="5" t="n">
        <v>30</v>
      </c>
      <c r="K193" s="9">
        <f>IF(AND(ISNUMBER(I193),ISNUMBER(J193),J193&gt;0),I193/J193,"")</f>
        <v/>
      </c>
      <c r="L193" s="5" t="n">
        <v>0.15</v>
      </c>
      <c r="M193" s="5" t="n"/>
      <c r="N193" s="5" t="n">
        <v>79.40000000000001</v>
      </c>
      <c r="O193" s="5" t="inlineStr">
        <is>
          <t>solid fill</t>
        </is>
      </c>
      <c r="P193" s="5" t="inlineStr">
        <is>
          <t>solid fill, rectangle, L &lt;= 4 W (EN 1992-1-1 5.3.1(7))</t>
        </is>
      </c>
      <c r="Q193" s="5">
        <f>IF(OR(D193="column",D193="wall"),IF(I193&lt;='P vs V'!$B$3*J193,"column","wall"),"")</f>
        <v/>
      </c>
      <c r="R193" s="5" t="inlineStr">
        <is>
          <t>SC3</t>
        </is>
      </c>
      <c r="S193" s="5" t="inlineStr"/>
      <c r="T193" s="5" t="n"/>
      <c r="U193" s="5" t="inlineStr">
        <is>
          <t>no</t>
        </is>
      </c>
      <c r="V193" s="5" t="inlineStr">
        <is>
          <t>no</t>
        </is>
      </c>
      <c r="W193" s="5" t="inlineStr">
        <is>
          <t>no</t>
        </is>
      </c>
      <c r="X193" s="5" t="inlineStr">
        <is>
          <t>no</t>
        </is>
      </c>
      <c r="Y193" s="5" t="inlineStr">
        <is>
          <t>yes</t>
        </is>
      </c>
      <c r="Z193" s="5" t="inlineStr">
        <is>
          <t>yes</t>
        </is>
      </c>
      <c r="AA193" s="5" t="n">
        <v>3.01</v>
      </c>
      <c r="AB193" s="5" t="n"/>
      <c r="AC193" s="5" t="n"/>
      <c r="AD193" s="5" t="n"/>
      <c r="AE193" s="5" t="n">
        <v>4246.1</v>
      </c>
      <c r="AF193" s="5" t="n">
        <v>3072.2</v>
      </c>
      <c r="AG193" s="5" t="n">
        <v>4257.4</v>
      </c>
      <c r="AH193" s="5" t="n">
        <v>3088.4</v>
      </c>
      <c r="AI193" s="5" t="inlineStr">
        <is>
          <t>yes</t>
        </is>
      </c>
      <c r="AJ193" s="5" t="inlineStr">
        <is>
          <t>column</t>
        </is>
      </c>
      <c r="AK193" s="5" t="inlineStr"/>
      <c r="AL193" s="5" t="inlineStr">
        <is>
          <t>(0.0, 0.0, 1.0)</t>
        </is>
      </c>
      <c r="AM193" s="5" t="inlineStr">
        <is>
          <t>DM-Poteaux</t>
        </is>
      </c>
    </row>
    <row r="194">
      <c r="A194" s="5" t="n">
        <v>193</v>
      </c>
      <c r="B194" s="5" t="inlineStr">
        <is>
          <t>122</t>
        </is>
      </c>
      <c r="C194" s="5" t="inlineStr">
        <is>
          <t>own label</t>
        </is>
      </c>
      <c r="D194" s="5" t="inlineStr">
        <is>
          <t>column</t>
        </is>
      </c>
      <c r="E194" s="5" t="inlineStr">
        <is>
          <t>column</t>
        </is>
      </c>
      <c r="F194" s="5" t="inlineStr">
        <is>
          <t>P4/122</t>
        </is>
      </c>
      <c r="G194" s="5" t="inlineStr">
        <is>
          <t>P4/122/122</t>
        </is>
      </c>
      <c r="H194" s="5" t="inlineStr">
        <is>
          <t>printed</t>
        </is>
      </c>
      <c r="I194" s="5" t="n">
        <v>60</v>
      </c>
      <c r="J194" s="5" t="n">
        <v>30</v>
      </c>
      <c r="K194" s="9">
        <f>IF(AND(ISNUMBER(I194),ISNUMBER(J194),J194&gt;0),I194/J194,"")</f>
        <v/>
      </c>
      <c r="L194" s="5" t="n">
        <v>0.18</v>
      </c>
      <c r="M194" s="5" t="n"/>
      <c r="N194" s="5" t="n">
        <v>169.4</v>
      </c>
      <c r="O194" s="5" t="inlineStr">
        <is>
          <t>solid fill</t>
        </is>
      </c>
      <c r="P194" s="5" t="inlineStr">
        <is>
          <t>solid fill, rectangle, L &lt;= 4 W (EN 1992-1-1 5.3.1(7))</t>
        </is>
      </c>
      <c r="Q194" s="5">
        <f>IF(OR(D194="column",D194="wall"),IF(I194&lt;='P vs V'!$B$3*J194,"column","wall"),"")</f>
        <v/>
      </c>
      <c r="R194" s="5" t="inlineStr">
        <is>
          <t>S12</t>
        </is>
      </c>
      <c r="S194" s="5" t="inlineStr"/>
      <c r="T194" s="5" t="n"/>
      <c r="U194" s="5" t="inlineStr">
        <is>
          <t>no</t>
        </is>
      </c>
      <c r="V194" s="5" t="inlineStr">
        <is>
          <t>no</t>
        </is>
      </c>
      <c r="W194" s="5" t="inlineStr">
        <is>
          <t>no</t>
        </is>
      </c>
      <c r="X194" s="5" t="inlineStr">
        <is>
          <t>no</t>
        </is>
      </c>
      <c r="Y194" s="5" t="inlineStr">
        <is>
          <t>yes</t>
        </is>
      </c>
      <c r="Z194" s="5" t="inlineStr">
        <is>
          <t>yes</t>
        </is>
      </c>
      <c r="AA194" s="5" t="n">
        <v>1.4</v>
      </c>
      <c r="AB194" s="5" t="n"/>
      <c r="AC194" s="5" t="n"/>
      <c r="AD194" s="5" t="n"/>
      <c r="AE194" s="5" t="n">
        <v>4296.4</v>
      </c>
      <c r="AF194" s="5" t="n">
        <v>2881.5</v>
      </c>
      <c r="AG194" s="5" t="n">
        <v>4315.5</v>
      </c>
      <c r="AH194" s="5" t="n">
        <v>2893.5</v>
      </c>
      <c r="AI194" s="5" t="inlineStr">
        <is>
          <t>yes</t>
        </is>
      </c>
      <c r="AJ194" s="5" t="inlineStr">
        <is>
          <t>column</t>
        </is>
      </c>
      <c r="AK194" s="5" t="inlineStr"/>
      <c r="AL194" s="5" t="inlineStr">
        <is>
          <t>(0.0, 0.0, 1.0)</t>
        </is>
      </c>
      <c r="AM194" s="5" t="inlineStr">
        <is>
          <t>DM-Poteaux</t>
        </is>
      </c>
    </row>
    <row r="195">
      <c r="A195" s="5" t="n">
        <v>194</v>
      </c>
      <c r="B195" s="5" t="inlineStr">
        <is>
          <t>122</t>
        </is>
      </c>
      <c r="C195" s="5" t="inlineStr">
        <is>
          <t>own label</t>
        </is>
      </c>
      <c r="D195" s="5" t="inlineStr">
        <is>
          <t>column</t>
        </is>
      </c>
      <c r="E195" s="5" t="inlineStr">
        <is>
          <t>column</t>
        </is>
      </c>
      <c r="F195" s="5" t="inlineStr">
        <is>
          <t>P4/122</t>
        </is>
      </c>
      <c r="G195" s="5" t="inlineStr">
        <is>
          <t>P4/122/122</t>
        </is>
      </c>
      <c r="H195" s="5" t="inlineStr">
        <is>
          <t>printed</t>
        </is>
      </c>
      <c r="I195" s="5" t="n">
        <v>60</v>
      </c>
      <c r="J195" s="5" t="n">
        <v>30</v>
      </c>
      <c r="K195" s="9">
        <f>IF(AND(ISNUMBER(I195),ISNUMBER(J195),J195&gt;0),I195/J195,"")</f>
        <v/>
      </c>
      <c r="L195" s="5" t="n">
        <v>0.18</v>
      </c>
      <c r="M195" s="5" t="n"/>
      <c r="N195" s="5" t="n">
        <v>169.1</v>
      </c>
      <c r="O195" s="5" t="inlineStr">
        <is>
          <t>solid fill</t>
        </is>
      </c>
      <c r="P195" s="5" t="inlineStr">
        <is>
          <t>solid fill, rectangle, L &lt;= 4 W (EN 1992-1-1 5.3.1(7))</t>
        </is>
      </c>
      <c r="Q195" s="5">
        <f>IF(OR(D195="column",D195="wall"),IF(I195&lt;='P vs V'!$B$3*J195,"column","wall"),"")</f>
        <v/>
      </c>
      <c r="R195" s="5" t="inlineStr">
        <is>
          <t>SC4</t>
        </is>
      </c>
      <c r="S195" s="5" t="inlineStr"/>
      <c r="T195" s="5" t="n"/>
      <c r="U195" s="5" t="inlineStr">
        <is>
          <t>no</t>
        </is>
      </c>
      <c r="V195" s="5" t="inlineStr">
        <is>
          <t>no</t>
        </is>
      </c>
      <c r="W195" s="5" t="inlineStr">
        <is>
          <t>no</t>
        </is>
      </c>
      <c r="X195" s="5" t="inlineStr">
        <is>
          <t>no</t>
        </is>
      </c>
      <c r="Y195" s="5" t="inlineStr">
        <is>
          <t>yes</t>
        </is>
      </c>
      <c r="Z195" s="5" t="inlineStr">
        <is>
          <t>no</t>
        </is>
      </c>
      <c r="AA195" s="5" t="n">
        <v>0.39</v>
      </c>
      <c r="AB195" s="5" t="n"/>
      <c r="AC195" s="5" t="n"/>
      <c r="AD195" s="5" t="n"/>
      <c r="AE195" s="5" t="n">
        <v>4420.1</v>
      </c>
      <c r="AF195" s="5" t="n">
        <v>3043</v>
      </c>
      <c r="AG195" s="5" t="n">
        <v>4439.1</v>
      </c>
      <c r="AH195" s="5" t="n">
        <v>3055</v>
      </c>
      <c r="AI195" s="5" t="inlineStr">
        <is>
          <t>yes</t>
        </is>
      </c>
      <c r="AJ195" s="5" t="inlineStr">
        <is>
          <t>column</t>
        </is>
      </c>
      <c r="AK195" s="5" t="inlineStr"/>
      <c r="AL195" s="5" t="inlineStr">
        <is>
          <t>(0.0, 0.0, 1.0)</t>
        </is>
      </c>
      <c r="AM195" s="5" t="inlineStr">
        <is>
          <t>DM-Poteaux</t>
        </is>
      </c>
    </row>
    <row r="196">
      <c r="A196" s="5" t="n">
        <v>195</v>
      </c>
      <c r="B196" s="5" t="inlineStr">
        <is>
          <t>122</t>
        </is>
      </c>
      <c r="C196" s="5" t="inlineStr">
        <is>
          <t>nearest labels (60% agree)</t>
        </is>
      </c>
      <c r="D196" s="5" t="inlineStr">
        <is>
          <t>wall</t>
        </is>
      </c>
      <c r="E196" s="5" t="inlineStr">
        <is>
          <t>core_wall_solid</t>
        </is>
      </c>
      <c r="F196" s="5" t="inlineStr">
        <is>
          <t>(none)</t>
        </is>
      </c>
      <c r="G196" s="5" t="inlineStr"/>
      <c r="H196" s="5" t="inlineStr">
        <is>
          <t>none</t>
        </is>
      </c>
      <c r="I196" s="5" t="n">
        <v>404</v>
      </c>
      <c r="J196" s="5" t="n">
        <v>25</v>
      </c>
      <c r="K196" s="9">
        <f>IF(AND(ISNUMBER(I196),ISNUMBER(J196),J196&gt;0),I196/J196,"")</f>
        <v/>
      </c>
      <c r="L196" s="5" t="n">
        <v>0.986</v>
      </c>
      <c r="M196" s="5" t="n"/>
      <c r="N196" s="5" t="n">
        <v>79.40000000000001</v>
      </c>
      <c r="O196" s="5" t="inlineStr">
        <is>
          <t>solid fill</t>
        </is>
      </c>
      <c r="P196" s="5" t="inlineStr">
        <is>
          <t>solid fill, rectangle, L &gt; 4 W (EN 1992-1-1 5.3.1(7))</t>
        </is>
      </c>
      <c r="Q196" s="5">
        <f>IF(OR(D196="column",D196="wall"),IF(I196&lt;='P vs V'!$B$3*J196,"column","wall"),"")</f>
        <v/>
      </c>
      <c r="R196" s="5" t="inlineStr"/>
      <c r="S196" s="5" t="inlineStr"/>
      <c r="T196" s="5" t="n"/>
      <c r="U196" s="5" t="inlineStr">
        <is>
          <t>yes</t>
        </is>
      </c>
      <c r="V196" s="5" t="inlineStr">
        <is>
          <t>yes</t>
        </is>
      </c>
      <c r="W196" s="5" t="inlineStr">
        <is>
          <t>yes</t>
        </is>
      </c>
      <c r="X196" s="5" t="inlineStr">
        <is>
          <t>no</t>
        </is>
      </c>
      <c r="Y196" s="5" t="inlineStr">
        <is>
          <t>no</t>
        </is>
      </c>
      <c r="Z196" s="5" t="inlineStr">
        <is>
          <t>no</t>
        </is>
      </c>
      <c r="AA196" s="5" t="n">
        <v>1.71</v>
      </c>
      <c r="AB196" s="5" t="n"/>
      <c r="AC196" s="5" t="n"/>
      <c r="AD196" s="5" t="n"/>
      <c r="AE196" s="5" t="n">
        <v>4589.6</v>
      </c>
      <c r="AF196" s="5" t="n">
        <v>3029</v>
      </c>
      <c r="AG196" s="5" t="n">
        <v>4618.7</v>
      </c>
      <c r="AH196" s="5" t="n">
        <v>3146.3</v>
      </c>
      <c r="AI196" s="5" t="inlineStr">
        <is>
          <t>new</t>
        </is>
      </c>
      <c r="AJ196" s="5" t="inlineStr"/>
      <c r="AK196" s="5" t="inlineStr">
        <is>
          <t>piece of a wall network the colour pipeline left unsplit</t>
        </is>
      </c>
      <c r="AL196" s="5" t="inlineStr">
        <is>
          <t>(0.87, 0.0, 0.87)</t>
        </is>
      </c>
      <c r="AM196" s="5" t="inlineStr">
        <is>
          <t>DM-VOILE</t>
        </is>
      </c>
    </row>
    <row r="197">
      <c r="A197" s="5" t="n">
        <v>196</v>
      </c>
      <c r="B197" s="5" t="inlineStr">
        <is>
          <t>122</t>
        </is>
      </c>
      <c r="C197" s="5" t="inlineStr">
        <is>
          <t>nearest labels (100% agree)</t>
        </is>
      </c>
      <c r="D197" s="5" t="inlineStr">
        <is>
          <t>wall</t>
        </is>
      </c>
      <c r="E197" s="5" t="inlineStr">
        <is>
          <t>core_wall_solid</t>
        </is>
      </c>
      <c r="F197" s="5" t="inlineStr">
        <is>
          <t>(none)</t>
        </is>
      </c>
      <c r="G197" s="5" t="inlineStr"/>
      <c r="H197" s="5" t="inlineStr">
        <is>
          <t>none</t>
        </is>
      </c>
      <c r="I197" s="5" t="n">
        <v>342</v>
      </c>
      <c r="J197" s="5" t="n">
        <v>25</v>
      </c>
      <c r="K197" s="9">
        <f>IF(AND(ISNUMBER(I197),ISNUMBER(J197),J197&gt;0),I197/J197,"")</f>
        <v/>
      </c>
      <c r="L197" s="5" t="n">
        <v>0.852</v>
      </c>
      <c r="M197" s="5" t="n"/>
      <c r="N197" s="5" t="n">
        <v>0</v>
      </c>
      <c r="O197" s="5" t="inlineStr">
        <is>
          <t>solid fill</t>
        </is>
      </c>
      <c r="P197" s="5" t="inlineStr">
        <is>
          <t>solid fill, rectangle, L &gt; 4 W (EN 1992-1-1 5.3.1(7))</t>
        </is>
      </c>
      <c r="Q197" s="5">
        <f>IF(OR(D197="column",D197="wall"),IF(I197&lt;='P vs V'!$B$3*J197,"column","wall"),"")</f>
        <v/>
      </c>
      <c r="R197" s="5" t="inlineStr"/>
      <c r="S197" s="5" t="inlineStr"/>
      <c r="T197" s="5" t="n"/>
      <c r="U197" s="5" t="inlineStr">
        <is>
          <t>yes</t>
        </is>
      </c>
      <c r="V197" s="5" t="inlineStr">
        <is>
          <t>no</t>
        </is>
      </c>
      <c r="W197" s="5" t="inlineStr">
        <is>
          <t>yes</t>
        </is>
      </c>
      <c r="X197" s="5" t="inlineStr">
        <is>
          <t>no</t>
        </is>
      </c>
      <c r="Y197" s="5" t="inlineStr">
        <is>
          <t>no</t>
        </is>
      </c>
      <c r="Z197" s="5" t="inlineStr">
        <is>
          <t>no</t>
        </is>
      </c>
      <c r="AA197" s="5" t="n">
        <v>0</v>
      </c>
      <c r="AB197" s="5" t="n"/>
      <c r="AC197" s="5" t="n"/>
      <c r="AD197" s="5" t="n"/>
      <c r="AE197" s="5" t="n">
        <v>4913.1</v>
      </c>
      <c r="AF197" s="5" t="n">
        <v>2652.9</v>
      </c>
      <c r="AG197" s="5" t="n">
        <v>5014</v>
      </c>
      <c r="AH197" s="5" t="n">
        <v>2660.3</v>
      </c>
      <c r="AI197" s="5" t="inlineStr">
        <is>
          <t>new</t>
        </is>
      </c>
      <c r="AJ197" s="5" t="inlineStr"/>
      <c r="AK197" s="5" t="inlineStr">
        <is>
          <t>piece of a wall network the colour pipeline left unsplit</t>
        </is>
      </c>
      <c r="AL197" s="5" t="inlineStr">
        <is>
          <t>(0.87, 0.0, 0.87)</t>
        </is>
      </c>
      <c r="AM197" s="5" t="inlineStr">
        <is>
          <t>DM-VOILE</t>
        </is>
      </c>
    </row>
    <row r="198">
      <c r="A198" s="5" t="n">
        <v>197</v>
      </c>
      <c r="B198" s="5" t="inlineStr">
        <is>
          <t>122</t>
        </is>
      </c>
      <c r="C198" s="5" t="inlineStr">
        <is>
          <t>nearest labels (80% agree)</t>
        </is>
      </c>
      <c r="D198" s="5" t="inlineStr">
        <is>
          <t>wall</t>
        </is>
      </c>
      <c r="E198" s="5" t="inlineStr">
        <is>
          <t>core_wall_solid</t>
        </is>
      </c>
      <c r="F198" s="5" t="inlineStr">
        <is>
          <t>(none)</t>
        </is>
      </c>
      <c r="G198" s="5" t="inlineStr"/>
      <c r="H198" s="5" t="inlineStr">
        <is>
          <t>none</t>
        </is>
      </c>
      <c r="I198" s="5" t="n">
        <v>295</v>
      </c>
      <c r="J198" s="5" t="n">
        <v>25</v>
      </c>
      <c r="K198" s="9">
        <f>IF(AND(ISNUMBER(I198),ISNUMBER(J198),J198&gt;0),I198/J198,"")</f>
        <v/>
      </c>
      <c r="L198" s="5" t="n">
        <v>0.736</v>
      </c>
      <c r="M198" s="5" t="n"/>
      <c r="N198" s="5" t="n">
        <v>89.90000000000001</v>
      </c>
      <c r="O198" s="5" t="inlineStr">
        <is>
          <t>solid fill</t>
        </is>
      </c>
      <c r="P198" s="5" t="inlineStr">
        <is>
          <t>solid fill, rectangle, L &gt; 4 W (EN 1992-1-1 5.3.1(7))</t>
        </is>
      </c>
      <c r="Q198" s="5">
        <f>IF(OR(D198="column",D198="wall"),IF(I198&lt;='P vs V'!$B$3*J198,"column","wall"),"")</f>
        <v/>
      </c>
      <c r="R198" s="5" t="inlineStr"/>
      <c r="S198" s="5" t="inlineStr"/>
      <c r="T198" s="5" t="n"/>
      <c r="U198" s="5" t="inlineStr">
        <is>
          <t>yes</t>
        </is>
      </c>
      <c r="V198" s="5" t="inlineStr">
        <is>
          <t>no</t>
        </is>
      </c>
      <c r="W198" s="5" t="inlineStr">
        <is>
          <t>yes</t>
        </is>
      </c>
      <c r="X198" s="5" t="inlineStr">
        <is>
          <t>no</t>
        </is>
      </c>
      <c r="Y198" s="5" t="inlineStr">
        <is>
          <t>no</t>
        </is>
      </c>
      <c r="Z198" s="5" t="inlineStr">
        <is>
          <t>no</t>
        </is>
      </c>
      <c r="AA198" s="5" t="n">
        <v>0.75</v>
      </c>
      <c r="AB198" s="5" t="n"/>
      <c r="AC198" s="5" t="n"/>
      <c r="AD198" s="5" t="n"/>
      <c r="AE198" s="5" t="n">
        <v>5014</v>
      </c>
      <c r="AF198" s="5" t="n">
        <v>2652.9</v>
      </c>
      <c r="AG198" s="5" t="n">
        <v>5021.6</v>
      </c>
      <c r="AH198" s="5" t="n">
        <v>2740</v>
      </c>
      <c r="AI198" s="5" t="inlineStr">
        <is>
          <t>new</t>
        </is>
      </c>
      <c r="AJ198" s="5" t="inlineStr"/>
      <c r="AK198" s="5" t="inlineStr">
        <is>
          <t>piece of a wall network the colour pipeline left unsplit</t>
        </is>
      </c>
      <c r="AL198" s="5" t="inlineStr">
        <is>
          <t>(0.87, 0.0, 0.87)</t>
        </is>
      </c>
      <c r="AM198" s="5" t="inlineStr">
        <is>
          <t>DM-VOILE</t>
        </is>
      </c>
    </row>
    <row r="199">
      <c r="A199" s="5" t="n">
        <v>198</v>
      </c>
      <c r="B199" s="5" t="inlineStr">
        <is>
          <t>122</t>
        </is>
      </c>
      <c r="C199" s="5" t="inlineStr">
        <is>
          <t>nearest labels (60% agree)</t>
        </is>
      </c>
      <c r="D199" s="5" t="inlineStr">
        <is>
          <t>wall</t>
        </is>
      </c>
      <c r="E199" s="5" t="inlineStr">
        <is>
          <t>core_wall_solid</t>
        </is>
      </c>
      <c r="F199" s="5" t="inlineStr">
        <is>
          <t>(none)</t>
        </is>
      </c>
      <c r="G199" s="5" t="inlineStr"/>
      <c r="H199" s="5" t="inlineStr">
        <is>
          <t>none</t>
        </is>
      </c>
      <c r="I199" s="5" t="n">
        <v>214</v>
      </c>
      <c r="J199" s="5" t="n">
        <v>25</v>
      </c>
      <c r="K199" s="9">
        <f>IF(AND(ISNUMBER(I199),ISNUMBER(J199),J199&gt;0),I199/J199,"")</f>
        <v/>
      </c>
      <c r="L199" s="5" t="n">
        <v>0.536</v>
      </c>
      <c r="M199" s="5" t="n"/>
      <c r="N199" s="5" t="n">
        <v>169.4</v>
      </c>
      <c r="O199" s="5" t="inlineStr">
        <is>
          <t>solid fill</t>
        </is>
      </c>
      <c r="P199" s="5" t="inlineStr">
        <is>
          <t>straight stretch of a thin filled outline with bends (pair of parallel faces)</t>
        </is>
      </c>
      <c r="Q199" s="5">
        <f>IF(OR(D199="column",D199="wall"),IF(I199&lt;='P vs V'!$B$3*J199,"column","wall"),"")</f>
        <v/>
      </c>
      <c r="R199" s="5" t="inlineStr"/>
      <c r="S199" s="5" t="inlineStr"/>
      <c r="T199" s="5" t="n"/>
      <c r="U199" s="5" t="inlineStr">
        <is>
          <t>yes</t>
        </is>
      </c>
      <c r="V199" s="5" t="inlineStr">
        <is>
          <t>no</t>
        </is>
      </c>
      <c r="W199" s="5" t="inlineStr">
        <is>
          <t>yes</t>
        </is>
      </c>
      <c r="X199" s="5" t="inlineStr">
        <is>
          <t>no</t>
        </is>
      </c>
      <c r="Y199" s="5" t="inlineStr">
        <is>
          <t>no</t>
        </is>
      </c>
      <c r="Z199" s="5" t="inlineStr">
        <is>
          <t>no</t>
        </is>
      </c>
      <c r="AA199" s="5" t="n">
        <v>0.73</v>
      </c>
      <c r="AB199" s="5" t="n"/>
      <c r="AC199" s="5" t="n"/>
      <c r="AD199" s="5" t="n"/>
      <c r="AE199" s="5" t="n">
        <v>4709.9</v>
      </c>
      <c r="AF199" s="5" t="n">
        <v>2992.9</v>
      </c>
      <c r="AG199" s="5" t="n">
        <v>4773.3</v>
      </c>
      <c r="AH199" s="5" t="n">
        <v>3011.8</v>
      </c>
      <c r="AI199" s="5" t="inlineStr">
        <is>
          <t>new</t>
        </is>
      </c>
      <c r="AJ199" s="5" t="inlineStr"/>
      <c r="AK199" s="5" t="inlineStr">
        <is>
          <t>piece of a wall network the colour pipeline left unsplit</t>
        </is>
      </c>
      <c r="AL199" s="5" t="inlineStr"/>
      <c r="AM199" s="5" t="inlineStr"/>
    </row>
    <row r="200">
      <c r="A200" s="5" t="n">
        <v>199</v>
      </c>
      <c r="B200" s="5" t="inlineStr">
        <is>
          <t>122</t>
        </is>
      </c>
      <c r="C200" s="5" t="inlineStr">
        <is>
          <t>nearest labels (80% agree)</t>
        </is>
      </c>
      <c r="D200" s="5" t="inlineStr">
        <is>
          <t>wall</t>
        </is>
      </c>
      <c r="E200" s="5" t="inlineStr">
        <is>
          <t>core_wall_solid</t>
        </is>
      </c>
      <c r="F200" s="5" t="inlineStr">
        <is>
          <t>(none)</t>
        </is>
      </c>
      <c r="G200" s="5" t="inlineStr"/>
      <c r="H200" s="5" t="inlineStr">
        <is>
          <t>none</t>
        </is>
      </c>
      <c r="I200" s="5" t="n">
        <v>292</v>
      </c>
      <c r="J200" s="5" t="n">
        <v>25</v>
      </c>
      <c r="K200" s="9">
        <f>IF(AND(ISNUMBER(I200),ISNUMBER(J200),J200&gt;0),I200/J200,"")</f>
        <v/>
      </c>
      <c r="L200" s="5" t="n">
        <v>0.727</v>
      </c>
      <c r="M200" s="5" t="n"/>
      <c r="N200" s="5" t="n">
        <v>169.3</v>
      </c>
      <c r="O200" s="5" t="inlineStr">
        <is>
          <t>solid fill</t>
        </is>
      </c>
      <c r="P200" s="5" t="inlineStr">
        <is>
          <t>straight stretch of a thin filled outline with bends (pair of parallel faces)</t>
        </is>
      </c>
      <c r="Q200" s="5">
        <f>IF(OR(D200="column",D200="wall"),IF(I200&lt;='P vs V'!$B$3*J200,"column","wall"),"")</f>
        <v/>
      </c>
      <c r="R200" s="5" t="inlineStr"/>
      <c r="S200" s="5" t="inlineStr"/>
      <c r="T200" s="5" t="n"/>
      <c r="U200" s="5" t="inlineStr">
        <is>
          <t>yes</t>
        </is>
      </c>
      <c r="V200" s="5" t="inlineStr">
        <is>
          <t>no</t>
        </is>
      </c>
      <c r="W200" s="5" t="inlineStr">
        <is>
          <t>yes</t>
        </is>
      </c>
      <c r="X200" s="5" t="inlineStr">
        <is>
          <t>no</t>
        </is>
      </c>
      <c r="Y200" s="5" t="inlineStr">
        <is>
          <t>no</t>
        </is>
      </c>
      <c r="Z200" s="5" t="inlineStr">
        <is>
          <t>no</t>
        </is>
      </c>
      <c r="AA200" s="5" t="n">
        <v>0.13</v>
      </c>
      <c r="AB200" s="5" t="n"/>
      <c r="AC200" s="5" t="n"/>
      <c r="AD200" s="5" t="n"/>
      <c r="AE200" s="5" t="n">
        <v>4596.4</v>
      </c>
      <c r="AF200" s="5" t="n">
        <v>3010</v>
      </c>
      <c r="AG200" s="5" t="n">
        <v>4682.4</v>
      </c>
      <c r="AH200" s="5" t="n">
        <v>3033.2</v>
      </c>
      <c r="AI200" s="5" t="inlineStr">
        <is>
          <t>new</t>
        </is>
      </c>
      <c r="AJ200" s="5" t="inlineStr"/>
      <c r="AK200" s="5" t="inlineStr">
        <is>
          <t>piece of a wall network the colour pipeline left unsplit</t>
        </is>
      </c>
      <c r="AL200" s="5" t="inlineStr"/>
      <c r="AM200" s="5" t="inlineStr"/>
    </row>
    <row r="201">
      <c r="A201" s="5" t="n">
        <v>200</v>
      </c>
      <c r="B201" s="5" t="inlineStr">
        <is>
          <t>122</t>
        </is>
      </c>
      <c r="C201" s="5" t="inlineStr">
        <is>
          <t>nearest labels (100% agree)</t>
        </is>
      </c>
      <c r="D201" s="5" t="inlineStr">
        <is>
          <t>wall</t>
        </is>
      </c>
      <c r="E201" s="5" t="inlineStr">
        <is>
          <t>core_wall_solid</t>
        </is>
      </c>
      <c r="F201" s="5" t="inlineStr">
        <is>
          <t>(none)</t>
        </is>
      </c>
      <c r="G201" s="5" t="inlineStr"/>
      <c r="H201" s="5" t="inlineStr">
        <is>
          <t>none</t>
        </is>
      </c>
      <c r="I201" s="5" t="n">
        <v>207</v>
      </c>
      <c r="J201" s="5" t="n">
        <v>25</v>
      </c>
      <c r="K201" s="9">
        <f>IF(AND(ISNUMBER(I201),ISNUMBER(J201),J201&gt;0),I201/J201,"")</f>
        <v/>
      </c>
      <c r="L201" s="5" t="n">
        <v>0.518</v>
      </c>
      <c r="M201" s="5" t="n"/>
      <c r="N201" s="5" t="n">
        <v>89.90000000000001</v>
      </c>
      <c r="O201" s="5" t="inlineStr">
        <is>
          <t>solid fill</t>
        </is>
      </c>
      <c r="P201" s="5" t="inlineStr">
        <is>
          <t>straight stretch of a thin filled outline with bends (pair of parallel faces)</t>
        </is>
      </c>
      <c r="Q201" s="5">
        <f>IF(OR(D201="column",D201="wall"),IF(I201&lt;='P vs V'!$B$3*J201,"column","wall"),"")</f>
        <v/>
      </c>
      <c r="R201" s="5" t="inlineStr"/>
      <c r="S201" s="5" t="inlineStr"/>
      <c r="T201" s="5" t="n"/>
      <c r="U201" s="5" t="inlineStr">
        <is>
          <t>yes</t>
        </is>
      </c>
      <c r="V201" s="5" t="inlineStr">
        <is>
          <t>yes</t>
        </is>
      </c>
      <c r="W201" s="5" t="inlineStr">
        <is>
          <t>no</t>
        </is>
      </c>
      <c r="X201" s="5" t="inlineStr">
        <is>
          <t>no</t>
        </is>
      </c>
      <c r="Y201" s="5" t="inlineStr">
        <is>
          <t>no</t>
        </is>
      </c>
      <c r="Z201" s="5" t="inlineStr">
        <is>
          <t>no</t>
        </is>
      </c>
      <c r="AA201" s="5" t="n">
        <v>1.04</v>
      </c>
      <c r="AB201" s="5" t="n"/>
      <c r="AC201" s="5" t="n"/>
      <c r="AD201" s="5" t="n"/>
      <c r="AE201" s="5" t="n">
        <v>4873.8</v>
      </c>
      <c r="AF201" s="5" t="n">
        <v>2656.9</v>
      </c>
      <c r="AG201" s="5" t="n">
        <v>4881.2</v>
      </c>
      <c r="AH201" s="5" t="n">
        <v>2718.2</v>
      </c>
      <c r="AI201" s="5" t="inlineStr">
        <is>
          <t>new</t>
        </is>
      </c>
      <c r="AJ201" s="5" t="inlineStr"/>
      <c r="AK201" s="5" t="inlineStr">
        <is>
          <t>piece of a wall network the colour pipeline left unsplit</t>
        </is>
      </c>
      <c r="AL201" s="5" t="inlineStr"/>
      <c r="AM201" s="5" t="inlineStr"/>
    </row>
    <row r="202">
      <c r="A202" s="5" t="n">
        <v>201</v>
      </c>
      <c r="B202" s="5" t="inlineStr">
        <is>
          <t>122</t>
        </is>
      </c>
      <c r="C202" s="5" t="inlineStr">
        <is>
          <t>nearest labels (80% agree)</t>
        </is>
      </c>
      <c r="D202" s="5" t="inlineStr">
        <is>
          <t>wall</t>
        </is>
      </c>
      <c r="E202" s="5" t="inlineStr">
        <is>
          <t>core_wall_solid</t>
        </is>
      </c>
      <c r="F202" s="5" t="inlineStr">
        <is>
          <t>(none)</t>
        </is>
      </c>
      <c r="G202" s="5" t="inlineStr"/>
      <c r="H202" s="5" t="inlineStr">
        <is>
          <t>none</t>
        </is>
      </c>
      <c r="I202" s="5" t="n">
        <v>376</v>
      </c>
      <c r="J202" s="5" t="n">
        <v>25</v>
      </c>
      <c r="K202" s="9">
        <f>IF(AND(ISNUMBER(I202),ISNUMBER(J202),J202&gt;0),I202/J202,"")</f>
        <v/>
      </c>
      <c r="L202" s="5" t="n">
        <v>0.9429999999999999</v>
      </c>
      <c r="M202" s="5" t="n"/>
      <c r="N202" s="5" t="n">
        <v>179.9</v>
      </c>
      <c r="O202" s="5" t="inlineStr">
        <is>
          <t>solid fill</t>
        </is>
      </c>
      <c r="P202" s="5" t="inlineStr">
        <is>
          <t>straight stretch of a thin filled outline with bends (pair of parallel faces)</t>
        </is>
      </c>
      <c r="Q202" s="5">
        <f>IF(OR(D202="column",D202="wall"),IF(I202&lt;='P vs V'!$B$3*J202,"column","wall"),"")</f>
        <v/>
      </c>
      <c r="R202" s="5" t="inlineStr"/>
      <c r="S202" s="5" t="inlineStr"/>
      <c r="T202" s="5" t="n"/>
      <c r="U202" s="5" t="inlineStr">
        <is>
          <t>yes</t>
        </is>
      </c>
      <c r="V202" s="5" t="inlineStr">
        <is>
          <t>no</t>
        </is>
      </c>
      <c r="W202" s="5" t="inlineStr">
        <is>
          <t>no</t>
        </is>
      </c>
      <c r="X202" s="5" t="inlineStr">
        <is>
          <t>no</t>
        </is>
      </c>
      <c r="Y202" s="5" t="inlineStr">
        <is>
          <t>no</t>
        </is>
      </c>
      <c r="Z202" s="5" t="inlineStr">
        <is>
          <t>no</t>
        </is>
      </c>
      <c r="AA202" s="5" t="n">
        <v>0.85</v>
      </c>
      <c r="AB202" s="5" t="n"/>
      <c r="AC202" s="5" t="n"/>
      <c r="AD202" s="5" t="n"/>
      <c r="AE202" s="5" t="n">
        <v>4895.9</v>
      </c>
      <c r="AF202" s="5" t="n">
        <v>2740</v>
      </c>
      <c r="AG202" s="5" t="n">
        <v>5007</v>
      </c>
      <c r="AH202" s="5" t="n">
        <v>2747.7</v>
      </c>
      <c r="AI202" s="5" t="inlineStr">
        <is>
          <t>new</t>
        </is>
      </c>
      <c r="AJ202" s="5" t="inlineStr"/>
      <c r="AK202" s="5" t="inlineStr">
        <is>
          <t>piece of a wall network the colour pipeline left unsplit</t>
        </is>
      </c>
      <c r="AL202" s="5" t="inlineStr"/>
      <c r="AM202" s="5" t="inlineStr"/>
    </row>
    <row r="203">
      <c r="A203" s="5" t="n">
        <v>202</v>
      </c>
      <c r="B203" s="5" t="inlineStr">
        <is>
          <t>122</t>
        </is>
      </c>
      <c r="C203" s="5" t="inlineStr">
        <is>
          <t>nearest labels (100% agree)</t>
        </is>
      </c>
      <c r="D203" s="5" t="inlineStr">
        <is>
          <t>wall</t>
        </is>
      </c>
      <c r="E203" s="5" t="inlineStr">
        <is>
          <t>core_wall_solid</t>
        </is>
      </c>
      <c r="F203" s="5" t="inlineStr">
        <is>
          <t>(none)</t>
        </is>
      </c>
      <c r="G203" s="5" t="inlineStr"/>
      <c r="H203" s="5" t="inlineStr">
        <is>
          <t>none</t>
        </is>
      </c>
      <c r="I203" s="5" t="n">
        <v>50</v>
      </c>
      <c r="J203" s="5" t="n">
        <v>25</v>
      </c>
      <c r="K203" s="9">
        <f>IF(AND(ISNUMBER(I203),ISNUMBER(J203),J203&gt;0),I203/J203,"")</f>
        <v/>
      </c>
      <c r="L203" s="5" t="n">
        <v>0.126</v>
      </c>
      <c r="M203" s="5" t="n"/>
      <c r="N203" s="5" t="n">
        <v>89.8</v>
      </c>
      <c r="O203" s="5" t="inlineStr">
        <is>
          <t>solid fill</t>
        </is>
      </c>
      <c r="P203" s="5" t="inlineStr">
        <is>
          <t>straight stretch of a thin filled outline with bends (pair of parallel faces)</t>
        </is>
      </c>
      <c r="Q203" s="5">
        <f>IF(OR(D203="column",D203="wall"),IF(I203&lt;='P vs V'!$B$3*J203,"column","wall"),"")</f>
        <v/>
      </c>
      <c r="R203" s="5" t="inlineStr"/>
      <c r="S203" s="5" t="inlineStr"/>
      <c r="T203" s="5" t="n"/>
      <c r="U203" s="5" t="inlineStr">
        <is>
          <t>yes</t>
        </is>
      </c>
      <c r="V203" s="5" t="inlineStr">
        <is>
          <t>no</t>
        </is>
      </c>
      <c r="W203" s="5" t="inlineStr">
        <is>
          <t>no</t>
        </is>
      </c>
      <c r="X203" s="5" t="inlineStr">
        <is>
          <t>no</t>
        </is>
      </c>
      <c r="Y203" s="5" t="inlineStr">
        <is>
          <t>no</t>
        </is>
      </c>
      <c r="Z203" s="5" t="inlineStr">
        <is>
          <t>no</t>
        </is>
      </c>
      <c r="AA203" s="5" t="n">
        <v>0.35</v>
      </c>
      <c r="AB203" s="5" t="n"/>
      <c r="AC203" s="5" t="n"/>
      <c r="AD203" s="5" t="n"/>
      <c r="AE203" s="5" t="n">
        <v>4873.9</v>
      </c>
      <c r="AF203" s="5" t="n">
        <v>2721.9</v>
      </c>
      <c r="AG203" s="5" t="n">
        <v>4881.4</v>
      </c>
      <c r="AH203" s="5" t="n">
        <v>2736.6</v>
      </c>
      <c r="AI203" s="5" t="inlineStr">
        <is>
          <t>new</t>
        </is>
      </c>
      <c r="AJ203" s="5" t="inlineStr"/>
      <c r="AK203" s="5" t="inlineStr">
        <is>
          <t>piece of a wall network the colour pipeline left unsplit</t>
        </is>
      </c>
      <c r="AL203" s="5" t="inlineStr"/>
      <c r="AM203" s="5" t="inlineStr"/>
    </row>
    <row r="204">
      <c r="A204" s="5" t="n">
        <v>203</v>
      </c>
      <c r="B204" s="5" t="inlineStr">
        <is>
          <t>122</t>
        </is>
      </c>
      <c r="C204" s="5" t="inlineStr">
        <is>
          <t>nearest labels (100% agree)</t>
        </is>
      </c>
      <c r="D204" s="5" t="inlineStr">
        <is>
          <t>wall</t>
        </is>
      </c>
      <c r="E204" s="5" t="inlineStr">
        <is>
          <t>core_wall_solid</t>
        </is>
      </c>
      <c r="F204" s="5" t="inlineStr">
        <is>
          <t>(none)</t>
        </is>
      </c>
      <c r="G204" s="5" t="inlineStr"/>
      <c r="H204" s="5" t="inlineStr">
        <is>
          <t>none</t>
        </is>
      </c>
      <c r="I204" s="5" t="n">
        <v>161</v>
      </c>
      <c r="J204" s="5" t="n">
        <v>25</v>
      </c>
      <c r="K204" s="9">
        <f>IF(AND(ISNUMBER(I204),ISNUMBER(J204),J204&gt;0),I204/J204,"")</f>
        <v/>
      </c>
      <c r="L204" s="5" t="n">
        <v>0.404</v>
      </c>
      <c r="M204" s="5" t="n"/>
      <c r="N204" s="5" t="n">
        <v>179.9</v>
      </c>
      <c r="O204" s="5" t="inlineStr">
        <is>
          <t>solid fill</t>
        </is>
      </c>
      <c r="P204" s="5" t="inlineStr">
        <is>
          <t>straight stretch of a thin filled outline with bends (pair of parallel faces)</t>
        </is>
      </c>
      <c r="Q204" s="5">
        <f>IF(OR(D204="column",D204="wall"),IF(I204&lt;='P vs V'!$B$3*J204,"column","wall"),"")</f>
        <v/>
      </c>
      <c r="R204" s="5" t="inlineStr"/>
      <c r="S204" s="5" t="inlineStr"/>
      <c r="T204" s="5" t="n"/>
      <c r="U204" s="5" t="inlineStr">
        <is>
          <t>yes</t>
        </is>
      </c>
      <c r="V204" s="5" t="inlineStr">
        <is>
          <t>no</t>
        </is>
      </c>
      <c r="W204" s="5" t="inlineStr">
        <is>
          <t>yes</t>
        </is>
      </c>
      <c r="X204" s="5" t="inlineStr">
        <is>
          <t>no</t>
        </is>
      </c>
      <c r="Y204" s="5" t="inlineStr">
        <is>
          <t>no</t>
        </is>
      </c>
      <c r="Z204" s="5" t="inlineStr">
        <is>
          <t>no</t>
        </is>
      </c>
      <c r="AA204" s="5" t="n">
        <v>0.85</v>
      </c>
      <c r="AB204" s="5" t="n"/>
      <c r="AC204" s="5" t="n"/>
      <c r="AD204" s="5" t="n"/>
      <c r="AE204" s="5" t="n">
        <v>4774.2</v>
      </c>
      <c r="AF204" s="5" t="n">
        <v>2740.4</v>
      </c>
      <c r="AG204" s="5" t="n">
        <v>4821.8</v>
      </c>
      <c r="AH204" s="5" t="n">
        <v>2747.9</v>
      </c>
      <c r="AI204" s="5" t="inlineStr">
        <is>
          <t>new</t>
        </is>
      </c>
      <c r="AJ204" s="5" t="inlineStr"/>
      <c r="AK204" s="5" t="inlineStr">
        <is>
          <t>piece of a wall network the colour pipeline left unsplit</t>
        </is>
      </c>
      <c r="AL204" s="5" t="inlineStr"/>
      <c r="AM204" s="5" t="inlineStr"/>
    </row>
    <row r="205">
      <c r="A205" s="5" t="n">
        <v>204</v>
      </c>
      <c r="B205" s="5" t="inlineStr">
        <is>
          <t>122</t>
        </is>
      </c>
      <c r="C205" s="5" t="inlineStr">
        <is>
          <t>nearest labels (100% agree)</t>
        </is>
      </c>
      <c r="D205" s="5" t="inlineStr">
        <is>
          <t>wall</t>
        </is>
      </c>
      <c r="E205" s="5" t="inlineStr">
        <is>
          <t>core_wall_solid</t>
        </is>
      </c>
      <c r="F205" s="5" t="inlineStr">
        <is>
          <t>(none)</t>
        </is>
      </c>
      <c r="G205" s="5" t="inlineStr"/>
      <c r="H205" s="5" t="inlineStr">
        <is>
          <t>none</t>
        </is>
      </c>
      <c r="I205" s="5" t="n">
        <v>91</v>
      </c>
      <c r="J205" s="5" t="n">
        <v>25</v>
      </c>
      <c r="K205" s="9">
        <f>IF(AND(ISNUMBER(I205),ISNUMBER(J205),J205&gt;0),I205/J205,"")</f>
        <v/>
      </c>
      <c r="L205" s="5" t="n">
        <v>0.227</v>
      </c>
      <c r="M205" s="5" t="n"/>
      <c r="N205" s="5" t="n">
        <v>89.90000000000001</v>
      </c>
      <c r="O205" s="5" t="inlineStr">
        <is>
          <t>solid fill</t>
        </is>
      </c>
      <c r="P205" s="5" t="inlineStr">
        <is>
          <t>straight stretch of a thin filled outline with bends (pair of parallel faces)</t>
        </is>
      </c>
      <c r="Q205" s="5">
        <f>IF(OR(D205="column",D205="wall"),IF(I205&lt;='P vs V'!$B$3*J205,"column","wall"),"")</f>
        <v/>
      </c>
      <c r="R205" s="5" t="inlineStr"/>
      <c r="S205" s="5" t="inlineStr"/>
      <c r="T205" s="5" t="n"/>
      <c r="U205" s="5" t="inlineStr">
        <is>
          <t>yes</t>
        </is>
      </c>
      <c r="V205" s="5" t="inlineStr">
        <is>
          <t>no</t>
        </is>
      </c>
      <c r="W205" s="5" t="inlineStr">
        <is>
          <t>yes</t>
        </is>
      </c>
      <c r="X205" s="5" t="inlineStr">
        <is>
          <t>no</t>
        </is>
      </c>
      <c r="Y205" s="5" t="inlineStr">
        <is>
          <t>no</t>
        </is>
      </c>
      <c r="Z205" s="5" t="inlineStr">
        <is>
          <t>no</t>
        </is>
      </c>
      <c r="AA205" s="5" t="n">
        <v>0.27</v>
      </c>
      <c r="AB205" s="5" t="n"/>
      <c r="AC205" s="5" t="n"/>
      <c r="AD205" s="5" t="n"/>
      <c r="AE205" s="5" t="n">
        <v>4766.9</v>
      </c>
      <c r="AF205" s="5" t="n">
        <v>2713.5</v>
      </c>
      <c r="AG205" s="5" t="n">
        <v>4774.2</v>
      </c>
      <c r="AH205" s="5" t="n">
        <v>2740.5</v>
      </c>
      <c r="AI205" s="5" t="inlineStr">
        <is>
          <t>new</t>
        </is>
      </c>
      <c r="AJ205" s="5" t="inlineStr"/>
      <c r="AK205" s="5" t="inlineStr">
        <is>
          <t>piece of a wall network the colour pipeline left unsplit</t>
        </is>
      </c>
      <c r="AL205" s="5" t="inlineStr"/>
      <c r="AM205" s="5" t="inlineStr"/>
    </row>
    <row r="206">
      <c r="A206" s="5" t="n">
        <v>205</v>
      </c>
      <c r="B206" s="5" t="inlineStr">
        <is>
          <t>122</t>
        </is>
      </c>
      <c r="C206" s="5" t="inlineStr">
        <is>
          <t>nearest labels (80% agree)</t>
        </is>
      </c>
      <c r="D206" s="5" t="inlineStr">
        <is>
          <t>wall</t>
        </is>
      </c>
      <c r="E206" s="5" t="inlineStr">
        <is>
          <t>retaining_wall</t>
        </is>
      </c>
      <c r="F206" s="5" t="inlineStr">
        <is>
          <t>VP20</t>
        </is>
      </c>
      <c r="G206" s="5" t="inlineStr"/>
      <c r="H206" s="5" t="inlineStr">
        <is>
          <t>thickness matches a VP type</t>
        </is>
      </c>
      <c r="I206" s="5" t="n">
        <v>888</v>
      </c>
      <c r="J206" s="5" t="n">
        <v>20</v>
      </c>
      <c r="K206" s="9">
        <f>IF(AND(ISNUMBER(I206),ISNUMBER(J206),J206&gt;0),I206/J206,"")</f>
        <v/>
      </c>
      <c r="L206" s="5" t="n">
        <v>1.775</v>
      </c>
      <c r="M206" s="5" t="n"/>
      <c r="N206" s="5" t="n">
        <v>179.9</v>
      </c>
      <c r="O206" s="5" t="inlineStr">
        <is>
          <t>solid fill</t>
        </is>
      </c>
      <c r="P206" s="5" t="inlineStr">
        <is>
          <t>solid fill, rectangle, L &gt; 4 W (EN 1992-1-1 5.3.1(7))</t>
        </is>
      </c>
      <c r="Q206" s="5">
        <f>IF(OR(D206="column",D206="wall"),IF(I206&lt;='P vs V'!$B$3*J206,"column","wall"),"")</f>
        <v/>
      </c>
      <c r="R206" s="5" t="inlineStr"/>
      <c r="S206" s="5" t="inlineStr"/>
      <c r="T206" s="5" t="n"/>
      <c r="U206" s="5" t="inlineStr">
        <is>
          <t>no</t>
        </is>
      </c>
      <c r="V206" s="5" t="inlineStr">
        <is>
          <t>no</t>
        </is>
      </c>
      <c r="W206" s="5" t="inlineStr">
        <is>
          <t>yes</t>
        </is>
      </c>
      <c r="X206" s="5" t="inlineStr">
        <is>
          <t>yes</t>
        </is>
      </c>
      <c r="Y206" s="5" t="inlineStr">
        <is>
          <t>no</t>
        </is>
      </c>
      <c r="Z206" s="5" t="inlineStr">
        <is>
          <t>no</t>
        </is>
      </c>
      <c r="AA206" s="5" t="n">
        <v>0.74</v>
      </c>
      <c r="AB206" s="5" t="n"/>
      <c r="AC206" s="5" t="n"/>
      <c r="AD206" s="5" t="n"/>
      <c r="AE206" s="5" t="n">
        <v>4511.2</v>
      </c>
      <c r="AF206" s="5" t="n">
        <v>2234.1</v>
      </c>
      <c r="AG206" s="5" t="n">
        <v>4773.4</v>
      </c>
      <c r="AH206" s="5" t="n">
        <v>2240.6</v>
      </c>
      <c r="AI206" s="5" t="inlineStr">
        <is>
          <t>new</t>
        </is>
      </c>
      <c r="AJ206" s="5" t="inlineStr"/>
      <c r="AK206" s="5" t="inlineStr">
        <is>
          <t>piece of a wall network the colour pipeline left unsplit</t>
        </is>
      </c>
      <c r="AL206" s="5" t="inlineStr">
        <is>
          <t>(0.87, 0.0, 0.87)</t>
        </is>
      </c>
      <c r="AM206" s="5" t="inlineStr">
        <is>
          <t>DM-VOILE</t>
        </is>
      </c>
    </row>
    <row r="207">
      <c r="A207" s="5" t="n">
        <v>206</v>
      </c>
      <c r="B207" s="5" t="inlineStr">
        <is>
          <t>122</t>
        </is>
      </c>
      <c r="C207" s="5" t="inlineStr">
        <is>
          <t>nearest labels (80% agree)</t>
        </is>
      </c>
      <c r="D207" s="5" t="inlineStr">
        <is>
          <t>wall</t>
        </is>
      </c>
      <c r="E207" s="5" t="inlineStr">
        <is>
          <t>retaining_wall</t>
        </is>
      </c>
      <c r="F207" s="5" t="inlineStr">
        <is>
          <t>VP20</t>
        </is>
      </c>
      <c r="G207" s="5" t="inlineStr"/>
      <c r="H207" s="5" t="inlineStr">
        <is>
          <t>thickness matches a VP type</t>
        </is>
      </c>
      <c r="I207" s="5" t="n">
        <v>1170</v>
      </c>
      <c r="J207" s="5" t="n">
        <v>20</v>
      </c>
      <c r="K207" s="9">
        <f>IF(AND(ISNUMBER(I207),ISNUMBER(J207),J207&gt;0),I207/J207,"")</f>
        <v/>
      </c>
      <c r="L207" s="5" t="n">
        <v>2.34</v>
      </c>
      <c r="M207" s="5" t="n"/>
      <c r="N207" s="5" t="n">
        <v>90.09999999999999</v>
      </c>
      <c r="O207" s="5" t="inlineStr">
        <is>
          <t>solid fill</t>
        </is>
      </c>
      <c r="P207" s="5" t="inlineStr">
        <is>
          <t>straight stretch of a thin filled outline with bends (pair of parallel faces)</t>
        </is>
      </c>
      <c r="Q207" s="5">
        <f>IF(OR(D207="column",D207="wall"),IF(I207&lt;='P vs V'!$B$3*J207,"column","wall"),"")</f>
        <v/>
      </c>
      <c r="R207" s="5" t="inlineStr"/>
      <c r="S207" s="5" t="inlineStr"/>
      <c r="T207" s="5" t="n"/>
      <c r="U207" s="5" t="inlineStr">
        <is>
          <t>no</t>
        </is>
      </c>
      <c r="V207" s="5" t="inlineStr">
        <is>
          <t>no</t>
        </is>
      </c>
      <c r="W207" s="5" t="inlineStr">
        <is>
          <t>yes</t>
        </is>
      </c>
      <c r="X207" s="5" t="inlineStr">
        <is>
          <t>no</t>
        </is>
      </c>
      <c r="Y207" s="5" t="inlineStr">
        <is>
          <t>no</t>
        </is>
      </c>
      <c r="Z207" s="5" t="inlineStr">
        <is>
          <t>no</t>
        </is>
      </c>
      <c r="AA207" s="5" t="n">
        <v>2.07</v>
      </c>
      <c r="AB207" s="5" t="n"/>
      <c r="AC207" s="5" t="n"/>
      <c r="AD207" s="5" t="n"/>
      <c r="AE207" s="5" t="n">
        <v>4767.3</v>
      </c>
      <c r="AF207" s="5" t="n">
        <v>2148.5</v>
      </c>
      <c r="AG207" s="5" t="n">
        <v>4773.5</v>
      </c>
      <c r="AH207" s="5" t="n">
        <v>2494</v>
      </c>
      <c r="AI207" s="5" t="inlineStr">
        <is>
          <t>new</t>
        </is>
      </c>
      <c r="AJ207" s="5" t="inlineStr"/>
      <c r="AK207" s="5" t="inlineStr">
        <is>
          <t>piece of a wall network the colour pipeline left unsplit</t>
        </is>
      </c>
      <c r="AL207" s="5" t="inlineStr"/>
      <c r="AM207" s="5" t="inlineStr"/>
    </row>
    <row r="208">
      <c r="A208" s="5" t="n">
        <v>207</v>
      </c>
      <c r="B208" s="5" t="inlineStr">
        <is>
          <t>122</t>
        </is>
      </c>
      <c r="C208" s="5" t="inlineStr">
        <is>
          <t>nearest labels (100% agree)</t>
        </is>
      </c>
      <c r="D208" s="5" t="inlineStr">
        <is>
          <t>wall</t>
        </is>
      </c>
      <c r="E208" s="5" t="inlineStr">
        <is>
          <t>retaining_wall</t>
        </is>
      </c>
      <c r="F208" s="5" t="inlineStr">
        <is>
          <t>VP20</t>
        </is>
      </c>
      <c r="G208" s="5" t="inlineStr"/>
      <c r="H208" s="5" t="inlineStr">
        <is>
          <t>thickness matches a VP type</t>
        </is>
      </c>
      <c r="I208" s="5" t="n">
        <v>771</v>
      </c>
      <c r="J208" s="5" t="n">
        <v>20</v>
      </c>
      <c r="K208" s="9">
        <f>IF(AND(ISNUMBER(I208),ISNUMBER(J208),J208&gt;0),I208/J208,"")</f>
        <v/>
      </c>
      <c r="L208" s="5" t="n">
        <v>1.538</v>
      </c>
      <c r="M208" s="5" t="n"/>
      <c r="N208" s="5" t="n">
        <v>179.9</v>
      </c>
      <c r="O208" s="5" t="inlineStr">
        <is>
          <t>solid fill</t>
        </is>
      </c>
      <c r="P208" s="5" t="inlineStr">
        <is>
          <t>straight stretch of a thin filled outline with bends (pair of parallel faces)</t>
        </is>
      </c>
      <c r="Q208" s="5">
        <f>IF(OR(D208="column",D208="wall"),IF(I208&lt;='P vs V'!$B$3*J208,"column","wall"),"")</f>
        <v/>
      </c>
      <c r="R208" s="5" t="inlineStr"/>
      <c r="S208" s="5" t="inlineStr"/>
      <c r="T208" s="5" t="n"/>
      <c r="U208" s="5" t="inlineStr">
        <is>
          <t>no</t>
        </is>
      </c>
      <c r="V208" s="5" t="inlineStr">
        <is>
          <t>no</t>
        </is>
      </c>
      <c r="W208" s="5" t="inlineStr">
        <is>
          <t>yes</t>
        </is>
      </c>
      <c r="X208" s="5" t="inlineStr">
        <is>
          <t>no</t>
        </is>
      </c>
      <c r="Y208" s="5" t="inlineStr">
        <is>
          <t>no</t>
        </is>
      </c>
      <c r="Z208" s="5" t="inlineStr">
        <is>
          <t>no</t>
        </is>
      </c>
      <c r="AA208" s="5" t="n">
        <v>1.45</v>
      </c>
      <c r="AB208" s="5" t="n"/>
      <c r="AC208" s="5" t="n"/>
      <c r="AD208" s="5" t="n"/>
      <c r="AE208" s="5" t="n">
        <v>4773.2</v>
      </c>
      <c r="AF208" s="5" t="n">
        <v>2493.6</v>
      </c>
      <c r="AG208" s="5" t="n">
        <v>5000.9</v>
      </c>
      <c r="AH208" s="5" t="n">
        <v>2499.9</v>
      </c>
      <c r="AI208" s="5" t="inlineStr">
        <is>
          <t>new</t>
        </is>
      </c>
      <c r="AJ208" s="5" t="inlineStr"/>
      <c r="AK208" s="5" t="inlineStr">
        <is>
          <t>piece of a wall network the colour pipeline left unsplit</t>
        </is>
      </c>
      <c r="AL208" s="5" t="inlineStr"/>
      <c r="AM208" s="5" t="inlineStr"/>
    </row>
    <row r="209">
      <c r="A209" s="5" t="n">
        <v>208</v>
      </c>
      <c r="B209" s="5" t="inlineStr">
        <is>
          <t>122</t>
        </is>
      </c>
      <c r="C209" s="5" t="inlineStr">
        <is>
          <t>nearest labels (100% agree)</t>
        </is>
      </c>
      <c r="D209" s="5" t="inlineStr">
        <is>
          <t>wall</t>
        </is>
      </c>
      <c r="E209" s="5" t="inlineStr">
        <is>
          <t>retaining_wall</t>
        </is>
      </c>
      <c r="F209" s="5" t="inlineStr">
        <is>
          <t>VP25</t>
        </is>
      </c>
      <c r="G209" s="5" t="inlineStr"/>
      <c r="H209" s="5" t="inlineStr">
        <is>
          <t>thickness matches a VP type</t>
        </is>
      </c>
      <c r="I209" s="5" t="n">
        <v>2008</v>
      </c>
      <c r="J209" s="5" t="n">
        <v>25</v>
      </c>
      <c r="K209" s="9">
        <f>IF(AND(ISNUMBER(I209),ISNUMBER(J209),J209&gt;0),I209/J209,"")</f>
        <v/>
      </c>
      <c r="L209" s="5" t="n">
        <v>5.012</v>
      </c>
      <c r="M209" s="5" t="n"/>
      <c r="N209" s="5" t="n">
        <v>90</v>
      </c>
      <c r="O209" s="5" t="inlineStr">
        <is>
          <t>solid fill</t>
        </is>
      </c>
      <c r="P209" s="5" t="inlineStr">
        <is>
          <t>solid fill, rectangle, L &gt; 4 W (EN 1992-1-1 5.3.1(7))</t>
        </is>
      </c>
      <c r="Q209" s="5">
        <f>IF(OR(D209="column",D209="wall"),IF(I209&lt;='P vs V'!$B$3*J209,"column","wall"),"")</f>
        <v/>
      </c>
      <c r="R209" s="5" t="inlineStr"/>
      <c r="S209" s="5" t="inlineStr"/>
      <c r="T209" s="5" t="n"/>
      <c r="U209" s="5" t="inlineStr">
        <is>
          <t>no</t>
        </is>
      </c>
      <c r="V209" s="5" t="inlineStr">
        <is>
          <t>no</t>
        </is>
      </c>
      <c r="W209" s="5" t="inlineStr">
        <is>
          <t>no</t>
        </is>
      </c>
      <c r="X209" s="5" t="inlineStr">
        <is>
          <t>yes</t>
        </is>
      </c>
      <c r="Y209" s="5" t="inlineStr">
        <is>
          <t>yes</t>
        </is>
      </c>
      <c r="Z209" s="5" t="inlineStr">
        <is>
          <t>yes</t>
        </is>
      </c>
      <c r="AA209" s="5" t="n">
        <v>3.55</v>
      </c>
      <c r="AB209" s="5" t="n"/>
      <c r="AC209" s="5" t="n"/>
      <c r="AD209" s="5" t="n"/>
      <c r="AE209" s="5" t="n">
        <v>4158.1</v>
      </c>
      <c r="AF209" s="5" t="n">
        <v>2140</v>
      </c>
      <c r="AG209" s="5" t="n">
        <v>4165.9</v>
      </c>
      <c r="AH209" s="5" t="n">
        <v>2732.7</v>
      </c>
      <c r="AI209" s="5" t="inlineStr">
        <is>
          <t>yes</t>
        </is>
      </c>
      <c r="AJ209" s="5" t="inlineStr">
        <is>
          <t>retaining_wall</t>
        </is>
      </c>
      <c r="AK209" s="5" t="inlineStr"/>
      <c r="AL209" s="5" t="inlineStr">
        <is>
          <t>(0.87, 0.0, 0.87)</t>
        </is>
      </c>
      <c r="AM209" s="5" t="inlineStr">
        <is>
          <t>DM-VOILE</t>
        </is>
      </c>
    </row>
    <row r="210">
      <c r="A210" s="5" t="n">
        <v>209</v>
      </c>
      <c r="B210" s="5" t="inlineStr">
        <is>
          <t>122</t>
        </is>
      </c>
      <c r="C210" s="5" t="inlineStr">
        <is>
          <t>nearest labels (80% agree)</t>
        </is>
      </c>
      <c r="D210" s="5" t="inlineStr">
        <is>
          <t>wall</t>
        </is>
      </c>
      <c r="E210" s="5" t="inlineStr">
        <is>
          <t>retaining_wall</t>
        </is>
      </c>
      <c r="F210" s="5" t="inlineStr">
        <is>
          <t>VP25</t>
        </is>
      </c>
      <c r="G210" s="5" t="inlineStr"/>
      <c r="H210" s="5" t="inlineStr">
        <is>
          <t>thickness matches a VP type</t>
        </is>
      </c>
      <c r="I210" s="5" t="n">
        <v>1526</v>
      </c>
      <c r="J210" s="5" t="n">
        <v>25</v>
      </c>
      <c r="K210" s="9">
        <f>IF(AND(ISNUMBER(I210),ISNUMBER(J210),J210&gt;0),I210/J210,"")</f>
        <v/>
      </c>
      <c r="L210" s="5" t="n">
        <v>3.841</v>
      </c>
      <c r="M210" s="5" t="n"/>
      <c r="N210" s="5" t="n">
        <v>90</v>
      </c>
      <c r="O210" s="5" t="inlineStr">
        <is>
          <t>solid fill</t>
        </is>
      </c>
      <c r="P210" s="5" t="inlineStr">
        <is>
          <t>solid fill, rectangle, L &gt; 4 W (EN 1992-1-1 5.3.1(7))</t>
        </is>
      </c>
      <c r="Q210" s="5">
        <f>IF(OR(D210="column",D210="wall"),IF(I210&lt;='P vs V'!$B$3*J210,"column","wall"),"")</f>
        <v/>
      </c>
      <c r="R210" s="5" t="inlineStr"/>
      <c r="S210" s="5" t="inlineStr"/>
      <c r="T210" s="5" t="n"/>
      <c r="U210" s="5" t="inlineStr">
        <is>
          <t>yes</t>
        </is>
      </c>
      <c r="V210" s="5" t="inlineStr">
        <is>
          <t>no</t>
        </is>
      </c>
      <c r="W210" s="5" t="inlineStr">
        <is>
          <t>yes</t>
        </is>
      </c>
      <c r="X210" s="5" t="inlineStr">
        <is>
          <t>no</t>
        </is>
      </c>
      <c r="Y210" s="5" t="inlineStr">
        <is>
          <t>yes</t>
        </is>
      </c>
      <c r="Z210" s="5" t="inlineStr">
        <is>
          <t>no</t>
        </is>
      </c>
      <c r="AA210" s="5" t="n">
        <v>0</v>
      </c>
      <c r="AB210" s="5" t="n"/>
      <c r="AC210" s="5" t="n"/>
      <c r="AD210" s="5" t="n"/>
      <c r="AE210" s="5" t="n">
        <v>5014.1</v>
      </c>
      <c r="AF210" s="5" t="n">
        <v>2493.5</v>
      </c>
      <c r="AG210" s="5" t="n">
        <v>5021.9</v>
      </c>
      <c r="AH210" s="5" t="n">
        <v>2944.2</v>
      </c>
      <c r="AI210" s="5" t="inlineStr">
        <is>
          <t>new</t>
        </is>
      </c>
      <c r="AJ210" s="5" t="inlineStr"/>
      <c r="AK210" s="5" t="inlineStr">
        <is>
          <t>piece of a wall network the colour pipeline left unsplit</t>
        </is>
      </c>
      <c r="AL210" s="5" t="inlineStr">
        <is>
          <t>(0.87, 0.0, 0.87)</t>
        </is>
      </c>
      <c r="AM210" s="5" t="inlineStr">
        <is>
          <t>DM-VOILE</t>
        </is>
      </c>
    </row>
    <row r="211">
      <c r="A211" s="5" t="n">
        <v>210</v>
      </c>
      <c r="B211" s="5" t="inlineStr">
        <is>
          <t>122</t>
        </is>
      </c>
      <c r="C211" s="5" t="inlineStr">
        <is>
          <t>own label</t>
        </is>
      </c>
      <c r="D211" s="5" t="inlineStr">
        <is>
          <t>wall</t>
        </is>
      </c>
      <c r="E211" s="5" t="inlineStr">
        <is>
          <t>shear_wall</t>
        </is>
      </c>
      <c r="F211" s="5" t="inlineStr">
        <is>
          <t>V1/122</t>
        </is>
      </c>
      <c r="G211" s="5" t="inlineStr">
        <is>
          <t>V1/122/122</t>
        </is>
      </c>
      <c r="H211" s="5" t="inlineStr">
        <is>
          <t>printed</t>
        </is>
      </c>
      <c r="I211" s="5" t="n">
        <v>125</v>
      </c>
      <c r="J211" s="5" t="n">
        <v>30</v>
      </c>
      <c r="K211" s="9">
        <f>IF(AND(ISNUMBER(I211),ISNUMBER(J211),J211&gt;0),I211/J211,"")</f>
        <v/>
      </c>
      <c r="L211" s="5" t="n">
        <v>0.376</v>
      </c>
      <c r="M211" s="5" t="n"/>
      <c r="N211" s="5" t="n">
        <v>169.3</v>
      </c>
      <c r="O211" s="5" t="inlineStr">
        <is>
          <t>solid fill</t>
        </is>
      </c>
      <c r="P211" s="5" t="inlineStr">
        <is>
          <t>solid fill, rectangle, L &gt; 4 W (EN 1992-1-1 5.3.1(7))</t>
        </is>
      </c>
      <c r="Q211" s="5">
        <f>IF(OR(D211="column",D211="wall"),IF(I211&lt;='P vs V'!$B$3*J211,"column","wall"),"")</f>
        <v/>
      </c>
      <c r="R211" s="5" t="inlineStr">
        <is>
          <t>SC1</t>
        </is>
      </c>
      <c r="S211" s="5" t="inlineStr"/>
      <c r="T211" s="5" t="n"/>
      <c r="U211" s="5" t="inlineStr">
        <is>
          <t>no</t>
        </is>
      </c>
      <c r="V211" s="5" t="inlineStr">
        <is>
          <t>no</t>
        </is>
      </c>
      <c r="W211" s="5" t="inlineStr">
        <is>
          <t>yes</t>
        </is>
      </c>
      <c r="X211" s="5" t="inlineStr">
        <is>
          <t>no</t>
        </is>
      </c>
      <c r="Y211" s="5" t="inlineStr">
        <is>
          <t>no</t>
        </is>
      </c>
      <c r="Z211" s="5" t="inlineStr">
        <is>
          <t>no</t>
        </is>
      </c>
      <c r="AA211" s="5" t="n">
        <v>0.07000000000000001</v>
      </c>
      <c r="AB211" s="5" t="n"/>
      <c r="AC211" s="5" t="n"/>
      <c r="AD211" s="5" t="n"/>
      <c r="AE211" s="5" t="n">
        <v>4977.8</v>
      </c>
      <c r="AF211" s="5" t="n">
        <v>2935.2</v>
      </c>
      <c r="AG211" s="5" t="n">
        <v>5015.7</v>
      </c>
      <c r="AH211" s="5" t="n">
        <v>2950.8</v>
      </c>
      <c r="AI211" s="5" t="inlineStr">
        <is>
          <t>new</t>
        </is>
      </c>
      <c r="AJ211" s="5" t="inlineStr"/>
      <c r="AK211" s="5" t="inlineStr">
        <is>
          <t>piece of a wall network the colour pipeline left unsplit</t>
        </is>
      </c>
      <c r="AL211" s="5" t="inlineStr">
        <is>
          <t>(0.87, 0.0, 0.87)</t>
        </is>
      </c>
      <c r="AM211" s="5" t="inlineStr">
        <is>
          <t>DM-VOILE</t>
        </is>
      </c>
    </row>
    <row r="212">
      <c r="A212" s="5" t="n">
        <v>211</v>
      </c>
      <c r="B212" s="5" t="inlineStr">
        <is>
          <t>122</t>
        </is>
      </c>
      <c r="C212" s="5" t="inlineStr">
        <is>
          <t>own label</t>
        </is>
      </c>
      <c r="D212" s="5" t="inlineStr">
        <is>
          <t>wall</t>
        </is>
      </c>
      <c r="E212" s="5" t="inlineStr">
        <is>
          <t>shear_wall</t>
        </is>
      </c>
      <c r="F212" s="5" t="inlineStr">
        <is>
          <t>V1/122</t>
        </is>
      </c>
      <c r="G212" s="5" t="inlineStr">
        <is>
          <t>V1/122/122</t>
        </is>
      </c>
      <c r="H212" s="5" t="inlineStr">
        <is>
          <t>printed</t>
        </is>
      </c>
      <c r="I212" s="5" t="n">
        <v>125</v>
      </c>
      <c r="J212" s="5" t="n">
        <v>30</v>
      </c>
      <c r="K212" s="9">
        <f>IF(AND(ISNUMBER(I212),ISNUMBER(J212),J212&gt;0),I212/J212,"")</f>
        <v/>
      </c>
      <c r="L212" s="5" t="n">
        <v>0.375</v>
      </c>
      <c r="M212" s="5" t="n"/>
      <c r="N212" s="5" t="n">
        <v>179.8</v>
      </c>
      <c r="O212" s="5" t="inlineStr">
        <is>
          <t>solid fill</t>
        </is>
      </c>
      <c r="P212" s="5" t="inlineStr">
        <is>
          <t>solid fill, rectangle, L &gt; 4 W (EN 1992-1-1 5.3.1(7))</t>
        </is>
      </c>
      <c r="Q212" s="5">
        <f>IF(OR(D212="column",D212="wall"),IF(I212&lt;='P vs V'!$B$3*J212,"column","wall"),"")</f>
        <v/>
      </c>
      <c r="R212" s="5" t="inlineStr">
        <is>
          <t>SC1</t>
        </is>
      </c>
      <c r="S212" s="5" t="inlineStr"/>
      <c r="T212" s="5" t="n"/>
      <c r="U212" s="5" t="inlineStr">
        <is>
          <t>no</t>
        </is>
      </c>
      <c r="V212" s="5" t="inlineStr">
        <is>
          <t>no</t>
        </is>
      </c>
      <c r="W212" s="5" t="inlineStr">
        <is>
          <t>yes</t>
        </is>
      </c>
      <c r="X212" s="5" t="inlineStr">
        <is>
          <t>no</t>
        </is>
      </c>
      <c r="Y212" s="5" t="inlineStr">
        <is>
          <t>no</t>
        </is>
      </c>
      <c r="Z212" s="5" t="inlineStr">
        <is>
          <t>no</t>
        </is>
      </c>
      <c r="AA212" s="5" t="n">
        <v>3.94</v>
      </c>
      <c r="AB212" s="5" t="n"/>
      <c r="AC212" s="5" t="n"/>
      <c r="AD212" s="5" t="n"/>
      <c r="AE212" s="5" t="n">
        <v>4750.9</v>
      </c>
      <c r="AF212" s="5" t="n">
        <v>2138.2</v>
      </c>
      <c r="AG212" s="5" t="n">
        <v>4787.8</v>
      </c>
      <c r="AH212" s="5" t="n">
        <v>2147.1</v>
      </c>
      <c r="AI212" s="5" t="inlineStr">
        <is>
          <t>new</t>
        </is>
      </c>
      <c r="AJ212" s="5" t="inlineStr"/>
      <c r="AK212" s="5" t="inlineStr">
        <is>
          <t>piece of a wall network the colour pipeline left unsplit</t>
        </is>
      </c>
      <c r="AL212" s="5" t="inlineStr">
        <is>
          <t>(0.87, 0.0, 0.87)</t>
        </is>
      </c>
      <c r="AM212" s="5" t="inlineStr">
        <is>
          <t>DM-VOILE</t>
        </is>
      </c>
    </row>
    <row r="213">
      <c r="A213" s="5" t="n">
        <v>212</v>
      </c>
      <c r="B213" s="5" t="inlineStr">
        <is>
          <t>122</t>
        </is>
      </c>
      <c r="C213" s="5" t="inlineStr">
        <is>
          <t>own label</t>
        </is>
      </c>
      <c r="D213" s="5" t="inlineStr">
        <is>
          <t>wall</t>
        </is>
      </c>
      <c r="E213" s="5" t="inlineStr">
        <is>
          <t>shear_wall</t>
        </is>
      </c>
      <c r="F213" s="5" t="inlineStr">
        <is>
          <t>V1/122</t>
        </is>
      </c>
      <c r="G213" s="5" t="inlineStr">
        <is>
          <t>V1/122/122</t>
        </is>
      </c>
      <c r="H213" s="5" t="inlineStr">
        <is>
          <t>printed</t>
        </is>
      </c>
      <c r="I213" s="5" t="n">
        <v>125</v>
      </c>
      <c r="J213" s="5" t="n">
        <v>30</v>
      </c>
      <c r="K213" s="9">
        <f>IF(AND(ISNUMBER(I213),ISNUMBER(J213),J213&gt;0),I213/J213,"")</f>
        <v/>
      </c>
      <c r="L213" s="5" t="n">
        <v>0.375</v>
      </c>
      <c r="M213" s="5" t="n"/>
      <c r="N213" s="5" t="n">
        <v>179.8</v>
      </c>
      <c r="O213" s="5" t="inlineStr">
        <is>
          <t>solid fill</t>
        </is>
      </c>
      <c r="P213" s="5" t="inlineStr">
        <is>
          <t>solid fill, rectangle, L &gt; 4 W (EN 1992-1-1 5.3.1(7))</t>
        </is>
      </c>
      <c r="Q213" s="5">
        <f>IF(OR(D213="column",D213="wall"),IF(I213&lt;='P vs V'!$B$3*J213,"column","wall"),"")</f>
        <v/>
      </c>
      <c r="R213" s="5" t="inlineStr">
        <is>
          <t>SC3</t>
        </is>
      </c>
      <c r="S213" s="5" t="inlineStr"/>
      <c r="T213" s="5" t="n"/>
      <c r="U213" s="5" t="inlineStr">
        <is>
          <t>no</t>
        </is>
      </c>
      <c r="V213" s="5" t="inlineStr">
        <is>
          <t>no</t>
        </is>
      </c>
      <c r="W213" s="5" t="inlineStr">
        <is>
          <t>yes</t>
        </is>
      </c>
      <c r="X213" s="5" t="inlineStr">
        <is>
          <t>no</t>
        </is>
      </c>
      <c r="Y213" s="5" t="inlineStr">
        <is>
          <t>yes</t>
        </is>
      </c>
      <c r="Z213" s="5" t="inlineStr">
        <is>
          <t>no</t>
        </is>
      </c>
      <c r="AA213" s="5" t="n">
        <v>3.94</v>
      </c>
      <c r="AB213" s="5" t="n"/>
      <c r="AC213" s="5" t="n"/>
      <c r="AD213" s="5" t="n"/>
      <c r="AE213" s="5" t="n">
        <v>4518.8</v>
      </c>
      <c r="AF213" s="5" t="n">
        <v>2138.7</v>
      </c>
      <c r="AG213" s="5" t="n">
        <v>4555.8</v>
      </c>
      <c r="AH213" s="5" t="n">
        <v>2147.6</v>
      </c>
      <c r="AI213" s="5" t="inlineStr">
        <is>
          <t>new</t>
        </is>
      </c>
      <c r="AJ213" s="5" t="inlineStr"/>
      <c r="AK213" s="5" t="inlineStr">
        <is>
          <t>piece of a wall network the colour pipeline left unsplit</t>
        </is>
      </c>
      <c r="AL213" s="5" t="inlineStr">
        <is>
          <t>(0.87, 0.0, 0.87)</t>
        </is>
      </c>
      <c r="AM213" s="5" t="inlineStr">
        <is>
          <t>DM-VOILE</t>
        </is>
      </c>
    </row>
    <row r="214">
      <c r="A214" s="5" t="n">
        <v>213</v>
      </c>
      <c r="B214" s="5" t="inlineStr">
        <is>
          <t>122</t>
        </is>
      </c>
      <c r="C214" s="5" t="inlineStr">
        <is>
          <t>own label</t>
        </is>
      </c>
      <c r="D214" s="5" t="inlineStr">
        <is>
          <t>wall</t>
        </is>
      </c>
      <c r="E214" s="5" t="inlineStr">
        <is>
          <t>shear_wall</t>
        </is>
      </c>
      <c r="F214" s="5" t="inlineStr">
        <is>
          <t>V1/122</t>
        </is>
      </c>
      <c r="G214" s="5" t="inlineStr">
        <is>
          <t>V1/122/122</t>
        </is>
      </c>
      <c r="H214" s="5" t="inlineStr">
        <is>
          <t>printed</t>
        </is>
      </c>
      <c r="I214" s="5" t="n">
        <v>125</v>
      </c>
      <c r="J214" s="5" t="n">
        <v>30</v>
      </c>
      <c r="K214" s="9">
        <f>IF(AND(ISNUMBER(I214),ISNUMBER(J214),J214&gt;0),I214/J214,"")</f>
        <v/>
      </c>
      <c r="L214" s="5" t="n">
        <v>0.375</v>
      </c>
      <c r="M214" s="5" t="n"/>
      <c r="N214" s="5" t="n">
        <v>169.3</v>
      </c>
      <c r="O214" s="5" t="inlineStr">
        <is>
          <t>solid fill</t>
        </is>
      </c>
      <c r="P214" s="5" t="inlineStr">
        <is>
          <t>solid fill, rectangle, L &gt; 4 W (EN 1992-1-1 5.3.1(7))</t>
        </is>
      </c>
      <c r="Q214" s="5">
        <f>IF(OR(D214="column",D214="wall"),IF(I214&lt;='P vs V'!$B$3*J214,"column","wall"),"")</f>
        <v/>
      </c>
      <c r="R214" s="5" t="inlineStr"/>
      <c r="S214" s="5" t="inlineStr"/>
      <c r="T214" s="5" t="n"/>
      <c r="U214" s="5" t="inlineStr">
        <is>
          <t>yes</t>
        </is>
      </c>
      <c r="V214" s="5" t="inlineStr">
        <is>
          <t>no</t>
        </is>
      </c>
      <c r="W214" s="5" t="inlineStr">
        <is>
          <t>no</t>
        </is>
      </c>
      <c r="X214" s="5" t="inlineStr">
        <is>
          <t>no</t>
        </is>
      </c>
      <c r="Y214" s="5" t="inlineStr">
        <is>
          <t>yes</t>
        </is>
      </c>
      <c r="Z214" s="5" t="inlineStr">
        <is>
          <t>no</t>
        </is>
      </c>
      <c r="AA214" s="5" t="n">
        <v>1.75</v>
      </c>
      <c r="AB214" s="5" t="n"/>
      <c r="AC214" s="5" t="n"/>
      <c r="AD214" s="5" t="n"/>
      <c r="AE214" s="5" t="n">
        <v>4750.2</v>
      </c>
      <c r="AF214" s="5" t="n">
        <v>2978.1</v>
      </c>
      <c r="AG214" s="5" t="n">
        <v>4788.1</v>
      </c>
      <c r="AH214" s="5" t="n">
        <v>2993.6</v>
      </c>
      <c r="AI214" s="5" t="inlineStr">
        <is>
          <t>yes</t>
        </is>
      </c>
      <c r="AJ214" s="5" t="inlineStr">
        <is>
          <t>shear_wall</t>
        </is>
      </c>
      <c r="AK214" s="5" t="inlineStr"/>
      <c r="AL214" s="5" t="inlineStr">
        <is>
          <t>(0.87, 0.0, 0.87)</t>
        </is>
      </c>
      <c r="AM214" s="5" t="inlineStr">
        <is>
          <t>DM-VOILE</t>
        </is>
      </c>
    </row>
    <row r="215">
      <c r="A215" s="5" t="n">
        <v>214</v>
      </c>
      <c r="B215" s="5" t="inlineStr">
        <is>
          <t>122</t>
        </is>
      </c>
      <c r="C215" s="5" t="inlineStr">
        <is>
          <t>own label</t>
        </is>
      </c>
      <c r="D215" s="5" t="inlineStr">
        <is>
          <t>wall</t>
        </is>
      </c>
      <c r="E215" s="5" t="inlineStr">
        <is>
          <t>shear_wall</t>
        </is>
      </c>
      <c r="F215" s="5" t="inlineStr">
        <is>
          <t>V2/122</t>
        </is>
      </c>
      <c r="G215" s="5" t="inlineStr">
        <is>
          <t>V2/122/122</t>
        </is>
      </c>
      <c r="H215" s="5" t="inlineStr">
        <is>
          <t>printed</t>
        </is>
      </c>
      <c r="I215" s="5" t="n">
        <v>250</v>
      </c>
      <c r="J215" s="5" t="n">
        <v>30</v>
      </c>
      <c r="K215" s="9">
        <f>IF(AND(ISNUMBER(I215),ISNUMBER(J215),J215&gt;0),I215/J215,"")</f>
        <v/>
      </c>
      <c r="L215" s="5" t="n">
        <v>0.751</v>
      </c>
      <c r="M215" s="5" t="n"/>
      <c r="N215" s="5" t="n">
        <v>179.9</v>
      </c>
      <c r="O215" s="5" t="inlineStr">
        <is>
          <t>solid fill</t>
        </is>
      </c>
      <c r="P215" s="5" t="inlineStr">
        <is>
          <t>solid fill, rectangle, L &gt; 4 W (EN 1992-1-1 5.3.1(7))</t>
        </is>
      </c>
      <c r="Q215" s="5">
        <f>IF(OR(D215="column",D215="wall"),IF(I215&lt;='P vs V'!$B$3*J215,"column","wall"),"")</f>
        <v/>
      </c>
      <c r="R215" s="5" t="inlineStr">
        <is>
          <t>S11</t>
        </is>
      </c>
      <c r="S215" s="5" t="inlineStr"/>
      <c r="T215" s="5" t="n"/>
      <c r="U215" s="5" t="inlineStr">
        <is>
          <t>no</t>
        </is>
      </c>
      <c r="V215" s="5" t="inlineStr">
        <is>
          <t>no</t>
        </is>
      </c>
      <c r="W215" s="5" t="inlineStr">
        <is>
          <t>no</t>
        </is>
      </c>
      <c r="X215" s="5" t="inlineStr">
        <is>
          <t>no</t>
        </is>
      </c>
      <c r="Y215" s="5" t="inlineStr">
        <is>
          <t>yes</t>
        </is>
      </c>
      <c r="Z215" s="5" t="inlineStr">
        <is>
          <t>yes</t>
        </is>
      </c>
      <c r="AA215" s="5" t="n">
        <v>2.32</v>
      </c>
      <c r="AB215" s="5" t="n"/>
      <c r="AC215" s="5" t="n"/>
      <c r="AD215" s="5" t="n"/>
      <c r="AE215" s="5" t="n">
        <v>4519.1</v>
      </c>
      <c r="AF215" s="5" t="n">
        <v>2324.5</v>
      </c>
      <c r="AG215" s="5" t="n">
        <v>4593</v>
      </c>
      <c r="AH215" s="5" t="n">
        <v>2333.4</v>
      </c>
      <c r="AI215" s="5" t="inlineStr">
        <is>
          <t>yes</t>
        </is>
      </c>
      <c r="AJ215" s="5" t="inlineStr">
        <is>
          <t>shear_wall</t>
        </is>
      </c>
      <c r="AK215" s="5" t="inlineStr"/>
      <c r="AL215" s="5" t="inlineStr">
        <is>
          <t>(0.87, 0.0, 0.87)</t>
        </is>
      </c>
      <c r="AM215" s="5" t="inlineStr">
        <is>
          <t>DM-VOILE</t>
        </is>
      </c>
    </row>
    <row r="216">
      <c r="A216" s="5" t="n">
        <v>215</v>
      </c>
      <c r="B216" s="5" t="inlineStr">
        <is>
          <t>122</t>
        </is>
      </c>
      <c r="C216" s="5" t="inlineStr">
        <is>
          <t>own label</t>
        </is>
      </c>
      <c r="D216" s="5" t="inlineStr">
        <is>
          <t>wall</t>
        </is>
      </c>
      <c r="E216" s="5" t="inlineStr">
        <is>
          <t>shear_wall</t>
        </is>
      </c>
      <c r="F216" s="5" t="inlineStr">
        <is>
          <t>V2/122</t>
        </is>
      </c>
      <c r="G216" s="5" t="inlineStr">
        <is>
          <t>V2/122/122</t>
        </is>
      </c>
      <c r="H216" s="5" t="inlineStr">
        <is>
          <t>printed</t>
        </is>
      </c>
      <c r="I216" s="5" t="n">
        <v>250</v>
      </c>
      <c r="J216" s="5" t="n">
        <v>30</v>
      </c>
      <c r="K216" s="9">
        <f>IF(AND(ISNUMBER(I216),ISNUMBER(J216),J216&gt;0),I216/J216,"")</f>
        <v/>
      </c>
      <c r="L216" s="5" t="n">
        <v>0.75</v>
      </c>
      <c r="M216" s="5" t="n"/>
      <c r="N216" s="5" t="n">
        <v>0</v>
      </c>
      <c r="O216" s="5" t="inlineStr">
        <is>
          <t>solid fill</t>
        </is>
      </c>
      <c r="P216" s="5" t="inlineStr">
        <is>
          <t>solid fill, rectangle, L &gt; 4 W (EN 1992-1-1 5.3.1(7))</t>
        </is>
      </c>
      <c r="Q216" s="5">
        <f>IF(OR(D216="column",D216="wall"),IF(I216&lt;='P vs V'!$B$3*J216,"column","wall"),"")</f>
        <v/>
      </c>
      <c r="R216" s="5" t="inlineStr">
        <is>
          <t>S11</t>
        </is>
      </c>
      <c r="S216" s="5" t="inlineStr"/>
      <c r="T216" s="5" t="n"/>
      <c r="U216" s="5" t="inlineStr">
        <is>
          <t>no</t>
        </is>
      </c>
      <c r="V216" s="5" t="inlineStr">
        <is>
          <t>no</t>
        </is>
      </c>
      <c r="W216" s="5" t="inlineStr">
        <is>
          <t>no</t>
        </is>
      </c>
      <c r="X216" s="5" t="inlineStr">
        <is>
          <t>no</t>
        </is>
      </c>
      <c r="Y216" s="5" t="inlineStr">
        <is>
          <t>yes</t>
        </is>
      </c>
      <c r="Z216" s="5" t="inlineStr">
        <is>
          <t>yes</t>
        </is>
      </c>
      <c r="AA216" s="5" t="n">
        <v>1.66</v>
      </c>
      <c r="AB216" s="5" t="n"/>
      <c r="AC216" s="5" t="n"/>
      <c r="AD216" s="5" t="n"/>
      <c r="AE216" s="5" t="n">
        <v>4518.7</v>
      </c>
      <c r="AF216" s="5" t="n">
        <v>2811.7</v>
      </c>
      <c r="AG216" s="5" t="n">
        <v>4592.6</v>
      </c>
      <c r="AH216" s="5" t="n">
        <v>2820.7</v>
      </c>
      <c r="AI216" s="5" t="inlineStr">
        <is>
          <t>yes</t>
        </is>
      </c>
      <c r="AJ216" s="5" t="inlineStr">
        <is>
          <t>shear_wall</t>
        </is>
      </c>
      <c r="AK216" s="5" t="inlineStr"/>
      <c r="AL216" s="5" t="inlineStr">
        <is>
          <t>(0.87, 0.0, 0.87)</t>
        </is>
      </c>
      <c r="AM216" s="5" t="inlineStr">
        <is>
          <t>DM-VOILE</t>
        </is>
      </c>
    </row>
    <row r="217">
      <c r="A217" s="5" t="n">
        <v>216</v>
      </c>
      <c r="B217" s="5" t="inlineStr">
        <is>
          <t>122</t>
        </is>
      </c>
      <c r="C217" s="5" t="inlineStr">
        <is>
          <t>own label</t>
        </is>
      </c>
      <c r="D217" s="5" t="inlineStr">
        <is>
          <t>wall</t>
        </is>
      </c>
      <c r="E217" s="5" t="inlineStr">
        <is>
          <t>shear_wall</t>
        </is>
      </c>
      <c r="F217" s="5" t="inlineStr">
        <is>
          <t>V3/122</t>
        </is>
      </c>
      <c r="G217" s="5" t="inlineStr">
        <is>
          <t>V3/122/122</t>
        </is>
      </c>
      <c r="H217" s="5" t="inlineStr">
        <is>
          <t>printed</t>
        </is>
      </c>
      <c r="I217" s="5" t="n">
        <v>200</v>
      </c>
      <c r="J217" s="5" t="n">
        <v>30</v>
      </c>
      <c r="K217" s="9">
        <f>IF(AND(ISNUMBER(I217),ISNUMBER(J217),J217&gt;0),I217/J217,"")</f>
        <v/>
      </c>
      <c r="L217" s="5" t="n">
        <v>0.598</v>
      </c>
      <c r="M217" s="5" t="n"/>
      <c r="N217" s="5" t="n">
        <v>179.7</v>
      </c>
      <c r="O217" s="5" t="inlineStr">
        <is>
          <t>solid fill</t>
        </is>
      </c>
      <c r="P217" s="5" t="inlineStr">
        <is>
          <t>solid fill, rectangle, L &gt; 4 W (EN 1992-1-1 5.3.1(7))</t>
        </is>
      </c>
      <c r="Q217" s="5">
        <f>IF(OR(D217="column",D217="wall"),IF(I217&lt;='P vs V'!$B$3*J217,"column","wall"),"")</f>
        <v/>
      </c>
      <c r="R217" s="5" t="inlineStr">
        <is>
          <t>S10</t>
        </is>
      </c>
      <c r="S217" s="5" t="inlineStr"/>
      <c r="T217" s="5" t="n"/>
      <c r="U217" s="5" t="inlineStr">
        <is>
          <t>no</t>
        </is>
      </c>
      <c r="V217" s="5" t="inlineStr">
        <is>
          <t>no</t>
        </is>
      </c>
      <c r="W217" s="5" t="inlineStr">
        <is>
          <t>no</t>
        </is>
      </c>
      <c r="X217" s="5" t="inlineStr">
        <is>
          <t>no</t>
        </is>
      </c>
      <c r="Y217" s="5" t="inlineStr">
        <is>
          <t>yes</t>
        </is>
      </c>
      <c r="Z217" s="5" t="inlineStr">
        <is>
          <t>yes</t>
        </is>
      </c>
      <c r="AA217" s="5" t="n">
        <v>1.4</v>
      </c>
      <c r="AB217" s="5" t="n"/>
      <c r="AC217" s="5" t="n"/>
      <c r="AD217" s="5" t="n"/>
      <c r="AE217" s="5" t="n">
        <v>4521</v>
      </c>
      <c r="AF217" s="5" t="n">
        <v>2494.4</v>
      </c>
      <c r="AG217" s="5" t="n">
        <v>4580.1</v>
      </c>
      <c r="AH217" s="5" t="n">
        <v>2503.5</v>
      </c>
      <c r="AI217" s="5" t="inlineStr">
        <is>
          <t>yes</t>
        </is>
      </c>
      <c r="AJ217" s="5" t="inlineStr">
        <is>
          <t>shear_wall</t>
        </is>
      </c>
      <c r="AK217" s="5" t="inlineStr"/>
      <c r="AL217" s="5" t="inlineStr">
        <is>
          <t>(0.87, 0.0, 0.87)</t>
        </is>
      </c>
      <c r="AM217" s="5" t="inlineStr">
        <is>
          <t>DM-VOILE</t>
        </is>
      </c>
    </row>
    <row r="218">
      <c r="A218" s="5" t="n">
        <v>217</v>
      </c>
      <c r="B218" s="5" t="inlineStr">
        <is>
          <t>122</t>
        </is>
      </c>
      <c r="C218" s="5" t="inlineStr">
        <is>
          <t>own label</t>
        </is>
      </c>
      <c r="D218" s="5" t="inlineStr">
        <is>
          <t>wall</t>
        </is>
      </c>
      <c r="E218" s="5" t="inlineStr">
        <is>
          <t>shear_wall</t>
        </is>
      </c>
      <c r="F218" s="5" t="inlineStr">
        <is>
          <t>V4/122</t>
        </is>
      </c>
      <c r="G218" s="5" t="inlineStr">
        <is>
          <t>V4/122/122</t>
        </is>
      </c>
      <c r="H218" s="5" t="inlineStr">
        <is>
          <t>printed</t>
        </is>
      </c>
      <c r="I218" s="5" t="n">
        <v>200</v>
      </c>
      <c r="J218" s="5" t="n">
        <v>30</v>
      </c>
      <c r="K218" s="9">
        <f>IF(AND(ISNUMBER(I218),ISNUMBER(J218),J218&gt;0),I218/J218,"")</f>
        <v/>
      </c>
      <c r="L218" s="5" t="n">
        <v>0.601</v>
      </c>
      <c r="M218" s="5" t="n"/>
      <c r="N218" s="5" t="n">
        <v>179.9</v>
      </c>
      <c r="O218" s="5" t="inlineStr">
        <is>
          <t>solid fill</t>
        </is>
      </c>
      <c r="P218" s="5" t="inlineStr">
        <is>
          <t>solid fill, rectangle, L &gt; 4 W (EN 1992-1-1 5.3.1(7))</t>
        </is>
      </c>
      <c r="Q218" s="5">
        <f>IF(OR(D218="column",D218="wall"),IF(I218&lt;='P vs V'!$B$3*J218,"column","wall"),"")</f>
        <v/>
      </c>
      <c r="R218" s="5" t="inlineStr">
        <is>
          <t>S10</t>
        </is>
      </c>
      <c r="S218" s="5" t="inlineStr"/>
      <c r="T218" s="5" t="n"/>
      <c r="U218" s="5" t="inlineStr">
        <is>
          <t>no</t>
        </is>
      </c>
      <c r="V218" s="5" t="inlineStr">
        <is>
          <t>no</t>
        </is>
      </c>
      <c r="W218" s="5" t="inlineStr">
        <is>
          <t>yes</t>
        </is>
      </c>
      <c r="X218" s="5" t="inlineStr">
        <is>
          <t>no</t>
        </is>
      </c>
      <c r="Y218" s="5" t="inlineStr">
        <is>
          <t>no</t>
        </is>
      </c>
      <c r="Z218" s="5" t="inlineStr">
        <is>
          <t>no</t>
        </is>
      </c>
      <c r="AA218" s="5" t="n">
        <v>1.41</v>
      </c>
      <c r="AB218" s="5" t="n"/>
      <c r="AC218" s="5" t="n"/>
      <c r="AD218" s="5" t="n"/>
      <c r="AE218" s="5" t="n">
        <v>4940.9</v>
      </c>
      <c r="AF218" s="5" t="n">
        <v>2493.6</v>
      </c>
      <c r="AG218" s="5" t="n">
        <v>4999.9</v>
      </c>
      <c r="AH218" s="5" t="n">
        <v>2502.5</v>
      </c>
      <c r="AI218" s="5" t="inlineStr">
        <is>
          <t>new</t>
        </is>
      </c>
      <c r="AJ218" s="5" t="inlineStr"/>
      <c r="AK218" s="5" t="inlineStr">
        <is>
          <t>piece of a wall network the colour pipeline left unsplit</t>
        </is>
      </c>
      <c r="AL218" s="5" t="inlineStr">
        <is>
          <t>(0.87, 0.0, 0.87)</t>
        </is>
      </c>
      <c r="AM218" s="5" t="inlineStr">
        <is>
          <t>DM-VOILE</t>
        </is>
      </c>
    </row>
    <row r="219">
      <c r="A219" s="5" t="n">
        <v>218</v>
      </c>
      <c r="B219" s="5" t="inlineStr">
        <is>
          <t>122</t>
        </is>
      </c>
      <c r="C219" s="5" t="inlineStr">
        <is>
          <t>own label</t>
        </is>
      </c>
      <c r="D219" s="5" t="inlineStr">
        <is>
          <t>wall</t>
        </is>
      </c>
      <c r="E219" s="5" t="inlineStr">
        <is>
          <t>shear_wall</t>
        </is>
      </c>
      <c r="F219" s="5" t="inlineStr">
        <is>
          <t>V4/122</t>
        </is>
      </c>
      <c r="G219" s="5" t="inlineStr">
        <is>
          <t>V4/122/122</t>
        </is>
      </c>
      <c r="H219" s="5" t="inlineStr">
        <is>
          <t>printed</t>
        </is>
      </c>
      <c r="I219" s="5" t="n">
        <v>200</v>
      </c>
      <c r="J219" s="5" t="n">
        <v>30</v>
      </c>
      <c r="K219" s="9">
        <f>IF(AND(ISNUMBER(I219),ISNUMBER(J219),J219&gt;0),I219/J219,"")</f>
        <v/>
      </c>
      <c r="L219" s="5" t="n">
        <v>0.6</v>
      </c>
      <c r="M219" s="5" t="n"/>
      <c r="N219" s="5" t="n">
        <v>169.3</v>
      </c>
      <c r="O219" s="5" t="inlineStr">
        <is>
          <t>solid fill</t>
        </is>
      </c>
      <c r="P219" s="5" t="inlineStr">
        <is>
          <t>solid fill, rectangle, L &gt; 4 W (EN 1992-1-1 5.3.1(7))</t>
        </is>
      </c>
      <c r="Q219" s="5">
        <f>IF(OR(D219="column",D219="wall"),IF(I219&lt;='P vs V'!$B$3*J219,"column","wall"),"")</f>
        <v/>
      </c>
      <c r="R219" s="5" t="inlineStr"/>
      <c r="S219" s="5" t="inlineStr"/>
      <c r="T219" s="5" t="n"/>
      <c r="U219" s="5" t="inlineStr">
        <is>
          <t>yes</t>
        </is>
      </c>
      <c r="V219" s="5" t="inlineStr">
        <is>
          <t>no</t>
        </is>
      </c>
      <c r="W219" s="5" t="inlineStr">
        <is>
          <t>no</t>
        </is>
      </c>
      <c r="X219" s="5" t="inlineStr">
        <is>
          <t>no</t>
        </is>
      </c>
      <c r="Y219" s="5" t="inlineStr">
        <is>
          <t>no</t>
        </is>
      </c>
      <c r="Z219" s="5" t="inlineStr">
        <is>
          <t>no</t>
        </is>
      </c>
      <c r="AA219" s="5" t="n">
        <v>0.83</v>
      </c>
      <c r="AB219" s="5" t="n"/>
      <c r="AC219" s="5" t="n"/>
      <c r="AD219" s="5" t="n"/>
      <c r="AE219" s="5" t="n">
        <v>4587.1</v>
      </c>
      <c r="AF219" s="5" t="n">
        <v>3004.7</v>
      </c>
      <c r="AG219" s="5" t="n">
        <v>4646.7</v>
      </c>
      <c r="AH219" s="5" t="n">
        <v>3024.4</v>
      </c>
      <c r="AI219" s="5" t="inlineStr">
        <is>
          <t>yes</t>
        </is>
      </c>
      <c r="AJ219" s="5" t="inlineStr">
        <is>
          <t>shear_wall</t>
        </is>
      </c>
      <c r="AK219" s="5" t="inlineStr"/>
      <c r="AL219" s="5" t="inlineStr">
        <is>
          <t>(0.87, 0.0, 0.87)</t>
        </is>
      </c>
      <c r="AM219" s="5" t="inlineStr">
        <is>
          <t>DM-VOILE</t>
        </is>
      </c>
    </row>
    <row r="220">
      <c r="A220" s="5" t="n">
        <v>219</v>
      </c>
      <c r="B220" s="5" t="inlineStr">
        <is>
          <t>122</t>
        </is>
      </c>
      <c r="C220" s="5" t="inlineStr">
        <is>
          <t>own label</t>
        </is>
      </c>
      <c r="D220" s="5" t="inlineStr">
        <is>
          <t>wall</t>
        </is>
      </c>
      <c r="E220" s="5" t="inlineStr">
        <is>
          <t>shear_wall</t>
        </is>
      </c>
      <c r="F220" s="5" t="inlineStr">
        <is>
          <t>V4/122</t>
        </is>
      </c>
      <c r="G220" s="5" t="inlineStr">
        <is>
          <t>V4/122/122</t>
        </is>
      </c>
      <c r="H220" s="5" t="inlineStr">
        <is>
          <t>printed</t>
        </is>
      </c>
      <c r="I220" s="5" t="n">
        <v>200</v>
      </c>
      <c r="J220" s="5" t="n">
        <v>30</v>
      </c>
      <c r="K220" s="9">
        <f>IF(AND(ISNUMBER(I220),ISNUMBER(J220),J220&gt;0),I220/J220,"")</f>
        <v/>
      </c>
      <c r="L220" s="5" t="n">
        <v>0.6</v>
      </c>
      <c r="M220" s="5" t="n"/>
      <c r="N220" s="5" t="n">
        <v>179.9</v>
      </c>
      <c r="O220" s="5" t="inlineStr">
        <is>
          <t>solid fill</t>
        </is>
      </c>
      <c r="P220" s="5" t="inlineStr">
        <is>
          <t>solid fill, rectangle, L &gt; 4 W (EN 1992-1-1 5.3.1(7))</t>
        </is>
      </c>
      <c r="Q220" s="5">
        <f>IF(OR(D220="column",D220="wall"),IF(I220&lt;='P vs V'!$B$3*J220,"column","wall"),"")</f>
        <v/>
      </c>
      <c r="R220" s="5" t="inlineStr">
        <is>
          <t>S10</t>
        </is>
      </c>
      <c r="S220" s="5" t="inlineStr"/>
      <c r="T220" s="5" t="n"/>
      <c r="U220" s="5" t="inlineStr">
        <is>
          <t>no</t>
        </is>
      </c>
      <c r="V220" s="5" t="inlineStr">
        <is>
          <t>no</t>
        </is>
      </c>
      <c r="W220" s="5" t="inlineStr">
        <is>
          <t>no</t>
        </is>
      </c>
      <c r="X220" s="5" t="inlineStr">
        <is>
          <t>no</t>
        </is>
      </c>
      <c r="Y220" s="5" t="inlineStr">
        <is>
          <t>yes</t>
        </is>
      </c>
      <c r="Z220" s="5" t="inlineStr">
        <is>
          <t>yes</t>
        </is>
      </c>
      <c r="AA220" s="5" t="n">
        <v>1.43</v>
      </c>
      <c r="AB220" s="5" t="n"/>
      <c r="AC220" s="5" t="n"/>
      <c r="AD220" s="5" t="n"/>
      <c r="AE220" s="5" t="n">
        <v>4518.4</v>
      </c>
      <c r="AF220" s="5" t="n">
        <v>2610.6</v>
      </c>
      <c r="AG220" s="5" t="n">
        <v>4577.5</v>
      </c>
      <c r="AH220" s="5" t="n">
        <v>2619.6</v>
      </c>
      <c r="AI220" s="5" t="inlineStr">
        <is>
          <t>yes</t>
        </is>
      </c>
      <c r="AJ220" s="5" t="inlineStr">
        <is>
          <t>shear_wall</t>
        </is>
      </c>
      <c r="AK220" s="5" t="inlineStr"/>
      <c r="AL220" s="5" t="inlineStr">
        <is>
          <t>(0.87, 0.0, 0.87)</t>
        </is>
      </c>
      <c r="AM220" s="5" t="inlineStr">
        <is>
          <t>DM-VOILE</t>
        </is>
      </c>
    </row>
    <row r="221">
      <c r="A221" s="5" t="n">
        <v>220</v>
      </c>
      <c r="B221" s="5" t="inlineStr">
        <is>
          <t>122</t>
        </is>
      </c>
      <c r="C221" s="5" t="inlineStr">
        <is>
          <t>own label</t>
        </is>
      </c>
      <c r="D221" s="5" t="inlineStr">
        <is>
          <t>wall</t>
        </is>
      </c>
      <c r="E221" s="5" t="inlineStr">
        <is>
          <t>shear_wall</t>
        </is>
      </c>
      <c r="F221" s="5" t="inlineStr">
        <is>
          <t>V5/122</t>
        </is>
      </c>
      <c r="G221" s="5" t="inlineStr">
        <is>
          <t>V5/122/122</t>
        </is>
      </c>
      <c r="H221" s="5" t="inlineStr">
        <is>
          <t>printed</t>
        </is>
      </c>
      <c r="I221" s="5" t="n">
        <v>250</v>
      </c>
      <c r="J221" s="5" t="n">
        <v>30</v>
      </c>
      <c r="K221" s="9">
        <f>IF(AND(ISNUMBER(I221),ISNUMBER(J221),J221&gt;0),I221/J221,"")</f>
        <v/>
      </c>
      <c r="L221" s="5" t="n">
        <v>0.75</v>
      </c>
      <c r="M221" s="5" t="n"/>
      <c r="N221" s="5" t="n">
        <v>89.90000000000001</v>
      </c>
      <c r="O221" s="5" t="inlineStr">
        <is>
          <t>solid fill</t>
        </is>
      </c>
      <c r="P221" s="5" t="inlineStr">
        <is>
          <t>solid fill, rectangle, L &gt; 4 W (EN 1992-1-1 5.3.1(7))</t>
        </is>
      </c>
      <c r="Q221" s="5">
        <f>IF(OR(D221="column",D221="wall"),IF(I221&lt;='P vs V'!$B$3*J221,"column","wall"),"")</f>
        <v/>
      </c>
      <c r="R221" s="5" t="inlineStr">
        <is>
          <t>unlabelled</t>
        </is>
      </c>
      <c r="S221" s="5" t="inlineStr"/>
      <c r="T221" s="5" t="n"/>
      <c r="U221" s="5" t="inlineStr">
        <is>
          <t>no</t>
        </is>
      </c>
      <c r="V221" s="5" t="inlineStr">
        <is>
          <t>no</t>
        </is>
      </c>
      <c r="W221" s="5" t="inlineStr">
        <is>
          <t>no</t>
        </is>
      </c>
      <c r="X221" s="5" t="inlineStr">
        <is>
          <t>no</t>
        </is>
      </c>
      <c r="Y221" s="5" t="inlineStr">
        <is>
          <t>yes</t>
        </is>
      </c>
      <c r="Z221" s="5" t="inlineStr">
        <is>
          <t>no</t>
        </is>
      </c>
      <c r="AA221" s="5" t="n">
        <v>0</v>
      </c>
      <c r="AB221" s="5" t="n"/>
      <c r="AC221" s="5" t="n"/>
      <c r="AD221" s="5" t="n"/>
      <c r="AE221" s="5" t="n">
        <v>4764.9</v>
      </c>
      <c r="AF221" s="5" t="n">
        <v>2503</v>
      </c>
      <c r="AG221" s="5" t="n">
        <v>4773.9</v>
      </c>
      <c r="AH221" s="5" t="n">
        <v>2576.8</v>
      </c>
      <c r="AI221" s="5" t="inlineStr">
        <is>
          <t>yes</t>
        </is>
      </c>
      <c r="AJ221" s="5" t="inlineStr">
        <is>
          <t>shear_wall</t>
        </is>
      </c>
      <c r="AK221" s="5" t="inlineStr"/>
      <c r="AL221" s="5" t="inlineStr">
        <is>
          <t>(0.87, 0.0, 0.87)</t>
        </is>
      </c>
      <c r="AM221" s="5" t="inlineStr">
        <is>
          <t>DM-VOILE</t>
        </is>
      </c>
    </row>
    <row r="222">
      <c r="A222" s="5" t="n">
        <v>221</v>
      </c>
      <c r="B222" s="5" t="inlineStr">
        <is>
          <t>122</t>
        </is>
      </c>
      <c r="C222" s="5" t="inlineStr">
        <is>
          <t>own label</t>
        </is>
      </c>
      <c r="D222" s="5" t="inlineStr">
        <is>
          <t>wall</t>
        </is>
      </c>
      <c r="E222" s="5" t="inlineStr">
        <is>
          <t>shear_wall</t>
        </is>
      </c>
      <c r="F222" s="5" t="inlineStr">
        <is>
          <t>V5/122</t>
        </is>
      </c>
      <c r="G222" s="5" t="inlineStr">
        <is>
          <t>V5/122/122</t>
        </is>
      </c>
      <c r="H222" s="5" t="inlineStr">
        <is>
          <t>printed</t>
        </is>
      </c>
      <c r="I222" s="5" t="n">
        <v>250</v>
      </c>
      <c r="J222" s="5" t="n">
        <v>30</v>
      </c>
      <c r="K222" s="9">
        <f>IF(AND(ISNUMBER(I222),ISNUMBER(J222),J222&gt;0),I222/J222,"")</f>
        <v/>
      </c>
      <c r="L222" s="5" t="n">
        <v>0.75</v>
      </c>
      <c r="M222" s="5" t="n"/>
      <c r="N222" s="5" t="n">
        <v>90</v>
      </c>
      <c r="O222" s="5" t="inlineStr">
        <is>
          <t>solid fill</t>
        </is>
      </c>
      <c r="P222" s="5" t="inlineStr">
        <is>
          <t>solid fill, rectangle, L &gt; 4 W (EN 1992-1-1 5.3.1(7))</t>
        </is>
      </c>
      <c r="Q222" s="5">
        <f>IF(OR(D222="column",D222="wall"),IF(I222&lt;='P vs V'!$B$3*J222,"column","wall"),"")</f>
        <v/>
      </c>
      <c r="R222" s="5" t="inlineStr">
        <is>
          <t>S10</t>
        </is>
      </c>
      <c r="S222" s="5" t="inlineStr"/>
      <c r="T222" s="5" t="n"/>
      <c r="U222" s="5" t="inlineStr">
        <is>
          <t>no</t>
        </is>
      </c>
      <c r="V222" s="5" t="inlineStr">
        <is>
          <t>no</t>
        </is>
      </c>
      <c r="W222" s="5" t="inlineStr">
        <is>
          <t>yes</t>
        </is>
      </c>
      <c r="X222" s="5" t="inlineStr">
        <is>
          <t>no</t>
        </is>
      </c>
      <c r="Y222" s="5" t="inlineStr">
        <is>
          <t>yes</t>
        </is>
      </c>
      <c r="Z222" s="5" t="inlineStr">
        <is>
          <t>no</t>
        </is>
      </c>
      <c r="AA222" s="5" t="n">
        <v>1.27</v>
      </c>
      <c r="AB222" s="5" t="n"/>
      <c r="AC222" s="5" t="n"/>
      <c r="AD222" s="5" t="n"/>
      <c r="AE222" s="5" t="n">
        <v>4764.5</v>
      </c>
      <c r="AF222" s="5" t="n">
        <v>2260.8</v>
      </c>
      <c r="AG222" s="5" t="n">
        <v>4773.4</v>
      </c>
      <c r="AH222" s="5" t="n">
        <v>2334.6</v>
      </c>
      <c r="AI222" s="5" t="inlineStr">
        <is>
          <t>new</t>
        </is>
      </c>
      <c r="AJ222" s="5" t="inlineStr"/>
      <c r="AK222" s="5" t="inlineStr">
        <is>
          <t>piece of a wall network the colour pipeline left unsplit</t>
        </is>
      </c>
      <c r="AL222" s="5" t="inlineStr">
        <is>
          <t>(0.87, 0.0, 0.87)</t>
        </is>
      </c>
      <c r="AM222" s="5" t="inlineStr">
        <is>
          <t>DM-VOILE</t>
        </is>
      </c>
    </row>
    <row r="223">
      <c r="A223" s="5" t="n">
        <v>222</v>
      </c>
      <c r="B223" s="5" t="inlineStr">
        <is>
          <t>122</t>
        </is>
      </c>
      <c r="C223" s="5" t="inlineStr">
        <is>
          <t>own label</t>
        </is>
      </c>
      <c r="D223" s="5" t="inlineStr">
        <is>
          <t>wall</t>
        </is>
      </c>
      <c r="E223" s="5" t="inlineStr">
        <is>
          <t>shear_wall</t>
        </is>
      </c>
      <c r="F223" s="5" t="inlineStr">
        <is>
          <t>V6/122</t>
        </is>
      </c>
      <c r="G223" s="5" t="inlineStr">
        <is>
          <t>V6/122/122</t>
        </is>
      </c>
      <c r="H223" s="5" t="inlineStr">
        <is>
          <t>printed</t>
        </is>
      </c>
      <c r="I223" s="5" t="n">
        <v>125</v>
      </c>
      <c r="J223" s="5" t="n">
        <v>30</v>
      </c>
      <c r="K223" s="9">
        <f>IF(AND(ISNUMBER(I223),ISNUMBER(J223),J223&gt;0),I223/J223,"")</f>
        <v/>
      </c>
      <c r="L223" s="5" t="n">
        <v>0.376</v>
      </c>
      <c r="M223" s="5" t="n"/>
      <c r="N223" s="5" t="n">
        <v>79.3</v>
      </c>
      <c r="O223" s="5" t="inlineStr">
        <is>
          <t>solid fill</t>
        </is>
      </c>
      <c r="P223" s="5" t="inlineStr">
        <is>
          <t>solid fill, rectangle, L &gt; 4 W (EN 1992-1-1 5.3.1(7))</t>
        </is>
      </c>
      <c r="Q223" s="5">
        <f>IF(OR(D223="column",D223="wall"),IF(I223&lt;='P vs V'!$B$3*J223,"column","wall"),"")</f>
        <v/>
      </c>
      <c r="R223" s="5" t="inlineStr">
        <is>
          <t>SC2</t>
        </is>
      </c>
      <c r="S223" s="5" t="inlineStr"/>
      <c r="T223" s="5" t="n"/>
      <c r="U223" s="5" t="inlineStr">
        <is>
          <t>no</t>
        </is>
      </c>
      <c r="V223" s="5" t="inlineStr">
        <is>
          <t>no</t>
        </is>
      </c>
      <c r="W223" s="5" t="inlineStr">
        <is>
          <t>no</t>
        </is>
      </c>
      <c r="X223" s="5" t="inlineStr">
        <is>
          <t>yes</t>
        </is>
      </c>
      <c r="Y223" s="5" t="inlineStr">
        <is>
          <t>yes</t>
        </is>
      </c>
      <c r="Z223" s="5" t="inlineStr">
        <is>
          <t>yes</t>
        </is>
      </c>
      <c r="AA223" s="5" t="n">
        <v>3.43</v>
      </c>
      <c r="AB223" s="5" t="n"/>
      <c r="AC223" s="5" t="n"/>
      <c r="AD223" s="5" t="n"/>
      <c r="AE223" s="5" t="n">
        <v>4209.5</v>
      </c>
      <c r="AF223" s="5" t="n">
        <v>2878.3</v>
      </c>
      <c r="AG223" s="5" t="n">
        <v>4225.1</v>
      </c>
      <c r="AH223" s="5" t="n">
        <v>2916.2</v>
      </c>
      <c r="AI223" s="5" t="inlineStr">
        <is>
          <t>yes</t>
        </is>
      </c>
      <c r="AJ223" s="5" t="inlineStr">
        <is>
          <t>shear_wall</t>
        </is>
      </c>
      <c r="AK223" s="5" t="inlineStr"/>
      <c r="AL223" s="5" t="inlineStr">
        <is>
          <t>(0.87, 0.0, 0.87)</t>
        </is>
      </c>
      <c r="AM223" s="5" t="inlineStr">
        <is>
          <t>DM-VOILE</t>
        </is>
      </c>
    </row>
    <row r="224">
      <c r="A224" s="5" t="n">
        <v>223</v>
      </c>
      <c r="B224" s="5" t="inlineStr">
        <is>
          <t>122</t>
        </is>
      </c>
      <c r="C224" s="5" t="inlineStr">
        <is>
          <t>own label</t>
        </is>
      </c>
      <c r="D224" s="5" t="inlineStr">
        <is>
          <t>wall</t>
        </is>
      </c>
      <c r="E224" s="5" t="inlineStr">
        <is>
          <t>shear_wall</t>
        </is>
      </c>
      <c r="F224" s="5" t="inlineStr">
        <is>
          <t>V6/122</t>
        </is>
      </c>
      <c r="G224" s="5" t="inlineStr">
        <is>
          <t>V6/122/122</t>
        </is>
      </c>
      <c r="H224" s="5" t="inlineStr">
        <is>
          <t>printed</t>
        </is>
      </c>
      <c r="I224" s="5" t="n">
        <v>125</v>
      </c>
      <c r="J224" s="5" t="n">
        <v>30</v>
      </c>
      <c r="K224" s="9">
        <f>IF(AND(ISNUMBER(I224),ISNUMBER(J224),J224&gt;0),I224/J224,"")</f>
        <v/>
      </c>
      <c r="L224" s="5" t="n">
        <v>0.375</v>
      </c>
      <c r="M224" s="5" t="n"/>
      <c r="N224" s="5" t="n">
        <v>179.8</v>
      </c>
      <c r="O224" s="5" t="inlineStr">
        <is>
          <t>solid fill</t>
        </is>
      </c>
      <c r="P224" s="5" t="inlineStr">
        <is>
          <t>solid fill, rectangle, L &gt; 4 W (EN 1992-1-1 5.3.1(7))</t>
        </is>
      </c>
      <c r="Q224" s="5">
        <f>IF(OR(D224="column",D224="wall"),IF(I224&lt;='P vs V'!$B$3*J224,"column","wall"),"")</f>
        <v/>
      </c>
      <c r="R224" s="5" t="inlineStr">
        <is>
          <t>S2</t>
        </is>
      </c>
      <c r="S224" s="5" t="inlineStr"/>
      <c r="T224" s="5" t="n"/>
      <c r="U224" s="5" t="inlineStr">
        <is>
          <t>no</t>
        </is>
      </c>
      <c r="V224" s="5" t="inlineStr">
        <is>
          <t>no</t>
        </is>
      </c>
      <c r="W224" s="5" t="inlineStr">
        <is>
          <t>no</t>
        </is>
      </c>
      <c r="X224" s="5" t="inlineStr">
        <is>
          <t>no</t>
        </is>
      </c>
      <c r="Y224" s="5" t="inlineStr">
        <is>
          <t>yes</t>
        </is>
      </c>
      <c r="Z224" s="5" t="inlineStr">
        <is>
          <t>yes</t>
        </is>
      </c>
      <c r="AA224" s="5" t="n">
        <v>0</v>
      </c>
      <c r="AB224" s="5" t="n"/>
      <c r="AC224" s="5" t="n"/>
      <c r="AD224" s="5" t="n"/>
      <c r="AE224" s="5" t="n">
        <v>4303.4</v>
      </c>
      <c r="AF224" s="5" t="n">
        <v>2485.7</v>
      </c>
      <c r="AG224" s="5" t="n">
        <v>4340.3</v>
      </c>
      <c r="AH224" s="5" t="n">
        <v>2494.6</v>
      </c>
      <c r="AI224" s="5" t="inlineStr">
        <is>
          <t>yes</t>
        </is>
      </c>
      <c r="AJ224" s="5" t="inlineStr">
        <is>
          <t>shear_wall</t>
        </is>
      </c>
      <c r="AK224" s="5" t="inlineStr"/>
      <c r="AL224" s="5" t="inlineStr">
        <is>
          <t>(0.87, 0.0, 0.87)</t>
        </is>
      </c>
      <c r="AM224" s="5" t="inlineStr">
        <is>
          <t>DM-VOILE</t>
        </is>
      </c>
    </row>
    <row r="225">
      <c r="A225" s="5" t="n">
        <v>224</v>
      </c>
      <c r="B225" s="5" t="inlineStr">
        <is>
          <t>122</t>
        </is>
      </c>
      <c r="C225" s="5" t="inlineStr">
        <is>
          <t>own label</t>
        </is>
      </c>
      <c r="D225" s="5" t="inlineStr">
        <is>
          <t>wall</t>
        </is>
      </c>
      <c r="E225" s="5" t="inlineStr">
        <is>
          <t>shear_wall</t>
        </is>
      </c>
      <c r="F225" s="5" t="inlineStr">
        <is>
          <t>V6/122</t>
        </is>
      </c>
      <c r="G225" s="5" t="inlineStr">
        <is>
          <t>V6/122/122</t>
        </is>
      </c>
      <c r="H225" s="5" t="inlineStr">
        <is>
          <t>printed</t>
        </is>
      </c>
      <c r="I225" s="5" t="n">
        <v>125</v>
      </c>
      <c r="J225" s="5" t="n">
        <v>30</v>
      </c>
      <c r="K225" s="9">
        <f>IF(AND(ISNUMBER(I225),ISNUMBER(J225),J225&gt;0),I225/J225,"")</f>
        <v/>
      </c>
      <c r="L225" s="5" t="n">
        <v>0.375</v>
      </c>
      <c r="M225" s="5" t="n"/>
      <c r="N225" s="5" t="n">
        <v>179.8</v>
      </c>
      <c r="O225" s="5" t="inlineStr">
        <is>
          <t>solid fill</t>
        </is>
      </c>
      <c r="P225" s="5" t="inlineStr">
        <is>
          <t>solid fill, rectangle, L &gt; 4 W (EN 1992-1-1 5.3.1(7))</t>
        </is>
      </c>
      <c r="Q225" s="5">
        <f>IF(OR(D225="column",D225="wall"),IF(I225&lt;='P vs V'!$B$3*J225,"column","wall"),"")</f>
        <v/>
      </c>
      <c r="R225" s="5" t="inlineStr">
        <is>
          <t>S2</t>
        </is>
      </c>
      <c r="S225" s="5" t="inlineStr"/>
      <c r="T225" s="5" t="n"/>
      <c r="U225" s="5" t="inlineStr">
        <is>
          <t>no</t>
        </is>
      </c>
      <c r="V225" s="5" t="inlineStr">
        <is>
          <t>no</t>
        </is>
      </c>
      <c r="W225" s="5" t="inlineStr">
        <is>
          <t>no</t>
        </is>
      </c>
      <c r="X225" s="5" t="inlineStr">
        <is>
          <t>no</t>
        </is>
      </c>
      <c r="Y225" s="5" t="inlineStr">
        <is>
          <t>yes</t>
        </is>
      </c>
      <c r="Z225" s="5" t="inlineStr">
        <is>
          <t>yes</t>
        </is>
      </c>
      <c r="AA225" s="5" t="n">
        <v>0</v>
      </c>
      <c r="AB225" s="5" t="n"/>
      <c r="AC225" s="5" t="n"/>
      <c r="AD225" s="5" t="n"/>
      <c r="AE225" s="5" t="n">
        <v>4303.6</v>
      </c>
      <c r="AF225" s="5" t="n">
        <v>2255.4</v>
      </c>
      <c r="AG225" s="5" t="n">
        <v>4340.5</v>
      </c>
      <c r="AH225" s="5" t="n">
        <v>2264.3</v>
      </c>
      <c r="AI225" s="5" t="inlineStr">
        <is>
          <t>yes</t>
        </is>
      </c>
      <c r="AJ225" s="5" t="inlineStr">
        <is>
          <t>shear_wall</t>
        </is>
      </c>
      <c r="AK225" s="5" t="inlineStr"/>
      <c r="AL225" s="5" t="inlineStr">
        <is>
          <t>(0.87, 0.0, 0.87)</t>
        </is>
      </c>
      <c r="AM225" s="5" t="inlineStr">
        <is>
          <t>DM-VOILE</t>
        </is>
      </c>
    </row>
    <row r="226">
      <c r="A226" s="5" t="n">
        <v>225</v>
      </c>
      <c r="B226" s="5" t="inlineStr">
        <is>
          <t>122</t>
        </is>
      </c>
      <c r="C226" s="5" t="inlineStr">
        <is>
          <t>own label</t>
        </is>
      </c>
      <c r="D226" s="5" t="inlineStr">
        <is>
          <t>wall</t>
        </is>
      </c>
      <c r="E226" s="5" t="inlineStr">
        <is>
          <t>shear_wall</t>
        </is>
      </c>
      <c r="F226" s="5" t="inlineStr">
        <is>
          <t>V6/122</t>
        </is>
      </c>
      <c r="G226" s="5" t="inlineStr">
        <is>
          <t>V6/122/122</t>
        </is>
      </c>
      <c r="H226" s="5" t="inlineStr">
        <is>
          <t>printed</t>
        </is>
      </c>
      <c r="I226" s="5" t="n">
        <v>125</v>
      </c>
      <c r="J226" s="5" t="n">
        <v>30</v>
      </c>
      <c r="K226" s="9">
        <f>IF(AND(ISNUMBER(I226),ISNUMBER(J226),J226&gt;0),I226/J226,"")</f>
        <v/>
      </c>
      <c r="L226" s="5" t="n">
        <v>0.375</v>
      </c>
      <c r="M226" s="5" t="n"/>
      <c r="N226" s="5" t="n">
        <v>179.8</v>
      </c>
      <c r="O226" s="5" t="inlineStr">
        <is>
          <t>solid fill</t>
        </is>
      </c>
      <c r="P226" s="5" t="inlineStr">
        <is>
          <t>solid fill, rectangle, L &gt; 4 W (EN 1992-1-1 5.3.1(7))</t>
        </is>
      </c>
      <c r="Q226" s="5">
        <f>IF(OR(D226="column",D226="wall"),IF(I226&lt;='P vs V'!$B$3*J226,"column","wall"),"")</f>
        <v/>
      </c>
      <c r="R226" s="5" t="inlineStr">
        <is>
          <t>S2</t>
        </is>
      </c>
      <c r="S226" s="5" t="inlineStr"/>
      <c r="T226" s="5" t="n"/>
      <c r="U226" s="5" t="inlineStr">
        <is>
          <t>no</t>
        </is>
      </c>
      <c r="V226" s="5" t="inlineStr">
        <is>
          <t>no</t>
        </is>
      </c>
      <c r="W226" s="5" t="inlineStr">
        <is>
          <t>no</t>
        </is>
      </c>
      <c r="X226" s="5" t="inlineStr">
        <is>
          <t>no</t>
        </is>
      </c>
      <c r="Y226" s="5" t="inlineStr">
        <is>
          <t>yes</t>
        </is>
      </c>
      <c r="Z226" s="5" t="inlineStr">
        <is>
          <t>yes</t>
        </is>
      </c>
      <c r="AA226" s="5" t="n">
        <v>0.01</v>
      </c>
      <c r="AB226" s="5" t="n"/>
      <c r="AC226" s="5" t="n"/>
      <c r="AD226" s="5" t="n"/>
      <c r="AE226" s="5" t="n">
        <v>4303.1</v>
      </c>
      <c r="AF226" s="5" t="n">
        <v>2715.5</v>
      </c>
      <c r="AG226" s="5" t="n">
        <v>4340.1</v>
      </c>
      <c r="AH226" s="5" t="n">
        <v>2724.5</v>
      </c>
      <c r="AI226" s="5" t="inlineStr">
        <is>
          <t>yes</t>
        </is>
      </c>
      <c r="AJ226" s="5" t="inlineStr">
        <is>
          <t>shear_wall</t>
        </is>
      </c>
      <c r="AK226" s="5" t="inlineStr"/>
      <c r="AL226" s="5" t="inlineStr">
        <is>
          <t>(0.87, 0.0, 0.87)</t>
        </is>
      </c>
      <c r="AM226" s="5" t="inlineStr">
        <is>
          <t>DM-VOILE</t>
        </is>
      </c>
    </row>
    <row r="227">
      <c r="A227" s="5" t="n">
        <v>226</v>
      </c>
      <c r="B227" s="5" t="inlineStr">
        <is>
          <t>122</t>
        </is>
      </c>
      <c r="C227" s="5" t="inlineStr">
        <is>
          <t>own label</t>
        </is>
      </c>
      <c r="D227" s="5" t="inlineStr">
        <is>
          <t>wall</t>
        </is>
      </c>
      <c r="E227" s="5" t="inlineStr">
        <is>
          <t>shear_wall</t>
        </is>
      </c>
      <c r="F227" s="5" t="inlineStr">
        <is>
          <t>V6/122</t>
        </is>
      </c>
      <c r="G227" s="5" t="inlineStr">
        <is>
          <t>V6/122/122</t>
        </is>
      </c>
      <c r="H227" s="5" t="inlineStr">
        <is>
          <t>printed</t>
        </is>
      </c>
      <c r="I227" s="5" t="n">
        <v>125</v>
      </c>
      <c r="J227" s="5" t="n">
        <v>30</v>
      </c>
      <c r="K227" s="9">
        <f>IF(AND(ISNUMBER(I227),ISNUMBER(J227),J227&gt;0),I227/J227,"")</f>
        <v/>
      </c>
      <c r="L227" s="5" t="n">
        <v>0.375</v>
      </c>
      <c r="M227" s="5" t="n"/>
      <c r="N227" s="5" t="n">
        <v>179.9</v>
      </c>
      <c r="O227" s="5" t="inlineStr">
        <is>
          <t>solid fill</t>
        </is>
      </c>
      <c r="P227" s="5" t="inlineStr">
        <is>
          <t>solid fill, rectangle, L &gt; 4 W (EN 1992-1-1 5.3.1(7))</t>
        </is>
      </c>
      <c r="Q227" s="5">
        <f>IF(OR(D227="column",D227="wall"),IF(I227&lt;='P vs V'!$B$3*J227,"column","wall"),"")</f>
        <v/>
      </c>
      <c r="R227" s="5" t="inlineStr">
        <is>
          <t>SC1</t>
        </is>
      </c>
      <c r="S227" s="5" t="inlineStr"/>
      <c r="T227" s="5" t="n"/>
      <c r="U227" s="5" t="inlineStr">
        <is>
          <t>no</t>
        </is>
      </c>
      <c r="V227" s="5" t="inlineStr">
        <is>
          <t>no</t>
        </is>
      </c>
      <c r="W227" s="5" t="inlineStr">
        <is>
          <t>no</t>
        </is>
      </c>
      <c r="X227" s="5" t="inlineStr">
        <is>
          <t>no</t>
        </is>
      </c>
      <c r="Y227" s="5" t="inlineStr">
        <is>
          <t>yes</t>
        </is>
      </c>
      <c r="Z227" s="5" t="inlineStr">
        <is>
          <t>yes</t>
        </is>
      </c>
      <c r="AA227" s="5" t="n">
        <v>0</v>
      </c>
      <c r="AB227" s="5" t="n"/>
      <c r="AC227" s="5" t="n"/>
      <c r="AD227" s="5" t="n"/>
      <c r="AE227" s="5" t="n">
        <v>4303.3</v>
      </c>
      <c r="AF227" s="5" t="n">
        <v>2139.6</v>
      </c>
      <c r="AG227" s="5" t="n">
        <v>4340.3</v>
      </c>
      <c r="AH227" s="5" t="n">
        <v>2148.5</v>
      </c>
      <c r="AI227" s="5" t="inlineStr">
        <is>
          <t>yes</t>
        </is>
      </c>
      <c r="AJ227" s="5" t="inlineStr">
        <is>
          <t>shear_wall</t>
        </is>
      </c>
      <c r="AK227" s="5" t="inlineStr"/>
      <c r="AL227" s="5" t="inlineStr">
        <is>
          <t>(0.87, 0.0, 0.87)</t>
        </is>
      </c>
      <c r="AM227" s="5" t="inlineStr">
        <is>
          <t>DM-VOILE</t>
        </is>
      </c>
    </row>
    <row r="228">
      <c r="A228" s="5" t="n">
        <v>227</v>
      </c>
      <c r="B228" s="5" t="inlineStr">
        <is>
          <t>122</t>
        </is>
      </c>
      <c r="C228" s="5" t="inlineStr">
        <is>
          <t>own label</t>
        </is>
      </c>
      <c r="D228" s="5" t="inlineStr">
        <is>
          <t>wall</t>
        </is>
      </c>
      <c r="E228" s="5" t="inlineStr">
        <is>
          <t>shear_wall</t>
        </is>
      </c>
      <c r="F228" s="5" t="inlineStr">
        <is>
          <t>V6/122</t>
        </is>
      </c>
      <c r="G228" s="5" t="inlineStr">
        <is>
          <t>V6/122/122</t>
        </is>
      </c>
      <c r="H228" s="5" t="inlineStr">
        <is>
          <t>printed</t>
        </is>
      </c>
      <c r="I228" s="5" t="n">
        <v>125</v>
      </c>
      <c r="J228" s="5" t="n">
        <v>30</v>
      </c>
      <c r="K228" s="9">
        <f>IF(AND(ISNUMBER(I228),ISNUMBER(J228),J228&gt;0),I228/J228,"")</f>
        <v/>
      </c>
      <c r="L228" s="5" t="n">
        <v>0.374</v>
      </c>
      <c r="M228" s="5" t="n"/>
      <c r="N228" s="5" t="n">
        <v>79.3</v>
      </c>
      <c r="O228" s="5" t="inlineStr">
        <is>
          <t>solid fill</t>
        </is>
      </c>
      <c r="P228" s="5" t="inlineStr">
        <is>
          <t>solid fill, rectangle, L &gt; 4 W (EN 1992-1-1 5.3.1(7))</t>
        </is>
      </c>
      <c r="Q228" s="5">
        <f>IF(OR(D228="column",D228="wall"),IF(I228&lt;='P vs V'!$B$3*J228,"column","wall"),"")</f>
        <v/>
      </c>
      <c r="R228" s="5" t="inlineStr">
        <is>
          <t>S2</t>
        </is>
      </c>
      <c r="S228" s="5" t="inlineStr"/>
      <c r="T228" s="5" t="n"/>
      <c r="U228" s="5" t="inlineStr">
        <is>
          <t>no</t>
        </is>
      </c>
      <c r="V228" s="5" t="inlineStr">
        <is>
          <t>no</t>
        </is>
      </c>
      <c r="W228" s="5" t="inlineStr">
        <is>
          <t>no</t>
        </is>
      </c>
      <c r="X228" s="5" t="inlineStr">
        <is>
          <t>yes</t>
        </is>
      </c>
      <c r="Y228" s="5" t="inlineStr">
        <is>
          <t>yes</t>
        </is>
      </c>
      <c r="Z228" s="5" t="inlineStr">
        <is>
          <t>yes</t>
        </is>
      </c>
      <c r="AA228" s="5" t="n">
        <v>0.87</v>
      </c>
      <c r="AB228" s="5" t="n"/>
      <c r="AC228" s="5" t="n"/>
      <c r="AD228" s="5" t="n"/>
      <c r="AE228" s="5" t="n">
        <v>4180.9</v>
      </c>
      <c r="AF228" s="5" t="n">
        <v>2726.9</v>
      </c>
      <c r="AG228" s="5" t="n">
        <v>4196.5</v>
      </c>
      <c r="AH228" s="5" t="n">
        <v>2764.7</v>
      </c>
      <c r="AI228" s="5" t="inlineStr">
        <is>
          <t>yes</t>
        </is>
      </c>
      <c r="AJ228" s="5" t="inlineStr">
        <is>
          <t>shear_wall</t>
        </is>
      </c>
      <c r="AK228" s="5" t="inlineStr"/>
      <c r="AL228" s="5" t="inlineStr">
        <is>
          <t>(0.87, 0.0, 0.87)</t>
        </is>
      </c>
      <c r="AM228" s="5" t="inlineStr">
        <is>
          <t>DM-VOILE</t>
        </is>
      </c>
    </row>
    <row r="229">
      <c r="A229" s="5" t="n">
        <v>228</v>
      </c>
      <c r="B229" s="5" t="inlineStr">
        <is>
          <t>122</t>
        </is>
      </c>
      <c r="C229" s="5" t="inlineStr">
        <is>
          <t>nearest labels (40% agree)</t>
        </is>
      </c>
      <c r="D229" s="5" t="inlineStr">
        <is>
          <t>wall</t>
        </is>
      </c>
      <c r="E229" s="5" t="inlineStr">
        <is>
          <t>shear_wall</t>
        </is>
      </c>
      <c r="F229" s="5" t="inlineStr">
        <is>
          <t>(none)</t>
        </is>
      </c>
      <c r="G229" s="5" t="inlineStr"/>
      <c r="H229" s="5" t="inlineStr">
        <is>
          <t>none</t>
        </is>
      </c>
      <c r="I229" s="5" t="n">
        <v>663</v>
      </c>
      <c r="J229" s="5" t="n">
        <v>20</v>
      </c>
      <c r="K229" s="9">
        <f>IF(AND(ISNUMBER(I229),ISNUMBER(J229),J229&gt;0),I229/J229,"")</f>
        <v/>
      </c>
      <c r="L229" s="5" t="n">
        <v>1.324</v>
      </c>
      <c r="M229" s="5" t="n"/>
      <c r="N229" s="5" t="n">
        <v>179.9</v>
      </c>
      <c r="O229" s="5" t="inlineStr">
        <is>
          <t>solid fill</t>
        </is>
      </c>
      <c r="P229" s="5" t="inlineStr">
        <is>
          <t>solid fill, rectangle, L &gt; 4 W (EN 1992-1-1 5.3.1(7))</t>
        </is>
      </c>
      <c r="Q229" s="5">
        <f>IF(OR(D229="column",D229="wall"),IF(I229&lt;='P vs V'!$B$3*J229,"column","wall"),"")</f>
        <v/>
      </c>
      <c r="R229" s="5" t="inlineStr"/>
      <c r="S229" s="5" t="inlineStr"/>
      <c r="T229" s="5" t="n"/>
      <c r="U229" s="5" t="inlineStr">
        <is>
          <t>no</t>
        </is>
      </c>
      <c r="V229" s="5" t="inlineStr">
        <is>
          <t>no</t>
        </is>
      </c>
      <c r="W229" s="5" t="inlineStr">
        <is>
          <t>yes</t>
        </is>
      </c>
      <c r="X229" s="5" t="inlineStr">
        <is>
          <t>no</t>
        </is>
      </c>
      <c r="Y229" s="5" t="inlineStr">
        <is>
          <t>no</t>
        </is>
      </c>
      <c r="Z229" s="5" t="inlineStr">
        <is>
          <t>no</t>
        </is>
      </c>
      <c r="AA229" s="5" t="n">
        <v>4.29</v>
      </c>
      <c r="AB229" s="5" t="n"/>
      <c r="AC229" s="5" t="n"/>
      <c r="AD229" s="5" t="n"/>
      <c r="AE229" s="5" t="n">
        <v>4555.3</v>
      </c>
      <c r="AF229" s="5" t="n">
        <v>2129.4</v>
      </c>
      <c r="AG229" s="5" t="n">
        <v>4750.9</v>
      </c>
      <c r="AH229" s="5" t="n">
        <v>2135.7</v>
      </c>
      <c r="AI229" s="5" t="inlineStr">
        <is>
          <t>new</t>
        </is>
      </c>
      <c r="AJ229" s="5" t="inlineStr"/>
      <c r="AK229" s="5" t="inlineStr">
        <is>
          <t>piece of a wall network the colour pipeline left unsplit</t>
        </is>
      </c>
      <c r="AL229" s="5" t="inlineStr">
        <is>
          <t>(0.87, 0.0, 0.87)</t>
        </is>
      </c>
      <c r="AM229" s="5" t="inlineStr">
        <is>
          <t>DM-VOILE</t>
        </is>
      </c>
    </row>
    <row r="230">
      <c r="A230" s="5" t="n">
        <v>229</v>
      </c>
      <c r="B230" s="5" t="inlineStr">
        <is>
          <t>122</t>
        </is>
      </c>
      <c r="C230" s="5" t="inlineStr">
        <is>
          <t>nearest labels (40% agree)</t>
        </is>
      </c>
      <c r="D230" s="5" t="inlineStr">
        <is>
          <t>wall</t>
        </is>
      </c>
      <c r="E230" s="5" t="inlineStr">
        <is>
          <t>shear_wall</t>
        </is>
      </c>
      <c r="F230" s="5" t="inlineStr">
        <is>
          <t>(none)</t>
        </is>
      </c>
      <c r="G230" s="5" t="inlineStr"/>
      <c r="H230" s="5" t="inlineStr">
        <is>
          <t>none</t>
        </is>
      </c>
      <c r="I230" s="5" t="n">
        <v>661</v>
      </c>
      <c r="J230" s="5" t="n">
        <v>20</v>
      </c>
      <c r="K230" s="9">
        <f>IF(AND(ISNUMBER(I230),ISNUMBER(J230),J230&gt;0),I230/J230,"")</f>
        <v/>
      </c>
      <c r="L230" s="5" t="n">
        <v>1.321</v>
      </c>
      <c r="M230" s="5" t="n"/>
      <c r="N230" s="5" t="n">
        <v>179.9</v>
      </c>
      <c r="O230" s="5" t="inlineStr">
        <is>
          <t>solid fill</t>
        </is>
      </c>
      <c r="P230" s="5" t="inlineStr">
        <is>
          <t>solid fill, rectangle, L &gt; 4 W (EN 1992-1-1 5.3.1(7))</t>
        </is>
      </c>
      <c r="Q230" s="5">
        <f>IF(OR(D230="column",D230="wall"),IF(I230&lt;='P vs V'!$B$3*J230,"column","wall"),"")</f>
        <v/>
      </c>
      <c r="R230" s="5" t="inlineStr"/>
      <c r="S230" s="5" t="inlineStr"/>
      <c r="T230" s="5" t="n"/>
      <c r="U230" s="5" t="inlineStr">
        <is>
          <t>no</t>
        </is>
      </c>
      <c r="V230" s="5" t="inlineStr">
        <is>
          <t>no</t>
        </is>
      </c>
      <c r="W230" s="5" t="inlineStr">
        <is>
          <t>yes</t>
        </is>
      </c>
      <c r="X230" s="5" t="inlineStr">
        <is>
          <t>no</t>
        </is>
      </c>
      <c r="Y230" s="5" t="inlineStr">
        <is>
          <t>no</t>
        </is>
      </c>
      <c r="Z230" s="5" t="inlineStr">
        <is>
          <t>no</t>
        </is>
      </c>
      <c r="AA230" s="5" t="n">
        <v>3.99</v>
      </c>
      <c r="AB230" s="5" t="n"/>
      <c r="AC230" s="5" t="n"/>
      <c r="AD230" s="5" t="n"/>
      <c r="AE230" s="5" t="n">
        <v>4555.7</v>
      </c>
      <c r="AF230" s="5" t="n">
        <v>2138.2</v>
      </c>
      <c r="AG230" s="5" t="n">
        <v>4750.9</v>
      </c>
      <c r="AH230" s="5" t="n">
        <v>2144.5</v>
      </c>
      <c r="AI230" s="5" t="inlineStr">
        <is>
          <t>new</t>
        </is>
      </c>
      <c r="AJ230" s="5" t="inlineStr"/>
      <c r="AK230" s="5" t="inlineStr">
        <is>
          <t>piece of a wall network the colour pipeline left unsplit</t>
        </is>
      </c>
      <c r="AL230" s="5" t="inlineStr">
        <is>
          <t>(0.87, 0.0, 0.87)</t>
        </is>
      </c>
      <c r="AM230" s="5" t="inlineStr">
        <is>
          <t>DM-VOILE</t>
        </is>
      </c>
    </row>
    <row r="231">
      <c r="A231" s="5" t="n">
        <v>230</v>
      </c>
      <c r="B231" s="5" t="inlineStr">
        <is>
          <t>122</t>
        </is>
      </c>
      <c r="C231" s="5" t="inlineStr">
        <is>
          <t>nearest labels (100% agree)</t>
        </is>
      </c>
      <c r="D231" s="5" t="inlineStr">
        <is>
          <t>wall</t>
        </is>
      </c>
      <c r="E231" s="5" t="inlineStr">
        <is>
          <t>core_wall_hatched</t>
        </is>
      </c>
      <c r="F231" s="5" t="inlineStr">
        <is>
          <t>(none)</t>
        </is>
      </c>
      <c r="G231" s="5" t="inlineStr"/>
      <c r="H231" s="5" t="inlineStr">
        <is>
          <t>none</t>
        </is>
      </c>
      <c r="I231" s="5" t="n">
        <v>153</v>
      </c>
      <c r="J231" s="5" t="n">
        <v>20</v>
      </c>
      <c r="K231" s="9">
        <f>IF(AND(ISNUMBER(I231),ISNUMBER(J231),J231&gt;0),I231/J231,"")</f>
        <v/>
      </c>
      <c r="L231" s="5" t="n">
        <v>0.307</v>
      </c>
      <c r="M231" s="5" t="n">
        <v>1.53</v>
      </c>
      <c r="N231" s="5" t="n">
        <v>90</v>
      </c>
      <c r="O231" s="5" t="inlineStr">
        <is>
          <t>cross-hatch</t>
        </is>
      </c>
      <c r="P231" s="5" t="inlineStr">
        <is>
          <t>cross-hatch of short strokes in two perpendicular families</t>
        </is>
      </c>
      <c r="Q231" s="5">
        <f>IF(OR(D231="column",D231="wall"),IF(I231&lt;='P vs V'!$B$3*J231,"column","wall"),"")</f>
        <v/>
      </c>
      <c r="R231" s="5" t="inlineStr"/>
      <c r="S231" s="5" t="inlineStr"/>
      <c r="T231" s="5" t="n"/>
      <c r="U231" s="5" t="inlineStr">
        <is>
          <t>yes</t>
        </is>
      </c>
      <c r="V231" s="5" t="inlineStr">
        <is>
          <t>no</t>
        </is>
      </c>
      <c r="W231" s="5" t="inlineStr">
        <is>
          <t>yes</t>
        </is>
      </c>
      <c r="X231" s="5" t="inlineStr">
        <is>
          <t>no</t>
        </is>
      </c>
      <c r="Y231" s="5" t="inlineStr">
        <is>
          <t>no</t>
        </is>
      </c>
      <c r="Z231" s="5" t="inlineStr">
        <is>
          <t>no</t>
        </is>
      </c>
      <c r="AA231" s="5" t="n">
        <v>0.15</v>
      </c>
      <c r="AB231" s="5" t="n">
        <v>0.28</v>
      </c>
      <c r="AC231" s="5" t="n"/>
      <c r="AD231" s="5" t="n"/>
      <c r="AE231" s="5" t="n">
        <v>4728.8</v>
      </c>
      <c r="AF231" s="5" t="n">
        <v>2618.6</v>
      </c>
      <c r="AG231" s="5" t="n">
        <v>4734.7</v>
      </c>
      <c r="AH231" s="5" t="n">
        <v>2686.2</v>
      </c>
      <c r="AI231" s="5" t="inlineStr">
        <is>
          <t>n/a</t>
        </is>
      </c>
      <c r="AJ231" s="5" t="inlineStr"/>
      <c r="AK231" s="5" t="inlineStr"/>
      <c r="AL231" s="5" t="inlineStr"/>
      <c r="AM231" s="5" t="inlineStr"/>
    </row>
    <row r="232">
      <c r="A232" s="5" t="n">
        <v>231</v>
      </c>
      <c r="B232" s="5" t="inlineStr">
        <is>
          <t>122</t>
        </is>
      </c>
      <c r="C232" s="5" t="inlineStr">
        <is>
          <t>nearest labels (100% agree)</t>
        </is>
      </c>
      <c r="D232" s="5" t="inlineStr">
        <is>
          <t>wall</t>
        </is>
      </c>
      <c r="E232" s="5" t="inlineStr">
        <is>
          <t>core_wall_hatched</t>
        </is>
      </c>
      <c r="F232" s="5" t="inlineStr">
        <is>
          <t>(none)</t>
        </is>
      </c>
      <c r="G232" s="5" t="inlineStr"/>
      <c r="H232" s="5" t="inlineStr">
        <is>
          <t>none</t>
        </is>
      </c>
      <c r="I232" s="5" t="n">
        <v>231</v>
      </c>
      <c r="J232" s="5" t="n">
        <v>20</v>
      </c>
      <c r="K232" s="9">
        <f>IF(AND(ISNUMBER(I232),ISNUMBER(J232),J232&gt;0),I232/J232,"")</f>
        <v/>
      </c>
      <c r="L232" s="5" t="n">
        <v>0.464</v>
      </c>
      <c r="M232" s="5" t="n">
        <v>2.31</v>
      </c>
      <c r="N232" s="5" t="n">
        <v>180</v>
      </c>
      <c r="O232" s="5" t="inlineStr">
        <is>
          <t>cross-hatch</t>
        </is>
      </c>
      <c r="P232" s="5" t="inlineStr">
        <is>
          <t>cross-hatch of short strokes in two perpendicular families</t>
        </is>
      </c>
      <c r="Q232" s="5">
        <f>IF(OR(D232="column",D232="wall"),IF(I232&lt;='P vs V'!$B$3*J232,"column","wall"),"")</f>
        <v/>
      </c>
      <c r="R232" s="5" t="inlineStr"/>
      <c r="S232" s="5" t="inlineStr"/>
      <c r="T232" s="5" t="n"/>
      <c r="U232" s="5" t="inlineStr">
        <is>
          <t>yes</t>
        </is>
      </c>
      <c r="V232" s="5" t="inlineStr">
        <is>
          <t>no</t>
        </is>
      </c>
      <c r="W232" s="5" t="inlineStr">
        <is>
          <t>yes</t>
        </is>
      </c>
      <c r="X232" s="5" t="inlineStr">
        <is>
          <t>no</t>
        </is>
      </c>
      <c r="Y232" s="5" t="inlineStr">
        <is>
          <t>no</t>
        </is>
      </c>
      <c r="Z232" s="5" t="inlineStr">
        <is>
          <t>no</t>
        </is>
      </c>
      <c r="AA232" s="5" t="n">
        <v>0.92</v>
      </c>
      <c r="AB232" s="5" t="n">
        <v>0.28</v>
      </c>
      <c r="AC232" s="5" t="n"/>
      <c r="AD232" s="5" t="n"/>
      <c r="AE232" s="5" t="n">
        <v>4775.3</v>
      </c>
      <c r="AF232" s="5" t="n">
        <v>2688.8</v>
      </c>
      <c r="AG232" s="5" t="n">
        <v>4873.4</v>
      </c>
      <c r="AH232" s="5" t="n">
        <v>2694.8</v>
      </c>
      <c r="AI232" s="5" t="inlineStr">
        <is>
          <t>n/a</t>
        </is>
      </c>
      <c r="AJ232" s="5" t="inlineStr"/>
      <c r="AK232" s="5" t="inlineStr"/>
      <c r="AL232" s="5" t="inlineStr"/>
      <c r="AM232" s="5" t="inlineStr"/>
    </row>
    <row r="233">
      <c r="A233" s="5" t="n">
        <v>232</v>
      </c>
      <c r="B233" s="5" t="inlineStr">
        <is>
          <t>122</t>
        </is>
      </c>
      <c r="C233" s="5" t="inlineStr">
        <is>
          <t>nearest labels (60% agree)</t>
        </is>
      </c>
      <c r="D233" s="5" t="inlineStr">
        <is>
          <t>footing</t>
        </is>
      </c>
      <c r="E233" s="5" t="inlineStr">
        <is>
          <t>combined_footing</t>
        </is>
      </c>
      <c r="F233" s="5" t="inlineStr">
        <is>
          <t>SC1</t>
        </is>
      </c>
      <c r="G233" s="5" t="inlineStr">
        <is>
          <t>SC1-</t>
        </is>
      </c>
      <c r="H233" s="5" t="inlineStr">
        <is>
          <t>printed</t>
        </is>
      </c>
      <c r="I233" s="5" t="n">
        <v>500</v>
      </c>
      <c r="J233" s="5" t="n">
        <v>350</v>
      </c>
      <c r="K233" s="9">
        <f>IF(AND(ISNUMBER(I233),ISNUMBER(J233),J233&gt;0),I233/J233,"")</f>
        <v/>
      </c>
      <c r="L233" s="5" t="n">
        <v>17.5</v>
      </c>
      <c r="M233" s="5" t="n"/>
      <c r="N233" s="5" t="n">
        <v>0</v>
      </c>
      <c r="O233" s="5" t="inlineStr">
        <is>
          <t>closed outline</t>
        </is>
      </c>
      <c r="P233" s="5" t="inlineStr">
        <is>
          <t>closed rectangular outline around a column/wall or next to an S/SC label</t>
        </is>
      </c>
      <c r="Q233" s="5">
        <f>IF(OR(D233="column",D233="wall"),IF(I233&lt;='P vs V'!$B$3*J233,"column","wall"),"")</f>
        <v/>
      </c>
      <c r="R233" s="5" t="inlineStr"/>
      <c r="S233" s="5" t="inlineStr">
        <is>
          <t>wall+wall</t>
        </is>
      </c>
      <c r="T233" s="5" t="n">
        <v>8</v>
      </c>
      <c r="U233" s="5" t="inlineStr">
        <is>
          <t>no</t>
        </is>
      </c>
      <c r="V233" s="5" t="inlineStr">
        <is>
          <t>no</t>
        </is>
      </c>
      <c r="W233" s="5" t="inlineStr">
        <is>
          <t>yes</t>
        </is>
      </c>
      <c r="X233" s="5" t="inlineStr">
        <is>
          <t>no</t>
        </is>
      </c>
      <c r="Y233" s="5" t="inlineStr">
        <is>
          <t>no</t>
        </is>
      </c>
      <c r="Z233" s="5" t="inlineStr">
        <is>
          <t>no</t>
        </is>
      </c>
      <c r="AA233" s="5" t="n">
        <v>4.19</v>
      </c>
      <c r="AB233" s="5" t="n"/>
      <c r="AC233" s="5" t="n"/>
      <c r="AD233" s="5" t="n"/>
      <c r="AE233" s="5" t="n">
        <v>4695.5</v>
      </c>
      <c r="AF233" s="5" t="n">
        <v>2083.5</v>
      </c>
      <c r="AG233" s="5" t="n">
        <v>4843.2</v>
      </c>
      <c r="AH233" s="5" t="n">
        <v>2186.9</v>
      </c>
      <c r="AI233" s="5" t="inlineStr">
        <is>
          <t>yes</t>
        </is>
      </c>
      <c r="AJ233" s="5" t="inlineStr">
        <is>
          <t>combined_footing</t>
        </is>
      </c>
      <c r="AK233" s="5" t="inlineStr"/>
      <c r="AL233" s="5" t="inlineStr">
        <is>
          <t>(0.72, 0.72, 0.0)</t>
        </is>
      </c>
      <c r="AM233" s="5" t="inlineStr">
        <is>
          <t>DM-SEMELLES</t>
        </is>
      </c>
    </row>
    <row r="234">
      <c r="A234" s="5" t="n">
        <v>233</v>
      </c>
      <c r="B234" s="5" t="inlineStr">
        <is>
          <t>122</t>
        </is>
      </c>
      <c r="C234" s="5" t="inlineStr">
        <is>
          <t>nearest labels (80% agree)</t>
        </is>
      </c>
      <c r="D234" s="5" t="inlineStr">
        <is>
          <t>footing</t>
        </is>
      </c>
      <c r="E234" s="5" t="inlineStr">
        <is>
          <t>combined_footing</t>
        </is>
      </c>
      <c r="F234" s="5" t="inlineStr">
        <is>
          <t>SC2</t>
        </is>
      </c>
      <c r="G234" s="5" t="inlineStr">
        <is>
          <t>SC2-</t>
        </is>
      </c>
      <c r="H234" s="5" t="inlineStr">
        <is>
          <t>printed</t>
        </is>
      </c>
      <c r="I234" s="5" t="n">
        <v>350</v>
      </c>
      <c r="J234" s="5" t="n">
        <v>200</v>
      </c>
      <c r="K234" s="9">
        <f>IF(AND(ISNUMBER(I234),ISNUMBER(J234),J234&gt;0),I234/J234,"")</f>
        <v/>
      </c>
      <c r="L234" s="5" t="n">
        <v>7</v>
      </c>
      <c r="M234" s="5" t="n"/>
      <c r="N234" s="5" t="n">
        <v>79.3</v>
      </c>
      <c r="O234" s="5" t="inlineStr">
        <is>
          <t>closed outline</t>
        </is>
      </c>
      <c r="P234" s="5" t="inlineStr">
        <is>
          <t>closed rectangular outline around a column/wall or next to an S/SC label</t>
        </is>
      </c>
      <c r="Q234" s="5">
        <f>IF(OR(D234="column",D234="wall"),IF(I234&lt;='P vs V'!$B$3*J234,"column","wall"),"")</f>
        <v/>
      </c>
      <c r="R234" s="5" t="inlineStr"/>
      <c r="S234" s="5" t="inlineStr">
        <is>
          <t>wall+wall</t>
        </is>
      </c>
      <c r="T234" s="5" t="n">
        <v>16</v>
      </c>
      <c r="U234" s="5" t="inlineStr">
        <is>
          <t>no</t>
        </is>
      </c>
      <c r="V234" s="5" t="inlineStr">
        <is>
          <t>no</t>
        </is>
      </c>
      <c r="W234" s="5" t="inlineStr">
        <is>
          <t>yes</t>
        </is>
      </c>
      <c r="X234" s="5" t="inlineStr">
        <is>
          <t>no</t>
        </is>
      </c>
      <c r="Y234" s="5" t="inlineStr">
        <is>
          <t>yes</t>
        </is>
      </c>
      <c r="Z234" s="5" t="inlineStr">
        <is>
          <t>yes</t>
        </is>
      </c>
      <c r="AA234" s="5" t="n">
        <v>3.77</v>
      </c>
      <c r="AB234" s="5" t="n"/>
      <c r="AC234" s="5" t="n"/>
      <c r="AD234" s="5" t="n"/>
      <c r="AE234" s="5" t="n">
        <v>4170.1</v>
      </c>
      <c r="AF234" s="5" t="n">
        <v>2835.2</v>
      </c>
      <c r="AG234" s="5" t="n">
        <v>4247.2</v>
      </c>
      <c r="AH234" s="5" t="n">
        <v>2947.7</v>
      </c>
      <c r="AI234" s="5" t="inlineStr">
        <is>
          <t>yes</t>
        </is>
      </c>
      <c r="AJ234" s="5" t="inlineStr">
        <is>
          <t>combined_footing</t>
        </is>
      </c>
      <c r="AK234" s="5" t="inlineStr"/>
      <c r="AL234" s="5" t="inlineStr">
        <is>
          <t>(0.72, 0.72, 0.0)</t>
        </is>
      </c>
      <c r="AM234" s="5" t="inlineStr">
        <is>
          <t>DM-SEMELLES</t>
        </is>
      </c>
    </row>
    <row r="235">
      <c r="A235" s="5" t="n">
        <v>234</v>
      </c>
      <c r="B235" s="5" t="inlineStr">
        <is>
          <t>122</t>
        </is>
      </c>
      <c r="C235" s="5" t="inlineStr">
        <is>
          <t>nearest labels (60% agree)</t>
        </is>
      </c>
      <c r="D235" s="5" t="inlineStr">
        <is>
          <t>footing</t>
        </is>
      </c>
      <c r="E235" s="5" t="inlineStr">
        <is>
          <t>combined_footing</t>
        </is>
      </c>
      <c r="F235" s="5" t="inlineStr">
        <is>
          <t>SC3</t>
        </is>
      </c>
      <c r="G235" s="5" t="inlineStr">
        <is>
          <t>SC3-</t>
        </is>
      </c>
      <c r="H235" s="5" t="inlineStr">
        <is>
          <t>printed</t>
        </is>
      </c>
      <c r="I235" s="5" t="n">
        <v>500</v>
      </c>
      <c r="J235" s="5" t="n">
        <v>450</v>
      </c>
      <c r="K235" s="9">
        <f>IF(AND(ISNUMBER(I235),ISNUMBER(J235),J235&gt;0),I235/J235,"")</f>
        <v/>
      </c>
      <c r="L235" s="5" t="n">
        <v>22.501</v>
      </c>
      <c r="M235" s="5" t="n"/>
      <c r="N235" s="5" t="n">
        <v>179.9</v>
      </c>
      <c r="O235" s="5" t="inlineStr">
        <is>
          <t>closed outline</t>
        </is>
      </c>
      <c r="P235" s="5" t="inlineStr">
        <is>
          <t>closed rectangular outline around a column/wall or next to an S/SC label</t>
        </is>
      </c>
      <c r="Q235" s="5">
        <f>IF(OR(D235="column",D235="wall"),IF(I235&lt;='P vs V'!$B$3*J235,"column","wall"),"")</f>
        <v/>
      </c>
      <c r="R235" s="5" t="inlineStr"/>
      <c r="S235" s="5" t="inlineStr">
        <is>
          <t>wall+wall</t>
        </is>
      </c>
      <c r="T235" s="5" t="n">
        <v>6</v>
      </c>
      <c r="U235" s="5" t="inlineStr">
        <is>
          <t>no</t>
        </is>
      </c>
      <c r="V235" s="5" t="inlineStr">
        <is>
          <t>no</t>
        </is>
      </c>
      <c r="W235" s="5" t="inlineStr">
        <is>
          <t>yes</t>
        </is>
      </c>
      <c r="X235" s="5" t="inlineStr">
        <is>
          <t>no</t>
        </is>
      </c>
      <c r="Y235" s="5" t="inlineStr">
        <is>
          <t>yes</t>
        </is>
      </c>
      <c r="Z235" s="5" t="inlineStr">
        <is>
          <t>no</t>
        </is>
      </c>
      <c r="AA235" s="5" t="n">
        <v>4.16</v>
      </c>
      <c r="AB235" s="5" t="n"/>
      <c r="AC235" s="5" t="n"/>
      <c r="AD235" s="5" t="n"/>
      <c r="AE235" s="5" t="n">
        <v>4462.6</v>
      </c>
      <c r="AF235" s="5" t="n">
        <v>2069.9</v>
      </c>
      <c r="AG235" s="5" t="n">
        <v>4610.4</v>
      </c>
      <c r="AH235" s="5" t="n">
        <v>2203</v>
      </c>
      <c r="AI235" s="5" t="inlineStr">
        <is>
          <t>yes</t>
        </is>
      </c>
      <c r="AJ235" s="5" t="inlineStr">
        <is>
          <t>combined_footing</t>
        </is>
      </c>
      <c r="AK235" s="5" t="inlineStr"/>
      <c r="AL235" s="5" t="inlineStr">
        <is>
          <t>(0.72, 0.72, 0.0)</t>
        </is>
      </c>
      <c r="AM235" s="5" t="inlineStr">
        <is>
          <t>DM-SEMELLES</t>
        </is>
      </c>
    </row>
    <row r="236">
      <c r="A236" s="5" t="n">
        <v>235</v>
      </c>
      <c r="B236" s="5" t="inlineStr">
        <is>
          <t>122</t>
        </is>
      </c>
      <c r="C236" s="5" t="inlineStr">
        <is>
          <t>own label</t>
        </is>
      </c>
      <c r="D236" s="5" t="inlineStr">
        <is>
          <t>footing</t>
        </is>
      </c>
      <c r="E236" s="5" t="inlineStr">
        <is>
          <t>isolated_footing</t>
        </is>
      </c>
      <c r="F236" s="5" t="inlineStr">
        <is>
          <t>S10</t>
        </is>
      </c>
      <c r="G236" s="5" t="inlineStr">
        <is>
          <t>S10-122122</t>
        </is>
      </c>
      <c r="H236" s="5" t="inlineStr">
        <is>
          <t>printed</t>
        </is>
      </c>
      <c r="I236" s="5" t="n">
        <v>450</v>
      </c>
      <c r="J236" s="5" t="n">
        <v>300</v>
      </c>
      <c r="K236" s="9">
        <f>IF(AND(ISNUMBER(I236),ISNUMBER(J236),J236&gt;0),I236/J236,"")</f>
        <v/>
      </c>
      <c r="L236" s="5" t="n">
        <v>13.503</v>
      </c>
      <c r="M236" s="5" t="n"/>
      <c r="N236" s="5" t="n">
        <v>89.90000000000001</v>
      </c>
      <c r="O236" s="5" t="inlineStr">
        <is>
          <t>closed outline</t>
        </is>
      </c>
      <c r="P236" s="5" t="inlineStr">
        <is>
          <t>closed rectangular outline around a column/wall or next to an S/SC label</t>
        </is>
      </c>
      <c r="Q236" s="5">
        <f>IF(OR(D236="column",D236="wall"),IF(I236&lt;='P vs V'!$B$3*J236,"column","wall"),"")</f>
        <v/>
      </c>
      <c r="R236" s="5" t="inlineStr"/>
      <c r="S236" s="5" t="inlineStr">
        <is>
          <t>wall</t>
        </is>
      </c>
      <c r="T236" s="5" t="n">
        <v>0</v>
      </c>
      <c r="U236" s="5" t="inlineStr">
        <is>
          <t>no</t>
        </is>
      </c>
      <c r="V236" s="5" t="inlineStr">
        <is>
          <t>no</t>
        </is>
      </c>
      <c r="W236" s="5" t="inlineStr">
        <is>
          <t>yes</t>
        </is>
      </c>
      <c r="X236" s="5" t="inlineStr">
        <is>
          <t>no</t>
        </is>
      </c>
      <c r="Y236" s="5" t="inlineStr">
        <is>
          <t>yes</t>
        </is>
      </c>
      <c r="Z236" s="5" t="inlineStr">
        <is>
          <t>no</t>
        </is>
      </c>
      <c r="AA236" s="5" t="n">
        <v>1.27</v>
      </c>
      <c r="AB236" s="5" t="n"/>
      <c r="AC236" s="5" t="n"/>
      <c r="AD236" s="5" t="n"/>
      <c r="AE236" s="5" t="n">
        <v>4724.5</v>
      </c>
      <c r="AF236" s="5" t="n">
        <v>2231.2</v>
      </c>
      <c r="AG236" s="5" t="n">
        <v>4813.4</v>
      </c>
      <c r="AH236" s="5" t="n">
        <v>2364.2</v>
      </c>
      <c r="AI236" s="5" t="inlineStr">
        <is>
          <t>yes</t>
        </is>
      </c>
      <c r="AJ236" s="5" t="inlineStr">
        <is>
          <t>isolated_footing</t>
        </is>
      </c>
      <c r="AK236" s="5" t="inlineStr"/>
      <c r="AL236" s="5" t="inlineStr">
        <is>
          <t>(0.72, 0.72, 0.0)</t>
        </is>
      </c>
      <c r="AM236" s="5" t="inlineStr">
        <is>
          <t>DM-SEMELLES</t>
        </is>
      </c>
    </row>
    <row r="237">
      <c r="A237" s="5" t="n">
        <v>236</v>
      </c>
      <c r="B237" s="5" t="inlineStr">
        <is>
          <t>122</t>
        </is>
      </c>
      <c r="C237" s="5" t="inlineStr">
        <is>
          <t>own label</t>
        </is>
      </c>
      <c r="D237" s="5" t="inlineStr">
        <is>
          <t>footing</t>
        </is>
      </c>
      <c r="E237" s="5" t="inlineStr">
        <is>
          <t>isolated_footing</t>
        </is>
      </c>
      <c r="F237" s="5" t="inlineStr">
        <is>
          <t>S10</t>
        </is>
      </c>
      <c r="G237" s="5" t="inlineStr">
        <is>
          <t>S10-122122</t>
        </is>
      </c>
      <c r="H237" s="5" t="inlineStr">
        <is>
          <t>printed</t>
        </is>
      </c>
      <c r="I237" s="5" t="n">
        <v>450</v>
      </c>
      <c r="J237" s="5" t="n">
        <v>300</v>
      </c>
      <c r="K237" s="9">
        <f>IF(AND(ISNUMBER(I237),ISNUMBER(J237),J237&gt;0),I237/J237,"")</f>
        <v/>
      </c>
      <c r="L237" s="5" t="n">
        <v>13.503</v>
      </c>
      <c r="M237" s="5" t="n"/>
      <c r="N237" s="5" t="n">
        <v>0</v>
      </c>
      <c r="O237" s="5" t="inlineStr">
        <is>
          <t>closed outline</t>
        </is>
      </c>
      <c r="P237" s="5" t="inlineStr">
        <is>
          <t>closed rectangular outline around a column/wall or next to an S/SC label</t>
        </is>
      </c>
      <c r="Q237" s="5">
        <f>IF(OR(D237="column",D237="wall"),IF(I237&lt;='P vs V'!$B$3*J237,"column","wall"),"")</f>
        <v/>
      </c>
      <c r="R237" s="5" t="inlineStr"/>
      <c r="S237" s="5" t="inlineStr">
        <is>
          <t>wall</t>
        </is>
      </c>
      <c r="T237" s="5" t="n">
        <v>1</v>
      </c>
      <c r="U237" s="5" t="inlineStr">
        <is>
          <t>no</t>
        </is>
      </c>
      <c r="V237" s="5" t="inlineStr">
        <is>
          <t>no</t>
        </is>
      </c>
      <c r="W237" s="5" t="inlineStr">
        <is>
          <t>yes</t>
        </is>
      </c>
      <c r="X237" s="5" t="inlineStr">
        <is>
          <t>no</t>
        </is>
      </c>
      <c r="Y237" s="5" t="inlineStr">
        <is>
          <t>yes</t>
        </is>
      </c>
      <c r="Z237" s="5" t="inlineStr">
        <is>
          <t>yes</t>
        </is>
      </c>
      <c r="AA237" s="5" t="n">
        <v>1.42</v>
      </c>
      <c r="AB237" s="5" t="n"/>
      <c r="AC237" s="5" t="n"/>
      <c r="AD237" s="5" t="n"/>
      <c r="AE237" s="5" t="n">
        <v>4481.4</v>
      </c>
      <c r="AF237" s="5" t="n">
        <v>2571.2</v>
      </c>
      <c r="AG237" s="5" t="n">
        <v>4614.3</v>
      </c>
      <c r="AH237" s="5" t="n">
        <v>2659.9</v>
      </c>
      <c r="AI237" s="5" t="inlineStr">
        <is>
          <t>yes</t>
        </is>
      </c>
      <c r="AJ237" s="5" t="inlineStr">
        <is>
          <t>isolated_footing</t>
        </is>
      </c>
      <c r="AK237" s="5" t="inlineStr"/>
      <c r="AL237" s="5" t="inlineStr">
        <is>
          <t>(0.72, 0.72, 0.0)</t>
        </is>
      </c>
      <c r="AM237" s="5" t="inlineStr">
        <is>
          <t>DM-SEMELLES</t>
        </is>
      </c>
    </row>
    <row r="238">
      <c r="A238" s="5" t="n">
        <v>237</v>
      </c>
      <c r="B238" s="5" t="inlineStr">
        <is>
          <t>122</t>
        </is>
      </c>
      <c r="C238" s="5" t="inlineStr">
        <is>
          <t>own label</t>
        </is>
      </c>
      <c r="D238" s="5" t="inlineStr">
        <is>
          <t>footing</t>
        </is>
      </c>
      <c r="E238" s="5" t="inlineStr">
        <is>
          <t>isolated_footing</t>
        </is>
      </c>
      <c r="F238" s="5" t="inlineStr">
        <is>
          <t>S10</t>
        </is>
      </c>
      <c r="G238" s="5" t="inlineStr">
        <is>
          <t>S10-122122</t>
        </is>
      </c>
      <c r="H238" s="5" t="inlineStr">
        <is>
          <t>printed</t>
        </is>
      </c>
      <c r="I238" s="5" t="n">
        <v>450</v>
      </c>
      <c r="J238" s="5" t="n">
        <v>300</v>
      </c>
      <c r="K238" s="9">
        <f>IF(AND(ISNUMBER(I238),ISNUMBER(J238),J238&gt;0),I238/J238,"")</f>
        <v/>
      </c>
      <c r="L238" s="5" t="n">
        <v>13.498</v>
      </c>
      <c r="M238" s="5" t="n"/>
      <c r="N238" s="5" t="n">
        <v>0.1</v>
      </c>
      <c r="O238" s="5" t="inlineStr">
        <is>
          <t>closed outline</t>
        </is>
      </c>
      <c r="P238" s="5" t="inlineStr">
        <is>
          <t>closed rectangular outline around a column/wall or next to an S/SC label</t>
        </is>
      </c>
      <c r="Q238" s="5">
        <f>IF(OR(D238="column",D238="wall"),IF(I238&lt;='P vs V'!$B$3*J238,"column","wall"),"")</f>
        <v/>
      </c>
      <c r="R238" s="5" t="inlineStr"/>
      <c r="S238" s="5" t="inlineStr">
        <is>
          <t>wall</t>
        </is>
      </c>
      <c r="T238" s="5" t="n">
        <v>5</v>
      </c>
      <c r="U238" s="5" t="inlineStr">
        <is>
          <t>no</t>
        </is>
      </c>
      <c r="V238" s="5" t="inlineStr">
        <is>
          <t>no</t>
        </is>
      </c>
      <c r="W238" s="5" t="inlineStr">
        <is>
          <t>yes</t>
        </is>
      </c>
      <c r="X238" s="5" t="inlineStr">
        <is>
          <t>no</t>
        </is>
      </c>
      <c r="Y238" s="5" t="inlineStr">
        <is>
          <t>yes</t>
        </is>
      </c>
      <c r="Z238" s="5" t="inlineStr">
        <is>
          <t>yes</t>
        </is>
      </c>
      <c r="AA238" s="5" t="n">
        <v>1.4</v>
      </c>
      <c r="AB238" s="5" t="n"/>
      <c r="AC238" s="5" t="n"/>
      <c r="AD238" s="5" t="n"/>
      <c r="AE238" s="5" t="n">
        <v>4482.6</v>
      </c>
      <c r="AF238" s="5" t="n">
        <v>2454.5</v>
      </c>
      <c r="AG238" s="5" t="n">
        <v>4615.5</v>
      </c>
      <c r="AH238" s="5" t="n">
        <v>2543.2</v>
      </c>
      <c r="AI238" s="5" t="inlineStr">
        <is>
          <t>yes</t>
        </is>
      </c>
      <c r="AJ238" s="5" t="inlineStr">
        <is>
          <t>isolated_footing</t>
        </is>
      </c>
      <c r="AK238" s="5" t="inlineStr"/>
      <c r="AL238" s="5" t="inlineStr">
        <is>
          <t>(0.72, 0.72, 0.0)</t>
        </is>
      </c>
      <c r="AM238" s="5" t="inlineStr">
        <is>
          <t>DM-SEMELLES</t>
        </is>
      </c>
    </row>
    <row r="239">
      <c r="A239" s="5" t="n">
        <v>238</v>
      </c>
      <c r="B239" s="5" t="inlineStr">
        <is>
          <t>122</t>
        </is>
      </c>
      <c r="C239" s="5" t="inlineStr">
        <is>
          <t>own label</t>
        </is>
      </c>
      <c r="D239" s="5" t="inlineStr">
        <is>
          <t>footing</t>
        </is>
      </c>
      <c r="E239" s="5" t="inlineStr">
        <is>
          <t>isolated_footing</t>
        </is>
      </c>
      <c r="F239" s="5" t="inlineStr">
        <is>
          <t>S10</t>
        </is>
      </c>
      <c r="G239" s="5" t="inlineStr">
        <is>
          <t>S10-122122</t>
        </is>
      </c>
      <c r="H239" s="5" t="inlineStr">
        <is>
          <t>printed</t>
        </is>
      </c>
      <c r="I239" s="5" t="n">
        <v>450</v>
      </c>
      <c r="J239" s="5" t="n">
        <v>300</v>
      </c>
      <c r="K239" s="9">
        <f>IF(AND(ISNUMBER(I239),ISNUMBER(J239),J239&gt;0),I239/J239,"")</f>
        <v/>
      </c>
      <c r="L239" s="5" t="n">
        <v>13.498</v>
      </c>
      <c r="M239" s="5" t="n"/>
      <c r="N239" s="5" t="n">
        <v>0.1</v>
      </c>
      <c r="O239" s="5" t="inlineStr">
        <is>
          <t>closed outline</t>
        </is>
      </c>
      <c r="P239" s="5" t="inlineStr">
        <is>
          <t>closed rectangular outline around a column/wall or next to an S/SC label</t>
        </is>
      </c>
      <c r="Q239" s="5">
        <f>IF(OR(D239="column",D239="wall"),IF(I239&lt;='P vs V'!$B$3*J239,"column","wall"),"")</f>
        <v/>
      </c>
      <c r="R239" s="5" t="inlineStr"/>
      <c r="S239" s="5" t="inlineStr">
        <is>
          <t>wall</t>
        </is>
      </c>
      <c r="T239" s="5" t="n">
        <v>0</v>
      </c>
      <c r="U239" s="5" t="inlineStr">
        <is>
          <t>no</t>
        </is>
      </c>
      <c r="V239" s="5" t="inlineStr">
        <is>
          <t>no</t>
        </is>
      </c>
      <c r="W239" s="5" t="inlineStr">
        <is>
          <t>yes</t>
        </is>
      </c>
      <c r="X239" s="5" t="inlineStr">
        <is>
          <t>no</t>
        </is>
      </c>
      <c r="Y239" s="5" t="inlineStr">
        <is>
          <t>no</t>
        </is>
      </c>
      <c r="Z239" s="5" t="inlineStr">
        <is>
          <t>no</t>
        </is>
      </c>
      <c r="AA239" s="5" t="n">
        <v>1.41</v>
      </c>
      <c r="AB239" s="5" t="n"/>
      <c r="AC239" s="5" t="n"/>
      <c r="AD239" s="5" t="n"/>
      <c r="AE239" s="5" t="n">
        <v>4903.9</v>
      </c>
      <c r="AF239" s="5" t="n">
        <v>2453.7</v>
      </c>
      <c r="AG239" s="5" t="n">
        <v>5036.9</v>
      </c>
      <c r="AH239" s="5" t="n">
        <v>2542.4</v>
      </c>
      <c r="AI239" s="5" t="inlineStr">
        <is>
          <t>yes</t>
        </is>
      </c>
      <c r="AJ239" s="5" t="inlineStr">
        <is>
          <t>isolated_footing</t>
        </is>
      </c>
      <c r="AK239" s="5" t="inlineStr"/>
      <c r="AL239" s="5" t="inlineStr">
        <is>
          <t>(0.72, 0.72, 0.0)</t>
        </is>
      </c>
      <c r="AM239" s="5" t="inlineStr">
        <is>
          <t>DM-SEMELLES</t>
        </is>
      </c>
    </row>
    <row r="240">
      <c r="A240" s="5" t="n">
        <v>239</v>
      </c>
      <c r="B240" s="5" t="inlineStr">
        <is>
          <t>122</t>
        </is>
      </c>
      <c r="C240" s="5" t="inlineStr">
        <is>
          <t>own label</t>
        </is>
      </c>
      <c r="D240" s="5" t="inlineStr">
        <is>
          <t>footing</t>
        </is>
      </c>
      <c r="E240" s="5" t="inlineStr">
        <is>
          <t>isolated_footing</t>
        </is>
      </c>
      <c r="F240" s="5" t="inlineStr">
        <is>
          <t>S11</t>
        </is>
      </c>
      <c r="G240" s="5" t="inlineStr">
        <is>
          <t>S11-122122</t>
        </is>
      </c>
      <c r="H240" s="5" t="inlineStr">
        <is>
          <t>printed</t>
        </is>
      </c>
      <c r="I240" s="5" t="n">
        <v>500</v>
      </c>
      <c r="J240" s="5" t="n">
        <v>400</v>
      </c>
      <c r="K240" s="9">
        <f>IF(AND(ISNUMBER(I240),ISNUMBER(J240),J240&gt;0),I240/J240,"")</f>
        <v/>
      </c>
      <c r="L240" s="5" t="n">
        <v>20.003</v>
      </c>
      <c r="M240" s="5" t="n"/>
      <c r="N240" s="5" t="n">
        <v>0</v>
      </c>
      <c r="O240" s="5" t="inlineStr">
        <is>
          <t>closed outline</t>
        </is>
      </c>
      <c r="P240" s="5" t="inlineStr">
        <is>
          <t>closed rectangular outline around a column/wall or next to an S/SC label</t>
        </is>
      </c>
      <c r="Q240" s="5">
        <f>IF(OR(D240="column",D240="wall"),IF(I240&lt;='P vs V'!$B$3*J240,"column","wall"),"")</f>
        <v/>
      </c>
      <c r="R240" s="5" t="inlineStr"/>
      <c r="S240" s="5" t="inlineStr">
        <is>
          <t>wall</t>
        </is>
      </c>
      <c r="T240" s="5" t="n">
        <v>1</v>
      </c>
      <c r="U240" s="5" t="inlineStr">
        <is>
          <t>no</t>
        </is>
      </c>
      <c r="V240" s="5" t="inlineStr">
        <is>
          <t>no</t>
        </is>
      </c>
      <c r="W240" s="5" t="inlineStr">
        <is>
          <t>yes</t>
        </is>
      </c>
      <c r="X240" s="5" t="inlineStr">
        <is>
          <t>no</t>
        </is>
      </c>
      <c r="Y240" s="5" t="inlineStr">
        <is>
          <t>yes</t>
        </is>
      </c>
      <c r="Z240" s="5" t="inlineStr">
        <is>
          <t>yes</t>
        </is>
      </c>
      <c r="AA240" s="5" t="n">
        <v>2.33</v>
      </c>
      <c r="AB240" s="5" t="n"/>
      <c r="AC240" s="5" t="n"/>
      <c r="AD240" s="5" t="n"/>
      <c r="AE240" s="5" t="n">
        <v>4482.2</v>
      </c>
      <c r="AF240" s="5" t="n">
        <v>2270</v>
      </c>
      <c r="AG240" s="5" t="n">
        <v>4629.9</v>
      </c>
      <c r="AH240" s="5" t="n">
        <v>2388.2</v>
      </c>
      <c r="AI240" s="5" t="inlineStr">
        <is>
          <t>yes</t>
        </is>
      </c>
      <c r="AJ240" s="5" t="inlineStr">
        <is>
          <t>isolated_footing</t>
        </is>
      </c>
      <c r="AK240" s="5" t="inlineStr"/>
      <c r="AL240" s="5" t="inlineStr">
        <is>
          <t>(0.72, 0.72, 0.0)</t>
        </is>
      </c>
      <c r="AM240" s="5" t="inlineStr">
        <is>
          <t>DM-SEMELLES</t>
        </is>
      </c>
    </row>
    <row r="241">
      <c r="A241" s="5" t="n">
        <v>240</v>
      </c>
      <c r="B241" s="5" t="inlineStr">
        <is>
          <t>122</t>
        </is>
      </c>
      <c r="C241" s="5" t="inlineStr">
        <is>
          <t>own label</t>
        </is>
      </c>
      <c r="D241" s="5" t="inlineStr">
        <is>
          <t>footing</t>
        </is>
      </c>
      <c r="E241" s="5" t="inlineStr">
        <is>
          <t>isolated_footing</t>
        </is>
      </c>
      <c r="F241" s="5" t="inlineStr">
        <is>
          <t>S11</t>
        </is>
      </c>
      <c r="G241" s="5" t="inlineStr">
        <is>
          <t>S11-122122</t>
        </is>
      </c>
      <c r="H241" s="5" t="inlineStr">
        <is>
          <t>printed</t>
        </is>
      </c>
      <c r="I241" s="5" t="n">
        <v>500</v>
      </c>
      <c r="J241" s="5" t="n">
        <v>400</v>
      </c>
      <c r="K241" s="9">
        <f>IF(AND(ISNUMBER(I241),ISNUMBER(J241),J241&gt;0),I241/J241,"")</f>
        <v/>
      </c>
      <c r="L241" s="5" t="n">
        <v>20.003</v>
      </c>
      <c r="M241" s="5" t="n"/>
      <c r="N241" s="5" t="n">
        <v>0</v>
      </c>
      <c r="O241" s="5" t="inlineStr">
        <is>
          <t>closed outline</t>
        </is>
      </c>
      <c r="P241" s="5" t="inlineStr">
        <is>
          <t>closed rectangular outline around a column/wall or next to an S/SC label</t>
        </is>
      </c>
      <c r="Q241" s="5">
        <f>IF(OR(D241="column",D241="wall"),IF(I241&lt;='P vs V'!$B$3*J241,"column","wall"),"")</f>
        <v/>
      </c>
      <c r="R241" s="5" t="inlineStr"/>
      <c r="S241" s="5" t="inlineStr">
        <is>
          <t>wall</t>
        </is>
      </c>
      <c r="T241" s="5" t="n">
        <v>0</v>
      </c>
      <c r="U241" s="5" t="inlineStr">
        <is>
          <t>no</t>
        </is>
      </c>
      <c r="V241" s="5" t="inlineStr">
        <is>
          <t>no</t>
        </is>
      </c>
      <c r="W241" s="5" t="inlineStr">
        <is>
          <t>yes</t>
        </is>
      </c>
      <c r="X241" s="5" t="inlineStr">
        <is>
          <t>no</t>
        </is>
      </c>
      <c r="Y241" s="5" t="inlineStr">
        <is>
          <t>yes</t>
        </is>
      </c>
      <c r="Z241" s="5" t="inlineStr">
        <is>
          <t>yes</t>
        </is>
      </c>
      <c r="AA241" s="5" t="n">
        <v>1.66</v>
      </c>
      <c r="AB241" s="5" t="n"/>
      <c r="AC241" s="5" t="n"/>
      <c r="AD241" s="5" t="n"/>
      <c r="AE241" s="5" t="n">
        <v>4481.7</v>
      </c>
      <c r="AF241" s="5" t="n">
        <v>2757.2</v>
      </c>
      <c r="AG241" s="5" t="n">
        <v>4629.5</v>
      </c>
      <c r="AH241" s="5" t="n">
        <v>2875.4</v>
      </c>
      <c r="AI241" s="5" t="inlineStr">
        <is>
          <t>yes</t>
        </is>
      </c>
      <c r="AJ241" s="5" t="inlineStr">
        <is>
          <t>isolated_footing</t>
        </is>
      </c>
      <c r="AK241" s="5" t="inlineStr"/>
      <c r="AL241" s="5" t="inlineStr">
        <is>
          <t>(0.72, 0.72, 0.0)</t>
        </is>
      </c>
      <c r="AM241" s="5" t="inlineStr">
        <is>
          <t>DM-SEMELLES</t>
        </is>
      </c>
    </row>
    <row r="242">
      <c r="A242" s="5" t="n">
        <v>241</v>
      </c>
      <c r="B242" s="5" t="inlineStr">
        <is>
          <t>122</t>
        </is>
      </c>
      <c r="C242" s="5" t="inlineStr">
        <is>
          <t>own label</t>
        </is>
      </c>
      <c r="D242" s="5" t="inlineStr">
        <is>
          <t>footing</t>
        </is>
      </c>
      <c r="E242" s="5" t="inlineStr">
        <is>
          <t>isolated_footing</t>
        </is>
      </c>
      <c r="F242" s="5" t="inlineStr">
        <is>
          <t>S12</t>
        </is>
      </c>
      <c r="G242" s="5" t="inlineStr">
        <is>
          <t>S12-122122</t>
        </is>
      </c>
      <c r="H242" s="5" t="inlineStr">
        <is>
          <t>printed</t>
        </is>
      </c>
      <c r="I242" s="5" t="n">
        <v>250</v>
      </c>
      <c r="J242" s="5" t="n">
        <v>250</v>
      </c>
      <c r="K242" s="9">
        <f>IF(AND(ISNUMBER(I242),ISNUMBER(J242),J242&gt;0),I242/J242,"")</f>
        <v/>
      </c>
      <c r="L242" s="5" t="n">
        <v>6.25</v>
      </c>
      <c r="M242" s="5" t="n"/>
      <c r="N242" s="5" t="n">
        <v>0</v>
      </c>
      <c r="O242" s="5" t="inlineStr">
        <is>
          <t>closed outline</t>
        </is>
      </c>
      <c r="P242" s="5" t="inlineStr">
        <is>
          <t>closed rectangular outline around a column/wall or next to an S/SC label</t>
        </is>
      </c>
      <c r="Q242" s="5">
        <f>IF(OR(D242="column",D242="wall"),IF(I242&lt;='P vs V'!$B$3*J242,"column","wall"),"")</f>
        <v/>
      </c>
      <c r="R242" s="5" t="inlineStr"/>
      <c r="S242" s="5" t="inlineStr">
        <is>
          <t>column</t>
        </is>
      </c>
      <c r="T242" s="5" t="n">
        <v>2</v>
      </c>
      <c r="U242" s="5" t="inlineStr">
        <is>
          <t>no</t>
        </is>
      </c>
      <c r="V242" s="5" t="inlineStr">
        <is>
          <t>no</t>
        </is>
      </c>
      <c r="W242" s="5" t="inlineStr">
        <is>
          <t>yes</t>
        </is>
      </c>
      <c r="X242" s="5" t="inlineStr">
        <is>
          <t>no</t>
        </is>
      </c>
      <c r="Y242" s="5" t="inlineStr">
        <is>
          <t>yes</t>
        </is>
      </c>
      <c r="Z242" s="5" t="inlineStr">
        <is>
          <t>yes</t>
        </is>
      </c>
      <c r="AA242" s="5" t="n">
        <v>0.59</v>
      </c>
      <c r="AB242" s="5" t="n"/>
      <c r="AC242" s="5" t="n"/>
      <c r="AD242" s="5" t="n"/>
      <c r="AE242" s="5" t="n">
        <v>4560.1</v>
      </c>
      <c r="AF242" s="5" t="n">
        <v>2664.9</v>
      </c>
      <c r="AG242" s="5" t="n">
        <v>4633.9</v>
      </c>
      <c r="AH242" s="5" t="n">
        <v>2738.7</v>
      </c>
      <c r="AI242" s="5" t="inlineStr">
        <is>
          <t>yes</t>
        </is>
      </c>
      <c r="AJ242" s="5" t="inlineStr">
        <is>
          <t>isolated_footing</t>
        </is>
      </c>
      <c r="AK242" s="5" t="inlineStr"/>
      <c r="AL242" s="5" t="inlineStr">
        <is>
          <t>(0.72, 0.72, 0.0)</t>
        </is>
      </c>
      <c r="AM242" s="5" t="inlineStr">
        <is>
          <t>DM-SEMELLES</t>
        </is>
      </c>
    </row>
    <row r="243">
      <c r="A243" s="5" t="n">
        <v>242</v>
      </c>
      <c r="B243" s="5" t="inlineStr">
        <is>
          <t>122</t>
        </is>
      </c>
      <c r="C243" s="5" t="inlineStr">
        <is>
          <t>own label</t>
        </is>
      </c>
      <c r="D243" s="5" t="inlineStr">
        <is>
          <t>footing</t>
        </is>
      </c>
      <c r="E243" s="5" t="inlineStr">
        <is>
          <t>isolated_footing</t>
        </is>
      </c>
      <c r="F243" s="5" t="inlineStr">
        <is>
          <t>S12</t>
        </is>
      </c>
      <c r="G243" s="5" t="inlineStr">
        <is>
          <t>S12-122122</t>
        </is>
      </c>
      <c r="H243" s="5" t="inlineStr">
        <is>
          <t>printed</t>
        </is>
      </c>
      <c r="I243" s="5" t="n">
        <v>250</v>
      </c>
      <c r="J243" s="5" t="n">
        <v>250</v>
      </c>
      <c r="K243" s="9">
        <f>IF(AND(ISNUMBER(I243),ISNUMBER(J243),J243&gt;0),I243/J243,"")</f>
        <v/>
      </c>
      <c r="L243" s="5" t="n">
        <v>6.25</v>
      </c>
      <c r="M243" s="5" t="n"/>
      <c r="N243" s="5" t="n">
        <v>0</v>
      </c>
      <c r="O243" s="5" t="inlineStr">
        <is>
          <t>closed outline</t>
        </is>
      </c>
      <c r="P243" s="5" t="inlineStr">
        <is>
          <t>closed rectangular outline around a column/wall or next to an S/SC label</t>
        </is>
      </c>
      <c r="Q243" s="5">
        <f>IF(OR(D243="column",D243="wall"),IF(I243&lt;='P vs V'!$B$3*J243,"column","wall"),"")</f>
        <v/>
      </c>
      <c r="R243" s="5" t="inlineStr"/>
      <c r="S243" s="5" t="inlineStr">
        <is>
          <t>column</t>
        </is>
      </c>
      <c r="T243" s="5" t="n">
        <v>0</v>
      </c>
      <c r="U243" s="5" t="inlineStr">
        <is>
          <t>no</t>
        </is>
      </c>
      <c r="V243" s="5" t="inlineStr">
        <is>
          <t>no</t>
        </is>
      </c>
      <c r="W243" s="5" t="inlineStr">
        <is>
          <t>yes</t>
        </is>
      </c>
      <c r="X243" s="5" t="inlineStr">
        <is>
          <t>no</t>
        </is>
      </c>
      <c r="Y243" s="5" t="inlineStr">
        <is>
          <t>yes</t>
        </is>
      </c>
      <c r="Z243" s="5" t="inlineStr">
        <is>
          <t>yes</t>
        </is>
      </c>
      <c r="AA243" s="5" t="n">
        <v>1.4</v>
      </c>
      <c r="AB243" s="5" t="n"/>
      <c r="AC243" s="5" t="n"/>
      <c r="AD243" s="5" t="n"/>
      <c r="AE243" s="5" t="n">
        <v>4269.1</v>
      </c>
      <c r="AF243" s="5" t="n">
        <v>2850.5</v>
      </c>
      <c r="AG243" s="5" t="n">
        <v>4342.9</v>
      </c>
      <c r="AH243" s="5" t="n">
        <v>2924.4</v>
      </c>
      <c r="AI243" s="5" t="inlineStr">
        <is>
          <t>yes</t>
        </is>
      </c>
      <c r="AJ243" s="5" t="inlineStr">
        <is>
          <t>isolated_footing</t>
        </is>
      </c>
      <c r="AK243" s="5" t="inlineStr"/>
      <c r="AL243" s="5" t="inlineStr">
        <is>
          <t>(0.72, 0.72, 0.0)</t>
        </is>
      </c>
      <c r="AM243" s="5" t="inlineStr">
        <is>
          <t>DM-SEMELLES</t>
        </is>
      </c>
    </row>
    <row r="244">
      <c r="A244" s="5" t="n">
        <v>243</v>
      </c>
      <c r="B244" s="5" t="inlineStr">
        <is>
          <t>122</t>
        </is>
      </c>
      <c r="C244" s="5" t="inlineStr">
        <is>
          <t>own label</t>
        </is>
      </c>
      <c r="D244" s="5" t="inlineStr">
        <is>
          <t>footing</t>
        </is>
      </c>
      <c r="E244" s="5" t="inlineStr">
        <is>
          <t>isolated_footing</t>
        </is>
      </c>
      <c r="F244" s="5" t="inlineStr">
        <is>
          <t>S2</t>
        </is>
      </c>
      <c r="G244" s="5" t="inlineStr">
        <is>
          <t>S2-122122</t>
        </is>
      </c>
      <c r="H244" s="5" t="inlineStr">
        <is>
          <t>printed</t>
        </is>
      </c>
      <c r="I244" s="5" t="n">
        <v>350</v>
      </c>
      <c r="J244" s="5" t="n">
        <v>200</v>
      </c>
      <c r="K244" s="9">
        <f>IF(AND(ISNUMBER(I244),ISNUMBER(J244),J244&gt;0),I244/J244,"")</f>
        <v/>
      </c>
      <c r="L244" s="5" t="n">
        <v>7.004</v>
      </c>
      <c r="M244" s="5" t="n"/>
      <c r="N244" s="5" t="n">
        <v>79.3</v>
      </c>
      <c r="O244" s="5" t="inlineStr">
        <is>
          <t>closed outline</t>
        </is>
      </c>
      <c r="P244" s="5" t="inlineStr">
        <is>
          <t>closed rectangular outline around a column/wall or next to an S/SC label</t>
        </is>
      </c>
      <c r="Q244" s="5">
        <f>IF(OR(D244="column",D244="wall"),IF(I244&lt;='P vs V'!$B$3*J244,"column","wall"),"")</f>
        <v/>
      </c>
      <c r="R244" s="5" t="inlineStr"/>
      <c r="S244" s="5" t="inlineStr">
        <is>
          <t>wall</t>
        </is>
      </c>
      <c r="T244" s="5" t="n">
        <v>0</v>
      </c>
      <c r="U244" s="5" t="inlineStr">
        <is>
          <t>no</t>
        </is>
      </c>
      <c r="V244" s="5" t="inlineStr">
        <is>
          <t>no</t>
        </is>
      </c>
      <c r="W244" s="5" t="inlineStr">
        <is>
          <t>yes</t>
        </is>
      </c>
      <c r="X244" s="5" t="inlineStr">
        <is>
          <t>no</t>
        </is>
      </c>
      <c r="Y244" s="5" t="inlineStr">
        <is>
          <t>yes</t>
        </is>
      </c>
      <c r="Z244" s="5" t="inlineStr">
        <is>
          <t>yes</t>
        </is>
      </c>
      <c r="AA244" s="5" t="n">
        <v>0.87</v>
      </c>
      <c r="AB244" s="5" t="n"/>
      <c r="AC244" s="5" t="n"/>
      <c r="AD244" s="5" t="n"/>
      <c r="AE244" s="5" t="n">
        <v>4150.1</v>
      </c>
      <c r="AF244" s="5" t="n">
        <v>2689.5</v>
      </c>
      <c r="AG244" s="5" t="n">
        <v>4227.3</v>
      </c>
      <c r="AH244" s="5" t="n">
        <v>2802</v>
      </c>
      <c r="AI244" s="5" t="inlineStr">
        <is>
          <t>yes</t>
        </is>
      </c>
      <c r="AJ244" s="5" t="inlineStr">
        <is>
          <t>isolated_footing</t>
        </is>
      </c>
      <c r="AK244" s="5" t="inlineStr"/>
      <c r="AL244" s="5" t="inlineStr">
        <is>
          <t>(0.72, 0.72, 0.0)</t>
        </is>
      </c>
      <c r="AM244" s="5" t="inlineStr">
        <is>
          <t>DM-SEMELLES</t>
        </is>
      </c>
    </row>
    <row r="245">
      <c r="A245" s="5" t="n">
        <v>244</v>
      </c>
      <c r="B245" s="5" t="inlineStr">
        <is>
          <t>122</t>
        </is>
      </c>
      <c r="C245" s="5" t="inlineStr">
        <is>
          <t>own label</t>
        </is>
      </c>
      <c r="D245" s="5" t="inlineStr">
        <is>
          <t>footing</t>
        </is>
      </c>
      <c r="E245" s="5" t="inlineStr">
        <is>
          <t>isolated_footing</t>
        </is>
      </c>
      <c r="F245" s="5" t="inlineStr">
        <is>
          <t>S2</t>
        </is>
      </c>
      <c r="G245" s="5" t="inlineStr">
        <is>
          <t>S2-122122</t>
        </is>
      </c>
      <c r="H245" s="5" t="inlineStr">
        <is>
          <t>printed</t>
        </is>
      </c>
      <c r="I245" s="5" t="n">
        <v>350</v>
      </c>
      <c r="J245" s="5" t="n">
        <v>200</v>
      </c>
      <c r="K245" s="9">
        <f>IF(AND(ISNUMBER(I245),ISNUMBER(J245),J245&gt;0),I245/J245,"")</f>
        <v/>
      </c>
      <c r="L245" s="5" t="n">
        <v>7.001</v>
      </c>
      <c r="M245" s="5" t="n"/>
      <c r="N245" s="5" t="n">
        <v>0</v>
      </c>
      <c r="O245" s="5" t="inlineStr">
        <is>
          <t>closed outline</t>
        </is>
      </c>
      <c r="P245" s="5" t="inlineStr">
        <is>
          <t>closed rectangular outline around a column/wall or next to an S/SC label</t>
        </is>
      </c>
      <c r="Q245" s="5">
        <f>IF(OR(D245="column",D245="wall"),IF(I245&lt;='P vs V'!$B$3*J245,"column","wall"),"")</f>
        <v/>
      </c>
      <c r="R245" s="5" t="inlineStr"/>
      <c r="S245" s="5" t="inlineStr">
        <is>
          <t>wall</t>
        </is>
      </c>
      <c r="T245" s="5" t="n">
        <v>0</v>
      </c>
      <c r="U245" s="5" t="inlineStr">
        <is>
          <t>no</t>
        </is>
      </c>
      <c r="V245" s="5" t="inlineStr">
        <is>
          <t>no</t>
        </is>
      </c>
      <c r="W245" s="5" t="inlineStr">
        <is>
          <t>yes</t>
        </is>
      </c>
      <c r="X245" s="5" t="inlineStr">
        <is>
          <t>no</t>
        </is>
      </c>
      <c r="Y245" s="5" t="inlineStr">
        <is>
          <t>yes</t>
        </is>
      </c>
      <c r="Z245" s="5" t="inlineStr">
        <is>
          <t>yes</t>
        </is>
      </c>
      <c r="AA245" s="5" t="n">
        <v>0</v>
      </c>
      <c r="AB245" s="5" t="n"/>
      <c r="AC245" s="5" t="n"/>
      <c r="AD245" s="5" t="n"/>
      <c r="AE245" s="5" t="n">
        <v>4270.1</v>
      </c>
      <c r="AF245" s="5" t="n">
        <v>2460.5</v>
      </c>
      <c r="AG245" s="5" t="n">
        <v>4373.5</v>
      </c>
      <c r="AH245" s="5" t="n">
        <v>2519.7</v>
      </c>
      <c r="AI245" s="5" t="inlineStr">
        <is>
          <t>yes</t>
        </is>
      </c>
      <c r="AJ245" s="5" t="inlineStr">
        <is>
          <t>isolated_footing</t>
        </is>
      </c>
      <c r="AK245" s="5" t="inlineStr"/>
      <c r="AL245" s="5" t="inlineStr">
        <is>
          <t>(0.72, 0.72, 0.0)</t>
        </is>
      </c>
      <c r="AM245" s="5" t="inlineStr">
        <is>
          <t>DM-SEMELLES</t>
        </is>
      </c>
    </row>
    <row r="246">
      <c r="A246" s="5" t="n">
        <v>245</v>
      </c>
      <c r="B246" s="5" t="inlineStr">
        <is>
          <t>122</t>
        </is>
      </c>
      <c r="C246" s="5" t="inlineStr">
        <is>
          <t>own label</t>
        </is>
      </c>
      <c r="D246" s="5" t="inlineStr">
        <is>
          <t>footing</t>
        </is>
      </c>
      <c r="E246" s="5" t="inlineStr">
        <is>
          <t>isolated_footing</t>
        </is>
      </c>
      <c r="F246" s="5" t="inlineStr">
        <is>
          <t>S2</t>
        </is>
      </c>
      <c r="G246" s="5" t="inlineStr">
        <is>
          <t>S2-122122</t>
        </is>
      </c>
      <c r="H246" s="5" t="inlineStr">
        <is>
          <t>printed</t>
        </is>
      </c>
      <c r="I246" s="5" t="n">
        <v>350</v>
      </c>
      <c r="J246" s="5" t="n">
        <v>200</v>
      </c>
      <c r="K246" s="9">
        <f>IF(AND(ISNUMBER(I246),ISNUMBER(J246),J246&gt;0),I246/J246,"")</f>
        <v/>
      </c>
      <c r="L246" s="5" t="n">
        <v>7.001</v>
      </c>
      <c r="M246" s="5" t="n"/>
      <c r="N246" s="5" t="n">
        <v>0</v>
      </c>
      <c r="O246" s="5" t="inlineStr">
        <is>
          <t>closed outline</t>
        </is>
      </c>
      <c r="P246" s="5" t="inlineStr">
        <is>
          <t>closed rectangular outline around a column/wall or next to an S/SC label</t>
        </is>
      </c>
      <c r="Q246" s="5">
        <f>IF(OR(D246="column",D246="wall"),IF(I246&lt;='P vs V'!$B$3*J246,"column","wall"),"")</f>
        <v/>
      </c>
      <c r="R246" s="5" t="inlineStr"/>
      <c r="S246" s="5" t="inlineStr">
        <is>
          <t>wall</t>
        </is>
      </c>
      <c r="T246" s="5" t="n">
        <v>0</v>
      </c>
      <c r="U246" s="5" t="inlineStr">
        <is>
          <t>no</t>
        </is>
      </c>
      <c r="V246" s="5" t="inlineStr">
        <is>
          <t>no</t>
        </is>
      </c>
      <c r="W246" s="5" t="inlineStr">
        <is>
          <t>yes</t>
        </is>
      </c>
      <c r="X246" s="5" t="inlineStr">
        <is>
          <t>no</t>
        </is>
      </c>
      <c r="Y246" s="5" t="inlineStr">
        <is>
          <t>yes</t>
        </is>
      </c>
      <c r="Z246" s="5" t="inlineStr">
        <is>
          <t>yes</t>
        </is>
      </c>
      <c r="AA246" s="5" t="n">
        <v>0.01</v>
      </c>
      <c r="AB246" s="5" t="n"/>
      <c r="AC246" s="5" t="n"/>
      <c r="AD246" s="5" t="n"/>
      <c r="AE246" s="5" t="n">
        <v>4269.9</v>
      </c>
      <c r="AF246" s="5" t="n">
        <v>2690.4</v>
      </c>
      <c r="AG246" s="5" t="n">
        <v>4373.3</v>
      </c>
      <c r="AH246" s="5" t="n">
        <v>2749.5</v>
      </c>
      <c r="AI246" s="5" t="inlineStr">
        <is>
          <t>yes</t>
        </is>
      </c>
      <c r="AJ246" s="5" t="inlineStr">
        <is>
          <t>isolated_footing</t>
        </is>
      </c>
      <c r="AK246" s="5" t="inlineStr"/>
      <c r="AL246" s="5" t="inlineStr">
        <is>
          <t>(0.72, 0.72, 0.0)</t>
        </is>
      </c>
      <c r="AM246" s="5" t="inlineStr">
        <is>
          <t>DM-SEMELLES</t>
        </is>
      </c>
    </row>
    <row r="247">
      <c r="A247" s="5" t="n">
        <v>246</v>
      </c>
      <c r="B247" s="5" t="inlineStr">
        <is>
          <t>122</t>
        </is>
      </c>
      <c r="C247" s="5" t="inlineStr">
        <is>
          <t>own label</t>
        </is>
      </c>
      <c r="D247" s="5" t="inlineStr">
        <is>
          <t>footing</t>
        </is>
      </c>
      <c r="E247" s="5" t="inlineStr">
        <is>
          <t>isolated_footing</t>
        </is>
      </c>
      <c r="F247" s="5" t="inlineStr">
        <is>
          <t>S2</t>
        </is>
      </c>
      <c r="G247" s="5" t="inlineStr">
        <is>
          <t>S2-122122</t>
        </is>
      </c>
      <c r="H247" s="5" t="inlineStr">
        <is>
          <t>printed</t>
        </is>
      </c>
      <c r="I247" s="5" t="n">
        <v>350</v>
      </c>
      <c r="J247" s="5" t="n">
        <v>200</v>
      </c>
      <c r="K247" s="9">
        <f>IF(AND(ISNUMBER(I247),ISNUMBER(J247),J247&gt;0),I247/J247,"")</f>
        <v/>
      </c>
      <c r="L247" s="5" t="n">
        <v>7.001</v>
      </c>
      <c r="M247" s="5" t="n"/>
      <c r="N247" s="5" t="n">
        <v>0</v>
      </c>
      <c r="O247" s="5" t="inlineStr">
        <is>
          <t>closed outline</t>
        </is>
      </c>
      <c r="P247" s="5" t="inlineStr">
        <is>
          <t>closed rectangular outline around a column/wall or next to an S/SC label</t>
        </is>
      </c>
      <c r="Q247" s="5">
        <f>IF(OR(D247="column",D247="wall"),IF(I247&lt;='P vs V'!$B$3*J247,"column","wall"),"")</f>
        <v/>
      </c>
      <c r="R247" s="5" t="inlineStr"/>
      <c r="S247" s="5" t="inlineStr">
        <is>
          <t>wall</t>
        </is>
      </c>
      <c r="T247" s="5" t="n">
        <v>0</v>
      </c>
      <c r="U247" s="5" t="inlineStr">
        <is>
          <t>no</t>
        </is>
      </c>
      <c r="V247" s="5" t="inlineStr">
        <is>
          <t>no</t>
        </is>
      </c>
      <c r="W247" s="5" t="inlineStr">
        <is>
          <t>yes</t>
        </is>
      </c>
      <c r="X247" s="5" t="inlineStr">
        <is>
          <t>no</t>
        </is>
      </c>
      <c r="Y247" s="5" t="inlineStr">
        <is>
          <t>yes</t>
        </is>
      </c>
      <c r="Z247" s="5" t="inlineStr">
        <is>
          <t>yes</t>
        </is>
      </c>
      <c r="AA247" s="5" t="n">
        <v>0</v>
      </c>
      <c r="AB247" s="5" t="n"/>
      <c r="AC247" s="5" t="n"/>
      <c r="AD247" s="5" t="n"/>
      <c r="AE247" s="5" t="n">
        <v>4270.4</v>
      </c>
      <c r="AF247" s="5" t="n">
        <v>2230.2</v>
      </c>
      <c r="AG247" s="5" t="n">
        <v>4373.7</v>
      </c>
      <c r="AH247" s="5" t="n">
        <v>2289.4</v>
      </c>
      <c r="AI247" s="5" t="inlineStr">
        <is>
          <t>yes</t>
        </is>
      </c>
      <c r="AJ247" s="5" t="inlineStr">
        <is>
          <t>isolated_footing</t>
        </is>
      </c>
      <c r="AK247" s="5" t="inlineStr"/>
      <c r="AL247" s="5" t="inlineStr">
        <is>
          <t>(0.72, 0.72, 0.0)</t>
        </is>
      </c>
      <c r="AM247" s="5" t="inlineStr">
        <is>
          <t>DM-SEMELLES</t>
        </is>
      </c>
    </row>
    <row r="248">
      <c r="A248" s="5" t="n">
        <v>247</v>
      </c>
      <c r="B248" s="5" t="inlineStr">
        <is>
          <t>122</t>
        </is>
      </c>
      <c r="C248" s="5" t="inlineStr">
        <is>
          <t>nearest labels (100% agree)</t>
        </is>
      </c>
      <c r="D248" s="5" t="inlineStr">
        <is>
          <t>footing</t>
        </is>
      </c>
      <c r="E248" s="5" t="inlineStr">
        <is>
          <t>isolated_footing</t>
        </is>
      </c>
      <c r="F248" s="5" t="inlineStr">
        <is>
          <t>(none)</t>
        </is>
      </c>
      <c r="G248" s="5" t="inlineStr"/>
      <c r="H248" s="5" t="inlineStr">
        <is>
          <t>none</t>
        </is>
      </c>
      <c r="I248" s="5" t="n">
        <v>350</v>
      </c>
      <c r="J248" s="5" t="n">
        <v>300</v>
      </c>
      <c r="K248" s="9">
        <f>IF(AND(ISNUMBER(I248),ISNUMBER(J248),J248&gt;0),I248/J248,"")</f>
        <v/>
      </c>
      <c r="L248" s="5" t="n">
        <v>10.505</v>
      </c>
      <c r="M248" s="5" t="n"/>
      <c r="N248" s="5" t="n">
        <v>89.90000000000001</v>
      </c>
      <c r="O248" s="5" t="inlineStr">
        <is>
          <t>closed outline</t>
        </is>
      </c>
      <c r="P248" s="5" t="inlineStr">
        <is>
          <t>closed rectangular outline around a column/wall or next to an S/SC label</t>
        </is>
      </c>
      <c r="Q248" s="5">
        <f>IF(OR(D248="column",D248="wall"),IF(I248&lt;='P vs V'!$B$3*J248,"column","wall"),"")</f>
        <v/>
      </c>
      <c r="R248" s="5" t="inlineStr"/>
      <c r="S248" s="5" t="inlineStr">
        <is>
          <t>wall</t>
        </is>
      </c>
      <c r="T248" s="5" t="n">
        <v>36</v>
      </c>
      <c r="U248" s="5" t="inlineStr">
        <is>
          <t>no</t>
        </is>
      </c>
      <c r="V248" s="5" t="inlineStr">
        <is>
          <t>no</t>
        </is>
      </c>
      <c r="W248" s="5" t="inlineStr">
        <is>
          <t>yes</t>
        </is>
      </c>
      <c r="X248" s="5" t="inlineStr">
        <is>
          <t>no</t>
        </is>
      </c>
      <c r="Y248" s="5" t="inlineStr">
        <is>
          <t>yes</t>
        </is>
      </c>
      <c r="Z248" s="5" t="inlineStr">
        <is>
          <t>no</t>
        </is>
      </c>
      <c r="AA248" s="5" t="n">
        <v>0.36</v>
      </c>
      <c r="AB248" s="5" t="n"/>
      <c r="AC248" s="5" t="n"/>
      <c r="AD248" s="5" t="n"/>
      <c r="AE248" s="5" t="n">
        <v>4725</v>
      </c>
      <c r="AF248" s="5" t="n">
        <v>2477.4</v>
      </c>
      <c r="AG248" s="5" t="n">
        <v>4813.7</v>
      </c>
      <c r="AH248" s="5" t="n">
        <v>2581</v>
      </c>
      <c r="AI248" s="5" t="inlineStr">
        <is>
          <t>new</t>
        </is>
      </c>
      <c r="AJ248" s="5" t="inlineStr"/>
      <c r="AK248" s="5" t="inlineStr">
        <is>
          <t>closed outline around a wall/column with no footing label</t>
        </is>
      </c>
      <c r="AL248" s="5" t="inlineStr">
        <is>
          <t>(1.0, 0.0, 0.0)</t>
        </is>
      </c>
      <c r="AM248" s="5" t="inlineStr">
        <is>
          <t>DM-RADIER</t>
        </is>
      </c>
    </row>
    <row r="249">
      <c r="A249" s="5" t="n">
        <v>248</v>
      </c>
      <c r="B249" s="5" t="inlineStr">
        <is>
          <t>122</t>
        </is>
      </c>
      <c r="C249" s="5" t="inlineStr">
        <is>
          <t>nearest labels (100% agree)</t>
        </is>
      </c>
      <c r="D249" s="5" t="inlineStr">
        <is>
          <t>mass_concrete_pad</t>
        </is>
      </c>
      <c r="E249" s="5" t="inlineStr">
        <is>
          <t>mass_concrete_pad</t>
        </is>
      </c>
      <c r="F249" s="5" t="inlineStr">
        <is>
          <t>(none)</t>
        </is>
      </c>
      <c r="G249" s="5" t="inlineStr"/>
      <c r="H249" s="5" t="inlineStr">
        <is>
          <t>none</t>
        </is>
      </c>
      <c r="I249" s="5" t="n">
        <v>60</v>
      </c>
      <c r="J249" s="5" t="n">
        <v>60</v>
      </c>
      <c r="K249" s="9">
        <f>IF(AND(ISNUMBER(I249),ISNUMBER(J249),J249&gt;0),I249/J249,"")</f>
        <v/>
      </c>
      <c r="L249" s="5" t="n">
        <v>0.361</v>
      </c>
      <c r="M249" s="5" t="n"/>
      <c r="N249" s="5" t="n">
        <v>90</v>
      </c>
      <c r="O249" s="5" t="inlineStr">
        <is>
          <t>closed outline + stipple</t>
        </is>
      </c>
      <c r="P249" s="5" t="inlineStr">
        <is>
          <t>small closed square filled with stipple dots, no label</t>
        </is>
      </c>
      <c r="Q249" s="5">
        <f>IF(OR(D249="column",D249="wall"),IF(I249&lt;='P vs V'!$B$3*J249,"column","wall"),"")</f>
        <v/>
      </c>
      <c r="R249" s="5" t="inlineStr"/>
      <c r="S249" s="5" t="inlineStr"/>
      <c r="T249" s="5" t="n"/>
      <c r="U249" s="5" t="inlineStr">
        <is>
          <t>no</t>
        </is>
      </c>
      <c r="V249" s="5" t="inlineStr">
        <is>
          <t>no</t>
        </is>
      </c>
      <c r="W249" s="5" t="inlineStr">
        <is>
          <t>no</t>
        </is>
      </c>
      <c r="X249" s="5" t="inlineStr">
        <is>
          <t>no</t>
        </is>
      </c>
      <c r="Y249" s="5" t="inlineStr">
        <is>
          <t>yes</t>
        </is>
      </c>
      <c r="Z249" s="5" t="inlineStr">
        <is>
          <t>yes</t>
        </is>
      </c>
      <c r="AA249" s="5" t="n">
        <v>0.11</v>
      </c>
      <c r="AB249" s="5" t="n"/>
      <c r="AC249" s="5" t="n">
        <v>53</v>
      </c>
      <c r="AD249" s="5" t="n"/>
      <c r="AE249" s="5" t="n">
        <v>4309.7</v>
      </c>
      <c r="AF249" s="5" t="n">
        <v>2320.8</v>
      </c>
      <c r="AG249" s="5" t="n">
        <v>4327.5</v>
      </c>
      <c r="AH249" s="5" t="n">
        <v>2338.5</v>
      </c>
      <c r="AI249" s="5" t="inlineStr">
        <is>
          <t>yes</t>
        </is>
      </c>
      <c r="AJ249" s="5" t="inlineStr">
        <is>
          <t>mass_concrete_pad</t>
        </is>
      </c>
      <c r="AK249" s="5" t="inlineStr"/>
      <c r="AL249" s="5" t="inlineStr">
        <is>
          <t>(0.5, 0.5, 0.5)</t>
        </is>
      </c>
      <c r="AM249" s="5" t="inlineStr">
        <is>
          <t>DM-MGB</t>
        </is>
      </c>
    </row>
    <row r="250">
      <c r="A250" s="5" t="n">
        <v>249</v>
      </c>
      <c r="B250" s="5" t="inlineStr">
        <is>
          <t>122</t>
        </is>
      </c>
      <c r="C250" s="5" t="inlineStr">
        <is>
          <t>nearest labels (100% agree)</t>
        </is>
      </c>
      <c r="D250" s="5" t="inlineStr">
        <is>
          <t>mass_concrete_pad</t>
        </is>
      </c>
      <c r="E250" s="5" t="inlineStr">
        <is>
          <t>mass_concrete_pad</t>
        </is>
      </c>
      <c r="F250" s="5" t="inlineStr">
        <is>
          <t>(none)</t>
        </is>
      </c>
      <c r="G250" s="5" t="inlineStr"/>
      <c r="H250" s="5" t="inlineStr">
        <is>
          <t>none</t>
        </is>
      </c>
      <c r="I250" s="5" t="n">
        <v>60</v>
      </c>
      <c r="J250" s="5" t="n">
        <v>60</v>
      </c>
      <c r="K250" s="9">
        <f>IF(AND(ISNUMBER(I250),ISNUMBER(J250),J250&gt;0),I250/J250,"")</f>
        <v/>
      </c>
      <c r="L250" s="5" t="n">
        <v>0.36</v>
      </c>
      <c r="M250" s="5" t="n"/>
      <c r="N250" s="5" t="n">
        <v>0</v>
      </c>
      <c r="O250" s="5" t="inlineStr">
        <is>
          <t>closed outline + stipple</t>
        </is>
      </c>
      <c r="P250" s="5" t="inlineStr">
        <is>
          <t>small closed square filled with stipple dots, no label</t>
        </is>
      </c>
      <c r="Q250" s="5">
        <f>IF(OR(D250="column",D250="wall"),IF(I250&lt;='P vs V'!$B$3*J250,"column","wall"),"")</f>
        <v/>
      </c>
      <c r="R250" s="5" t="inlineStr"/>
      <c r="S250" s="5" t="inlineStr"/>
      <c r="T250" s="5" t="n"/>
      <c r="U250" s="5" t="inlineStr">
        <is>
          <t>no</t>
        </is>
      </c>
      <c r="V250" s="5" t="inlineStr">
        <is>
          <t>no</t>
        </is>
      </c>
      <c r="W250" s="5" t="inlineStr">
        <is>
          <t>no</t>
        </is>
      </c>
      <c r="X250" s="5" t="inlineStr">
        <is>
          <t>no</t>
        </is>
      </c>
      <c r="Y250" s="5" t="inlineStr">
        <is>
          <t>yes</t>
        </is>
      </c>
      <c r="Z250" s="5" t="inlineStr">
        <is>
          <t>yes</t>
        </is>
      </c>
      <c r="AA250" s="5" t="n">
        <v>0.02</v>
      </c>
      <c r="AB250" s="5" t="n"/>
      <c r="AC250" s="5" t="n">
        <v>54</v>
      </c>
      <c r="AD250" s="5" t="n"/>
      <c r="AE250" s="5" t="n">
        <v>4312.5</v>
      </c>
      <c r="AF250" s="5" t="n">
        <v>2606.3</v>
      </c>
      <c r="AG250" s="5" t="n">
        <v>4330.3</v>
      </c>
      <c r="AH250" s="5" t="n">
        <v>2624</v>
      </c>
      <c r="AI250" s="5" t="inlineStr">
        <is>
          <t>yes</t>
        </is>
      </c>
      <c r="AJ250" s="5" t="inlineStr">
        <is>
          <t>mass_concrete_pad</t>
        </is>
      </c>
      <c r="AK250" s="5" t="inlineStr"/>
      <c r="AL250" s="5" t="inlineStr">
        <is>
          <t>(0.5, 0.5, 0.5)</t>
        </is>
      </c>
      <c r="AM250" s="5" t="inlineStr">
        <is>
          <t>DM-MGB</t>
        </is>
      </c>
    </row>
    <row r="251">
      <c r="A251" s="5" t="n">
        <v>250</v>
      </c>
      <c r="B251" s="5" t="inlineStr">
        <is>
          <t>122</t>
        </is>
      </c>
      <c r="C251" s="5" t="inlineStr">
        <is>
          <t>nearest labels (100% agree)</t>
        </is>
      </c>
      <c r="D251" s="5" t="inlineStr">
        <is>
          <t>grade_beam</t>
        </is>
      </c>
      <c r="E251" s="5" t="inlineStr">
        <is>
          <t>grade_beam</t>
        </is>
      </c>
      <c r="F251" s="5" t="inlineStr">
        <is>
          <t>LG25x40</t>
        </is>
      </c>
      <c r="G251" s="5" t="inlineStr"/>
      <c r="H251" s="5" t="inlineStr">
        <is>
          <t>band width matches label</t>
        </is>
      </c>
      <c r="I251" s="5" t="n">
        <v>1886</v>
      </c>
      <c r="J251" s="5" t="n">
        <v>25</v>
      </c>
      <c r="K251" s="9">
        <f>IF(AND(ISNUMBER(I251),ISNUMBER(J251),J251&gt;0),I251/J251,"")</f>
        <v/>
      </c>
      <c r="L251" s="5" t="n">
        <v>4.715</v>
      </c>
      <c r="M251" s="5" t="n">
        <v>18.86</v>
      </c>
      <c r="N251" s="5" t="n">
        <v>90</v>
      </c>
      <c r="O251" s="5" t="inlineStr">
        <is>
          <t>parallel line pair</t>
        </is>
      </c>
      <c r="P251" s="5" t="inlineStr">
        <is>
          <t>two parallel lines at the width written in the LG label, empty inside</t>
        </is>
      </c>
      <c r="Q251" s="5">
        <f>IF(OR(D251="column",D251="wall"),IF(I251&lt;='P vs V'!$B$3*J251,"column","wall"),"")</f>
        <v/>
      </c>
      <c r="R251" s="5" t="inlineStr"/>
      <c r="S251" s="5" t="inlineStr"/>
      <c r="T251" s="5" t="n"/>
      <c r="U251" s="5" t="inlineStr">
        <is>
          <t>no</t>
        </is>
      </c>
      <c r="V251" s="5" t="inlineStr">
        <is>
          <t>no</t>
        </is>
      </c>
      <c r="W251" s="5" t="inlineStr">
        <is>
          <t>yes</t>
        </is>
      </c>
      <c r="X251" s="5" t="inlineStr">
        <is>
          <t>yes</t>
        </is>
      </c>
      <c r="Y251" s="5" t="inlineStr">
        <is>
          <t>no</t>
        </is>
      </c>
      <c r="Z251" s="5" t="inlineStr">
        <is>
          <t>yes</t>
        </is>
      </c>
      <c r="AA251" s="5" t="n">
        <v>4.15</v>
      </c>
      <c r="AB251" s="5" t="n"/>
      <c r="AC251" s="5" t="n"/>
      <c r="AD251" s="5" t="n"/>
      <c r="AE251" s="5" t="n">
        <v>4165.5</v>
      </c>
      <c r="AF251" s="5" t="n">
        <v>2140</v>
      </c>
      <c r="AG251" s="5" t="n">
        <v>4173.3</v>
      </c>
      <c r="AH251" s="5" t="n">
        <v>2696.9</v>
      </c>
      <c r="AI251" s="5" t="inlineStr">
        <is>
          <t>n/a</t>
        </is>
      </c>
      <c r="AJ251" s="5" t="inlineStr"/>
      <c r="AK251" s="5" t="inlineStr"/>
      <c r="AL251" s="5" t="inlineStr"/>
      <c r="AM251" s="5" t="inlineStr"/>
    </row>
    <row r="252">
      <c r="A252" s="5" t="n">
        <v>251</v>
      </c>
      <c r="B252" s="5" t="inlineStr">
        <is>
          <t>122</t>
        </is>
      </c>
      <c r="C252" s="5" t="inlineStr">
        <is>
          <t>nearest labels (100% agree)</t>
        </is>
      </c>
      <c r="D252" s="5" t="inlineStr">
        <is>
          <t>grade_beam</t>
        </is>
      </c>
      <c r="E252" s="5" t="inlineStr">
        <is>
          <t>grade_beam</t>
        </is>
      </c>
      <c r="F252" s="5" t="inlineStr">
        <is>
          <t>LG25x40</t>
        </is>
      </c>
      <c r="G252" s="5" t="inlineStr"/>
      <c r="H252" s="5" t="inlineStr">
        <is>
          <t>band width matches label</t>
        </is>
      </c>
      <c r="I252" s="5" t="n">
        <v>231</v>
      </c>
      <c r="J252" s="5" t="n">
        <v>25</v>
      </c>
      <c r="K252" s="9">
        <f>IF(AND(ISNUMBER(I252),ISNUMBER(J252),J252&gt;0),I252/J252,"")</f>
        <v/>
      </c>
      <c r="L252" s="5" t="n">
        <v>0.577</v>
      </c>
      <c r="M252" s="5" t="n">
        <v>2.31</v>
      </c>
      <c r="N252" s="5" t="n">
        <v>90.09999999999999</v>
      </c>
      <c r="O252" s="5" t="inlineStr">
        <is>
          <t>parallel line pair</t>
        </is>
      </c>
      <c r="P252" s="5" t="inlineStr">
        <is>
          <t>two parallel lines at the width written in the LG label, empty inside</t>
        </is>
      </c>
      <c r="Q252" s="5">
        <f>IF(OR(D252="column",D252="wall"),IF(I252&lt;='P vs V'!$B$3*J252,"column","wall"),"")</f>
        <v/>
      </c>
      <c r="R252" s="5" t="inlineStr"/>
      <c r="S252" s="5" t="inlineStr"/>
      <c r="T252" s="5" t="n"/>
      <c r="U252" s="5" t="inlineStr">
        <is>
          <t>no</t>
        </is>
      </c>
      <c r="V252" s="5" t="inlineStr">
        <is>
          <t>no</t>
        </is>
      </c>
      <c r="W252" s="5" t="inlineStr">
        <is>
          <t>yes</t>
        </is>
      </c>
      <c r="X252" s="5" t="inlineStr">
        <is>
          <t>yes</t>
        </is>
      </c>
      <c r="Y252" s="5" t="inlineStr">
        <is>
          <t>no</t>
        </is>
      </c>
      <c r="Z252" s="5" t="inlineStr">
        <is>
          <t>no</t>
        </is>
      </c>
      <c r="AA252" s="5" t="n">
        <v>1.25</v>
      </c>
      <c r="AB252" s="5" t="n"/>
      <c r="AC252" s="5" t="n"/>
      <c r="AD252" s="5" t="n"/>
      <c r="AE252" s="5" t="n">
        <v>5021.8</v>
      </c>
      <c r="AF252" s="5" t="n">
        <v>2542.3</v>
      </c>
      <c r="AG252" s="5" t="n">
        <v>5029.3</v>
      </c>
      <c r="AH252" s="5" t="n">
        <v>2610.5</v>
      </c>
      <c r="AI252" s="5" t="inlineStr">
        <is>
          <t>n/a</t>
        </is>
      </c>
      <c r="AJ252" s="5" t="inlineStr"/>
      <c r="AK252" s="5" t="inlineStr"/>
      <c r="AL252" s="5" t="inlineStr"/>
      <c r="AM252" s="5" t="inlineStr"/>
    </row>
    <row r="253">
      <c r="A253" s="5" t="n">
        <v>252</v>
      </c>
      <c r="B253" s="5" t="inlineStr">
        <is>
          <t>122</t>
        </is>
      </c>
      <c r="C253" s="5" t="inlineStr">
        <is>
          <t>nearest labels (80% agree)</t>
        </is>
      </c>
      <c r="D253" s="5" t="inlineStr">
        <is>
          <t>grade_beam</t>
        </is>
      </c>
      <c r="E253" s="5" t="inlineStr">
        <is>
          <t>grade_beam</t>
        </is>
      </c>
      <c r="F253" s="5" t="inlineStr">
        <is>
          <t>LG40x15</t>
        </is>
      </c>
      <c r="G253" s="5" t="inlineStr"/>
      <c r="H253" s="5" t="inlineStr">
        <is>
          <t>band width matches label</t>
        </is>
      </c>
      <c r="I253" s="5" t="n">
        <v>100</v>
      </c>
      <c r="J253" s="5" t="n">
        <v>40</v>
      </c>
      <c r="K253" s="9">
        <f>IF(AND(ISNUMBER(I253),ISNUMBER(J253),J253&gt;0),I253/J253,"")</f>
        <v/>
      </c>
      <c r="L253" s="5" t="n">
        <v>0.399</v>
      </c>
      <c r="M253" s="5" t="n">
        <v>1</v>
      </c>
      <c r="N253" s="5" t="n">
        <v>90</v>
      </c>
      <c r="O253" s="5" t="inlineStr">
        <is>
          <t>parallel line pair</t>
        </is>
      </c>
      <c r="P253" s="5" t="inlineStr">
        <is>
          <t>two parallel lines at the width written in the LG label, empty inside</t>
        </is>
      </c>
      <c r="Q253" s="5">
        <f>IF(OR(D253="column",D253="wall"),IF(I253&lt;='P vs V'!$B$3*J253,"column","wall"),"")</f>
        <v/>
      </c>
      <c r="R253" s="5" t="inlineStr"/>
      <c r="S253" s="5" t="inlineStr"/>
      <c r="T253" s="5" t="n"/>
      <c r="U253" s="5" t="inlineStr">
        <is>
          <t>no</t>
        </is>
      </c>
      <c r="V253" s="5" t="inlineStr">
        <is>
          <t>no</t>
        </is>
      </c>
      <c r="W253" s="5" t="inlineStr">
        <is>
          <t>yes</t>
        </is>
      </c>
      <c r="X253" s="5" t="inlineStr">
        <is>
          <t>no</t>
        </is>
      </c>
      <c r="Y253" s="5" t="inlineStr">
        <is>
          <t>no</t>
        </is>
      </c>
      <c r="Z253" s="5" t="inlineStr">
        <is>
          <t>no</t>
        </is>
      </c>
      <c r="AA253" s="5" t="n">
        <v>0.14</v>
      </c>
      <c r="AB253" s="5" t="n"/>
      <c r="AC253" s="5" t="n"/>
      <c r="AD253" s="5" t="n"/>
      <c r="AE253" s="5" t="n">
        <v>4542.2</v>
      </c>
      <c r="AF253" s="5" t="n">
        <v>2240.5</v>
      </c>
      <c r="AG253" s="5" t="n">
        <v>4554.1</v>
      </c>
      <c r="AH253" s="5" t="n">
        <v>2270</v>
      </c>
      <c r="AI253" s="5" t="inlineStr">
        <is>
          <t>n/a</t>
        </is>
      </c>
      <c r="AJ253" s="5" t="inlineStr"/>
      <c r="AK253" s="5" t="inlineStr"/>
      <c r="AL253" s="5" t="inlineStr"/>
      <c r="AM253" s="5" t="inlineStr"/>
    </row>
    <row r="254">
      <c r="A254" s="5" t="n">
        <v>253</v>
      </c>
      <c r="B254" s="5" t="inlineStr">
        <is>
          <t>122</t>
        </is>
      </c>
      <c r="C254" s="5" t="inlineStr">
        <is>
          <t>nearest labels (100% agree)</t>
        </is>
      </c>
      <c r="D254" s="5" t="inlineStr">
        <is>
          <t>grade_beam</t>
        </is>
      </c>
      <c r="E254" s="5" t="inlineStr">
        <is>
          <t>grade_beam</t>
        </is>
      </c>
      <c r="F254" s="5" t="inlineStr">
        <is>
          <t>LG40x15</t>
        </is>
      </c>
      <c r="G254" s="5" t="inlineStr"/>
      <c r="H254" s="5" t="inlineStr">
        <is>
          <t>band width matches label</t>
        </is>
      </c>
      <c r="I254" s="5" t="n">
        <v>225</v>
      </c>
      <c r="J254" s="5" t="n">
        <v>40</v>
      </c>
      <c r="K254" s="9">
        <f>IF(AND(ISNUMBER(I254),ISNUMBER(J254),J254&gt;0),I254/J254,"")</f>
        <v/>
      </c>
      <c r="L254" s="5" t="n">
        <v>0.9</v>
      </c>
      <c r="M254" s="5" t="n">
        <v>2.25</v>
      </c>
      <c r="N254" s="5" t="n">
        <v>90</v>
      </c>
      <c r="O254" s="5" t="inlineStr">
        <is>
          <t>parallel line pair</t>
        </is>
      </c>
      <c r="P254" s="5" t="inlineStr">
        <is>
          <t>two parallel lines at the width written in the LG label, empty inside</t>
        </is>
      </c>
      <c r="Q254" s="5">
        <f>IF(OR(D254="column",D254="wall"),IF(I254&lt;='P vs V'!$B$3*J254,"column","wall"),"")</f>
        <v/>
      </c>
      <c r="R254" s="5" t="inlineStr"/>
      <c r="S254" s="5" t="inlineStr"/>
      <c r="T254" s="5" t="n"/>
      <c r="U254" s="5" t="inlineStr">
        <is>
          <t>no</t>
        </is>
      </c>
      <c r="V254" s="5" t="inlineStr">
        <is>
          <t>no</t>
        </is>
      </c>
      <c r="W254" s="5" t="inlineStr">
        <is>
          <t>no</t>
        </is>
      </c>
      <c r="X254" s="5" t="inlineStr">
        <is>
          <t>no</t>
        </is>
      </c>
      <c r="Y254" s="5" t="inlineStr">
        <is>
          <t>no</t>
        </is>
      </c>
      <c r="Z254" s="5" t="inlineStr">
        <is>
          <t>no</t>
        </is>
      </c>
      <c r="AA254" s="5" t="n">
        <v>4.03</v>
      </c>
      <c r="AB254" s="5" t="n"/>
      <c r="AC254" s="5" t="n"/>
      <c r="AD254" s="5" t="n"/>
      <c r="AE254" s="5" t="n">
        <v>4542.1</v>
      </c>
      <c r="AF254" s="5" t="n">
        <v>2388.2</v>
      </c>
      <c r="AG254" s="5" t="n">
        <v>4553.9</v>
      </c>
      <c r="AH254" s="5" t="n">
        <v>2454.6</v>
      </c>
      <c r="AI254" s="5" t="inlineStr">
        <is>
          <t>n/a</t>
        </is>
      </c>
      <c r="AJ254" s="5" t="inlineStr"/>
      <c r="AK254" s="5" t="inlineStr"/>
      <c r="AL254" s="5" t="inlineStr"/>
      <c r="AM254" s="5" t="inlineStr"/>
    </row>
    <row r="255">
      <c r="A255" s="5" t="n">
        <v>254</v>
      </c>
      <c r="B255" s="5" t="inlineStr">
        <is>
          <t>122</t>
        </is>
      </c>
      <c r="C255" s="5" t="inlineStr">
        <is>
          <t>nearest labels (100% agree)</t>
        </is>
      </c>
      <c r="D255" s="5" t="inlineStr">
        <is>
          <t>grade_beam</t>
        </is>
      </c>
      <c r="E255" s="5" t="inlineStr">
        <is>
          <t>grade_beam</t>
        </is>
      </c>
      <c r="F255" s="5" t="inlineStr">
        <is>
          <t>LG40x15</t>
        </is>
      </c>
      <c r="G255" s="5" t="inlineStr"/>
      <c r="H255" s="5" t="inlineStr">
        <is>
          <t>band width matches label</t>
        </is>
      </c>
      <c r="I255" s="5" t="n">
        <v>95</v>
      </c>
      <c r="J255" s="5" t="n">
        <v>40</v>
      </c>
      <c r="K255" s="9">
        <f>IF(AND(ISNUMBER(I255),ISNUMBER(J255),J255&gt;0),I255/J255,"")</f>
        <v/>
      </c>
      <c r="L255" s="5" t="n">
        <v>0.38</v>
      </c>
      <c r="M255" s="5" t="n">
        <v>0.95</v>
      </c>
      <c r="N255" s="5" t="n">
        <v>90</v>
      </c>
      <c r="O255" s="5" t="inlineStr">
        <is>
          <t>parallel line pair</t>
        </is>
      </c>
      <c r="P255" s="5" t="inlineStr">
        <is>
          <t>two parallel lines at the width written in the LG label, empty inside</t>
        </is>
      </c>
      <c r="Q255" s="5">
        <f>IF(OR(D255="column",D255="wall"),IF(I255&lt;='P vs V'!$B$3*J255,"column","wall"),"")</f>
        <v/>
      </c>
      <c r="R255" s="5" t="inlineStr"/>
      <c r="S255" s="5" t="inlineStr"/>
      <c r="T255" s="5" t="n"/>
      <c r="U255" s="5" t="inlineStr">
        <is>
          <t>no</t>
        </is>
      </c>
      <c r="V255" s="5" t="inlineStr">
        <is>
          <t>no</t>
        </is>
      </c>
      <c r="W255" s="5" t="inlineStr">
        <is>
          <t>no</t>
        </is>
      </c>
      <c r="X255" s="5" t="inlineStr">
        <is>
          <t>no</t>
        </is>
      </c>
      <c r="Y255" s="5" t="inlineStr">
        <is>
          <t>no</t>
        </is>
      </c>
      <c r="Z255" s="5" t="inlineStr">
        <is>
          <t>no</t>
        </is>
      </c>
      <c r="AA255" s="5" t="n">
        <v>0.57</v>
      </c>
      <c r="AB255" s="5" t="n"/>
      <c r="AC255" s="5" t="n"/>
      <c r="AD255" s="5" t="n"/>
      <c r="AE255" s="5" t="n">
        <v>4542</v>
      </c>
      <c r="AF255" s="5" t="n">
        <v>2543.2</v>
      </c>
      <c r="AG255" s="5" t="n">
        <v>4553.8</v>
      </c>
      <c r="AH255" s="5" t="n">
        <v>2571.2</v>
      </c>
      <c r="AI255" s="5" t="inlineStr">
        <is>
          <t>n/a</t>
        </is>
      </c>
      <c r="AJ255" s="5" t="inlineStr"/>
      <c r="AK255" s="5" t="inlineStr"/>
      <c r="AL255" s="5" t="inlineStr"/>
      <c r="AM255" s="5" t="inlineStr"/>
    </row>
    <row r="256">
      <c r="A256" s="5" t="n">
        <v>255</v>
      </c>
      <c r="B256" s="5" t="inlineStr">
        <is>
          <t>122</t>
        </is>
      </c>
      <c r="C256" s="5" t="inlineStr">
        <is>
          <t>nearest labels (100% agree)</t>
        </is>
      </c>
      <c r="D256" s="5" t="inlineStr">
        <is>
          <t>grade_beam</t>
        </is>
      </c>
      <c r="E256" s="5" t="inlineStr">
        <is>
          <t>grade_beam</t>
        </is>
      </c>
      <c r="F256" s="5" t="inlineStr">
        <is>
          <t>LG40x15</t>
        </is>
      </c>
      <c r="G256" s="5" t="inlineStr"/>
      <c r="H256" s="5" t="inlineStr">
        <is>
          <t>band width matches label</t>
        </is>
      </c>
      <c r="I256" s="5" t="n">
        <v>330</v>
      </c>
      <c r="J256" s="5" t="n">
        <v>40</v>
      </c>
      <c r="K256" s="9">
        <f>IF(AND(ISNUMBER(I256),ISNUMBER(J256),J256&gt;0),I256/J256,"")</f>
        <v/>
      </c>
      <c r="L256" s="5" t="n">
        <v>1.32</v>
      </c>
      <c r="M256" s="5" t="n">
        <v>3.3</v>
      </c>
      <c r="N256" s="5" t="n">
        <v>90</v>
      </c>
      <c r="O256" s="5" t="inlineStr">
        <is>
          <t>parallel line pair</t>
        </is>
      </c>
      <c r="P256" s="5" t="inlineStr">
        <is>
          <t>two parallel lines at the width written in the LG label, empty inside</t>
        </is>
      </c>
      <c r="Q256" s="5">
        <f>IF(OR(D256="column",D256="wall"),IF(I256&lt;='P vs V'!$B$3*J256,"column","wall"),"")</f>
        <v/>
      </c>
      <c r="R256" s="5" t="inlineStr"/>
      <c r="S256" s="5" t="inlineStr"/>
      <c r="T256" s="5" t="n"/>
      <c r="U256" s="5" t="inlineStr">
        <is>
          <t>no</t>
        </is>
      </c>
      <c r="V256" s="5" t="inlineStr">
        <is>
          <t>no</t>
        </is>
      </c>
      <c r="W256" s="5" t="inlineStr">
        <is>
          <t>no</t>
        </is>
      </c>
      <c r="X256" s="5" t="inlineStr">
        <is>
          <t>no</t>
        </is>
      </c>
      <c r="Y256" s="5" t="inlineStr">
        <is>
          <t>no</t>
        </is>
      </c>
      <c r="Z256" s="5" t="inlineStr">
        <is>
          <t>yes</t>
        </is>
      </c>
      <c r="AA256" s="5" t="n">
        <v>0.37</v>
      </c>
      <c r="AB256" s="5" t="n"/>
      <c r="AC256" s="5" t="n"/>
      <c r="AD256" s="5" t="n"/>
      <c r="AE256" s="5" t="n">
        <v>4541.8</v>
      </c>
      <c r="AF256" s="5" t="n">
        <v>2659.8</v>
      </c>
      <c r="AG256" s="5" t="n">
        <v>4553.7</v>
      </c>
      <c r="AH256" s="5" t="n">
        <v>2757.2</v>
      </c>
      <c r="AI256" s="5" t="inlineStr">
        <is>
          <t>n/a</t>
        </is>
      </c>
      <c r="AJ256" s="5" t="inlineStr"/>
      <c r="AK256" s="5" t="inlineStr"/>
      <c r="AL256" s="5" t="inlineStr"/>
      <c r="AM256" s="5" t="inlineStr"/>
    </row>
    <row r="257">
      <c r="A257" s="5" t="n">
        <v>256</v>
      </c>
      <c r="B257" s="5" t="inlineStr">
        <is>
          <t>122</t>
        </is>
      </c>
      <c r="C257" s="5" t="inlineStr">
        <is>
          <t>nearest labels (80% agree)</t>
        </is>
      </c>
      <c r="D257" s="5" t="inlineStr">
        <is>
          <t>grade_beam</t>
        </is>
      </c>
      <c r="E257" s="5" t="inlineStr">
        <is>
          <t>grade_beam</t>
        </is>
      </c>
      <c r="F257" s="5" t="inlineStr">
        <is>
          <t>LG40x15</t>
        </is>
      </c>
      <c r="G257" s="5" t="inlineStr"/>
      <c r="H257" s="5" t="inlineStr">
        <is>
          <t>band width matches label</t>
        </is>
      </c>
      <c r="I257" s="5" t="n">
        <v>484</v>
      </c>
      <c r="J257" s="5" t="n">
        <v>40</v>
      </c>
      <c r="K257" s="9">
        <f>IF(AND(ISNUMBER(I257),ISNUMBER(J257),J257&gt;0),I257/J257,"")</f>
        <v/>
      </c>
      <c r="L257" s="5" t="n">
        <v>1.937</v>
      </c>
      <c r="M257" s="5" t="n">
        <v>4.84</v>
      </c>
      <c r="N257" s="5" t="n">
        <v>90</v>
      </c>
      <c r="O257" s="5" t="inlineStr">
        <is>
          <t>parallel line pair</t>
        </is>
      </c>
      <c r="P257" s="5" t="inlineStr">
        <is>
          <t>two parallel lines at the width written in the LG label, empty inside</t>
        </is>
      </c>
      <c r="Q257" s="5">
        <f>IF(OR(D257="column",D257="wall"),IF(I257&lt;='P vs V'!$B$3*J257,"column","wall"),"")</f>
        <v/>
      </c>
      <c r="R257" s="5" t="inlineStr"/>
      <c r="S257" s="5" t="inlineStr"/>
      <c r="T257" s="5" t="n"/>
      <c r="U257" s="5" t="inlineStr">
        <is>
          <t>no</t>
        </is>
      </c>
      <c r="V257" s="5" t="inlineStr">
        <is>
          <t>no</t>
        </is>
      </c>
      <c r="W257" s="5" t="inlineStr">
        <is>
          <t>no</t>
        </is>
      </c>
      <c r="X257" s="5" t="inlineStr">
        <is>
          <t>no</t>
        </is>
      </c>
      <c r="Y257" s="5" t="inlineStr">
        <is>
          <t>no</t>
        </is>
      </c>
      <c r="Z257" s="5" t="inlineStr">
        <is>
          <t>no</t>
        </is>
      </c>
      <c r="AA257" s="5" t="n">
        <v>2.71</v>
      </c>
      <c r="AB257" s="5" t="n"/>
      <c r="AC257" s="5" t="n"/>
      <c r="AD257" s="5" t="n"/>
      <c r="AE257" s="5" t="n">
        <v>4541.6</v>
      </c>
      <c r="AF257" s="5" t="n">
        <v>2875.3</v>
      </c>
      <c r="AG257" s="5" t="n">
        <v>4553.6</v>
      </c>
      <c r="AH257" s="5" t="n">
        <v>3018.4</v>
      </c>
      <c r="AI257" s="5" t="inlineStr">
        <is>
          <t>n/a</t>
        </is>
      </c>
      <c r="AJ257" s="5" t="inlineStr"/>
      <c r="AK257" s="5" t="inlineStr"/>
      <c r="AL257" s="5" t="inlineStr"/>
      <c r="AM257" s="5" t="inlineStr"/>
    </row>
    <row r="258">
      <c r="A258" s="5" t="n">
        <v>257</v>
      </c>
      <c r="B258" s="5" t="inlineStr">
        <is>
          <t>122</t>
        </is>
      </c>
      <c r="C258" s="5" t="inlineStr">
        <is>
          <t>nearest labels (60% agree)</t>
        </is>
      </c>
      <c r="D258" s="5" t="inlineStr">
        <is>
          <t>grade_beam</t>
        </is>
      </c>
      <c r="E258" s="5" t="inlineStr">
        <is>
          <t>grade_beam</t>
        </is>
      </c>
      <c r="F258" s="5" t="inlineStr">
        <is>
          <t>LG40x15</t>
        </is>
      </c>
      <c r="G258" s="5" t="inlineStr"/>
      <c r="H258" s="5" t="inlineStr">
        <is>
          <t>band width matches label</t>
        </is>
      </c>
      <c r="I258" s="5" t="n">
        <v>144</v>
      </c>
      <c r="J258" s="5" t="n">
        <v>40</v>
      </c>
      <c r="K258" s="9">
        <f>IF(AND(ISNUMBER(I258),ISNUMBER(J258),J258&gt;0),I258/J258,"")</f>
        <v/>
      </c>
      <c r="L258" s="5" t="n">
        <v>0.575</v>
      </c>
      <c r="M258" s="5" t="n">
        <v>1.44</v>
      </c>
      <c r="N258" s="5" t="n">
        <v>90.09999999999999</v>
      </c>
      <c r="O258" s="5" t="inlineStr">
        <is>
          <t>parallel line pair</t>
        </is>
      </c>
      <c r="P258" s="5" t="inlineStr">
        <is>
          <t>two parallel lines at the width written in the LG label, empty inside</t>
        </is>
      </c>
      <c r="Q258" s="5">
        <f>IF(OR(D258="column",D258="wall"),IF(I258&lt;='P vs V'!$B$3*J258,"column","wall"),"")</f>
        <v/>
      </c>
      <c r="R258" s="5" t="inlineStr"/>
      <c r="S258" s="5" t="inlineStr"/>
      <c r="T258" s="5" t="n"/>
      <c r="U258" s="5" t="inlineStr">
        <is>
          <t>no</t>
        </is>
      </c>
      <c r="V258" s="5" t="inlineStr">
        <is>
          <t>no</t>
        </is>
      </c>
      <c r="W258" s="5" t="inlineStr">
        <is>
          <t>no</t>
        </is>
      </c>
      <c r="X258" s="5" t="inlineStr">
        <is>
          <t>no</t>
        </is>
      </c>
      <c r="Y258" s="5" t="inlineStr">
        <is>
          <t>no</t>
        </is>
      </c>
      <c r="Z258" s="5" t="inlineStr">
        <is>
          <t>no</t>
        </is>
      </c>
      <c r="AA258" s="5" t="n">
        <v>0.01</v>
      </c>
      <c r="AB258" s="5" t="n"/>
      <c r="AC258" s="5" t="n"/>
      <c r="AD258" s="5" t="n"/>
      <c r="AE258" s="5" t="n">
        <v>4316.2</v>
      </c>
      <c r="AF258" s="5" t="n">
        <v>2187.8</v>
      </c>
      <c r="AG258" s="5" t="n">
        <v>4328</v>
      </c>
      <c r="AH258" s="5" t="n">
        <v>2230.3</v>
      </c>
      <c r="AI258" s="5" t="inlineStr">
        <is>
          <t>n/a</t>
        </is>
      </c>
      <c r="AJ258" s="5" t="inlineStr"/>
      <c r="AK258" s="5" t="inlineStr"/>
      <c r="AL258" s="5" t="inlineStr"/>
      <c r="AM258" s="5" t="inlineStr"/>
    </row>
    <row r="259">
      <c r="A259" s="5" t="n">
        <v>258</v>
      </c>
      <c r="B259" s="5" t="inlineStr">
        <is>
          <t>122</t>
        </is>
      </c>
      <c r="C259" s="5" t="inlineStr">
        <is>
          <t>nearest labels (80% agree)</t>
        </is>
      </c>
      <c r="D259" s="5" t="inlineStr">
        <is>
          <t>grade_beam</t>
        </is>
      </c>
      <c r="E259" s="5" t="inlineStr">
        <is>
          <t>grade_beam</t>
        </is>
      </c>
      <c r="F259" s="5" t="inlineStr">
        <is>
          <t>LG40x15</t>
        </is>
      </c>
      <c r="G259" s="5" t="inlineStr"/>
      <c r="H259" s="5" t="inlineStr">
        <is>
          <t>band width matches label</t>
        </is>
      </c>
      <c r="I259" s="5" t="n">
        <v>107</v>
      </c>
      <c r="J259" s="5" t="n">
        <v>40</v>
      </c>
      <c r="K259" s="9">
        <f>IF(AND(ISNUMBER(I259),ISNUMBER(J259),J259&gt;0),I259/J259,"")</f>
        <v/>
      </c>
      <c r="L259" s="5" t="n">
        <v>0.426</v>
      </c>
      <c r="M259" s="5" t="n">
        <v>1.07</v>
      </c>
      <c r="N259" s="5" t="n">
        <v>90.09999999999999</v>
      </c>
      <c r="O259" s="5" t="inlineStr">
        <is>
          <t>parallel line pair</t>
        </is>
      </c>
      <c r="P259" s="5" t="inlineStr">
        <is>
          <t>two parallel lines at the width written in the LG label, empty inside</t>
        </is>
      </c>
      <c r="Q259" s="5">
        <f>IF(OR(D259="column",D259="wall"),IF(I259&lt;='P vs V'!$B$3*J259,"column","wall"),"")</f>
        <v/>
      </c>
      <c r="R259" s="5" t="inlineStr"/>
      <c r="S259" s="5" t="inlineStr"/>
      <c r="T259" s="5" t="n"/>
      <c r="U259" s="5" t="inlineStr">
        <is>
          <t>no</t>
        </is>
      </c>
      <c r="V259" s="5" t="inlineStr">
        <is>
          <t>no</t>
        </is>
      </c>
      <c r="W259" s="5" t="inlineStr">
        <is>
          <t>no</t>
        </is>
      </c>
      <c r="X259" s="5" t="inlineStr">
        <is>
          <t>no</t>
        </is>
      </c>
      <c r="Y259" s="5" t="inlineStr">
        <is>
          <t>no</t>
        </is>
      </c>
      <c r="Z259" s="5" t="inlineStr">
        <is>
          <t>yes</t>
        </is>
      </c>
      <c r="AA259" s="5" t="n">
        <v>0</v>
      </c>
      <c r="AB259" s="5" t="n"/>
      <c r="AC259" s="5" t="n"/>
      <c r="AD259" s="5" t="n"/>
      <c r="AE259" s="5" t="n">
        <v>4316.1</v>
      </c>
      <c r="AF259" s="5" t="n">
        <v>2289.3</v>
      </c>
      <c r="AG259" s="5" t="n">
        <v>4327.9</v>
      </c>
      <c r="AH259" s="5" t="n">
        <v>2320.8</v>
      </c>
      <c r="AI259" s="5" t="inlineStr">
        <is>
          <t>n/a</t>
        </is>
      </c>
      <c r="AJ259" s="5" t="inlineStr"/>
      <c r="AK259" s="5" t="inlineStr"/>
      <c r="AL259" s="5" t="inlineStr"/>
      <c r="AM259" s="5" t="inlineStr"/>
    </row>
    <row r="260">
      <c r="A260" s="5" t="n">
        <v>259</v>
      </c>
      <c r="B260" s="5" t="inlineStr">
        <is>
          <t>122</t>
        </is>
      </c>
      <c r="C260" s="5" t="inlineStr">
        <is>
          <t>nearest labels (100% agree)</t>
        </is>
      </c>
      <c r="D260" s="5" t="inlineStr">
        <is>
          <t>grade_beam</t>
        </is>
      </c>
      <c r="E260" s="5" t="inlineStr">
        <is>
          <t>grade_beam</t>
        </is>
      </c>
      <c r="F260" s="5" t="inlineStr">
        <is>
          <t>LG40x15</t>
        </is>
      </c>
      <c r="G260" s="5" t="inlineStr"/>
      <c r="H260" s="5" t="inlineStr">
        <is>
          <t>band width matches label</t>
        </is>
      </c>
      <c r="I260" s="5" t="n">
        <v>413</v>
      </c>
      <c r="J260" s="5" t="n">
        <v>40</v>
      </c>
      <c r="K260" s="9">
        <f>IF(AND(ISNUMBER(I260),ISNUMBER(J260),J260&gt;0),I260/J260,"")</f>
        <v/>
      </c>
      <c r="L260" s="5" t="n">
        <v>1.653</v>
      </c>
      <c r="M260" s="5" t="n">
        <v>4.13</v>
      </c>
      <c r="N260" s="5" t="n">
        <v>90.09999999999999</v>
      </c>
      <c r="O260" s="5" t="inlineStr">
        <is>
          <t>parallel line pair</t>
        </is>
      </c>
      <c r="P260" s="5" t="inlineStr">
        <is>
          <t>two parallel lines at the width written in the LG label, empty inside</t>
        </is>
      </c>
      <c r="Q260" s="5">
        <f>IF(OR(D260="column",D260="wall"),IF(I260&lt;='P vs V'!$B$3*J260,"column","wall"),"")</f>
        <v/>
      </c>
      <c r="R260" s="5" t="inlineStr"/>
      <c r="S260" s="5" t="inlineStr"/>
      <c r="T260" s="5" t="n"/>
      <c r="U260" s="5" t="inlineStr">
        <is>
          <t>no</t>
        </is>
      </c>
      <c r="V260" s="5" t="inlineStr">
        <is>
          <t>no</t>
        </is>
      </c>
      <c r="W260" s="5" t="inlineStr">
        <is>
          <t>no</t>
        </is>
      </c>
      <c r="X260" s="5" t="inlineStr">
        <is>
          <t>no</t>
        </is>
      </c>
      <c r="Y260" s="5" t="inlineStr">
        <is>
          <t>no</t>
        </is>
      </c>
      <c r="Z260" s="5" t="inlineStr">
        <is>
          <t>no</t>
        </is>
      </c>
      <c r="AA260" s="5" t="n">
        <v>0</v>
      </c>
      <c r="AB260" s="5" t="n"/>
      <c r="AC260" s="5" t="n"/>
      <c r="AD260" s="5" t="n"/>
      <c r="AE260" s="5" t="n">
        <v>4315.9</v>
      </c>
      <c r="AF260" s="5" t="n">
        <v>2338.5</v>
      </c>
      <c r="AG260" s="5" t="n">
        <v>4327.9</v>
      </c>
      <c r="AH260" s="5" t="n">
        <v>2460.6</v>
      </c>
      <c r="AI260" s="5" t="inlineStr">
        <is>
          <t>n/a</t>
        </is>
      </c>
      <c r="AJ260" s="5" t="inlineStr"/>
      <c r="AK260" s="5" t="inlineStr"/>
      <c r="AL260" s="5" t="inlineStr"/>
      <c r="AM260" s="5" t="inlineStr"/>
    </row>
    <row r="261">
      <c r="A261" s="5" t="n">
        <v>260</v>
      </c>
      <c r="B261" s="5" t="inlineStr">
        <is>
          <t>122</t>
        </is>
      </c>
      <c r="C261" s="5" t="inlineStr">
        <is>
          <t>nearest labels (100% agree)</t>
        </is>
      </c>
      <c r="D261" s="5" t="inlineStr">
        <is>
          <t>grade_beam</t>
        </is>
      </c>
      <c r="E261" s="5" t="inlineStr">
        <is>
          <t>grade_beam</t>
        </is>
      </c>
      <c r="F261" s="5" t="inlineStr">
        <is>
          <t>LG40x15</t>
        </is>
      </c>
      <c r="G261" s="5" t="inlineStr"/>
      <c r="H261" s="5" t="inlineStr">
        <is>
          <t>band width matches label</t>
        </is>
      </c>
      <c r="I261" s="5" t="n">
        <v>293</v>
      </c>
      <c r="J261" s="5" t="n">
        <v>40</v>
      </c>
      <c r="K261" s="9">
        <f>IF(AND(ISNUMBER(I261),ISNUMBER(J261),J261&gt;0),I261/J261,"")</f>
        <v/>
      </c>
      <c r="L261" s="5" t="n">
        <v>1.174</v>
      </c>
      <c r="M261" s="5" t="n">
        <v>2.93</v>
      </c>
      <c r="N261" s="5" t="n">
        <v>90.09999999999999</v>
      </c>
      <c r="O261" s="5" t="inlineStr">
        <is>
          <t>parallel line pair</t>
        </is>
      </c>
      <c r="P261" s="5" t="inlineStr">
        <is>
          <t>two parallel lines at the width written in the LG label, empty inside</t>
        </is>
      </c>
      <c r="Q261" s="5">
        <f>IF(OR(D261="column",D261="wall"),IF(I261&lt;='P vs V'!$B$3*J261,"column","wall"),"")</f>
        <v/>
      </c>
      <c r="R261" s="5" t="inlineStr"/>
      <c r="S261" s="5" t="inlineStr"/>
      <c r="T261" s="5" t="n"/>
      <c r="U261" s="5" t="inlineStr">
        <is>
          <t>no</t>
        </is>
      </c>
      <c r="V261" s="5" t="inlineStr">
        <is>
          <t>no</t>
        </is>
      </c>
      <c r="W261" s="5" t="inlineStr">
        <is>
          <t>no</t>
        </is>
      </c>
      <c r="X261" s="5" t="inlineStr">
        <is>
          <t>no</t>
        </is>
      </c>
      <c r="Y261" s="5" t="inlineStr">
        <is>
          <t>no</t>
        </is>
      </c>
      <c r="Z261" s="5" t="inlineStr">
        <is>
          <t>no</t>
        </is>
      </c>
      <c r="AA261" s="5" t="n">
        <v>0.01</v>
      </c>
      <c r="AB261" s="5" t="n"/>
      <c r="AC261" s="5" t="n"/>
      <c r="AD261" s="5" t="n"/>
      <c r="AE261" s="5" t="n">
        <v>4315.8</v>
      </c>
      <c r="AF261" s="5" t="n">
        <v>2519.6</v>
      </c>
      <c r="AG261" s="5" t="n">
        <v>4327.7</v>
      </c>
      <c r="AH261" s="5" t="n">
        <v>2606.3</v>
      </c>
      <c r="AI261" s="5" t="inlineStr">
        <is>
          <t>n/a</t>
        </is>
      </c>
      <c r="AJ261" s="5" t="inlineStr"/>
      <c r="AK261" s="5" t="inlineStr"/>
      <c r="AL261" s="5" t="inlineStr"/>
      <c r="AM261" s="5" t="inlineStr"/>
    </row>
    <row r="262">
      <c r="A262" s="5" t="n">
        <v>261</v>
      </c>
      <c r="B262" s="5" t="inlineStr">
        <is>
          <t>122</t>
        </is>
      </c>
      <c r="C262" s="5" t="inlineStr">
        <is>
          <t>nearest labels (100% agree)</t>
        </is>
      </c>
      <c r="D262" s="5" t="inlineStr">
        <is>
          <t>grade_beam</t>
        </is>
      </c>
      <c r="E262" s="5" t="inlineStr">
        <is>
          <t>grade_beam</t>
        </is>
      </c>
      <c r="F262" s="5" t="inlineStr">
        <is>
          <t>LG40x15</t>
        </is>
      </c>
      <c r="G262" s="5" t="inlineStr"/>
      <c r="H262" s="5" t="inlineStr">
        <is>
          <t>band width matches label</t>
        </is>
      </c>
      <c r="I262" s="5" t="n">
        <v>225</v>
      </c>
      <c r="J262" s="5" t="n">
        <v>40</v>
      </c>
      <c r="K262" s="9">
        <f>IF(AND(ISNUMBER(I262),ISNUMBER(J262),J262&gt;0),I262/J262,"")</f>
        <v/>
      </c>
      <c r="L262" s="5" t="n">
        <v>0.9</v>
      </c>
      <c r="M262" s="5" t="n">
        <v>2.25</v>
      </c>
      <c r="N262" s="5" t="n">
        <v>90.09999999999999</v>
      </c>
      <c r="O262" s="5" t="inlineStr">
        <is>
          <t>parallel line pair</t>
        </is>
      </c>
      <c r="P262" s="5" t="inlineStr">
        <is>
          <t>two parallel lines at the width written in the LG label, empty inside</t>
        </is>
      </c>
      <c r="Q262" s="5">
        <f>IF(OR(D262="column",D262="wall"),IF(I262&lt;='P vs V'!$B$3*J262,"column","wall"),"")</f>
        <v/>
      </c>
      <c r="R262" s="5" t="inlineStr"/>
      <c r="S262" s="5" t="inlineStr"/>
      <c r="T262" s="5" t="n"/>
      <c r="U262" s="5" t="inlineStr">
        <is>
          <t>no</t>
        </is>
      </c>
      <c r="V262" s="5" t="inlineStr">
        <is>
          <t>no</t>
        </is>
      </c>
      <c r="W262" s="5" t="inlineStr">
        <is>
          <t>no</t>
        </is>
      </c>
      <c r="X262" s="5" t="inlineStr">
        <is>
          <t>no</t>
        </is>
      </c>
      <c r="Y262" s="5" t="inlineStr">
        <is>
          <t>no</t>
        </is>
      </c>
      <c r="Z262" s="5" t="inlineStr">
        <is>
          <t>yes</t>
        </is>
      </c>
      <c r="AA262" s="5" t="n">
        <v>0.01</v>
      </c>
      <c r="AB262" s="5" t="n"/>
      <c r="AC262" s="5" t="n"/>
      <c r="AD262" s="5" t="n"/>
      <c r="AE262" s="5" t="n">
        <v>4315.7</v>
      </c>
      <c r="AF262" s="5" t="n">
        <v>2624</v>
      </c>
      <c r="AG262" s="5" t="n">
        <v>4327.6</v>
      </c>
      <c r="AH262" s="5" t="n">
        <v>2690.5</v>
      </c>
      <c r="AI262" s="5" t="inlineStr">
        <is>
          <t>n/a</t>
        </is>
      </c>
      <c r="AJ262" s="5" t="inlineStr"/>
      <c r="AK262" s="5" t="inlineStr"/>
      <c r="AL262" s="5" t="inlineStr"/>
      <c r="AM262" s="5" t="inlineStr"/>
    </row>
    <row r="263">
      <c r="A263" s="5" t="n">
        <v>262</v>
      </c>
      <c r="B263" s="5" t="inlineStr">
        <is>
          <t>122</t>
        </is>
      </c>
      <c r="C263" s="5" t="inlineStr">
        <is>
          <t>nearest labels (80% agree)</t>
        </is>
      </c>
      <c r="D263" s="5" t="inlineStr">
        <is>
          <t>grade_beam</t>
        </is>
      </c>
      <c r="E263" s="5" t="inlineStr">
        <is>
          <t>grade_beam</t>
        </is>
      </c>
      <c r="F263" s="5" t="inlineStr">
        <is>
          <t>LG40x15</t>
        </is>
      </c>
      <c r="G263" s="5" t="inlineStr"/>
      <c r="H263" s="5" t="inlineStr">
        <is>
          <t>band width matches label</t>
        </is>
      </c>
      <c r="I263" s="5" t="n">
        <v>147</v>
      </c>
      <c r="J263" s="5" t="n">
        <v>40</v>
      </c>
      <c r="K263" s="9">
        <f>IF(AND(ISNUMBER(I263),ISNUMBER(J263),J263&gt;0),I263/J263,"")</f>
        <v/>
      </c>
      <c r="L263" s="5" t="n">
        <v>0.589</v>
      </c>
      <c r="M263" s="5" t="n">
        <v>1.47</v>
      </c>
      <c r="N263" s="5" t="n">
        <v>79.3</v>
      </c>
      <c r="O263" s="5" t="inlineStr">
        <is>
          <t>parallel line pair</t>
        </is>
      </c>
      <c r="P263" s="5" t="inlineStr">
        <is>
          <t>two parallel lines at the width written in the LG label, empty inside</t>
        </is>
      </c>
      <c r="Q263" s="5">
        <f>IF(OR(D263="column",D263="wall"),IF(I263&lt;='P vs V'!$B$3*J263,"column","wall"),"")</f>
        <v/>
      </c>
      <c r="R263" s="5" t="inlineStr"/>
      <c r="S263" s="5" t="inlineStr"/>
      <c r="T263" s="5" t="n"/>
      <c r="U263" s="5" t="inlineStr">
        <is>
          <t>no</t>
        </is>
      </c>
      <c r="V263" s="5" t="inlineStr">
        <is>
          <t>no</t>
        </is>
      </c>
      <c r="W263" s="5" t="inlineStr">
        <is>
          <t>no</t>
        </is>
      </c>
      <c r="X263" s="5" t="inlineStr">
        <is>
          <t>no</t>
        </is>
      </c>
      <c r="Y263" s="5" t="inlineStr">
        <is>
          <t>no</t>
        </is>
      </c>
      <c r="Z263" s="5" t="inlineStr">
        <is>
          <t>no</t>
        </is>
      </c>
      <c r="AA263" s="5" t="n">
        <v>3.31</v>
      </c>
      <c r="AB263" s="5" t="n"/>
      <c r="AC263" s="5" t="n"/>
      <c r="AD263" s="5" t="n"/>
      <c r="AE263" s="5" t="n">
        <v>4193.9</v>
      </c>
      <c r="AF263" s="5" t="n">
        <v>2795.2</v>
      </c>
      <c r="AG263" s="5" t="n">
        <v>4213.6</v>
      </c>
      <c r="AH263" s="5" t="n">
        <v>2840.1</v>
      </c>
      <c r="AI263" s="5" t="inlineStr">
        <is>
          <t>n/a</t>
        </is>
      </c>
      <c r="AJ263" s="5" t="inlineStr"/>
      <c r="AK263" s="5" t="inlineStr"/>
      <c r="AL263" s="5" t="inlineStr"/>
      <c r="AM263" s="5" t="inlineStr"/>
    </row>
    <row r="264">
      <c r="A264" s="5" t="n">
        <v>263</v>
      </c>
      <c r="B264" s="5" t="inlineStr">
        <is>
          <t>122</t>
        </is>
      </c>
      <c r="C264" s="5" t="inlineStr">
        <is>
          <t>nearest labels (60% agree)</t>
        </is>
      </c>
      <c r="D264" s="5" t="inlineStr">
        <is>
          <t>grade_beam</t>
        </is>
      </c>
      <c r="E264" s="5" t="inlineStr">
        <is>
          <t>grade_beam</t>
        </is>
      </c>
      <c r="F264" s="5" t="inlineStr">
        <is>
          <t>LG40x15</t>
        </is>
      </c>
      <c r="G264" s="5" t="inlineStr"/>
      <c r="H264" s="5" t="inlineStr">
        <is>
          <t>band width matches label</t>
        </is>
      </c>
      <c r="I264" s="5" t="n">
        <v>337</v>
      </c>
      <c r="J264" s="5" t="n">
        <v>40</v>
      </c>
      <c r="K264" s="9">
        <f>IF(AND(ISNUMBER(I264),ISNUMBER(J264),J264&gt;0),I264/J264,"")</f>
        <v/>
      </c>
      <c r="L264" s="5" t="n">
        <v>1.35</v>
      </c>
      <c r="M264" s="5" t="n">
        <v>3.37</v>
      </c>
      <c r="N264" s="5" t="n">
        <v>79.3</v>
      </c>
      <c r="O264" s="5" t="inlineStr">
        <is>
          <t>parallel line pair</t>
        </is>
      </c>
      <c r="P264" s="5" t="inlineStr">
        <is>
          <t>two parallel lines at the width written in the LG label, empty inside</t>
        </is>
      </c>
      <c r="Q264" s="5">
        <f>IF(OR(D264="column",D264="wall"),IF(I264&lt;='P vs V'!$B$3*J264,"column","wall"),"")</f>
        <v/>
      </c>
      <c r="R264" s="5" t="inlineStr"/>
      <c r="S264" s="5" t="inlineStr"/>
      <c r="T264" s="5" t="n"/>
      <c r="U264" s="5" t="inlineStr">
        <is>
          <t>no</t>
        </is>
      </c>
      <c r="V264" s="5" t="inlineStr">
        <is>
          <t>no</t>
        </is>
      </c>
      <c r="W264" s="5" t="inlineStr">
        <is>
          <t>no</t>
        </is>
      </c>
      <c r="X264" s="5" t="inlineStr">
        <is>
          <t>no</t>
        </is>
      </c>
      <c r="Y264" s="5" t="inlineStr">
        <is>
          <t>no</t>
        </is>
      </c>
      <c r="Z264" s="5" t="inlineStr">
        <is>
          <t>no</t>
        </is>
      </c>
      <c r="AA264" s="5" t="n">
        <v>2.96</v>
      </c>
      <c r="AB264" s="5" t="n"/>
      <c r="AC264" s="5" t="n"/>
      <c r="AD264" s="5" t="n"/>
      <c r="AE264" s="5" t="n">
        <v>4221.1</v>
      </c>
      <c r="AF264" s="5" t="n">
        <v>2939.4</v>
      </c>
      <c r="AG264" s="5" t="n">
        <v>4251.2</v>
      </c>
      <c r="AH264" s="5" t="n">
        <v>3039.5</v>
      </c>
      <c r="AI264" s="5" t="inlineStr">
        <is>
          <t>n/a</t>
        </is>
      </c>
      <c r="AJ264" s="5" t="inlineStr"/>
      <c r="AK264" s="5" t="inlineStr"/>
      <c r="AL264" s="5" t="inlineStr"/>
      <c r="AM264" s="5" t="inlineStr"/>
    </row>
    <row r="265">
      <c r="A265" s="5" t="n">
        <v>264</v>
      </c>
      <c r="B265" s="5" t="inlineStr">
        <is>
          <t>122</t>
        </is>
      </c>
      <c r="C265" s="5" t="inlineStr">
        <is>
          <t>nearest labels (80% agree)</t>
        </is>
      </c>
      <c r="D265" s="5" t="inlineStr">
        <is>
          <t>grade_beam</t>
        </is>
      </c>
      <c r="E265" s="5" t="inlineStr">
        <is>
          <t>grade_beam</t>
        </is>
      </c>
      <c r="F265" s="5" t="inlineStr">
        <is>
          <t>LG40x15</t>
        </is>
      </c>
      <c r="G265" s="5" t="inlineStr"/>
      <c r="H265" s="5" t="inlineStr">
        <is>
          <t>band width matches label</t>
        </is>
      </c>
      <c r="I265" s="5" t="n">
        <v>147</v>
      </c>
      <c r="J265" s="5" t="n">
        <v>40</v>
      </c>
      <c r="K265" s="9">
        <f>IF(AND(ISNUMBER(I265),ISNUMBER(J265),J265&gt;0),I265/J265,"")</f>
        <v/>
      </c>
      <c r="L265" s="5" t="n">
        <v>0.589</v>
      </c>
      <c r="M265" s="5" t="n">
        <v>1.47</v>
      </c>
      <c r="N265" s="5" t="n">
        <v>79.3</v>
      </c>
      <c r="O265" s="5" t="inlineStr">
        <is>
          <t>parallel line pair</t>
        </is>
      </c>
      <c r="P265" s="5" t="inlineStr">
        <is>
          <t>two parallel lines at the width written in the LG label, empty inside</t>
        </is>
      </c>
      <c r="Q265" s="5">
        <f>IF(OR(D265="column",D265="wall"),IF(I265&lt;='P vs V'!$B$3*J265,"column","wall"),"")</f>
        <v/>
      </c>
      <c r="R265" s="5" t="inlineStr"/>
      <c r="S265" s="5" t="inlineStr"/>
      <c r="T265" s="5" t="n"/>
      <c r="U265" s="5" t="inlineStr">
        <is>
          <t>no</t>
        </is>
      </c>
      <c r="V265" s="5" t="inlineStr">
        <is>
          <t>no</t>
        </is>
      </c>
      <c r="W265" s="5" t="inlineStr">
        <is>
          <t>no</t>
        </is>
      </c>
      <c r="X265" s="5" t="inlineStr">
        <is>
          <t>no</t>
        </is>
      </c>
      <c r="Y265" s="5" t="inlineStr">
        <is>
          <t>no</t>
        </is>
      </c>
      <c r="Z265" s="5" t="inlineStr">
        <is>
          <t>no</t>
        </is>
      </c>
      <c r="AA265" s="5" t="n">
        <v>3.4</v>
      </c>
      <c r="AB265" s="5" t="n"/>
      <c r="AC265" s="5" t="n"/>
      <c r="AD265" s="5" t="n"/>
      <c r="AE265" s="5" t="n">
        <v>4179.4</v>
      </c>
      <c r="AF265" s="5" t="n">
        <v>2797.9</v>
      </c>
      <c r="AG265" s="5" t="n">
        <v>4199.1</v>
      </c>
      <c r="AH265" s="5" t="n">
        <v>2842.8</v>
      </c>
      <c r="AI265" s="5" t="inlineStr">
        <is>
          <t>n/a</t>
        </is>
      </c>
      <c r="AJ265" s="5" t="inlineStr"/>
      <c r="AK265" s="5" t="inlineStr"/>
      <c r="AL265" s="5" t="inlineStr"/>
      <c r="AM265" s="5" t="inlineStr"/>
    </row>
    <row r="266">
      <c r="A266" s="5" t="n">
        <v>265</v>
      </c>
      <c r="B266" s="5" t="inlineStr">
        <is>
          <t>122</t>
        </is>
      </c>
      <c r="C266" s="5" t="inlineStr">
        <is>
          <t>nearest labels (60% agree)</t>
        </is>
      </c>
      <c r="D266" s="5" t="inlineStr">
        <is>
          <t>grade_beam</t>
        </is>
      </c>
      <c r="E266" s="5" t="inlineStr">
        <is>
          <t>grade_beam</t>
        </is>
      </c>
      <c r="F266" s="5" t="inlineStr">
        <is>
          <t>LG40x15</t>
        </is>
      </c>
      <c r="G266" s="5" t="inlineStr"/>
      <c r="H266" s="5" t="inlineStr">
        <is>
          <t>band width matches label</t>
        </is>
      </c>
      <c r="I266" s="5" t="n">
        <v>338</v>
      </c>
      <c r="J266" s="5" t="n">
        <v>40</v>
      </c>
      <c r="K266" s="9">
        <f>IF(AND(ISNUMBER(I266),ISNUMBER(J266),J266&gt;0),I266/J266,"")</f>
        <v/>
      </c>
      <c r="L266" s="5" t="n">
        <v>1.351</v>
      </c>
      <c r="M266" s="5" t="n">
        <v>3.38</v>
      </c>
      <c r="N266" s="5" t="n">
        <v>79.3</v>
      </c>
      <c r="O266" s="5" t="inlineStr">
        <is>
          <t>parallel line pair</t>
        </is>
      </c>
      <c r="P266" s="5" t="inlineStr">
        <is>
          <t>two parallel lines at the width written in the LG label, empty inside</t>
        </is>
      </c>
      <c r="Q266" s="5">
        <f>IF(OR(D266="column",D266="wall"),IF(I266&lt;='P vs V'!$B$3*J266,"column","wall"),"")</f>
        <v/>
      </c>
      <c r="R266" s="5" t="inlineStr"/>
      <c r="S266" s="5" t="inlineStr"/>
      <c r="T266" s="5" t="n"/>
      <c r="U266" s="5" t="inlineStr">
        <is>
          <t>no</t>
        </is>
      </c>
      <c r="V266" s="5" t="inlineStr">
        <is>
          <t>no</t>
        </is>
      </c>
      <c r="W266" s="5" t="inlineStr">
        <is>
          <t>no</t>
        </is>
      </c>
      <c r="X266" s="5" t="inlineStr">
        <is>
          <t>no</t>
        </is>
      </c>
      <c r="Y266" s="5" t="inlineStr">
        <is>
          <t>no</t>
        </is>
      </c>
      <c r="Z266" s="5" t="inlineStr">
        <is>
          <t>no</t>
        </is>
      </c>
      <c r="AA266" s="5" t="n">
        <v>3.46</v>
      </c>
      <c r="AB266" s="5" t="n"/>
      <c r="AC266" s="5" t="n"/>
      <c r="AD266" s="5" t="n"/>
      <c r="AE266" s="5" t="n">
        <v>4206.6</v>
      </c>
      <c r="AF266" s="5" t="n">
        <v>2942.2</v>
      </c>
      <c r="AG266" s="5" t="n">
        <v>4236.7</v>
      </c>
      <c r="AH266" s="5" t="n">
        <v>3042.4</v>
      </c>
      <c r="AI266" s="5" t="inlineStr">
        <is>
          <t>n/a</t>
        </is>
      </c>
      <c r="AJ266" s="5" t="inlineStr"/>
      <c r="AK266" s="5" t="inlineStr"/>
      <c r="AL266" s="5" t="inlineStr"/>
      <c r="AM266" s="5" t="inlineStr"/>
    </row>
    <row r="267">
      <c r="A267" s="5" t="n">
        <v>266</v>
      </c>
      <c r="B267" s="5" t="inlineStr">
        <is>
          <t>122</t>
        </is>
      </c>
      <c r="C267" s="5" t="inlineStr">
        <is>
          <t>nearest labels (100% agree)</t>
        </is>
      </c>
      <c r="D267" s="5" t="inlineStr">
        <is>
          <t>grade_beam</t>
        </is>
      </c>
      <c r="E267" s="5" t="inlineStr">
        <is>
          <t>grade_beam</t>
        </is>
      </c>
      <c r="F267" s="5" t="inlineStr">
        <is>
          <t>LG40x15</t>
        </is>
      </c>
      <c r="G267" s="5" t="inlineStr"/>
      <c r="H267" s="5" t="inlineStr">
        <is>
          <t>band width matches label</t>
        </is>
      </c>
      <c r="I267" s="5" t="n">
        <v>524</v>
      </c>
      <c r="J267" s="5" t="n">
        <v>40</v>
      </c>
      <c r="K267" s="9">
        <f>IF(AND(ISNUMBER(I267),ISNUMBER(J267),J267&gt;0),I267/J267,"")</f>
        <v/>
      </c>
      <c r="L267" s="5" t="n">
        <v>2.096</v>
      </c>
      <c r="M267" s="5" t="n">
        <v>5.24</v>
      </c>
      <c r="N267" s="5" t="n">
        <v>0</v>
      </c>
      <c r="O267" s="5" t="inlineStr">
        <is>
          <t>parallel line pair</t>
        </is>
      </c>
      <c r="P267" s="5" t="inlineStr">
        <is>
          <t>two parallel lines at the width written in the LG label, empty inside</t>
        </is>
      </c>
      <c r="Q267" s="5">
        <f>IF(OR(D267="column",D267="wall"),IF(I267&lt;='P vs V'!$B$3*J267,"column","wall"),"")</f>
        <v/>
      </c>
      <c r="R267" s="5" t="inlineStr"/>
      <c r="S267" s="5" t="inlineStr"/>
      <c r="T267" s="5" t="n"/>
      <c r="U267" s="5" t="inlineStr">
        <is>
          <t>no</t>
        </is>
      </c>
      <c r="V267" s="5" t="inlineStr">
        <is>
          <t>no</t>
        </is>
      </c>
      <c r="W267" s="5" t="inlineStr">
        <is>
          <t>no</t>
        </is>
      </c>
      <c r="X267" s="5" t="inlineStr">
        <is>
          <t>no</t>
        </is>
      </c>
      <c r="Y267" s="5" t="inlineStr">
        <is>
          <t>no</t>
        </is>
      </c>
      <c r="Z267" s="5" t="inlineStr">
        <is>
          <t>yes</t>
        </is>
      </c>
      <c r="AA267" s="5" t="n">
        <v>2.33</v>
      </c>
      <c r="AB267" s="5" t="n"/>
      <c r="AC267" s="5" t="n"/>
      <c r="AD267" s="5" t="n"/>
      <c r="AE267" s="5" t="n">
        <v>4327.5</v>
      </c>
      <c r="AF267" s="5" t="n">
        <v>2323.1</v>
      </c>
      <c r="AG267" s="5" t="n">
        <v>4482.3</v>
      </c>
      <c r="AH267" s="5" t="n">
        <v>2335</v>
      </c>
      <c r="AI267" s="5" t="inlineStr">
        <is>
          <t>n/a</t>
        </is>
      </c>
      <c r="AJ267" s="5" t="inlineStr"/>
      <c r="AK267" s="5" t="inlineStr"/>
      <c r="AL267" s="5" t="inlineStr"/>
      <c r="AM267" s="5" t="inlineStr"/>
    </row>
    <row r="268">
      <c r="A268" s="5" t="n">
        <v>267</v>
      </c>
      <c r="B268" s="5" t="inlineStr">
        <is>
          <t>122</t>
        </is>
      </c>
      <c r="C268" s="5" t="inlineStr">
        <is>
          <t>nearest labels (100% agree)</t>
        </is>
      </c>
      <c r="D268" s="5" t="inlineStr">
        <is>
          <t>grade_beam</t>
        </is>
      </c>
      <c r="E268" s="5" t="inlineStr">
        <is>
          <t>grade_beam</t>
        </is>
      </c>
      <c r="F268" s="5" t="inlineStr">
        <is>
          <t>LG40x15</t>
        </is>
      </c>
      <c r="G268" s="5" t="inlineStr"/>
      <c r="H268" s="5" t="inlineStr">
        <is>
          <t>band width matches label</t>
        </is>
      </c>
      <c r="I268" s="5" t="n">
        <v>321</v>
      </c>
      <c r="J268" s="5" t="n">
        <v>40</v>
      </c>
      <c r="K268" s="9">
        <f>IF(AND(ISNUMBER(I268),ISNUMBER(J268),J268&gt;0),I268/J268,"")</f>
        <v/>
      </c>
      <c r="L268" s="5" t="n">
        <v>1.285</v>
      </c>
      <c r="M268" s="5" t="n">
        <v>3.21</v>
      </c>
      <c r="N268" s="5" t="n">
        <v>0</v>
      </c>
      <c r="O268" s="5" t="inlineStr">
        <is>
          <t>parallel line pair</t>
        </is>
      </c>
      <c r="P268" s="5" t="inlineStr">
        <is>
          <t>two parallel lines at the width written in the LG label, empty inside</t>
        </is>
      </c>
      <c r="Q268" s="5">
        <f>IF(OR(D268="column",D268="wall"),IF(I268&lt;='P vs V'!$B$3*J268,"column","wall"),"")</f>
        <v/>
      </c>
      <c r="R268" s="5" t="inlineStr"/>
      <c r="S268" s="5" t="inlineStr"/>
      <c r="T268" s="5" t="n"/>
      <c r="U268" s="5" t="inlineStr">
        <is>
          <t>no</t>
        </is>
      </c>
      <c r="V268" s="5" t="inlineStr">
        <is>
          <t>no</t>
        </is>
      </c>
      <c r="W268" s="5" t="inlineStr">
        <is>
          <t>no</t>
        </is>
      </c>
      <c r="X268" s="5" t="inlineStr">
        <is>
          <t>no</t>
        </is>
      </c>
      <c r="Y268" s="5" t="inlineStr">
        <is>
          <t>no</t>
        </is>
      </c>
      <c r="Z268" s="5" t="inlineStr">
        <is>
          <t>no</t>
        </is>
      </c>
      <c r="AA268" s="5" t="n">
        <v>2.34</v>
      </c>
      <c r="AB268" s="5" t="n"/>
      <c r="AC268" s="5" t="n"/>
      <c r="AD268" s="5" t="n"/>
      <c r="AE268" s="5" t="n">
        <v>4629.9</v>
      </c>
      <c r="AF268" s="5" t="n">
        <v>2323.3</v>
      </c>
      <c r="AG268" s="5" t="n">
        <v>4724.7</v>
      </c>
      <c r="AH268" s="5" t="n">
        <v>2335.2</v>
      </c>
      <c r="AI268" s="5" t="inlineStr">
        <is>
          <t>n/a</t>
        </is>
      </c>
      <c r="AJ268" s="5" t="inlineStr"/>
      <c r="AK268" s="5" t="inlineStr"/>
      <c r="AL268" s="5" t="inlineStr"/>
      <c r="AM268" s="5" t="inlineStr"/>
    </row>
    <row r="269">
      <c r="A269" s="5" t="n">
        <v>268</v>
      </c>
      <c r="B269" s="5" t="inlineStr">
        <is>
          <t>122</t>
        </is>
      </c>
      <c r="C269" s="5" t="inlineStr">
        <is>
          <t>nearest labels (100% agree)</t>
        </is>
      </c>
      <c r="D269" s="5" t="inlineStr">
        <is>
          <t>grade_beam</t>
        </is>
      </c>
      <c r="E269" s="5" t="inlineStr">
        <is>
          <t>grade_beam</t>
        </is>
      </c>
      <c r="F269" s="5" t="inlineStr">
        <is>
          <t>LG40x15</t>
        </is>
      </c>
      <c r="G269" s="5" t="inlineStr"/>
      <c r="H269" s="5" t="inlineStr">
        <is>
          <t>band width matches label</t>
        </is>
      </c>
      <c r="I269" s="5" t="n">
        <v>369</v>
      </c>
      <c r="J269" s="5" t="n">
        <v>40</v>
      </c>
      <c r="K269" s="9">
        <f>IF(AND(ISNUMBER(I269),ISNUMBER(J269),J269&gt;0),I269/J269,"")</f>
        <v/>
      </c>
      <c r="L269" s="5" t="n">
        <v>1.478</v>
      </c>
      <c r="M269" s="5" t="n">
        <v>3.69</v>
      </c>
      <c r="N269" s="5" t="n">
        <v>0</v>
      </c>
      <c r="O269" s="5" t="inlineStr">
        <is>
          <t>parallel line pair</t>
        </is>
      </c>
      <c r="P269" s="5" t="inlineStr">
        <is>
          <t>two parallel lines at the width written in the LG label, empty inside</t>
        </is>
      </c>
      <c r="Q269" s="5">
        <f>IF(OR(D269="column",D269="wall"),IF(I269&lt;='P vs V'!$B$3*J269,"column","wall"),"")</f>
        <v/>
      </c>
      <c r="R269" s="5" t="inlineStr"/>
      <c r="S269" s="5" t="inlineStr"/>
      <c r="T269" s="5" t="n"/>
      <c r="U269" s="5" t="inlineStr">
        <is>
          <t>no</t>
        </is>
      </c>
      <c r="V269" s="5" t="inlineStr">
        <is>
          <t>no</t>
        </is>
      </c>
      <c r="W269" s="5" t="inlineStr">
        <is>
          <t>no</t>
        </is>
      </c>
      <c r="X269" s="5" t="inlineStr">
        <is>
          <t>no</t>
        </is>
      </c>
      <c r="Y269" s="5" t="inlineStr">
        <is>
          <t>no</t>
        </is>
      </c>
      <c r="Z269" s="5" t="inlineStr">
        <is>
          <t>no</t>
        </is>
      </c>
      <c r="AA269" s="5" t="n">
        <v>1.41</v>
      </c>
      <c r="AB269" s="5" t="n"/>
      <c r="AC269" s="5" t="n"/>
      <c r="AD269" s="5" t="n"/>
      <c r="AE269" s="5" t="n">
        <v>4373.5</v>
      </c>
      <c r="AF269" s="5" t="n">
        <v>2492.9</v>
      </c>
      <c r="AG269" s="5" t="n">
        <v>4482.6</v>
      </c>
      <c r="AH269" s="5" t="n">
        <v>2504.8</v>
      </c>
      <c r="AI269" s="5" t="inlineStr">
        <is>
          <t>n/a</t>
        </is>
      </c>
      <c r="AJ269" s="5" t="inlineStr"/>
      <c r="AK269" s="5" t="inlineStr"/>
      <c r="AL269" s="5" t="inlineStr"/>
      <c r="AM269" s="5" t="inlineStr"/>
    </row>
    <row r="270">
      <c r="A270" s="5" t="n">
        <v>269</v>
      </c>
      <c r="B270" s="5" t="inlineStr">
        <is>
          <t>122</t>
        </is>
      </c>
      <c r="C270" s="5" t="inlineStr">
        <is>
          <t>nearest labels (100% agree)</t>
        </is>
      </c>
      <c r="D270" s="5" t="inlineStr">
        <is>
          <t>grade_beam</t>
        </is>
      </c>
      <c r="E270" s="5" t="inlineStr">
        <is>
          <t>grade_beam</t>
        </is>
      </c>
      <c r="F270" s="5" t="inlineStr">
        <is>
          <t>LG40x15</t>
        </is>
      </c>
      <c r="G270" s="5" t="inlineStr"/>
      <c r="H270" s="5" t="inlineStr">
        <is>
          <t>band width matches label</t>
        </is>
      </c>
      <c r="I270" s="5" t="n">
        <v>371</v>
      </c>
      <c r="J270" s="5" t="n">
        <v>40</v>
      </c>
      <c r="K270" s="9">
        <f>IF(AND(ISNUMBER(I270),ISNUMBER(J270),J270&gt;0),I270/J270,"")</f>
        <v/>
      </c>
      <c r="L270" s="5" t="n">
        <v>1.484</v>
      </c>
      <c r="M270" s="5" t="n">
        <v>3.71</v>
      </c>
      <c r="N270" s="5" t="n">
        <v>0</v>
      </c>
      <c r="O270" s="5" t="inlineStr">
        <is>
          <t>parallel line pair</t>
        </is>
      </c>
      <c r="P270" s="5" t="inlineStr">
        <is>
          <t>two parallel lines at the width written in the LG label, empty inside</t>
        </is>
      </c>
      <c r="Q270" s="5">
        <f>IF(OR(D270="column",D270="wall"),IF(I270&lt;='P vs V'!$B$3*J270,"column","wall"),"")</f>
        <v/>
      </c>
      <c r="R270" s="5" t="inlineStr"/>
      <c r="S270" s="5" t="inlineStr"/>
      <c r="T270" s="5" t="n"/>
      <c r="U270" s="5" t="inlineStr">
        <is>
          <t>no</t>
        </is>
      </c>
      <c r="V270" s="5" t="inlineStr">
        <is>
          <t>no</t>
        </is>
      </c>
      <c r="W270" s="5" t="inlineStr">
        <is>
          <t>no</t>
        </is>
      </c>
      <c r="X270" s="5" t="inlineStr">
        <is>
          <t>no</t>
        </is>
      </c>
      <c r="Y270" s="5" t="inlineStr">
        <is>
          <t>no</t>
        </is>
      </c>
      <c r="Z270" s="5" t="inlineStr">
        <is>
          <t>no</t>
        </is>
      </c>
      <c r="AA270" s="5" t="n">
        <v>1.39</v>
      </c>
      <c r="AB270" s="5" t="n"/>
      <c r="AC270" s="5" t="n"/>
      <c r="AD270" s="5" t="n"/>
      <c r="AE270" s="5" t="n">
        <v>4615.5</v>
      </c>
      <c r="AF270" s="5" t="n">
        <v>2493.1</v>
      </c>
      <c r="AG270" s="5" t="n">
        <v>4725</v>
      </c>
      <c r="AH270" s="5" t="n">
        <v>2504.9</v>
      </c>
      <c r="AI270" s="5" t="inlineStr">
        <is>
          <t>n/a</t>
        </is>
      </c>
      <c r="AJ270" s="5" t="inlineStr"/>
      <c r="AK270" s="5" t="inlineStr"/>
      <c r="AL270" s="5" t="inlineStr"/>
      <c r="AM270" s="5" t="inlineStr"/>
    </row>
    <row r="271">
      <c r="A271" s="5" t="n">
        <v>270</v>
      </c>
      <c r="B271" s="5" t="inlineStr">
        <is>
          <t>122</t>
        </is>
      </c>
      <c r="C271" s="5" t="inlineStr">
        <is>
          <t>nearest labels (100% agree)</t>
        </is>
      </c>
      <c r="D271" s="5" t="inlineStr">
        <is>
          <t>grade_beam</t>
        </is>
      </c>
      <c r="E271" s="5" t="inlineStr">
        <is>
          <t>grade_beam</t>
        </is>
      </c>
      <c r="F271" s="5" t="inlineStr">
        <is>
          <t>LG40x15</t>
        </is>
      </c>
      <c r="G271" s="5" t="inlineStr"/>
      <c r="H271" s="5" t="inlineStr">
        <is>
          <t>band width matches label</t>
        </is>
      </c>
      <c r="I271" s="5" t="n">
        <v>190</v>
      </c>
      <c r="J271" s="5" t="n">
        <v>40</v>
      </c>
      <c r="K271" s="9">
        <f>IF(AND(ISNUMBER(I271),ISNUMBER(J271),J271&gt;0),I271/J271,"")</f>
        <v/>
      </c>
      <c r="L271" s="5" t="n">
        <v>0.759</v>
      </c>
      <c r="M271" s="5" t="n">
        <v>1.9</v>
      </c>
      <c r="N271" s="5" t="n">
        <v>0</v>
      </c>
      <c r="O271" s="5" t="inlineStr">
        <is>
          <t>parallel line pair</t>
        </is>
      </c>
      <c r="P271" s="5" t="inlineStr">
        <is>
          <t>two parallel lines at the width written in the LG label, empty inside</t>
        </is>
      </c>
      <c r="Q271" s="5">
        <f>IF(OR(D271="column",D271="wall"),IF(I271&lt;='P vs V'!$B$3*J271,"column","wall"),"")</f>
        <v/>
      </c>
      <c r="R271" s="5" t="inlineStr"/>
      <c r="S271" s="5" t="inlineStr"/>
      <c r="T271" s="5" t="n"/>
      <c r="U271" s="5" t="inlineStr">
        <is>
          <t>no</t>
        </is>
      </c>
      <c r="V271" s="5" t="inlineStr">
        <is>
          <t>no</t>
        </is>
      </c>
      <c r="W271" s="5" t="inlineStr">
        <is>
          <t>no</t>
        </is>
      </c>
      <c r="X271" s="5" t="inlineStr">
        <is>
          <t>no</t>
        </is>
      </c>
      <c r="Y271" s="5" t="inlineStr">
        <is>
          <t>no</t>
        </is>
      </c>
      <c r="Z271" s="5" t="inlineStr">
        <is>
          <t>no</t>
        </is>
      </c>
      <c r="AA271" s="5" t="n">
        <v>0</v>
      </c>
      <c r="AB271" s="5" t="n"/>
      <c r="AC271" s="5" t="n"/>
      <c r="AD271" s="5" t="n"/>
      <c r="AE271" s="5" t="n">
        <v>4213.9</v>
      </c>
      <c r="AF271" s="5" t="n">
        <v>2714</v>
      </c>
      <c r="AG271" s="5" t="n">
        <v>4269.9</v>
      </c>
      <c r="AH271" s="5" t="n">
        <v>2725.9</v>
      </c>
      <c r="AI271" s="5" t="inlineStr">
        <is>
          <t>n/a</t>
        </is>
      </c>
      <c r="AJ271" s="5" t="inlineStr"/>
      <c r="AK271" s="5" t="inlineStr"/>
      <c r="AL271" s="5" t="inlineStr"/>
      <c r="AM271" s="5" t="inlineStr"/>
    </row>
    <row r="272">
      <c r="A272" s="5" t="n">
        <v>271</v>
      </c>
      <c r="B272" s="5" t="inlineStr">
        <is>
          <t>122</t>
        </is>
      </c>
      <c r="C272" s="5" t="inlineStr">
        <is>
          <t>nearest labels (100% agree)</t>
        </is>
      </c>
      <c r="D272" s="5" t="inlineStr">
        <is>
          <t>grade_beam</t>
        </is>
      </c>
      <c r="E272" s="5" t="inlineStr">
        <is>
          <t>grade_beam</t>
        </is>
      </c>
      <c r="F272" s="5" t="inlineStr">
        <is>
          <t>LG40x15</t>
        </is>
      </c>
      <c r="G272" s="5" t="inlineStr"/>
      <c r="H272" s="5" t="inlineStr">
        <is>
          <t>band width matches label</t>
        </is>
      </c>
      <c r="I272" s="5" t="n">
        <v>571</v>
      </c>
      <c r="J272" s="5" t="n">
        <v>40</v>
      </c>
      <c r="K272" s="9">
        <f>IF(AND(ISNUMBER(I272),ISNUMBER(J272),J272&gt;0),I272/J272,"")</f>
        <v/>
      </c>
      <c r="L272" s="5" t="n">
        <v>2.284</v>
      </c>
      <c r="M272" s="5" t="n">
        <v>5.71</v>
      </c>
      <c r="N272" s="5" t="n">
        <v>0</v>
      </c>
      <c r="O272" s="5" t="inlineStr">
        <is>
          <t>parallel line pair</t>
        </is>
      </c>
      <c r="P272" s="5" t="inlineStr">
        <is>
          <t>two parallel lines at the width written in the LG label, empty inside</t>
        </is>
      </c>
      <c r="Q272" s="5">
        <f>IF(OR(D272="column",D272="wall"),IF(I272&lt;='P vs V'!$B$3*J272,"column","wall"),"")</f>
        <v/>
      </c>
      <c r="R272" s="5" t="inlineStr"/>
      <c r="S272" s="5" t="inlineStr"/>
      <c r="T272" s="5" t="n"/>
      <c r="U272" s="5" t="inlineStr">
        <is>
          <t>no</t>
        </is>
      </c>
      <c r="V272" s="5" t="inlineStr">
        <is>
          <t>no</t>
        </is>
      </c>
      <c r="W272" s="5" t="inlineStr">
        <is>
          <t>no</t>
        </is>
      </c>
      <c r="X272" s="5" t="inlineStr">
        <is>
          <t>no</t>
        </is>
      </c>
      <c r="Y272" s="5" t="inlineStr">
        <is>
          <t>no</t>
        </is>
      </c>
      <c r="Z272" s="5" t="inlineStr">
        <is>
          <t>yes</t>
        </is>
      </c>
      <c r="AA272" s="5" t="n">
        <v>0.02</v>
      </c>
      <c r="AB272" s="5" t="n"/>
      <c r="AC272" s="5" t="n"/>
      <c r="AD272" s="5" t="n"/>
      <c r="AE272" s="5" t="n">
        <v>4373.3</v>
      </c>
      <c r="AF272" s="5" t="n">
        <v>2714.1</v>
      </c>
      <c r="AG272" s="5" t="n">
        <v>4541.9</v>
      </c>
      <c r="AH272" s="5" t="n">
        <v>2726</v>
      </c>
      <c r="AI272" s="5" t="inlineStr">
        <is>
          <t>n/a</t>
        </is>
      </c>
      <c r="AJ272" s="5" t="inlineStr"/>
      <c r="AK272" s="5" t="inlineStr"/>
      <c r="AL272" s="5" t="inlineStr"/>
      <c r="AM272" s="5" t="inlineStr"/>
    </row>
    <row r="273">
      <c r="A273" s="5" t="n">
        <v>272</v>
      </c>
      <c r="B273" s="5" t="inlineStr">
        <is>
          <t>122</t>
        </is>
      </c>
      <c r="C273" s="5" t="inlineStr">
        <is>
          <t>nearest labels (80% agree)</t>
        </is>
      </c>
      <c r="D273" s="5" t="inlineStr">
        <is>
          <t>grade_beam</t>
        </is>
      </c>
      <c r="E273" s="5" t="inlineStr">
        <is>
          <t>grade_beam</t>
        </is>
      </c>
      <c r="F273" s="5" t="inlineStr">
        <is>
          <t>LG40x15</t>
        </is>
      </c>
      <c r="G273" s="5" t="inlineStr"/>
      <c r="H273" s="5" t="inlineStr">
        <is>
          <t>band width matches label</t>
        </is>
      </c>
      <c r="I273" s="5" t="n">
        <v>371</v>
      </c>
      <c r="J273" s="5" t="n">
        <v>40</v>
      </c>
      <c r="K273" s="9">
        <f>IF(AND(ISNUMBER(I273),ISNUMBER(J273),J273&gt;0),I273/J273,"")</f>
        <v/>
      </c>
      <c r="L273" s="5" t="n">
        <v>1.483</v>
      </c>
      <c r="M273" s="5" t="n">
        <v>3.71</v>
      </c>
      <c r="N273" s="5" t="n">
        <v>169.3</v>
      </c>
      <c r="O273" s="5" t="inlineStr">
        <is>
          <t>parallel line pair</t>
        </is>
      </c>
      <c r="P273" s="5" t="inlineStr">
        <is>
          <t>two parallel lines at the width written in the LG label, empty inside</t>
        </is>
      </c>
      <c r="Q273" s="5">
        <f>IF(OR(D273="column",D273="wall"),IF(I273&lt;='P vs V'!$B$3*J273,"column","wall"),"")</f>
        <v/>
      </c>
      <c r="R273" s="5" t="inlineStr"/>
      <c r="S273" s="5" t="inlineStr"/>
      <c r="T273" s="5" t="n"/>
      <c r="U273" s="5" t="inlineStr">
        <is>
          <t>no</t>
        </is>
      </c>
      <c r="V273" s="5" t="inlineStr">
        <is>
          <t>no</t>
        </is>
      </c>
      <c r="W273" s="5" t="inlineStr">
        <is>
          <t>yes</t>
        </is>
      </c>
      <c r="X273" s="5" t="inlineStr">
        <is>
          <t>no</t>
        </is>
      </c>
      <c r="Y273" s="5" t="inlineStr">
        <is>
          <t>no</t>
        </is>
      </c>
      <c r="Z273" s="5" t="inlineStr">
        <is>
          <t>no</t>
        </is>
      </c>
      <c r="AA273" s="5" t="n">
        <v>3.2</v>
      </c>
      <c r="AB273" s="5" t="n"/>
      <c r="AC273" s="5" t="n"/>
      <c r="AD273" s="5" t="n"/>
      <c r="AE273" s="5" t="n">
        <v>4481.6</v>
      </c>
      <c r="AF273" s="5" t="n">
        <v>3027.3</v>
      </c>
      <c r="AG273" s="5" t="n">
        <v>4591.4</v>
      </c>
      <c r="AH273" s="5" t="n">
        <v>3059.1</v>
      </c>
      <c r="AI273" s="5" t="inlineStr">
        <is>
          <t>n/a</t>
        </is>
      </c>
      <c r="AJ273" s="5" t="inlineStr"/>
      <c r="AK273" s="5" t="inlineStr"/>
      <c r="AL273" s="5" t="inlineStr"/>
      <c r="AM273" s="5" t="inlineStr"/>
    </row>
    <row r="274">
      <c r="A274" s="5" t="n">
        <v>273</v>
      </c>
      <c r="B274" s="5" t="inlineStr">
        <is>
          <t>122</t>
        </is>
      </c>
      <c r="C274" s="5" t="inlineStr">
        <is>
          <t>nearest labels (40% agree)</t>
        </is>
      </c>
      <c r="D274" s="5" t="inlineStr">
        <is>
          <t>grade_beam</t>
        </is>
      </c>
      <c r="E274" s="5" t="inlineStr">
        <is>
          <t>grade_beam</t>
        </is>
      </c>
      <c r="F274" s="5" t="inlineStr">
        <is>
          <t>LG40x15</t>
        </is>
      </c>
      <c r="G274" s="5" t="inlineStr"/>
      <c r="H274" s="5" t="inlineStr">
        <is>
          <t>band width matches label</t>
        </is>
      </c>
      <c r="I274" s="5" t="n">
        <v>132</v>
      </c>
      <c r="J274" s="5" t="n">
        <v>40</v>
      </c>
      <c r="K274" s="9">
        <f>IF(AND(ISNUMBER(I274),ISNUMBER(J274),J274&gt;0),I274/J274,"")</f>
        <v/>
      </c>
      <c r="L274" s="5" t="n">
        <v>0.53</v>
      </c>
      <c r="M274" s="5" t="n">
        <v>1.32</v>
      </c>
      <c r="N274" s="5" t="n">
        <v>169.3</v>
      </c>
      <c r="O274" s="5" t="inlineStr">
        <is>
          <t>parallel line pair</t>
        </is>
      </c>
      <c r="P274" s="5" t="inlineStr">
        <is>
          <t>two parallel lines at the width written in the LG label, empty inside</t>
        </is>
      </c>
      <c r="Q274" s="5">
        <f>IF(OR(D274="column",D274="wall"),IF(I274&lt;='P vs V'!$B$3*J274,"column","wall"),"")</f>
        <v/>
      </c>
      <c r="R274" s="5" t="inlineStr"/>
      <c r="S274" s="5" t="inlineStr"/>
      <c r="T274" s="5" t="n"/>
      <c r="U274" s="5" t="inlineStr">
        <is>
          <t>no</t>
        </is>
      </c>
      <c r="V274" s="5" t="inlineStr">
        <is>
          <t>no</t>
        </is>
      </c>
      <c r="W274" s="5" t="inlineStr">
        <is>
          <t>no</t>
        </is>
      </c>
      <c r="X274" s="5" t="inlineStr">
        <is>
          <t>no</t>
        </is>
      </c>
      <c r="Y274" s="5" t="inlineStr">
        <is>
          <t>no</t>
        </is>
      </c>
      <c r="Z274" s="5" t="inlineStr">
        <is>
          <t>no</t>
        </is>
      </c>
      <c r="AA274" s="5" t="n">
        <v>0.32</v>
      </c>
      <c r="AB274" s="5" t="n"/>
      <c r="AC274" s="5" t="n"/>
      <c r="AD274" s="5" t="n"/>
      <c r="AE274" s="5" t="n">
        <v>4312.6</v>
      </c>
      <c r="AF274" s="5" t="n">
        <v>3072.1</v>
      </c>
      <c r="AG274" s="5" t="n">
        <v>4353.2</v>
      </c>
      <c r="AH274" s="5" t="n">
        <v>3091</v>
      </c>
      <c r="AI274" s="5" t="inlineStr">
        <is>
          <t>n/a</t>
        </is>
      </c>
      <c r="AJ274" s="5" t="inlineStr"/>
      <c r="AK274" s="5" t="inlineStr"/>
      <c r="AL274" s="5" t="inlineStr"/>
      <c r="AM274" s="5" t="inlineStr"/>
    </row>
    <row r="275">
      <c r="A275" s="5" t="n">
        <v>274</v>
      </c>
      <c r="B275" s="5" t="inlineStr">
        <is>
          <t>122</t>
        </is>
      </c>
      <c r="C275" s="5" t="inlineStr">
        <is>
          <t>nearest labels (100% agree)</t>
        </is>
      </c>
      <c r="D275" s="5" t="inlineStr">
        <is>
          <t>grade_beam</t>
        </is>
      </c>
      <c r="E275" s="5" t="inlineStr">
        <is>
          <t>grade_beam</t>
        </is>
      </c>
      <c r="F275" s="5" t="inlineStr">
        <is>
          <t>LG40x15</t>
        </is>
      </c>
      <c r="G275" s="5" t="inlineStr"/>
      <c r="H275" s="5" t="inlineStr">
        <is>
          <t>band width matches label</t>
        </is>
      </c>
      <c r="I275" s="5" t="n">
        <v>788</v>
      </c>
      <c r="J275" s="5" t="n">
        <v>40</v>
      </c>
      <c r="K275" s="9">
        <f>IF(AND(ISNUMBER(I275),ISNUMBER(J275),J275&gt;0),I275/J275,"")</f>
        <v/>
      </c>
      <c r="L275" s="5" t="n">
        <v>3.153</v>
      </c>
      <c r="M275" s="5" t="n">
        <v>7.88</v>
      </c>
      <c r="N275" s="5" t="n">
        <v>90</v>
      </c>
      <c r="O275" s="5" t="inlineStr">
        <is>
          <t>parallel line pair</t>
        </is>
      </c>
      <c r="P275" s="5" t="inlineStr">
        <is>
          <t>two parallel lines at the width written in the LG label, empty inside</t>
        </is>
      </c>
      <c r="Q275" s="5">
        <f>IF(OR(D275="column",D275="wall"),IF(I275&lt;='P vs V'!$B$3*J275,"column","wall"),"")</f>
        <v/>
      </c>
      <c r="R275" s="5" t="inlineStr"/>
      <c r="S275" s="5" t="inlineStr"/>
      <c r="T275" s="5" t="n"/>
      <c r="U275" s="5" t="inlineStr">
        <is>
          <t>no</t>
        </is>
      </c>
      <c r="V275" s="5" t="inlineStr">
        <is>
          <t>no</t>
        </is>
      </c>
      <c r="W275" s="5" t="inlineStr">
        <is>
          <t>yes</t>
        </is>
      </c>
      <c r="X275" s="5" t="inlineStr">
        <is>
          <t>no</t>
        </is>
      </c>
      <c r="Y275" s="5" t="inlineStr">
        <is>
          <t>no</t>
        </is>
      </c>
      <c r="Z275" s="5" t="inlineStr">
        <is>
          <t>yes</t>
        </is>
      </c>
      <c r="AA275" s="5" t="n">
        <v>2.63</v>
      </c>
      <c r="AB275" s="5" t="n"/>
      <c r="AC275" s="5" t="n"/>
      <c r="AD275" s="5" t="n"/>
      <c r="AE275" s="5" t="n">
        <v>4766.7</v>
      </c>
      <c r="AF275" s="5" t="n">
        <v>2747.9</v>
      </c>
      <c r="AG275" s="5" t="n">
        <v>4778.7</v>
      </c>
      <c r="AH275" s="5" t="n">
        <v>2980.7</v>
      </c>
      <c r="AI275" s="5" t="inlineStr">
        <is>
          <t>n/a</t>
        </is>
      </c>
      <c r="AJ275" s="5" t="inlineStr"/>
      <c r="AK275" s="5" t="inlineStr"/>
      <c r="AL275" s="5" t="inlineStr"/>
      <c r="AM275" s="5" t="inlineStr"/>
    </row>
    <row r="276">
      <c r="A276" s="5" t="n">
        <v>275</v>
      </c>
      <c r="B276" s="5" t="inlineStr">
        <is>
          <t>122</t>
        </is>
      </c>
      <c r="C276" s="5" t="inlineStr">
        <is>
          <t>nearest labels (100% agree)</t>
        </is>
      </c>
      <c r="D276" s="5" t="inlineStr">
        <is>
          <t>grade_beam</t>
        </is>
      </c>
      <c r="E276" s="5" t="inlineStr">
        <is>
          <t>grade_beam</t>
        </is>
      </c>
      <c r="F276" s="5" t="inlineStr">
        <is>
          <t>LG40x15</t>
        </is>
      </c>
      <c r="G276" s="5" t="inlineStr"/>
      <c r="H276" s="5" t="inlineStr">
        <is>
          <t>band width matches label</t>
        </is>
      </c>
      <c r="I276" s="5" t="n">
        <v>512</v>
      </c>
      <c r="J276" s="5" t="n">
        <v>40</v>
      </c>
      <c r="K276" s="9">
        <f>IF(AND(ISNUMBER(I276),ISNUMBER(J276),J276&gt;0),I276/J276,"")</f>
        <v/>
      </c>
      <c r="L276" s="5" t="n">
        <v>2.048</v>
      </c>
      <c r="M276" s="5" t="n">
        <v>5.12</v>
      </c>
      <c r="N276" s="5" t="n">
        <v>0</v>
      </c>
      <c r="O276" s="5" t="inlineStr">
        <is>
          <t>parallel line pair</t>
        </is>
      </c>
      <c r="P276" s="5" t="inlineStr">
        <is>
          <t>two parallel lines at the width written in the LG label, empty inside</t>
        </is>
      </c>
      <c r="Q276" s="5">
        <f>IF(OR(D276="column",D276="wall"),IF(I276&lt;='P vs V'!$B$3*J276,"column","wall"),"")</f>
        <v/>
      </c>
      <c r="R276" s="5" t="inlineStr"/>
      <c r="S276" s="5" t="inlineStr"/>
      <c r="T276" s="5" t="n"/>
      <c r="U276" s="5" t="inlineStr">
        <is>
          <t>no</t>
        </is>
      </c>
      <c r="V276" s="5" t="inlineStr">
        <is>
          <t>no</t>
        </is>
      </c>
      <c r="W276" s="5" t="inlineStr">
        <is>
          <t>no</t>
        </is>
      </c>
      <c r="X276" s="5" t="inlineStr">
        <is>
          <t>no</t>
        </is>
      </c>
      <c r="Y276" s="5" t="inlineStr">
        <is>
          <t>no</t>
        </is>
      </c>
      <c r="Z276" s="5" t="inlineStr">
        <is>
          <t>yes</t>
        </is>
      </c>
      <c r="AA276" s="5" t="n">
        <v>1.43</v>
      </c>
      <c r="AB276" s="5" t="n"/>
      <c r="AC276" s="5" t="n"/>
      <c r="AD276" s="5" t="n"/>
      <c r="AE276" s="5" t="n">
        <v>4330.2</v>
      </c>
      <c r="AF276" s="5" t="n">
        <v>2609.4</v>
      </c>
      <c r="AG276" s="5" t="n">
        <v>4481.4</v>
      </c>
      <c r="AH276" s="5" t="n">
        <v>2621.3</v>
      </c>
      <c r="AI276" s="5" t="inlineStr">
        <is>
          <t>n/a</t>
        </is>
      </c>
      <c r="AJ276" s="5" t="inlineStr"/>
      <c r="AK276" s="5" t="inlineStr"/>
      <c r="AL276" s="5" t="inlineStr"/>
      <c r="AM276" s="5" t="inlineStr"/>
    </row>
    <row r="277">
      <c r="A277" s="5" t="n">
        <v>276</v>
      </c>
      <c r="B277" s="5" t="inlineStr">
        <is>
          <t>122</t>
        </is>
      </c>
      <c r="C277" s="5" t="inlineStr">
        <is>
          <t>nearest labels (100% agree)</t>
        </is>
      </c>
      <c r="D277" s="5" t="inlineStr">
        <is>
          <t>grade_beam</t>
        </is>
      </c>
      <c r="E277" s="5" t="inlineStr">
        <is>
          <t>grade_beam</t>
        </is>
      </c>
      <c r="F277" s="5" t="inlineStr">
        <is>
          <t>LG40x15</t>
        </is>
      </c>
      <c r="G277" s="5" t="inlineStr"/>
      <c r="H277" s="5" t="inlineStr">
        <is>
          <t>band width matches label</t>
        </is>
      </c>
      <c r="I277" s="5" t="n">
        <v>465</v>
      </c>
      <c r="J277" s="5" t="n">
        <v>40</v>
      </c>
      <c r="K277" s="9">
        <f>IF(AND(ISNUMBER(I277),ISNUMBER(J277),J277&gt;0),I277/J277,"")</f>
        <v/>
      </c>
      <c r="L277" s="5" t="n">
        <v>1.861</v>
      </c>
      <c r="M277" s="5" t="n">
        <v>4.65</v>
      </c>
      <c r="N277" s="5" t="n">
        <v>0</v>
      </c>
      <c r="O277" s="5" t="inlineStr">
        <is>
          <t>parallel line pair</t>
        </is>
      </c>
      <c r="P277" s="5" t="inlineStr">
        <is>
          <t>two parallel lines at the width written in the LG label, empty inside</t>
        </is>
      </c>
      <c r="Q277" s="5">
        <f>IF(OR(D277="column",D277="wall"),IF(I277&lt;='P vs V'!$B$3*J277,"column","wall"),"")</f>
        <v/>
      </c>
      <c r="R277" s="5" t="inlineStr"/>
      <c r="S277" s="5" t="inlineStr"/>
      <c r="T277" s="5" t="n"/>
      <c r="U277" s="5" t="inlineStr">
        <is>
          <t>no</t>
        </is>
      </c>
      <c r="V277" s="5" t="inlineStr">
        <is>
          <t>no</t>
        </is>
      </c>
      <c r="W277" s="5" t="inlineStr">
        <is>
          <t>no</t>
        </is>
      </c>
      <c r="X277" s="5" t="inlineStr">
        <is>
          <t>no</t>
        </is>
      </c>
      <c r="Y277" s="5" t="inlineStr">
        <is>
          <t>no</t>
        </is>
      </c>
      <c r="Z277" s="5" t="inlineStr">
        <is>
          <t>yes</t>
        </is>
      </c>
      <c r="AA277" s="5" t="n">
        <v>1.69</v>
      </c>
      <c r="AB277" s="5" t="n"/>
      <c r="AC277" s="5" t="n"/>
      <c r="AD277" s="5" t="n"/>
      <c r="AE277" s="5" t="n">
        <v>4629.4</v>
      </c>
      <c r="AF277" s="5" t="n">
        <v>2810.3</v>
      </c>
      <c r="AG277" s="5" t="n">
        <v>4766.8</v>
      </c>
      <c r="AH277" s="5" t="n">
        <v>2822.2</v>
      </c>
      <c r="AI277" s="5" t="inlineStr">
        <is>
          <t>n/a</t>
        </is>
      </c>
      <c r="AJ277" s="5" t="inlineStr"/>
      <c r="AK277" s="5" t="inlineStr"/>
      <c r="AL277" s="5" t="inlineStr"/>
      <c r="AM277" s="5" t="inlineStr"/>
    </row>
    <row r="278">
      <c r="A278" s="5" t="n">
        <v>277</v>
      </c>
      <c r="B278" s="5" t="inlineStr">
        <is>
          <t>122</t>
        </is>
      </c>
      <c r="C278" s="5" t="inlineStr">
        <is>
          <t>nearest labels (100% agree)</t>
        </is>
      </c>
      <c r="D278" s="5" t="inlineStr">
        <is>
          <t>grade_beam</t>
        </is>
      </c>
      <c r="E278" s="5" t="inlineStr">
        <is>
          <t>grade_beam</t>
        </is>
      </c>
      <c r="F278" s="5" t="inlineStr">
        <is>
          <t>LG40x15</t>
        </is>
      </c>
      <c r="G278" s="5" t="inlineStr"/>
      <c r="H278" s="5" t="inlineStr">
        <is>
          <t>band width matches label</t>
        </is>
      </c>
      <c r="I278" s="5" t="n">
        <v>408</v>
      </c>
      <c r="J278" s="5" t="n">
        <v>40</v>
      </c>
      <c r="K278" s="9">
        <f>IF(AND(ISNUMBER(I278),ISNUMBER(J278),J278&gt;0),I278/J278,"")</f>
        <v/>
      </c>
      <c r="L278" s="5" t="n">
        <v>1.632</v>
      </c>
      <c r="M278" s="5" t="n">
        <v>4.08</v>
      </c>
      <c r="N278" s="5" t="n">
        <v>52.1</v>
      </c>
      <c r="O278" s="5" t="inlineStr">
        <is>
          <t>parallel line pair</t>
        </is>
      </c>
      <c r="P278" s="5" t="inlineStr">
        <is>
          <t>two parallel lines at the width written in the LG label, empty inside</t>
        </is>
      </c>
      <c r="Q278" s="5">
        <f>IF(OR(D278="column",D278="wall"),IF(I278&lt;='P vs V'!$B$3*J278,"column","wall"),"")</f>
        <v/>
      </c>
      <c r="R278" s="5" t="inlineStr"/>
      <c r="S278" s="5" t="inlineStr"/>
      <c r="T278" s="5" t="n"/>
      <c r="U278" s="5" t="inlineStr">
        <is>
          <t>no</t>
        </is>
      </c>
      <c r="V278" s="5" t="inlineStr">
        <is>
          <t>no</t>
        </is>
      </c>
      <c r="W278" s="5" t="inlineStr">
        <is>
          <t>no</t>
        </is>
      </c>
      <c r="X278" s="5" t="inlineStr">
        <is>
          <t>no</t>
        </is>
      </c>
      <c r="Y278" s="5" t="inlineStr">
        <is>
          <t>no</t>
        </is>
      </c>
      <c r="Z278" s="5" t="inlineStr">
        <is>
          <t>no</t>
        </is>
      </c>
      <c r="AA278" s="5" t="n">
        <v>1.07</v>
      </c>
      <c r="AB278" s="5" t="n"/>
      <c r="AC278" s="5" t="n"/>
      <c r="AD278" s="5" t="n"/>
      <c r="AE278" s="5" t="n">
        <v>4325.3</v>
      </c>
      <c r="AF278" s="5" t="n">
        <v>2920.8</v>
      </c>
      <c r="AG278" s="5" t="n">
        <v>4408.6</v>
      </c>
      <c r="AH278" s="5" t="n">
        <v>3023.1</v>
      </c>
      <c r="AI278" s="5" t="inlineStr">
        <is>
          <t>n/a</t>
        </is>
      </c>
      <c r="AJ278" s="5" t="inlineStr"/>
      <c r="AK278" s="5" t="inlineStr"/>
      <c r="AL278" s="5" t="inlineStr"/>
      <c r="AM278" s="5" t="inlineStr"/>
    </row>
    <row r="279">
      <c r="A279" s="5" t="n">
        <v>278</v>
      </c>
      <c r="B279" s="5" t="inlineStr">
        <is>
          <t>122</t>
        </is>
      </c>
      <c r="C279" s="5" t="inlineStr">
        <is>
          <t>nearest labels (100% agree)</t>
        </is>
      </c>
      <c r="D279" s="5" t="inlineStr">
        <is>
          <t>grade_beam</t>
        </is>
      </c>
      <c r="E279" s="5" t="inlineStr">
        <is>
          <t>grade_beam</t>
        </is>
      </c>
      <c r="F279" s="5" t="inlineStr">
        <is>
          <t>LG40x15</t>
        </is>
      </c>
      <c r="G279" s="5" t="inlineStr"/>
      <c r="H279" s="5" t="inlineStr">
        <is>
          <t>band width matches label</t>
        </is>
      </c>
      <c r="I279" s="5" t="n">
        <v>343</v>
      </c>
      <c r="J279" s="5" t="n">
        <v>40</v>
      </c>
      <c r="K279" s="9">
        <f>IF(AND(ISNUMBER(I279),ISNUMBER(J279),J279&gt;0),I279/J279,"")</f>
        <v/>
      </c>
      <c r="L279" s="5" t="n">
        <v>1.372</v>
      </c>
      <c r="M279" s="5" t="n">
        <v>3.43</v>
      </c>
      <c r="N279" s="5" t="n">
        <v>93.90000000000001</v>
      </c>
      <c r="O279" s="5" t="inlineStr">
        <is>
          <t>parallel line pair</t>
        </is>
      </c>
      <c r="P279" s="5" t="inlineStr">
        <is>
          <t>two parallel lines at the width written in the LG label, empty inside</t>
        </is>
      </c>
      <c r="Q279" s="5">
        <f>IF(OR(D279="column",D279="wall"),IF(I279&lt;='P vs V'!$B$3*J279,"column","wall"),"")</f>
        <v/>
      </c>
      <c r="R279" s="5" t="inlineStr"/>
      <c r="S279" s="5" t="inlineStr"/>
      <c r="T279" s="5" t="n"/>
      <c r="U279" s="5" t="inlineStr">
        <is>
          <t>no</t>
        </is>
      </c>
      <c r="V279" s="5" t="inlineStr">
        <is>
          <t>no</t>
        </is>
      </c>
      <c r="W279" s="5" t="inlineStr">
        <is>
          <t>no</t>
        </is>
      </c>
      <c r="X279" s="5" t="inlineStr">
        <is>
          <t>no</t>
        </is>
      </c>
      <c r="Y279" s="5" t="inlineStr">
        <is>
          <t>no</t>
        </is>
      </c>
      <c r="Z279" s="5" t="inlineStr">
        <is>
          <t>no</t>
        </is>
      </c>
      <c r="AA279" s="5" t="n">
        <v>2.72</v>
      </c>
      <c r="AB279" s="5" t="n"/>
      <c r="AC279" s="5" t="n"/>
      <c r="AD279" s="5" t="n"/>
      <c r="AE279" s="5" t="n">
        <v>4303.4</v>
      </c>
      <c r="AF279" s="5" t="n">
        <v>2749.1</v>
      </c>
      <c r="AG279" s="5" t="n">
        <v>4322</v>
      </c>
      <c r="AH279" s="5" t="n">
        <v>2851</v>
      </c>
      <c r="AI279" s="5" t="inlineStr">
        <is>
          <t>n/a</t>
        </is>
      </c>
      <c r="AJ279" s="5" t="inlineStr"/>
      <c r="AK279" s="5" t="inlineStr"/>
      <c r="AL279" s="5" t="inlineStr"/>
      <c r="AM279" s="5" t="inlineStr"/>
    </row>
    <row r="280">
      <c r="A280" s="5" t="n">
        <v>279</v>
      </c>
      <c r="B280" s="5" t="inlineStr">
        <is>
          <t>122</t>
        </is>
      </c>
      <c r="C280" s="5" t="inlineStr">
        <is>
          <t>nearest labels (60% agree)</t>
        </is>
      </c>
      <c r="D280" s="5" t="inlineStr">
        <is>
          <t>grade_beam</t>
        </is>
      </c>
      <c r="E280" s="5" t="inlineStr">
        <is>
          <t>grade_beam</t>
        </is>
      </c>
      <c r="F280" s="5" t="inlineStr">
        <is>
          <t>LG40x15</t>
        </is>
      </c>
      <c r="G280" s="5" t="inlineStr"/>
      <c r="H280" s="5" t="inlineStr">
        <is>
          <t>band width matches label</t>
        </is>
      </c>
      <c r="I280" s="5" t="n">
        <v>354</v>
      </c>
      <c r="J280" s="5" t="n">
        <v>40</v>
      </c>
      <c r="K280" s="9">
        <f>IF(AND(ISNUMBER(I280),ISNUMBER(J280),J280&gt;0),I280/J280,"")</f>
        <v/>
      </c>
      <c r="L280" s="5" t="n">
        <v>1.417</v>
      </c>
      <c r="M280" s="5" t="n">
        <v>3.54</v>
      </c>
      <c r="N280" s="5" t="n">
        <v>0</v>
      </c>
      <c r="O280" s="5" t="inlineStr">
        <is>
          <t>parallel line pair</t>
        </is>
      </c>
      <c r="P280" s="5" t="inlineStr">
        <is>
          <t>two parallel lines at the width written in the LG label, empty inside</t>
        </is>
      </c>
      <c r="Q280" s="5">
        <f>IF(OR(D280="column",D280="wall"),IF(I280&lt;='P vs V'!$B$3*J280,"column","wall"),"")</f>
        <v/>
      </c>
      <c r="R280" s="5" t="inlineStr"/>
      <c r="S280" s="5" t="inlineStr"/>
      <c r="T280" s="5" t="n"/>
      <c r="U280" s="5" t="inlineStr">
        <is>
          <t>no</t>
        </is>
      </c>
      <c r="V280" s="5" t="inlineStr">
        <is>
          <t>no</t>
        </is>
      </c>
      <c r="W280" s="5" t="inlineStr">
        <is>
          <t>yes</t>
        </is>
      </c>
      <c r="X280" s="5" t="inlineStr">
        <is>
          <t>no</t>
        </is>
      </c>
      <c r="Y280" s="5" t="inlineStr">
        <is>
          <t>no</t>
        </is>
      </c>
      <c r="Z280" s="5" t="inlineStr">
        <is>
          <t>yes</t>
        </is>
      </c>
      <c r="AA280" s="5" t="n">
        <v>0.01</v>
      </c>
      <c r="AB280" s="5" t="n"/>
      <c r="AC280" s="5" t="n"/>
      <c r="AD280" s="5" t="n"/>
      <c r="AE280" s="5" t="n">
        <v>4165.8</v>
      </c>
      <c r="AF280" s="5" t="n">
        <v>2253.8</v>
      </c>
      <c r="AG280" s="5" t="n">
        <v>4270.4</v>
      </c>
      <c r="AH280" s="5" t="n">
        <v>2265.7</v>
      </c>
      <c r="AI280" s="5" t="inlineStr">
        <is>
          <t>n/a</t>
        </is>
      </c>
      <c r="AJ280" s="5" t="inlineStr"/>
      <c r="AK280" s="5" t="inlineStr"/>
      <c r="AL280" s="5" t="inlineStr"/>
      <c r="AM280" s="5" t="inlineStr"/>
    </row>
    <row r="281">
      <c r="A281" s="5" t="n">
        <v>280</v>
      </c>
      <c r="B281" s="5" t="inlineStr">
        <is>
          <t>122</t>
        </is>
      </c>
      <c r="C281" s="5" t="inlineStr">
        <is>
          <t>nearest labels (100% agree)</t>
        </is>
      </c>
      <c r="D281" s="5" t="inlineStr">
        <is>
          <t>grade_beam</t>
        </is>
      </c>
      <c r="E281" s="5" t="inlineStr">
        <is>
          <t>grade_beam</t>
        </is>
      </c>
      <c r="F281" s="5" t="inlineStr">
        <is>
          <t>LG40x15</t>
        </is>
      </c>
      <c r="G281" s="5" t="inlineStr"/>
      <c r="H281" s="5" t="inlineStr">
        <is>
          <t>band width matches label</t>
        </is>
      </c>
      <c r="I281" s="5" t="n">
        <v>354</v>
      </c>
      <c r="J281" s="5" t="n">
        <v>40</v>
      </c>
      <c r="K281" s="9">
        <f>IF(AND(ISNUMBER(I281),ISNUMBER(J281),J281&gt;0),I281/J281,"")</f>
        <v/>
      </c>
      <c r="L281" s="5" t="n">
        <v>1.416</v>
      </c>
      <c r="M281" s="5" t="n">
        <v>3.54</v>
      </c>
      <c r="N281" s="5" t="n">
        <v>0</v>
      </c>
      <c r="O281" s="5" t="inlineStr">
        <is>
          <t>parallel line pair</t>
        </is>
      </c>
      <c r="P281" s="5" t="inlineStr">
        <is>
          <t>two parallel lines at the width written in the LG label, empty inside</t>
        </is>
      </c>
      <c r="Q281" s="5">
        <f>IF(OR(D281="column",D281="wall"),IF(I281&lt;='P vs V'!$B$3*J281,"column","wall"),"")</f>
        <v/>
      </c>
      <c r="R281" s="5" t="inlineStr"/>
      <c r="S281" s="5" t="inlineStr"/>
      <c r="T281" s="5" t="n"/>
      <c r="U281" s="5" t="inlineStr">
        <is>
          <t>no</t>
        </is>
      </c>
      <c r="V281" s="5" t="inlineStr">
        <is>
          <t>no</t>
        </is>
      </c>
      <c r="W281" s="5" t="inlineStr">
        <is>
          <t>yes</t>
        </is>
      </c>
      <c r="X281" s="5" t="inlineStr">
        <is>
          <t>no</t>
        </is>
      </c>
      <c r="Y281" s="5" t="inlineStr">
        <is>
          <t>no</t>
        </is>
      </c>
      <c r="Z281" s="5" t="inlineStr">
        <is>
          <t>yes</t>
        </is>
      </c>
      <c r="AA281" s="5" t="n">
        <v>1.72</v>
      </c>
      <c r="AB281" s="5" t="n"/>
      <c r="AC281" s="5" t="n"/>
      <c r="AD281" s="5" t="n"/>
      <c r="AE281" s="5" t="n">
        <v>4165.6</v>
      </c>
      <c r="AF281" s="5" t="n">
        <v>2484.2</v>
      </c>
      <c r="AG281" s="5" t="n">
        <v>4270.2</v>
      </c>
      <c r="AH281" s="5" t="n">
        <v>2496</v>
      </c>
      <c r="AI281" s="5" t="inlineStr">
        <is>
          <t>n/a</t>
        </is>
      </c>
      <c r="AJ281" s="5" t="inlineStr"/>
      <c r="AK281" s="5" t="inlineStr"/>
      <c r="AL281" s="5" t="inlineStr"/>
      <c r="AM281" s="5" t="inlineStr"/>
    </row>
    <row r="282">
      <c r="A282" s="5" t="n">
        <v>281</v>
      </c>
      <c r="B282" s="5" t="inlineStr">
        <is>
          <t>122</t>
        </is>
      </c>
      <c r="C282" s="5" t="inlineStr">
        <is>
          <t>nearest labels (100% agree)</t>
        </is>
      </c>
      <c r="D282" s="5" t="inlineStr">
        <is>
          <t>grade_beam</t>
        </is>
      </c>
      <c r="E282" s="5" t="inlineStr">
        <is>
          <t>grade_beam</t>
        </is>
      </c>
      <c r="F282" s="5" t="inlineStr">
        <is>
          <t>LG40x15</t>
        </is>
      </c>
      <c r="G282" s="5" t="inlineStr"/>
      <c r="H282" s="5" t="inlineStr">
        <is>
          <t>band width matches label</t>
        </is>
      </c>
      <c r="I282" s="5" t="n">
        <v>63</v>
      </c>
      <c r="J282" s="5" t="n">
        <v>40</v>
      </c>
      <c r="K282" s="9">
        <f>IF(AND(ISNUMBER(I282),ISNUMBER(J282),J282&gt;0),I282/J282,"")</f>
        <v/>
      </c>
      <c r="L282" s="5" t="n">
        <v>0.252</v>
      </c>
      <c r="M282" s="5" t="n">
        <v>0.63</v>
      </c>
      <c r="N282" s="5" t="n">
        <v>90</v>
      </c>
      <c r="O282" s="5" t="inlineStr">
        <is>
          <t>parallel line pair</t>
        </is>
      </c>
      <c r="P282" s="5" t="inlineStr">
        <is>
          <t>two parallel lines at the width written in the LG label, empty inside</t>
        </is>
      </c>
      <c r="Q282" s="5">
        <f>IF(OR(D282="column",D282="wall"),IF(I282&lt;='P vs V'!$B$3*J282,"column","wall"),"")</f>
        <v/>
      </c>
      <c r="R282" s="5" t="inlineStr"/>
      <c r="S282" s="5" t="inlineStr"/>
      <c r="T282" s="5" t="n"/>
      <c r="U282" s="5" t="inlineStr">
        <is>
          <t>no</t>
        </is>
      </c>
      <c r="V282" s="5" t="inlineStr">
        <is>
          <t>no</t>
        </is>
      </c>
      <c r="W282" s="5" t="inlineStr">
        <is>
          <t>no</t>
        </is>
      </c>
      <c r="X282" s="5" t="inlineStr">
        <is>
          <t>no</t>
        </is>
      </c>
      <c r="Y282" s="5" t="inlineStr">
        <is>
          <t>no</t>
        </is>
      </c>
      <c r="Z282" s="5" t="inlineStr">
        <is>
          <t>no</t>
        </is>
      </c>
      <c r="AA282" s="5" t="n">
        <v>0.97</v>
      </c>
      <c r="AB282" s="5" t="n"/>
      <c r="AC282" s="5" t="n"/>
      <c r="AD282" s="5" t="n"/>
      <c r="AE282" s="5" t="n">
        <v>4582.5</v>
      </c>
      <c r="AF282" s="5" t="n">
        <v>2738.7</v>
      </c>
      <c r="AG282" s="5" t="n">
        <v>4594.3</v>
      </c>
      <c r="AH282" s="5" t="n">
        <v>2757.3</v>
      </c>
      <c r="AI282" s="5" t="inlineStr">
        <is>
          <t>n/a</t>
        </is>
      </c>
      <c r="AJ282" s="5" t="inlineStr"/>
      <c r="AK282" s="5" t="inlineStr"/>
      <c r="AL282" s="5" t="inlineStr"/>
      <c r="AM282" s="5" t="inlineStr"/>
    </row>
    <row r="283">
      <c r="A283" s="5" t="n">
        <v>282</v>
      </c>
      <c r="B283" s="5" t="inlineStr">
        <is>
          <t>122</t>
        </is>
      </c>
      <c r="C283" s="5" t="inlineStr">
        <is>
          <t>nearest labels (80% agree)</t>
        </is>
      </c>
      <c r="D283" s="5" t="inlineStr">
        <is>
          <t>grade_beam</t>
        </is>
      </c>
      <c r="E283" s="5" t="inlineStr">
        <is>
          <t>grade_beam</t>
        </is>
      </c>
      <c r="F283" s="5" t="inlineStr">
        <is>
          <t>LG40x15</t>
        </is>
      </c>
      <c r="G283" s="5" t="inlineStr"/>
      <c r="H283" s="5" t="inlineStr">
        <is>
          <t>band width matches label</t>
        </is>
      </c>
      <c r="I283" s="5" t="n">
        <v>99</v>
      </c>
      <c r="J283" s="5" t="n">
        <v>40</v>
      </c>
      <c r="K283" s="9">
        <f>IF(AND(ISNUMBER(I283),ISNUMBER(J283),J283&gt;0),I283/J283,"")</f>
        <v/>
      </c>
      <c r="L283" s="5" t="n">
        <v>0.397</v>
      </c>
      <c r="M283" s="5" t="n">
        <v>0.99</v>
      </c>
      <c r="N283" s="5" t="n">
        <v>169.4</v>
      </c>
      <c r="O283" s="5" t="inlineStr">
        <is>
          <t>parallel line pair</t>
        </is>
      </c>
      <c r="P283" s="5" t="inlineStr">
        <is>
          <t>two parallel lines at the width written in the LG label, empty inside</t>
        </is>
      </c>
      <c r="Q283" s="5">
        <f>IF(OR(D283="column",D283="wall"),IF(I283&lt;='P vs V'!$B$3*J283,"column","wall"),"")</f>
        <v/>
      </c>
      <c r="R283" s="5" t="inlineStr"/>
      <c r="S283" s="5" t="inlineStr"/>
      <c r="T283" s="5" t="n"/>
      <c r="U283" s="5" t="inlineStr">
        <is>
          <t>no</t>
        </is>
      </c>
      <c r="V283" s="5" t="inlineStr">
        <is>
          <t>no</t>
        </is>
      </c>
      <c r="W283" s="5" t="inlineStr">
        <is>
          <t>no</t>
        </is>
      </c>
      <c r="X283" s="5" t="inlineStr">
        <is>
          <t>no</t>
        </is>
      </c>
      <c r="Y283" s="5" t="inlineStr">
        <is>
          <t>no</t>
        </is>
      </c>
      <c r="Z283" s="5" t="inlineStr">
        <is>
          <t>no</t>
        </is>
      </c>
      <c r="AA283" s="5" t="n">
        <v>2.26</v>
      </c>
      <c r="AB283" s="5" t="n"/>
      <c r="AC283" s="5" t="n"/>
      <c r="AD283" s="5" t="n"/>
      <c r="AE283" s="5" t="n">
        <v>4239.2</v>
      </c>
      <c r="AF283" s="5" t="n">
        <v>2888.6</v>
      </c>
      <c r="AG283" s="5" t="n">
        <v>4270.1</v>
      </c>
      <c r="AH283" s="5" t="n">
        <v>2905.6</v>
      </c>
      <c r="AI283" s="5" t="inlineStr">
        <is>
          <t>n/a</t>
        </is>
      </c>
      <c r="AJ283" s="5" t="inlineStr"/>
      <c r="AK283" s="5" t="inlineStr"/>
      <c r="AL283" s="5" t="inlineStr"/>
      <c r="AM283" s="5" t="inlineStr"/>
    </row>
    <row r="284">
      <c r="A284" s="5" t="n">
        <v>283</v>
      </c>
      <c r="B284" s="5" t="inlineStr">
        <is>
          <t>122</t>
        </is>
      </c>
      <c r="C284" s="5" t="inlineStr">
        <is>
          <t>nearest labels (80% agree)</t>
        </is>
      </c>
      <c r="D284" s="5" t="inlineStr">
        <is>
          <t>strip_footing</t>
        </is>
      </c>
      <c r="E284" s="5" t="inlineStr">
        <is>
          <t>strip_footing</t>
        </is>
      </c>
      <c r="F284" s="5" t="inlineStr">
        <is>
          <t>SF1</t>
        </is>
      </c>
      <c r="G284" s="5" t="inlineStr"/>
      <c r="H284" s="5" t="inlineStr">
        <is>
          <t>band width matches label</t>
        </is>
      </c>
      <c r="I284" s="5" t="n">
        <v>751</v>
      </c>
      <c r="J284" s="5" t="n">
        <v>80</v>
      </c>
      <c r="K284" s="9">
        <f>IF(AND(ISNUMBER(I284),ISNUMBER(J284),J284&gt;0),I284/J284,"")</f>
        <v/>
      </c>
      <c r="L284" s="5" t="n">
        <v>6.005</v>
      </c>
      <c r="M284" s="5" t="n">
        <v>7.51</v>
      </c>
      <c r="N284" s="5" t="n">
        <v>179.9</v>
      </c>
      <c r="O284" s="5" t="inlineStr">
        <is>
          <t>parallel line pair</t>
        </is>
      </c>
      <c r="P284" s="5" t="inlineStr">
        <is>
          <t>two parallel lines at the width written in the SF label, a wall inside</t>
        </is>
      </c>
      <c r="Q284" s="5">
        <f>IF(OR(D284="column",D284="wall"),IF(I284&lt;='P vs V'!$B$3*J284,"column","wall"),"")</f>
        <v/>
      </c>
      <c r="R284" s="5" t="inlineStr"/>
      <c r="S284" s="5" t="inlineStr"/>
      <c r="T284" s="5" t="n"/>
      <c r="U284" s="5" t="inlineStr">
        <is>
          <t>no</t>
        </is>
      </c>
      <c r="V284" s="5" t="inlineStr">
        <is>
          <t>no</t>
        </is>
      </c>
      <c r="W284" s="5" t="inlineStr">
        <is>
          <t>yes</t>
        </is>
      </c>
      <c r="X284" s="5" t="inlineStr">
        <is>
          <t>yes</t>
        </is>
      </c>
      <c r="Y284" s="5" t="inlineStr">
        <is>
          <t>yes</t>
        </is>
      </c>
      <c r="Z284" s="5" t="inlineStr">
        <is>
          <t>no</t>
        </is>
      </c>
      <c r="AA284" s="5" t="n">
        <v>0.74</v>
      </c>
      <c r="AB284" s="5" t="n"/>
      <c r="AC284" s="5" t="n"/>
      <c r="AD284" s="5" t="n"/>
      <c r="AE284" s="5" t="n">
        <v>4502.9</v>
      </c>
      <c r="AF284" s="5" t="n">
        <v>2225.4</v>
      </c>
      <c r="AG284" s="5" t="n">
        <v>4724.6</v>
      </c>
      <c r="AH284" s="5" t="n">
        <v>2249.5</v>
      </c>
      <c r="AI284" s="5" t="inlineStr">
        <is>
          <t>n/a</t>
        </is>
      </c>
      <c r="AJ284" s="5" t="inlineStr"/>
      <c r="AK284" s="5" t="inlineStr"/>
      <c r="AL284" s="5" t="inlineStr"/>
      <c r="AM284" s="5" t="inlineStr"/>
    </row>
    <row r="285">
      <c r="A285" s="5" t="n">
        <v>284</v>
      </c>
      <c r="B285" s="5" t="inlineStr">
        <is>
          <t>122</t>
        </is>
      </c>
      <c r="C285" s="5" t="inlineStr">
        <is>
          <t>nearest labels (100% agree)</t>
        </is>
      </c>
      <c r="D285" s="5" t="inlineStr">
        <is>
          <t>strip_footing</t>
        </is>
      </c>
      <c r="E285" s="5" t="inlineStr">
        <is>
          <t>strip_footing</t>
        </is>
      </c>
      <c r="F285" s="5" t="inlineStr">
        <is>
          <t>SF1</t>
        </is>
      </c>
      <c r="G285" s="5" t="inlineStr"/>
      <c r="H285" s="5" t="inlineStr">
        <is>
          <t>band width matches label</t>
        </is>
      </c>
      <c r="I285" s="5" t="n">
        <v>370</v>
      </c>
      <c r="J285" s="5" t="n">
        <v>80</v>
      </c>
      <c r="K285" s="9">
        <f>IF(AND(ISNUMBER(I285),ISNUMBER(J285),J285&gt;0),I285/J285,"")</f>
        <v/>
      </c>
      <c r="L285" s="5" t="n">
        <v>2.96</v>
      </c>
      <c r="M285" s="5" t="n">
        <v>3.7</v>
      </c>
      <c r="N285" s="5" t="n">
        <v>90</v>
      </c>
      <c r="O285" s="5" t="inlineStr">
        <is>
          <t>parallel line pair</t>
        </is>
      </c>
      <c r="P285" s="5" t="inlineStr">
        <is>
          <t>two parallel lines at the width written in the SF label, a wall inside</t>
        </is>
      </c>
      <c r="Q285" s="5">
        <f>IF(OR(D285="column",D285="wall"),IF(I285&lt;='P vs V'!$B$3*J285,"column","wall"),"")</f>
        <v/>
      </c>
      <c r="R285" s="5" t="inlineStr"/>
      <c r="S285" s="5" t="inlineStr"/>
      <c r="T285" s="5" t="n"/>
      <c r="U285" s="5" t="inlineStr">
        <is>
          <t>no</t>
        </is>
      </c>
      <c r="V285" s="5" t="inlineStr">
        <is>
          <t>no</t>
        </is>
      </c>
      <c r="W285" s="5" t="inlineStr">
        <is>
          <t>yes</t>
        </is>
      </c>
      <c r="X285" s="5" t="inlineStr">
        <is>
          <t>yes</t>
        </is>
      </c>
      <c r="Y285" s="5" t="inlineStr">
        <is>
          <t>no</t>
        </is>
      </c>
      <c r="Z285" s="5" t="inlineStr">
        <is>
          <t>no</t>
        </is>
      </c>
      <c r="AA285" s="5" t="n">
        <v>4.1</v>
      </c>
      <c r="AB285" s="5" t="n"/>
      <c r="AC285" s="5" t="n"/>
      <c r="AD285" s="5" t="n"/>
      <c r="AE285" s="5" t="n">
        <v>4758.4</v>
      </c>
      <c r="AF285" s="5" t="n">
        <v>2364.2</v>
      </c>
      <c r="AG285" s="5" t="n">
        <v>4782.1</v>
      </c>
      <c r="AH285" s="5" t="n">
        <v>2473.4</v>
      </c>
      <c r="AI285" s="5" t="inlineStr">
        <is>
          <t>n/a</t>
        </is>
      </c>
      <c r="AJ285" s="5" t="inlineStr"/>
      <c r="AK285" s="5" t="inlineStr"/>
      <c r="AL285" s="5" t="inlineStr"/>
      <c r="AM285" s="5" t="inlineStr"/>
    </row>
    <row r="286">
      <c r="A286" s="5" t="n">
        <v>285</v>
      </c>
      <c r="B286" s="5" t="inlineStr">
        <is>
          <t>122</t>
        </is>
      </c>
      <c r="C286" s="5" t="inlineStr">
        <is>
          <t>nearest labels (100% agree)</t>
        </is>
      </c>
      <c r="D286" s="5" t="inlineStr">
        <is>
          <t>strip_footing</t>
        </is>
      </c>
      <c r="E286" s="5" t="inlineStr">
        <is>
          <t>strip_footing</t>
        </is>
      </c>
      <c r="F286" s="5" t="inlineStr">
        <is>
          <t>SF1</t>
        </is>
      </c>
      <c r="G286" s="5" t="inlineStr"/>
      <c r="H286" s="5" t="inlineStr">
        <is>
          <t>band width matches label</t>
        </is>
      </c>
      <c r="I286" s="5" t="n">
        <v>306</v>
      </c>
      <c r="J286" s="5" t="n">
        <v>80</v>
      </c>
      <c r="K286" s="9">
        <f>IF(AND(ISNUMBER(I286),ISNUMBER(J286),J286&gt;0),I286/J286,"")</f>
        <v/>
      </c>
      <c r="L286" s="5" t="n">
        <v>2.448</v>
      </c>
      <c r="M286" s="5" t="n">
        <v>3.06</v>
      </c>
      <c r="N286" s="5" t="n">
        <v>0</v>
      </c>
      <c r="O286" s="5" t="inlineStr">
        <is>
          <t>parallel line pair</t>
        </is>
      </c>
      <c r="P286" s="5" t="inlineStr">
        <is>
          <t>two parallel lines at the width written in the SF label, a wall inside</t>
        </is>
      </c>
      <c r="Q286" s="5">
        <f>IF(OR(D286="column",D286="wall"),IF(I286&lt;='P vs V'!$B$3*J286,"column","wall"),"")</f>
        <v/>
      </c>
      <c r="R286" s="5" t="inlineStr"/>
      <c r="S286" s="5" t="inlineStr"/>
      <c r="T286" s="5" t="n"/>
      <c r="U286" s="5" t="inlineStr">
        <is>
          <t>no</t>
        </is>
      </c>
      <c r="V286" s="5" t="inlineStr">
        <is>
          <t>no</t>
        </is>
      </c>
      <c r="W286" s="5" t="inlineStr">
        <is>
          <t>yes</t>
        </is>
      </c>
      <c r="X286" s="5" t="inlineStr">
        <is>
          <t>yes</t>
        </is>
      </c>
      <c r="Y286" s="5" t="inlineStr">
        <is>
          <t>no</t>
        </is>
      </c>
      <c r="Z286" s="5" t="inlineStr">
        <is>
          <t>no</t>
        </is>
      </c>
      <c r="AA286" s="5" t="n">
        <v>1.47</v>
      </c>
      <c r="AB286" s="5" t="n"/>
      <c r="AC286" s="5" t="n"/>
      <c r="AD286" s="5" t="n"/>
      <c r="AE286" s="5" t="n">
        <v>4813.6</v>
      </c>
      <c r="AF286" s="5" t="n">
        <v>2484.6</v>
      </c>
      <c r="AG286" s="5" t="n">
        <v>4904</v>
      </c>
      <c r="AH286" s="5" t="n">
        <v>2508.3</v>
      </c>
      <c r="AI286" s="5" t="inlineStr">
        <is>
          <t>n/a</t>
        </is>
      </c>
      <c r="AJ286" s="5" t="inlineStr"/>
      <c r="AK286" s="5" t="inlineStr"/>
      <c r="AL286" s="5" t="inlineStr"/>
      <c r="AM286" s="5" t="inlineStr"/>
    </row>
    <row r="287">
      <c r="A287" s="5" t="n">
        <v>286</v>
      </c>
      <c r="B287" s="5" t="inlineStr">
        <is>
          <t>122</t>
        </is>
      </c>
      <c r="C287" s="5" t="inlineStr">
        <is>
          <t>nearest labels (100% agree)</t>
        </is>
      </c>
      <c r="D287" s="5" t="inlineStr">
        <is>
          <t>strip_footing</t>
        </is>
      </c>
      <c r="E287" s="5" t="inlineStr">
        <is>
          <t>strip_footing</t>
        </is>
      </c>
      <c r="F287" s="5" t="inlineStr">
        <is>
          <t>SF1</t>
        </is>
      </c>
      <c r="G287" s="5" t="inlineStr"/>
      <c r="H287" s="5" t="inlineStr">
        <is>
          <t>band width matches label</t>
        </is>
      </c>
      <c r="I287" s="5" t="n">
        <v>231</v>
      </c>
      <c r="J287" s="5" t="n">
        <v>80</v>
      </c>
      <c r="K287" s="9">
        <f>IF(AND(ISNUMBER(I287),ISNUMBER(J287),J287&gt;0),I287/J287,"")</f>
        <v/>
      </c>
      <c r="L287" s="5" t="n">
        <v>1.846</v>
      </c>
      <c r="M287" s="5" t="n">
        <v>2.31</v>
      </c>
      <c r="N287" s="5" t="n">
        <v>90.09999999999999</v>
      </c>
      <c r="O287" s="5" t="inlineStr">
        <is>
          <t>parallel line pair</t>
        </is>
      </c>
      <c r="P287" s="5" t="inlineStr">
        <is>
          <t>two parallel lines at the width written in the SF label, a wall inside</t>
        </is>
      </c>
      <c r="Q287" s="5">
        <f>IF(OR(D287="column",D287="wall"),IF(I287&lt;='P vs V'!$B$3*J287,"column","wall"),"")</f>
        <v/>
      </c>
      <c r="R287" s="5" t="inlineStr"/>
      <c r="S287" s="5" t="inlineStr"/>
      <c r="T287" s="5" t="n"/>
      <c r="U287" s="5" t="inlineStr">
        <is>
          <t>no</t>
        </is>
      </c>
      <c r="V287" s="5" t="inlineStr">
        <is>
          <t>no</t>
        </is>
      </c>
      <c r="W287" s="5" t="inlineStr">
        <is>
          <t>yes</t>
        </is>
      </c>
      <c r="X287" s="5" t="inlineStr">
        <is>
          <t>yes</t>
        </is>
      </c>
      <c r="Y287" s="5" t="inlineStr">
        <is>
          <t>yes</t>
        </is>
      </c>
      <c r="Z287" s="5" t="inlineStr">
        <is>
          <t>no</t>
        </is>
      </c>
      <c r="AA287" s="5" t="n">
        <v>1.25</v>
      </c>
      <c r="AB287" s="5" t="n"/>
      <c r="AC287" s="5" t="n"/>
      <c r="AD287" s="5" t="n"/>
      <c r="AE287" s="5" t="n">
        <v>5005.6</v>
      </c>
      <c r="AF287" s="5" t="n">
        <v>2542.4</v>
      </c>
      <c r="AG287" s="5" t="n">
        <v>5029.2</v>
      </c>
      <c r="AH287" s="5" t="n">
        <v>2610.5</v>
      </c>
      <c r="AI287" s="5" t="inlineStr">
        <is>
          <t>n/a</t>
        </is>
      </c>
      <c r="AJ287" s="5" t="inlineStr"/>
      <c r="AK287" s="5" t="inlineStr"/>
      <c r="AL287" s="5" t="inlineStr"/>
      <c r="AM287" s="5" t="inlineStr"/>
    </row>
    <row r="288">
      <c r="A288" s="5" t="n">
        <v>287</v>
      </c>
      <c r="B288" s="5" t="inlineStr">
        <is>
          <t>122</t>
        </is>
      </c>
      <c r="C288" s="5" t="inlineStr">
        <is>
          <t>nearest labels (80% agree)</t>
        </is>
      </c>
      <c r="D288" s="5" t="inlineStr">
        <is>
          <t>strip_footing</t>
        </is>
      </c>
      <c r="E288" s="5" t="inlineStr">
        <is>
          <t>strip_footing</t>
        </is>
      </c>
      <c r="F288" s="5" t="inlineStr">
        <is>
          <t>SF1</t>
        </is>
      </c>
      <c r="G288" s="5" t="inlineStr"/>
      <c r="H288" s="5" t="inlineStr">
        <is>
          <t>band width matches label</t>
        </is>
      </c>
      <c r="I288" s="5" t="n">
        <v>130</v>
      </c>
      <c r="J288" s="5" t="n">
        <v>80</v>
      </c>
      <c r="K288" s="9">
        <f>IF(AND(ISNUMBER(I288),ISNUMBER(J288),J288&gt;0),I288/J288,"")</f>
        <v/>
      </c>
      <c r="L288" s="5" t="n">
        <v>1.04</v>
      </c>
      <c r="M288" s="5" t="n">
        <v>1.3</v>
      </c>
      <c r="N288" s="5" t="n">
        <v>90</v>
      </c>
      <c r="O288" s="5" t="inlineStr">
        <is>
          <t>parallel line pair</t>
        </is>
      </c>
      <c r="P288" s="5" t="inlineStr">
        <is>
          <t>two parallel lines at the width written in the SF label, a wall inside</t>
        </is>
      </c>
      <c r="Q288" s="5">
        <f>IF(OR(D288="column",D288="wall"),IF(I288&lt;='P vs V'!$B$3*J288,"column","wall"),"")</f>
        <v/>
      </c>
      <c r="R288" s="5" t="inlineStr"/>
      <c r="S288" s="5" t="inlineStr"/>
      <c r="T288" s="5" t="n"/>
      <c r="U288" s="5" t="inlineStr">
        <is>
          <t>no</t>
        </is>
      </c>
      <c r="V288" s="5" t="inlineStr">
        <is>
          <t>no</t>
        </is>
      </c>
      <c r="W288" s="5" t="inlineStr">
        <is>
          <t>yes</t>
        </is>
      </c>
      <c r="X288" s="5" t="inlineStr">
        <is>
          <t>yes</t>
        </is>
      </c>
      <c r="Y288" s="5" t="inlineStr">
        <is>
          <t>no</t>
        </is>
      </c>
      <c r="Z288" s="5" t="inlineStr">
        <is>
          <t>no</t>
        </is>
      </c>
      <c r="AA288" s="5" t="n">
        <v>1.79</v>
      </c>
      <c r="AB288" s="5" t="n"/>
      <c r="AC288" s="5" t="n"/>
      <c r="AD288" s="5" t="n"/>
      <c r="AE288" s="5" t="n">
        <v>4758.5</v>
      </c>
      <c r="AF288" s="5" t="n">
        <v>2186.9</v>
      </c>
      <c r="AG288" s="5" t="n">
        <v>4782.1</v>
      </c>
      <c r="AH288" s="5" t="n">
        <v>2225.3</v>
      </c>
      <c r="AI288" s="5" t="inlineStr">
        <is>
          <t>n/a</t>
        </is>
      </c>
      <c r="AJ288" s="5" t="inlineStr"/>
      <c r="AK288" s="5" t="inlineStr"/>
      <c r="AL288" s="5" t="inlineStr"/>
      <c r="AM288" s="5" t="inlineStr"/>
    </row>
    <row r="289">
      <c r="A289" s="5" t="n">
        <v>288</v>
      </c>
      <c r="B289" s="5" t="inlineStr">
        <is>
          <t>122</t>
        </is>
      </c>
      <c r="C289" s="5" t="inlineStr">
        <is>
          <t>nearest labels (80% agree)</t>
        </is>
      </c>
      <c r="D289" s="5" t="inlineStr">
        <is>
          <t>strip_footing</t>
        </is>
      </c>
      <c r="E289" s="5" t="inlineStr">
        <is>
          <t>strip_footing</t>
        </is>
      </c>
      <c r="F289" s="5" t="inlineStr">
        <is>
          <t>SF1</t>
        </is>
      </c>
      <c r="G289" s="5" t="inlineStr"/>
      <c r="H289" s="5" t="inlineStr">
        <is>
          <t>band width matches label</t>
        </is>
      </c>
      <c r="I289" s="5" t="n">
        <v>125</v>
      </c>
      <c r="J289" s="5" t="n">
        <v>80</v>
      </c>
      <c r="K289" s="9">
        <f>IF(AND(ISNUMBER(I289),ISNUMBER(J289),J289&gt;0),I289/J289,"")</f>
        <v/>
      </c>
      <c r="L289" s="5" t="n">
        <v>1.001</v>
      </c>
      <c r="M289" s="5" t="n">
        <v>1.25</v>
      </c>
      <c r="N289" s="5" t="n">
        <v>79.3</v>
      </c>
      <c r="O289" s="5" t="inlineStr">
        <is>
          <t>parallel line pair</t>
        </is>
      </c>
      <c r="P289" s="5" t="inlineStr">
        <is>
          <t>two parallel lines at the width written in the SF label, a wall inside</t>
        </is>
      </c>
      <c r="Q289" s="5">
        <f>IF(OR(D289="column",D289="wall"),IF(I289&lt;='P vs V'!$B$3*J289,"column","wall"),"")</f>
        <v/>
      </c>
      <c r="R289" s="5" t="inlineStr">
        <is>
          <t>SC2</t>
        </is>
      </c>
      <c r="S289" s="5" t="inlineStr"/>
      <c r="T289" s="5" t="n"/>
      <c r="U289" s="5" t="inlineStr">
        <is>
          <t>no</t>
        </is>
      </c>
      <c r="V289" s="5" t="inlineStr">
        <is>
          <t>no</t>
        </is>
      </c>
      <c r="W289" s="5" t="inlineStr">
        <is>
          <t>yes</t>
        </is>
      </c>
      <c r="X289" s="5" t="inlineStr">
        <is>
          <t>yes</t>
        </is>
      </c>
      <c r="Y289" s="5" t="inlineStr">
        <is>
          <t>yes</t>
        </is>
      </c>
      <c r="Z289" s="5" t="inlineStr">
        <is>
          <t>yes</t>
        </is>
      </c>
      <c r="AA289" s="5" t="n">
        <v>3.65</v>
      </c>
      <c r="AB289" s="5" t="n"/>
      <c r="AC289" s="5" t="n"/>
      <c r="AD289" s="5" t="n"/>
      <c r="AE289" s="5" t="n">
        <v>4195</v>
      </c>
      <c r="AF289" s="5" t="n">
        <v>2878.3</v>
      </c>
      <c r="AG289" s="5" t="n">
        <v>4225</v>
      </c>
      <c r="AH289" s="5" t="n">
        <v>2919</v>
      </c>
      <c r="AI289" s="5" t="inlineStr">
        <is>
          <t>n/a</t>
        </is>
      </c>
      <c r="AJ289" s="5" t="inlineStr"/>
      <c r="AK289" s="5" t="inlineStr"/>
      <c r="AL289" s="5" t="inlineStr"/>
      <c r="AM289" s="5" t="inlineStr"/>
    </row>
    <row r="290">
      <c r="A290" s="5" t="n">
        <v>289</v>
      </c>
      <c r="B290" s="5" t="inlineStr">
        <is>
          <t>122</t>
        </is>
      </c>
      <c r="C290" s="5" t="inlineStr">
        <is>
          <t>nearest labels (80% agree)</t>
        </is>
      </c>
      <c r="D290" s="5" t="inlineStr">
        <is>
          <t>strip_footing</t>
        </is>
      </c>
      <c r="E290" s="5" t="inlineStr">
        <is>
          <t>strip_footing</t>
        </is>
      </c>
      <c r="F290" s="5" t="inlineStr">
        <is>
          <t>SF1</t>
        </is>
      </c>
      <c r="G290" s="5" t="inlineStr"/>
      <c r="H290" s="5" t="inlineStr">
        <is>
          <t>band width matches label</t>
        </is>
      </c>
      <c r="I290" s="5" t="n">
        <v>96</v>
      </c>
      <c r="J290" s="5" t="n">
        <v>80</v>
      </c>
      <c r="K290" s="9">
        <f>IF(AND(ISNUMBER(I290),ISNUMBER(J290),J290&gt;0),I290/J290,"")</f>
        <v/>
      </c>
      <c r="L290" s="5" t="n">
        <v>0.769</v>
      </c>
      <c r="M290" s="5" t="n">
        <v>0.96</v>
      </c>
      <c r="N290" s="5" t="n">
        <v>79.3</v>
      </c>
      <c r="O290" s="5" t="inlineStr">
        <is>
          <t>parallel line pair</t>
        </is>
      </c>
      <c r="P290" s="5" t="inlineStr">
        <is>
          <t>two parallel lines at the width written in the SF label, a wall inside</t>
        </is>
      </c>
      <c r="Q290" s="5">
        <f>IF(OR(D290="column",D290="wall"),IF(I290&lt;='P vs V'!$B$3*J290,"column","wall"),"")</f>
        <v/>
      </c>
      <c r="R290" s="5" t="inlineStr">
        <is>
          <t>S2</t>
        </is>
      </c>
      <c r="S290" s="5" t="inlineStr"/>
      <c r="T290" s="5" t="n"/>
      <c r="U290" s="5" t="inlineStr">
        <is>
          <t>no</t>
        </is>
      </c>
      <c r="V290" s="5" t="inlineStr">
        <is>
          <t>no</t>
        </is>
      </c>
      <c r="W290" s="5" t="inlineStr">
        <is>
          <t>yes</t>
        </is>
      </c>
      <c r="X290" s="5" t="inlineStr">
        <is>
          <t>yes</t>
        </is>
      </c>
      <c r="Y290" s="5" t="inlineStr">
        <is>
          <t>yes</t>
        </is>
      </c>
      <c r="Z290" s="5" t="inlineStr">
        <is>
          <t>yes</t>
        </is>
      </c>
      <c r="AA290" s="5" t="n">
        <v>1.06</v>
      </c>
      <c r="AB290" s="5" t="n"/>
      <c r="AC290" s="5" t="n"/>
      <c r="AD290" s="5" t="n"/>
      <c r="AE290" s="5" t="n">
        <v>4168</v>
      </c>
      <c r="AF290" s="5" t="n">
        <v>2735.2</v>
      </c>
      <c r="AG290" s="5" t="n">
        <v>4196.5</v>
      </c>
      <c r="AH290" s="5" t="n">
        <v>2767.5</v>
      </c>
      <c r="AI290" s="5" t="inlineStr">
        <is>
          <t>n/a</t>
        </is>
      </c>
      <c r="AJ290" s="5" t="inlineStr"/>
      <c r="AK290" s="5" t="inlineStr"/>
      <c r="AL290" s="5" t="inlineStr"/>
      <c r="AM290" s="5" t="inlineStr"/>
    </row>
    <row r="291">
      <c r="A291" s="5" t="n">
        <v>290</v>
      </c>
      <c r="B291" s="5" t="inlineStr">
        <is>
          <t>122</t>
        </is>
      </c>
      <c r="C291" s="5" t="inlineStr">
        <is>
          <t>nearest labels (40% agree)</t>
        </is>
      </c>
      <c r="D291" s="5" t="inlineStr">
        <is>
          <t>strip_footing</t>
        </is>
      </c>
      <c r="E291" s="5" t="inlineStr">
        <is>
          <t>strip_footing</t>
        </is>
      </c>
      <c r="F291" s="5" t="inlineStr">
        <is>
          <t>SF4</t>
        </is>
      </c>
      <c r="G291" s="5" t="inlineStr"/>
      <c r="H291" s="5" t="inlineStr">
        <is>
          <t>band width matches label</t>
        </is>
      </c>
      <c r="I291" s="5" t="n">
        <v>288</v>
      </c>
      <c r="J291" s="5" t="n">
        <v>120</v>
      </c>
      <c r="K291" s="9">
        <f>IF(AND(ISNUMBER(I291),ISNUMBER(J291),J291&gt;0),I291/J291,"")</f>
        <v/>
      </c>
      <c r="L291" s="5" t="n">
        <v>3.459</v>
      </c>
      <c r="M291" s="5" t="n">
        <v>2.88</v>
      </c>
      <c r="N291" s="5" t="n">
        <v>179.9</v>
      </c>
      <c r="O291" s="5" t="inlineStr">
        <is>
          <t>parallel line pair</t>
        </is>
      </c>
      <c r="P291" s="5" t="inlineStr">
        <is>
          <t>two parallel lines at the width written in the SF label, a wall inside</t>
        </is>
      </c>
      <c r="Q291" s="5">
        <f>IF(OR(D291="column",D291="wall"),IF(I291&lt;='P vs V'!$B$3*J291,"column","wall"),"")</f>
        <v/>
      </c>
      <c r="R291" s="5" t="inlineStr"/>
      <c r="S291" s="5" t="inlineStr"/>
      <c r="T291" s="5" t="n"/>
      <c r="U291" s="5" t="inlineStr">
        <is>
          <t>no</t>
        </is>
      </c>
      <c r="V291" s="5" t="inlineStr">
        <is>
          <t>no</t>
        </is>
      </c>
      <c r="W291" s="5" t="inlineStr">
        <is>
          <t>yes</t>
        </is>
      </c>
      <c r="X291" s="5" t="inlineStr">
        <is>
          <t>yes</t>
        </is>
      </c>
      <c r="Y291" s="5" t="inlineStr">
        <is>
          <t>no</t>
        </is>
      </c>
      <c r="Z291" s="5" t="inlineStr">
        <is>
          <t>no</t>
        </is>
      </c>
      <c r="AA291" s="5" t="n">
        <v>4.14</v>
      </c>
      <c r="AB291" s="5" t="n"/>
      <c r="AC291" s="5" t="n"/>
      <c r="AD291" s="5" t="n"/>
      <c r="AE291" s="5" t="n">
        <v>4610.3</v>
      </c>
      <c r="AF291" s="5" t="n">
        <v>2119.1</v>
      </c>
      <c r="AG291" s="5" t="n">
        <v>4695.5</v>
      </c>
      <c r="AH291" s="5" t="n">
        <v>2154.7</v>
      </c>
      <c r="AI291" s="5" t="inlineStr">
        <is>
          <t>n/a</t>
        </is>
      </c>
      <c r="AJ291" s="5" t="inlineStr"/>
      <c r="AK291" s="5" t="inlineStr"/>
      <c r="AL291" s="5" t="inlineStr"/>
      <c r="AM291" s="5" t="inlineStr"/>
    </row>
    <row r="292">
      <c r="A292" s="5" t="n">
        <v>291</v>
      </c>
      <c r="B292" s="5" t="inlineStr">
        <is>
          <t>122</t>
        </is>
      </c>
      <c r="C292" s="5" t="inlineStr">
        <is>
          <t>nearest labels (100% agree)</t>
        </is>
      </c>
      <c r="D292" s="5" t="inlineStr">
        <is>
          <t>strip_footing</t>
        </is>
      </c>
      <c r="E292" s="5" t="inlineStr">
        <is>
          <t>strip_footing</t>
        </is>
      </c>
      <c r="F292" s="5" t="inlineStr">
        <is>
          <t>SF4</t>
        </is>
      </c>
      <c r="G292" s="5" t="inlineStr"/>
      <c r="H292" s="5" t="inlineStr">
        <is>
          <t>band width matches label</t>
        </is>
      </c>
      <c r="I292" s="5" t="n">
        <v>75</v>
      </c>
      <c r="J292" s="5" t="n">
        <v>120</v>
      </c>
      <c r="K292" s="9">
        <f>IF(AND(ISNUMBER(I292),ISNUMBER(J292),J292&gt;0),I292/J292,"")</f>
        <v/>
      </c>
      <c r="L292" s="5" t="n">
        <v>0.899</v>
      </c>
      <c r="M292" s="5" t="n">
        <v>0.75</v>
      </c>
      <c r="N292" s="5" t="n">
        <v>79.3</v>
      </c>
      <c r="O292" s="5" t="inlineStr">
        <is>
          <t>parallel line pair</t>
        </is>
      </c>
      <c r="P292" s="5" t="inlineStr">
        <is>
          <t>two parallel lines at the width written in the SF label, a wall inside</t>
        </is>
      </c>
      <c r="Q292" s="5">
        <f>IF(OR(D292="column",D292="wall"),IF(I292&lt;='P vs V'!$B$3*J292,"column","wall"),"")</f>
        <v/>
      </c>
      <c r="R292" s="5" t="inlineStr">
        <is>
          <t>S2</t>
        </is>
      </c>
      <c r="S292" s="5" t="inlineStr"/>
      <c r="T292" s="5" t="n"/>
      <c r="U292" s="5" t="inlineStr">
        <is>
          <t>no</t>
        </is>
      </c>
      <c r="V292" s="5" t="inlineStr">
        <is>
          <t>no</t>
        </is>
      </c>
      <c r="W292" s="5" t="inlineStr">
        <is>
          <t>yes</t>
        </is>
      </c>
      <c r="X292" s="5" t="inlineStr">
        <is>
          <t>yes</t>
        </is>
      </c>
      <c r="Y292" s="5" t="inlineStr">
        <is>
          <t>yes</t>
        </is>
      </c>
      <c r="Z292" s="5" t="inlineStr">
        <is>
          <t>yes</t>
        </is>
      </c>
      <c r="AA292" s="5" t="n">
        <v>0.14</v>
      </c>
      <c r="AB292" s="5" t="n"/>
      <c r="AC292" s="5" t="n"/>
      <c r="AD292" s="5" t="n"/>
      <c r="AE292" s="5" t="n">
        <v>4150.1</v>
      </c>
      <c r="AF292" s="5" t="n">
        <v>2696.4</v>
      </c>
      <c r="AG292" s="5" t="n">
        <v>4178.4</v>
      </c>
      <c r="AH292" s="5" t="n">
        <v>2735.3</v>
      </c>
      <c r="AI292" s="5" t="inlineStr">
        <is>
          <t>n/a</t>
        </is>
      </c>
      <c r="AJ292" s="5" t="inlineStr"/>
      <c r="AK292" s="5" t="inlineStr"/>
      <c r="AL292" s="5" t="inlineStr"/>
      <c r="AM292" s="5" t="inlineStr"/>
    </row>
    <row r="293">
      <c r="A293" s="5" t="n">
        <v>292</v>
      </c>
      <c r="B293" s="5" t="inlineStr">
        <is>
          <t>122</t>
        </is>
      </c>
      <c r="C293" s="5" t="inlineStr">
        <is>
          <t>nearest labels (100% agree)</t>
        </is>
      </c>
      <c r="D293" s="5" t="inlineStr">
        <is>
          <t>raft</t>
        </is>
      </c>
      <c r="E293" s="5" t="inlineStr">
        <is>
          <t>raft</t>
        </is>
      </c>
      <c r="F293" s="5" t="inlineStr">
        <is>
          <t>Radier 100</t>
        </is>
      </c>
      <c r="G293" s="5" t="inlineStr">
        <is>
          <t>Radier</t>
        </is>
      </c>
      <c r="H293" s="5" t="inlineStr">
        <is>
          <t>printed</t>
        </is>
      </c>
      <c r="I293" s="5" t="n">
        <v>1200</v>
      </c>
      <c r="J293" s="5" t="n">
        <v>699</v>
      </c>
      <c r="K293" s="9">
        <f>IF(AND(ISNUMBER(I293),ISNUMBER(J293),J293&gt;0),I293/J293,"")</f>
        <v/>
      </c>
      <c r="L293" s="5" t="n">
        <v>77.81699999999999</v>
      </c>
      <c r="M293" s="5" t="n"/>
      <c r="N293" s="5" t="n">
        <v>0</v>
      </c>
      <c r="O293" s="5" t="inlineStr">
        <is>
          <t>stamp + corner diagonals</t>
        </is>
      </c>
      <c r="P293" s="5" t="inlineStr">
        <is>
          <t>'Radier' stamp; extent from the corner diagonals that stop at the stamp</t>
        </is>
      </c>
      <c r="Q293" s="5">
        <f>IF(OR(D293="column",D293="wall"),IF(I293&lt;='P vs V'!$B$3*J293,"column","wall"),"")</f>
        <v/>
      </c>
      <c r="R293" s="5" t="inlineStr"/>
      <c r="S293" s="5" t="inlineStr"/>
      <c r="T293" s="5" t="n"/>
      <c r="U293" s="5" t="inlineStr">
        <is>
          <t>no</t>
        </is>
      </c>
      <c r="V293" s="5" t="inlineStr">
        <is>
          <t>yes</t>
        </is>
      </c>
      <c r="W293" s="5" t="inlineStr">
        <is>
          <t>yes</t>
        </is>
      </c>
      <c r="X293" s="5" t="inlineStr">
        <is>
          <t>no</t>
        </is>
      </c>
      <c r="Y293" s="5" t="inlineStr">
        <is>
          <t>yes</t>
        </is>
      </c>
      <c r="Z293" s="5" t="inlineStr">
        <is>
          <t>no</t>
        </is>
      </c>
      <c r="AA293" s="5" t="n">
        <v>0.93</v>
      </c>
      <c r="AB293" s="5" t="n"/>
      <c r="AC293" s="5" t="n"/>
      <c r="AD293" s="5" t="n">
        <v>100</v>
      </c>
      <c r="AE293" s="5" t="n">
        <v>4689.4</v>
      </c>
      <c r="AF293" s="5" t="n">
        <v>2581.1</v>
      </c>
      <c r="AG293" s="5" t="n">
        <v>5043.7</v>
      </c>
      <c r="AH293" s="5" t="n">
        <v>2787.7</v>
      </c>
      <c r="AI293" s="5" t="inlineStr">
        <is>
          <t>n/a</t>
        </is>
      </c>
      <c r="AJ293" s="5" t="inlineStr"/>
      <c r="AK293" s="5" t="inlineStr"/>
      <c r="AL293" s="5" t="inlineStr"/>
      <c r="AM293" s="5" t="inlineStr"/>
    </row>
    <row r="294">
      <c r="A294" s="5" t="n">
        <v>293</v>
      </c>
      <c r="B294" s="5" t="inlineStr">
        <is>
          <t>123</t>
        </is>
      </c>
      <c r="C294" s="5" t="inlineStr">
        <is>
          <t>nearest labels (60% agree)</t>
        </is>
      </c>
      <c r="D294" s="5" t="inlineStr">
        <is>
          <t>wall</t>
        </is>
      </c>
      <c r="E294" s="5" t="inlineStr">
        <is>
          <t>core_wall_solid</t>
        </is>
      </c>
      <c r="F294" s="5" t="inlineStr">
        <is>
          <t>(none)</t>
        </is>
      </c>
      <c r="G294" s="5" t="inlineStr"/>
      <c r="H294" s="5" t="inlineStr">
        <is>
          <t>none</t>
        </is>
      </c>
      <c r="I294" s="5" t="n">
        <v>233</v>
      </c>
      <c r="J294" s="5" t="n">
        <v>25</v>
      </c>
      <c r="K294" s="9">
        <f>IF(AND(ISNUMBER(I294),ISNUMBER(J294),J294&gt;0),I294/J294,"")</f>
        <v/>
      </c>
      <c r="L294" s="5" t="n">
        <v>0.588</v>
      </c>
      <c r="M294" s="5" t="n"/>
      <c r="N294" s="5" t="n">
        <v>79.2</v>
      </c>
      <c r="O294" s="5" t="inlineStr">
        <is>
          <t>solid fill</t>
        </is>
      </c>
      <c r="P294" s="5" t="inlineStr">
        <is>
          <t>straight stretch of a thin filled outline with bends (pair of parallel faces)</t>
        </is>
      </c>
      <c r="Q294" s="5">
        <f>IF(OR(D294="column",D294="wall"),IF(I294&lt;='P vs V'!$B$3*J294,"column","wall"),"")</f>
        <v/>
      </c>
      <c r="R294" s="5" t="inlineStr"/>
      <c r="S294" s="5" t="inlineStr"/>
      <c r="T294" s="5" t="n"/>
      <c r="U294" s="5" t="inlineStr">
        <is>
          <t>yes</t>
        </is>
      </c>
      <c r="V294" s="5" t="inlineStr">
        <is>
          <t>no</t>
        </is>
      </c>
      <c r="W294" s="5" t="inlineStr">
        <is>
          <t>yes</t>
        </is>
      </c>
      <c r="X294" s="5" t="inlineStr">
        <is>
          <t>no</t>
        </is>
      </c>
      <c r="Y294" s="5" t="inlineStr">
        <is>
          <t>no</t>
        </is>
      </c>
      <c r="Z294" s="5" t="inlineStr">
        <is>
          <t>no</t>
        </is>
      </c>
      <c r="AA294" s="5" t="n">
        <v>1.93</v>
      </c>
      <c r="AB294" s="5" t="n"/>
      <c r="AC294" s="5" t="n"/>
      <c r="AD294" s="5" t="n"/>
      <c r="AE294" s="5" t="n">
        <v>4773.3</v>
      </c>
      <c r="AF294" s="5" t="n">
        <v>2998.8</v>
      </c>
      <c r="AG294" s="5" t="n">
        <v>4793.5</v>
      </c>
      <c r="AH294" s="5" t="n">
        <v>3067.7</v>
      </c>
      <c r="AI294" s="5" t="inlineStr">
        <is>
          <t>new</t>
        </is>
      </c>
      <c r="AJ294" s="5" t="inlineStr"/>
      <c r="AK294" s="5" t="inlineStr">
        <is>
          <t>piece of a wall network the colour pipeline left unsplit</t>
        </is>
      </c>
      <c r="AL294" s="5" t="inlineStr"/>
      <c r="AM294" s="5" t="inlineStr"/>
    </row>
    <row r="295">
      <c r="A295" s="5" t="n">
        <v>294</v>
      </c>
      <c r="B295" s="5" t="inlineStr">
        <is>
          <t>123</t>
        </is>
      </c>
      <c r="C295" s="5" t="inlineStr">
        <is>
          <t>nearest labels (60% agree)</t>
        </is>
      </c>
      <c r="D295" s="5" t="inlineStr">
        <is>
          <t>wall</t>
        </is>
      </c>
      <c r="E295" s="5" t="inlineStr">
        <is>
          <t>core_wall_solid</t>
        </is>
      </c>
      <c r="F295" s="5" t="inlineStr">
        <is>
          <t>(none)</t>
        </is>
      </c>
      <c r="G295" s="5" t="inlineStr"/>
      <c r="H295" s="5" t="inlineStr">
        <is>
          <t>none</t>
        </is>
      </c>
      <c r="I295" s="5" t="n">
        <v>299</v>
      </c>
      <c r="J295" s="5" t="n">
        <v>25</v>
      </c>
      <c r="K295" s="9">
        <f>IF(AND(ISNUMBER(I295),ISNUMBER(J295),J295&gt;0),I295/J295,"")</f>
        <v/>
      </c>
      <c r="L295" s="5" t="n">
        <v>0.752</v>
      </c>
      <c r="M295" s="5" t="n"/>
      <c r="N295" s="5" t="n">
        <v>79.3</v>
      </c>
      <c r="O295" s="5" t="inlineStr">
        <is>
          <t>solid fill</t>
        </is>
      </c>
      <c r="P295" s="5" t="inlineStr">
        <is>
          <t>straight stretch of a thin filled outline with bends (pair of parallel faces)</t>
        </is>
      </c>
      <c r="Q295" s="5">
        <f>IF(OR(D295="column",D295="wall"),IF(I295&lt;='P vs V'!$B$3*J295,"column","wall"),"")</f>
        <v/>
      </c>
      <c r="R295" s="5" t="inlineStr"/>
      <c r="S295" s="5" t="inlineStr"/>
      <c r="T295" s="5" t="n"/>
      <c r="U295" s="5" t="inlineStr">
        <is>
          <t>yes</t>
        </is>
      </c>
      <c r="V295" s="5" t="inlineStr">
        <is>
          <t>no</t>
        </is>
      </c>
      <c r="W295" s="5" t="inlineStr">
        <is>
          <t>yes</t>
        </is>
      </c>
      <c r="X295" s="5" t="inlineStr">
        <is>
          <t>no</t>
        </is>
      </c>
      <c r="Y295" s="5" t="inlineStr">
        <is>
          <t>no</t>
        </is>
      </c>
      <c r="Z295" s="5" t="inlineStr">
        <is>
          <t>no</t>
        </is>
      </c>
      <c r="AA295" s="5" t="n">
        <v>0.47</v>
      </c>
      <c r="AB295" s="5" t="n"/>
      <c r="AC295" s="5" t="n"/>
      <c r="AD295" s="5" t="n"/>
      <c r="AE295" s="5" t="n">
        <v>4706.4</v>
      </c>
      <c r="AF295" s="5" t="n">
        <v>3026.4</v>
      </c>
      <c r="AG295" s="5" t="n">
        <v>4730.1</v>
      </c>
      <c r="AH295" s="5" t="n">
        <v>3114.5</v>
      </c>
      <c r="AI295" s="5" t="inlineStr">
        <is>
          <t>new</t>
        </is>
      </c>
      <c r="AJ295" s="5" t="inlineStr"/>
      <c r="AK295" s="5" t="inlineStr">
        <is>
          <t>piece of a wall network the colour pipeline left unsplit</t>
        </is>
      </c>
      <c r="AL295" s="5" t="inlineStr"/>
      <c r="AM295" s="5" t="inlineStr"/>
    </row>
    <row r="296">
      <c r="A296" s="5" t="n">
        <v>295</v>
      </c>
      <c r="B296" s="5" t="inlineStr">
        <is>
          <t>123</t>
        </is>
      </c>
      <c r="C296" s="5" t="inlineStr">
        <is>
          <t>nearest labels (60% agree)</t>
        </is>
      </c>
      <c r="D296" s="5" t="inlineStr">
        <is>
          <t>wall</t>
        </is>
      </c>
      <c r="E296" s="5" t="inlineStr">
        <is>
          <t>core_wall_solid</t>
        </is>
      </c>
      <c r="F296" s="5" t="inlineStr">
        <is>
          <t>(none)</t>
        </is>
      </c>
      <c r="G296" s="5" t="inlineStr"/>
      <c r="H296" s="5" t="inlineStr">
        <is>
          <t>none</t>
        </is>
      </c>
      <c r="I296" s="5" t="n">
        <v>234</v>
      </c>
      <c r="J296" s="5" t="n">
        <v>25</v>
      </c>
      <c r="K296" s="9">
        <f>IF(AND(ISNUMBER(I296),ISNUMBER(J296),J296&gt;0),I296/J296,"")</f>
        <v/>
      </c>
      <c r="L296" s="5" t="n">
        <v>0.589</v>
      </c>
      <c r="M296" s="5" t="n"/>
      <c r="N296" s="5" t="n">
        <v>169.3</v>
      </c>
      <c r="O296" s="5" t="inlineStr">
        <is>
          <t>solid fill</t>
        </is>
      </c>
      <c r="P296" s="5" t="inlineStr">
        <is>
          <t>straight stretch of a thin filled outline with bends (pair of parallel faces)</t>
        </is>
      </c>
      <c r="Q296" s="5">
        <f>IF(OR(D296="column",D296="wall"),IF(I296&lt;='P vs V'!$B$3*J296,"column","wall"),"")</f>
        <v/>
      </c>
      <c r="R296" s="5" t="inlineStr"/>
      <c r="S296" s="5" t="inlineStr"/>
      <c r="T296" s="5" t="n"/>
      <c r="U296" s="5" t="inlineStr">
        <is>
          <t>yes</t>
        </is>
      </c>
      <c r="V296" s="5" t="inlineStr">
        <is>
          <t>no</t>
        </is>
      </c>
      <c r="W296" s="5" t="inlineStr">
        <is>
          <t>yes</t>
        </is>
      </c>
      <c r="X296" s="5" t="inlineStr">
        <is>
          <t>no</t>
        </is>
      </c>
      <c r="Y296" s="5" t="inlineStr">
        <is>
          <t>no</t>
        </is>
      </c>
      <c r="Z296" s="5" t="inlineStr">
        <is>
          <t>no</t>
        </is>
      </c>
      <c r="AA296" s="5" t="n">
        <v>0.89</v>
      </c>
      <c r="AB296" s="5" t="n"/>
      <c r="AC296" s="5" t="n"/>
      <c r="AD296" s="5" t="n"/>
      <c r="AE296" s="5" t="n">
        <v>4654.9</v>
      </c>
      <c r="AF296" s="5" t="n">
        <v>3114.7</v>
      </c>
      <c r="AG296" s="5" t="n">
        <v>4724.2</v>
      </c>
      <c r="AH296" s="5" t="n">
        <v>3134.8</v>
      </c>
      <c r="AI296" s="5" t="inlineStr">
        <is>
          <t>new</t>
        </is>
      </c>
      <c r="AJ296" s="5" t="inlineStr"/>
      <c r="AK296" s="5" t="inlineStr">
        <is>
          <t>piece of a wall network the colour pipeline left unsplit</t>
        </is>
      </c>
      <c r="AL296" s="5" t="inlineStr"/>
      <c r="AM296" s="5" t="inlineStr"/>
    </row>
    <row r="297">
      <c r="A297" s="5" t="n">
        <v>296</v>
      </c>
      <c r="B297" s="5" t="inlineStr">
        <is>
          <t>123</t>
        </is>
      </c>
      <c r="C297" s="5" t="inlineStr">
        <is>
          <t>nearest labels (60% agree)</t>
        </is>
      </c>
      <c r="D297" s="5" t="inlineStr">
        <is>
          <t>wall</t>
        </is>
      </c>
      <c r="E297" s="5" t="inlineStr">
        <is>
          <t>core_wall_solid</t>
        </is>
      </c>
      <c r="F297" s="5" t="inlineStr">
        <is>
          <t>(none)</t>
        </is>
      </c>
      <c r="G297" s="5" t="inlineStr"/>
      <c r="H297" s="5" t="inlineStr">
        <is>
          <t>none</t>
        </is>
      </c>
      <c r="I297" s="5" t="n">
        <v>175</v>
      </c>
      <c r="J297" s="5" t="n">
        <v>25</v>
      </c>
      <c r="K297" s="9">
        <f>IF(AND(ISNUMBER(I297),ISNUMBER(J297),J297&gt;0),I297/J297,"")</f>
        <v/>
      </c>
      <c r="L297" s="5" t="n">
        <v>0.441</v>
      </c>
      <c r="M297" s="5" t="n"/>
      <c r="N297" s="5" t="n">
        <v>79.2</v>
      </c>
      <c r="O297" s="5" t="inlineStr">
        <is>
          <t>solid fill</t>
        </is>
      </c>
      <c r="P297" s="5" t="inlineStr">
        <is>
          <t>straight stretch of a thin filled outline with bends (pair of parallel faces)</t>
        </is>
      </c>
      <c r="Q297" s="5">
        <f>IF(OR(D297="column",D297="wall"),IF(I297&lt;='P vs V'!$B$3*J297,"column","wall"),"")</f>
        <v/>
      </c>
      <c r="R297" s="5" t="inlineStr"/>
      <c r="S297" s="5" t="inlineStr"/>
      <c r="T297" s="5" t="n"/>
      <c r="U297" s="5" t="inlineStr">
        <is>
          <t>yes</t>
        </is>
      </c>
      <c r="V297" s="5" t="inlineStr">
        <is>
          <t>yes</t>
        </is>
      </c>
      <c r="W297" s="5" t="inlineStr">
        <is>
          <t>no</t>
        </is>
      </c>
      <c r="X297" s="5" t="inlineStr">
        <is>
          <t>no</t>
        </is>
      </c>
      <c r="Y297" s="5" t="inlineStr">
        <is>
          <t>no</t>
        </is>
      </c>
      <c r="Z297" s="5" t="inlineStr">
        <is>
          <t>no</t>
        </is>
      </c>
      <c r="AA297" s="5" t="n">
        <v>0.58</v>
      </c>
      <c r="AB297" s="5" t="n"/>
      <c r="AC297" s="5" t="n"/>
      <c r="AD297" s="5" t="n"/>
      <c r="AE297" s="5" t="n">
        <v>4754.5</v>
      </c>
      <c r="AF297" s="5" t="n">
        <v>3114.9</v>
      </c>
      <c r="AG297" s="5" t="n">
        <v>4771.6</v>
      </c>
      <c r="AH297" s="5" t="n">
        <v>3167</v>
      </c>
      <c r="AI297" s="5" t="inlineStr">
        <is>
          <t>new</t>
        </is>
      </c>
      <c r="AJ297" s="5" t="inlineStr"/>
      <c r="AK297" s="5" t="inlineStr">
        <is>
          <t>piece of a wall network the colour pipeline left unsplit</t>
        </is>
      </c>
      <c r="AL297" s="5" t="inlineStr"/>
      <c r="AM297" s="5" t="inlineStr"/>
    </row>
    <row r="298">
      <c r="A298" s="5" t="n">
        <v>297</v>
      </c>
      <c r="B298" s="5" t="inlineStr">
        <is>
          <t>123</t>
        </is>
      </c>
      <c r="C298" s="5" t="inlineStr">
        <is>
          <t>nearest labels (60% agree)</t>
        </is>
      </c>
      <c r="D298" s="5" t="inlineStr">
        <is>
          <t>wall</t>
        </is>
      </c>
      <c r="E298" s="5" t="inlineStr">
        <is>
          <t>core_wall_solid</t>
        </is>
      </c>
      <c r="F298" s="5" t="inlineStr">
        <is>
          <t>(none)</t>
        </is>
      </c>
      <c r="G298" s="5" t="inlineStr"/>
      <c r="H298" s="5" t="inlineStr">
        <is>
          <t>none</t>
        </is>
      </c>
      <c r="I298" s="5" t="n">
        <v>77</v>
      </c>
      <c r="J298" s="5" t="n">
        <v>25</v>
      </c>
      <c r="K298" s="9">
        <f>IF(AND(ISNUMBER(I298),ISNUMBER(J298),J298&gt;0),I298/J298,"")</f>
        <v/>
      </c>
      <c r="L298" s="5" t="n">
        <v>0.196</v>
      </c>
      <c r="M298" s="5" t="n"/>
      <c r="N298" s="5" t="n">
        <v>169.3</v>
      </c>
      <c r="O298" s="5" t="inlineStr">
        <is>
          <t>solid fill</t>
        </is>
      </c>
      <c r="P298" s="5" t="inlineStr">
        <is>
          <t>straight stretch of a thin filled outline with bends (pair of parallel faces)</t>
        </is>
      </c>
      <c r="Q298" s="5">
        <f>IF(OR(D298="column",D298="wall"),IF(I298&lt;='P vs V'!$B$3*J298,"column","wall"),"")</f>
        <v/>
      </c>
      <c r="R298" s="5" t="inlineStr"/>
      <c r="S298" s="5" t="inlineStr"/>
      <c r="T298" s="5" t="n"/>
      <c r="U298" s="5" t="inlineStr">
        <is>
          <t>yes</t>
        </is>
      </c>
      <c r="V298" s="5" t="inlineStr">
        <is>
          <t>no</t>
        </is>
      </c>
      <c r="W298" s="5" t="inlineStr">
        <is>
          <t>yes</t>
        </is>
      </c>
      <c r="X298" s="5" t="inlineStr">
        <is>
          <t>no</t>
        </is>
      </c>
      <c r="Y298" s="5" t="inlineStr">
        <is>
          <t>no</t>
        </is>
      </c>
      <c r="Z298" s="5" t="inlineStr">
        <is>
          <t>no</t>
        </is>
      </c>
      <c r="AA298" s="5" t="n">
        <v>0.04</v>
      </c>
      <c r="AB298" s="5" t="n"/>
      <c r="AC298" s="5" t="n"/>
      <c r="AD298" s="5" t="n"/>
      <c r="AE298" s="5" t="n">
        <v>4730.1</v>
      </c>
      <c r="AF298" s="5" t="n">
        <v>3109</v>
      </c>
      <c r="AG298" s="5" t="n">
        <v>4753.9</v>
      </c>
      <c r="AH298" s="5" t="n">
        <v>3120.6</v>
      </c>
      <c r="AI298" s="5" t="inlineStr">
        <is>
          <t>new</t>
        </is>
      </c>
      <c r="AJ298" s="5" t="inlineStr"/>
      <c r="AK298" s="5" t="inlineStr">
        <is>
          <t>piece of a wall network the colour pipeline left unsplit</t>
        </is>
      </c>
      <c r="AL298" s="5" t="inlineStr"/>
      <c r="AM298" s="5" t="inlineStr"/>
    </row>
    <row r="299">
      <c r="A299" s="5" t="n">
        <v>298</v>
      </c>
      <c r="B299" s="5" t="inlineStr">
        <is>
          <t>123</t>
        </is>
      </c>
      <c r="C299" s="5" t="inlineStr">
        <is>
          <t>nearest labels (100% agree)</t>
        </is>
      </c>
      <c r="D299" s="5" t="inlineStr">
        <is>
          <t>wall</t>
        </is>
      </c>
      <c r="E299" s="5" t="inlineStr">
        <is>
          <t>retaining_wall</t>
        </is>
      </c>
      <c r="F299" s="5" t="inlineStr">
        <is>
          <t>VP25</t>
        </is>
      </c>
      <c r="G299" s="5" t="inlineStr"/>
      <c r="H299" s="5" t="inlineStr">
        <is>
          <t>thickness matches a VP type</t>
        </is>
      </c>
      <c r="I299" s="5" t="n">
        <v>1145</v>
      </c>
      <c r="J299" s="5" t="n">
        <v>25</v>
      </c>
      <c r="K299" s="9">
        <f>IF(AND(ISNUMBER(I299),ISNUMBER(J299),J299&gt;0),I299/J299,"")</f>
        <v/>
      </c>
      <c r="L299" s="5" t="n">
        <v>2.784</v>
      </c>
      <c r="M299" s="5" t="n"/>
      <c r="N299" s="5" t="n">
        <v>169.3</v>
      </c>
      <c r="O299" s="5" t="inlineStr">
        <is>
          <t>solid fill</t>
        </is>
      </c>
      <c r="P299" s="5" t="inlineStr">
        <is>
          <t>solid fill, rectangle, L &gt; 4 W (EN 1992-1-1 5.3.1(7))</t>
        </is>
      </c>
      <c r="Q299" s="5">
        <f>IF(OR(D299="column",D299="wall"),IF(I299&lt;='P vs V'!$B$3*J299,"column","wall"),"")</f>
        <v/>
      </c>
      <c r="R299" s="5" t="inlineStr"/>
      <c r="S299" s="5" t="inlineStr"/>
      <c r="T299" s="5" t="n"/>
      <c r="U299" s="5" t="inlineStr">
        <is>
          <t>no</t>
        </is>
      </c>
      <c r="V299" s="5" t="inlineStr">
        <is>
          <t>no</t>
        </is>
      </c>
      <c r="W299" s="5" t="inlineStr">
        <is>
          <t>yes</t>
        </is>
      </c>
      <c r="X299" s="5" t="inlineStr">
        <is>
          <t>no</t>
        </is>
      </c>
      <c r="Y299" s="5" t="inlineStr">
        <is>
          <t>yes</t>
        </is>
      </c>
      <c r="Z299" s="5" t="inlineStr">
        <is>
          <t>yes</t>
        </is>
      </c>
      <c r="AA299" s="5" t="n">
        <v>1.48</v>
      </c>
      <c r="AB299" s="5" t="n"/>
      <c r="AC299" s="5" t="n"/>
      <c r="AD299" s="5" t="n"/>
      <c r="AE299" s="5" t="n">
        <v>4687.5</v>
      </c>
      <c r="AF299" s="5" t="n">
        <v>3449.7</v>
      </c>
      <c r="AG299" s="5" t="n">
        <v>5021.2</v>
      </c>
      <c r="AH299" s="5" t="n">
        <v>3516</v>
      </c>
      <c r="AI299" s="5" t="inlineStr">
        <is>
          <t>new</t>
        </is>
      </c>
      <c r="AJ299" s="5" t="inlineStr"/>
      <c r="AK299" s="5" t="inlineStr">
        <is>
          <t>piece of a wall network the colour pipeline left unsplit</t>
        </is>
      </c>
      <c r="AL299" s="5" t="inlineStr">
        <is>
          <t>(0.87, 0.0, 0.87)</t>
        </is>
      </c>
      <c r="AM299" s="5" t="inlineStr">
        <is>
          <t>DM-VOILE</t>
        </is>
      </c>
    </row>
    <row r="300">
      <c r="A300" s="5" t="n">
        <v>299</v>
      </c>
      <c r="B300" s="5" t="inlineStr">
        <is>
          <t>123</t>
        </is>
      </c>
      <c r="C300" s="5" t="inlineStr">
        <is>
          <t>nearest labels (80% agree)</t>
        </is>
      </c>
      <c r="D300" s="5" t="inlineStr">
        <is>
          <t>wall</t>
        </is>
      </c>
      <c r="E300" s="5" t="inlineStr">
        <is>
          <t>retaining_wall</t>
        </is>
      </c>
      <c r="F300" s="5" t="inlineStr">
        <is>
          <t>VP25</t>
        </is>
      </c>
      <c r="G300" s="5" t="inlineStr"/>
      <c r="H300" s="5" t="inlineStr">
        <is>
          <t>thickness matches a VP type</t>
        </is>
      </c>
      <c r="I300" s="5" t="n">
        <v>1170</v>
      </c>
      <c r="J300" s="5" t="n">
        <v>25</v>
      </c>
      <c r="K300" s="9">
        <f>IF(AND(ISNUMBER(I300),ISNUMBER(J300),J300&gt;0),I300/J300,"")</f>
        <v/>
      </c>
      <c r="L300" s="5" t="n">
        <v>2.935</v>
      </c>
      <c r="M300" s="5" t="n"/>
      <c r="N300" s="5" t="n">
        <v>169.3</v>
      </c>
      <c r="O300" s="5" t="inlineStr">
        <is>
          <t>solid fill</t>
        </is>
      </c>
      <c r="P300" s="5" t="inlineStr">
        <is>
          <t>straight stretch of a thin filled outline with bends (pair of parallel faces)</t>
        </is>
      </c>
      <c r="Q300" s="5">
        <f>IF(OR(D300="column",D300="wall"),IF(I300&lt;='P vs V'!$B$3*J300,"column","wall"),"")</f>
        <v/>
      </c>
      <c r="R300" s="5" t="inlineStr"/>
      <c r="S300" s="5" t="inlineStr"/>
      <c r="T300" s="5" t="n"/>
      <c r="U300" s="5" t="inlineStr">
        <is>
          <t>no</t>
        </is>
      </c>
      <c r="V300" s="5" t="inlineStr">
        <is>
          <t>no</t>
        </is>
      </c>
      <c r="W300" s="5" t="inlineStr">
        <is>
          <t>yes</t>
        </is>
      </c>
      <c r="X300" s="5" t="inlineStr">
        <is>
          <t>yes</t>
        </is>
      </c>
      <c r="Y300" s="5" t="inlineStr">
        <is>
          <t>yes</t>
        </is>
      </c>
      <c r="Z300" s="5" t="inlineStr">
        <is>
          <t>no</t>
        </is>
      </c>
      <c r="AA300" s="5" t="n">
        <v>0.37</v>
      </c>
      <c r="AB300" s="5" t="n"/>
      <c r="AC300" s="5" t="n"/>
      <c r="AD300" s="5" t="n"/>
      <c r="AE300" s="5" t="n">
        <v>4348</v>
      </c>
      <c r="AF300" s="5" t="n">
        <v>3510.5</v>
      </c>
      <c r="AG300" s="5" t="n">
        <v>4688.9</v>
      </c>
      <c r="AH300" s="5" t="n">
        <v>3581.7</v>
      </c>
      <c r="AI300" s="5" t="inlineStr">
        <is>
          <t>new</t>
        </is>
      </c>
      <c r="AJ300" s="5" t="inlineStr"/>
      <c r="AK300" s="5" t="inlineStr">
        <is>
          <t>piece of a wall network the colour pipeline left unsplit</t>
        </is>
      </c>
      <c r="AL300" s="5" t="inlineStr"/>
      <c r="AM300" s="5" t="inlineStr"/>
    </row>
    <row r="301">
      <c r="A301" s="5" t="n">
        <v>300</v>
      </c>
      <c r="B301" s="5" t="inlineStr">
        <is>
          <t>123</t>
        </is>
      </c>
      <c r="C301" s="5" t="inlineStr">
        <is>
          <t>own label</t>
        </is>
      </c>
      <c r="D301" s="5" t="inlineStr">
        <is>
          <t>wall</t>
        </is>
      </c>
      <c r="E301" s="5" t="inlineStr">
        <is>
          <t>shear_wall</t>
        </is>
      </c>
      <c r="F301" s="5" t="inlineStr">
        <is>
          <t>V1/123</t>
        </is>
      </c>
      <c r="G301" s="5" t="inlineStr">
        <is>
          <t>V1/123/123</t>
        </is>
      </c>
      <c r="H301" s="5" t="inlineStr">
        <is>
          <t>printed</t>
        </is>
      </c>
      <c r="I301" s="5" t="n">
        <v>892</v>
      </c>
      <c r="J301" s="5" t="n">
        <v>25</v>
      </c>
      <c r="K301" s="9">
        <f>IF(AND(ISNUMBER(I301),ISNUMBER(J301),J301&gt;0),I301/J301,"")</f>
        <v/>
      </c>
      <c r="L301" s="5" t="n">
        <v>2.238</v>
      </c>
      <c r="M301" s="5" t="n"/>
      <c r="N301" s="5" t="n">
        <v>79.3</v>
      </c>
      <c r="O301" s="5" t="inlineStr">
        <is>
          <t>solid fill</t>
        </is>
      </c>
      <c r="P301" s="5" t="inlineStr">
        <is>
          <t>straight stretch of a thin filled outline with bends (pair of parallel faces)</t>
        </is>
      </c>
      <c r="Q301" s="5">
        <f>IF(OR(D301="column",D301="wall"),IF(I301&lt;='P vs V'!$B$3*J301,"column","wall"),"")</f>
        <v/>
      </c>
      <c r="R301" s="5" t="inlineStr"/>
      <c r="S301" s="5" t="inlineStr"/>
      <c r="T301" s="5" t="n"/>
      <c r="U301" s="5" t="inlineStr">
        <is>
          <t>no</t>
        </is>
      </c>
      <c r="V301" s="5" t="inlineStr">
        <is>
          <t>no</t>
        </is>
      </c>
      <c r="W301" s="5" t="inlineStr">
        <is>
          <t>yes</t>
        </is>
      </c>
      <c r="X301" s="5" t="inlineStr">
        <is>
          <t>no</t>
        </is>
      </c>
      <c r="Y301" s="5" t="inlineStr">
        <is>
          <t>yes</t>
        </is>
      </c>
      <c r="Z301" s="5" t="inlineStr">
        <is>
          <t>no</t>
        </is>
      </c>
      <c r="AA301" s="5" t="n">
        <v>3.04</v>
      </c>
      <c r="AB301" s="5" t="n"/>
      <c r="AC301" s="5" t="n"/>
      <c r="AD301" s="5" t="n"/>
      <c r="AE301" s="5" t="n">
        <v>4291.9</v>
      </c>
      <c r="AF301" s="5" t="n">
        <v>3315.7</v>
      </c>
      <c r="AG301" s="5" t="n">
        <v>4347.9</v>
      </c>
      <c r="AH301" s="5" t="n">
        <v>3575.8</v>
      </c>
      <c r="AI301" s="5" t="inlineStr">
        <is>
          <t>new</t>
        </is>
      </c>
      <c r="AJ301" s="5" t="inlineStr"/>
      <c r="AK301" s="5" t="inlineStr">
        <is>
          <t>piece of a wall network the colour pipeline left unsplit</t>
        </is>
      </c>
      <c r="AL301" s="5" t="inlineStr"/>
      <c r="AM301" s="5" t="inlineStr"/>
    </row>
    <row r="302">
      <c r="A302" s="5" t="n">
        <v>301</v>
      </c>
      <c r="B302" s="5" t="inlineStr">
        <is>
          <t>123</t>
        </is>
      </c>
      <c r="C302" s="5" t="inlineStr">
        <is>
          <t>own label</t>
        </is>
      </c>
      <c r="D302" s="5" t="inlineStr">
        <is>
          <t>wall</t>
        </is>
      </c>
      <c r="E302" s="5" t="inlineStr">
        <is>
          <t>shear_wall</t>
        </is>
      </c>
      <c r="F302" s="5" t="inlineStr">
        <is>
          <t>V2/123</t>
        </is>
      </c>
      <c r="G302" s="5" t="inlineStr">
        <is>
          <t>V2/123/123</t>
        </is>
      </c>
      <c r="H302" s="5" t="inlineStr">
        <is>
          <t>printed</t>
        </is>
      </c>
      <c r="I302" s="5" t="n">
        <v>200</v>
      </c>
      <c r="J302" s="5" t="n">
        <v>30</v>
      </c>
      <c r="K302" s="9">
        <f>IF(AND(ISNUMBER(I302),ISNUMBER(J302),J302&gt;0),I302/J302,"")</f>
        <v/>
      </c>
      <c r="L302" s="5" t="n">
        <v>0.6</v>
      </c>
      <c r="M302" s="5" t="n"/>
      <c r="N302" s="5" t="n">
        <v>79.40000000000001</v>
      </c>
      <c r="O302" s="5" t="inlineStr">
        <is>
          <t>solid fill</t>
        </is>
      </c>
      <c r="P302" s="5" t="inlineStr">
        <is>
          <t>solid fill, rectangle, L &gt; 4 W (EN 1992-1-1 5.3.1(7))</t>
        </is>
      </c>
      <c r="Q302" s="5">
        <f>IF(OR(D302="column",D302="wall"),IF(I302&lt;='P vs V'!$B$3*J302,"column","wall"),"")</f>
        <v/>
      </c>
      <c r="R302" s="5" t="inlineStr">
        <is>
          <t>S7</t>
        </is>
      </c>
      <c r="S302" s="5" t="inlineStr"/>
      <c r="T302" s="5" t="n"/>
      <c r="U302" s="5" t="inlineStr">
        <is>
          <t>no</t>
        </is>
      </c>
      <c r="V302" s="5" t="inlineStr">
        <is>
          <t>no</t>
        </is>
      </c>
      <c r="W302" s="5" t="inlineStr">
        <is>
          <t>no</t>
        </is>
      </c>
      <c r="X302" s="5" t="inlineStr">
        <is>
          <t>no</t>
        </is>
      </c>
      <c r="Y302" s="5" t="inlineStr">
        <is>
          <t>yes</t>
        </is>
      </c>
      <c r="Z302" s="5" t="inlineStr">
        <is>
          <t>yes</t>
        </is>
      </c>
      <c r="AA302" s="5" t="n">
        <v>0.41</v>
      </c>
      <c r="AB302" s="5" t="n"/>
      <c r="AC302" s="5" t="n"/>
      <c r="AD302" s="5" t="n"/>
      <c r="AE302" s="5" t="n">
        <v>4703.6</v>
      </c>
      <c r="AF302" s="5" t="n">
        <v>3429.1</v>
      </c>
      <c r="AG302" s="5" t="n">
        <v>4723.2</v>
      </c>
      <c r="AH302" s="5" t="n">
        <v>3488.8</v>
      </c>
      <c r="AI302" s="5" t="inlineStr">
        <is>
          <t>yes</t>
        </is>
      </c>
      <c r="AJ302" s="5" t="inlineStr">
        <is>
          <t>shear_wall</t>
        </is>
      </c>
      <c r="AK302" s="5" t="inlineStr"/>
      <c r="AL302" s="5" t="inlineStr">
        <is>
          <t>(0.87, 0.0, 0.87)</t>
        </is>
      </c>
      <c r="AM302" s="5" t="inlineStr">
        <is>
          <t>DM-VOILE</t>
        </is>
      </c>
    </row>
    <row r="303">
      <c r="A303" s="5" t="n">
        <v>302</v>
      </c>
      <c r="B303" s="5" t="inlineStr">
        <is>
          <t>123</t>
        </is>
      </c>
      <c r="C303" s="5" t="inlineStr">
        <is>
          <t>own label</t>
        </is>
      </c>
      <c r="D303" s="5" t="inlineStr">
        <is>
          <t>wall</t>
        </is>
      </c>
      <c r="E303" s="5" t="inlineStr">
        <is>
          <t>shear_wall</t>
        </is>
      </c>
      <c r="F303" s="5" t="inlineStr">
        <is>
          <t>V2/123</t>
        </is>
      </c>
      <c r="G303" s="5" t="inlineStr">
        <is>
          <t>V2/123/123</t>
        </is>
      </c>
      <c r="H303" s="5" t="inlineStr">
        <is>
          <t>printed</t>
        </is>
      </c>
      <c r="I303" s="5" t="n">
        <v>200</v>
      </c>
      <c r="J303" s="5" t="n">
        <v>30</v>
      </c>
      <c r="K303" s="9">
        <f>IF(AND(ISNUMBER(I303),ISNUMBER(J303),J303&gt;0),I303/J303,"")</f>
        <v/>
      </c>
      <c r="L303" s="5" t="n">
        <v>0.599</v>
      </c>
      <c r="M303" s="5" t="n"/>
      <c r="N303" s="5" t="n">
        <v>79.40000000000001</v>
      </c>
      <c r="O303" s="5" t="inlineStr">
        <is>
          <t>solid fill</t>
        </is>
      </c>
      <c r="P303" s="5" t="inlineStr">
        <is>
          <t>solid fill, rectangle, L &gt; 4 W (EN 1992-1-1 5.3.1(7))</t>
        </is>
      </c>
      <c r="Q303" s="5">
        <f>IF(OR(D303="column",D303="wall"),IF(I303&lt;='P vs V'!$B$3*J303,"column","wall"),"")</f>
        <v/>
      </c>
      <c r="R303" s="5" t="inlineStr">
        <is>
          <t>SC4</t>
        </is>
      </c>
      <c r="S303" s="5" t="inlineStr"/>
      <c r="T303" s="5" t="n"/>
      <c r="U303" s="5" t="inlineStr">
        <is>
          <t>no</t>
        </is>
      </c>
      <c r="V303" s="5" t="inlineStr">
        <is>
          <t>no</t>
        </is>
      </c>
      <c r="W303" s="5" t="inlineStr">
        <is>
          <t>no</t>
        </is>
      </c>
      <c r="X303" s="5" t="inlineStr">
        <is>
          <t>yes</t>
        </is>
      </c>
      <c r="Y303" s="5" t="inlineStr">
        <is>
          <t>yes</t>
        </is>
      </c>
      <c r="Z303" s="5" t="inlineStr">
        <is>
          <t>yes</t>
        </is>
      </c>
      <c r="AA303" s="5" t="n">
        <v>0</v>
      </c>
      <c r="AB303" s="5" t="n"/>
      <c r="AC303" s="5" t="n"/>
      <c r="AD303" s="5" t="n"/>
      <c r="AE303" s="5" t="n">
        <v>4411.6</v>
      </c>
      <c r="AF303" s="5" t="n">
        <v>3059.4</v>
      </c>
      <c r="AG303" s="5" t="n">
        <v>4431.1</v>
      </c>
      <c r="AH303" s="5" t="n">
        <v>3119</v>
      </c>
      <c r="AI303" s="5" t="inlineStr">
        <is>
          <t>yes</t>
        </is>
      </c>
      <c r="AJ303" s="5" t="inlineStr">
        <is>
          <t>shear_wall</t>
        </is>
      </c>
      <c r="AK303" s="5" t="inlineStr"/>
      <c r="AL303" s="5" t="inlineStr">
        <is>
          <t>(0.87, 0.0, 0.87)</t>
        </is>
      </c>
      <c r="AM303" s="5" t="inlineStr">
        <is>
          <t>DM-VOILE</t>
        </is>
      </c>
    </row>
    <row r="304">
      <c r="A304" s="5" t="n">
        <v>303</v>
      </c>
      <c r="B304" s="5" t="inlineStr">
        <is>
          <t>123</t>
        </is>
      </c>
      <c r="C304" s="5" t="inlineStr">
        <is>
          <t>own label</t>
        </is>
      </c>
      <c r="D304" s="5" t="inlineStr">
        <is>
          <t>wall</t>
        </is>
      </c>
      <c r="E304" s="5" t="inlineStr">
        <is>
          <t>shear_wall</t>
        </is>
      </c>
      <c r="F304" s="5" t="inlineStr">
        <is>
          <t>V2/123</t>
        </is>
      </c>
      <c r="G304" s="5" t="inlineStr">
        <is>
          <t>V2/123/123</t>
        </is>
      </c>
      <c r="H304" s="5" t="inlineStr">
        <is>
          <t>printed</t>
        </is>
      </c>
      <c r="I304" s="5" t="n">
        <v>200</v>
      </c>
      <c r="J304" s="5" t="n">
        <v>30</v>
      </c>
      <c r="K304" s="9">
        <f>IF(AND(ISNUMBER(I304),ISNUMBER(J304),J304&gt;0),I304/J304,"")</f>
        <v/>
      </c>
      <c r="L304" s="5" t="n">
        <v>0.599</v>
      </c>
      <c r="M304" s="5" t="n"/>
      <c r="N304" s="5" t="n">
        <v>79.3</v>
      </c>
      <c r="O304" s="5" t="inlineStr">
        <is>
          <t>solid fill</t>
        </is>
      </c>
      <c r="P304" s="5" t="inlineStr">
        <is>
          <t>solid fill, rectangle, L &gt; 4 W (EN 1992-1-1 5.3.1(7))</t>
        </is>
      </c>
      <c r="Q304" s="5">
        <f>IF(OR(D304="column",D304="wall"),IF(I304&lt;='P vs V'!$B$3*J304,"column","wall"),"")</f>
        <v/>
      </c>
      <c r="R304" s="5" t="inlineStr">
        <is>
          <t>S7</t>
        </is>
      </c>
      <c r="S304" s="5" t="inlineStr"/>
      <c r="T304" s="5" t="n"/>
      <c r="U304" s="5" t="inlineStr">
        <is>
          <t>no</t>
        </is>
      </c>
      <c r="V304" s="5" t="inlineStr">
        <is>
          <t>no</t>
        </is>
      </c>
      <c r="W304" s="5" t="inlineStr">
        <is>
          <t>yes</t>
        </is>
      </c>
      <c r="X304" s="5" t="inlineStr">
        <is>
          <t>no</t>
        </is>
      </c>
      <c r="Y304" s="5" t="inlineStr">
        <is>
          <t>yes</t>
        </is>
      </c>
      <c r="Z304" s="5" t="inlineStr">
        <is>
          <t>no</t>
        </is>
      </c>
      <c r="AA304" s="5" t="n">
        <v>0</v>
      </c>
      <c r="AB304" s="5" t="n"/>
      <c r="AC304" s="5" t="n"/>
      <c r="AD304" s="5" t="n"/>
      <c r="AE304" s="5" t="n">
        <v>4519.9</v>
      </c>
      <c r="AF304" s="5" t="n">
        <v>3487.9</v>
      </c>
      <c r="AG304" s="5" t="n">
        <v>4539.6</v>
      </c>
      <c r="AH304" s="5" t="n">
        <v>3547.5</v>
      </c>
      <c r="AI304" s="5" t="inlineStr">
        <is>
          <t>new</t>
        </is>
      </c>
      <c r="AJ304" s="5" t="inlineStr"/>
      <c r="AK304" s="5" t="inlineStr">
        <is>
          <t>piece of a wall network the colour pipeline left unsplit</t>
        </is>
      </c>
      <c r="AL304" s="5" t="inlineStr">
        <is>
          <t>(0.87, 0.0, 0.87)</t>
        </is>
      </c>
      <c r="AM304" s="5" t="inlineStr">
        <is>
          <t>DM-VOILE</t>
        </is>
      </c>
    </row>
    <row r="305">
      <c r="A305" s="5" t="n">
        <v>304</v>
      </c>
      <c r="B305" s="5" t="inlineStr">
        <is>
          <t>123</t>
        </is>
      </c>
      <c r="C305" s="5" t="inlineStr">
        <is>
          <t>own label</t>
        </is>
      </c>
      <c r="D305" s="5" t="inlineStr">
        <is>
          <t>wall</t>
        </is>
      </c>
      <c r="E305" s="5" t="inlineStr">
        <is>
          <t>shear_wall</t>
        </is>
      </c>
      <c r="F305" s="5" t="inlineStr">
        <is>
          <t>V3/123</t>
        </is>
      </c>
      <c r="G305" s="5" t="inlineStr">
        <is>
          <t>V3/123/123</t>
        </is>
      </c>
      <c r="H305" s="5" t="inlineStr">
        <is>
          <t>printed</t>
        </is>
      </c>
      <c r="I305" s="5" t="n">
        <v>200</v>
      </c>
      <c r="J305" s="5" t="n">
        <v>25</v>
      </c>
      <c r="K305" s="9">
        <f>IF(AND(ISNUMBER(I305),ISNUMBER(J305),J305&gt;0),I305/J305,"")</f>
        <v/>
      </c>
      <c r="L305" s="5" t="n">
        <v>0.501</v>
      </c>
      <c r="M305" s="5" t="n"/>
      <c r="N305" s="5" t="n">
        <v>169.3</v>
      </c>
      <c r="O305" s="5" t="inlineStr">
        <is>
          <t>solid fill</t>
        </is>
      </c>
      <c r="P305" s="5" t="inlineStr">
        <is>
          <t>solid fill, rectangle, L &gt; 4 W (EN 1992-1-1 5.3.1(7))</t>
        </is>
      </c>
      <c r="Q305" s="5">
        <f>IF(OR(D305="column",D305="wall"),IF(I305&lt;='P vs V'!$B$3*J305,"column","wall"),"")</f>
        <v/>
      </c>
      <c r="R305" s="5" t="inlineStr"/>
      <c r="S305" s="5" t="inlineStr"/>
      <c r="T305" s="5" t="n"/>
      <c r="U305" s="5" t="inlineStr">
        <is>
          <t>yes</t>
        </is>
      </c>
      <c r="V305" s="5" t="inlineStr">
        <is>
          <t>yes</t>
        </is>
      </c>
      <c r="W305" s="5" t="inlineStr">
        <is>
          <t>no</t>
        </is>
      </c>
      <c r="X305" s="5" t="inlineStr">
        <is>
          <t>no</t>
        </is>
      </c>
      <c r="Y305" s="5" t="inlineStr">
        <is>
          <t>no</t>
        </is>
      </c>
      <c r="Z305" s="5" t="inlineStr">
        <is>
          <t>no</t>
        </is>
      </c>
      <c r="AA305" s="5" t="n">
        <v>0.85</v>
      </c>
      <c r="AB305" s="5" t="n"/>
      <c r="AC305" s="5" t="n"/>
      <c r="AD305" s="5" t="n"/>
      <c r="AE305" s="5" t="n">
        <v>4634.4</v>
      </c>
      <c r="AF305" s="5" t="n">
        <v>3257.9</v>
      </c>
      <c r="AG305" s="5" t="n">
        <v>4693.8</v>
      </c>
      <c r="AH305" s="5" t="n">
        <v>3276.1</v>
      </c>
      <c r="AI305" s="5" t="inlineStr">
        <is>
          <t>yes</t>
        </is>
      </c>
      <c r="AJ305" s="5" t="inlineStr">
        <is>
          <t>shear_wall</t>
        </is>
      </c>
      <c r="AK305" s="5" t="inlineStr"/>
      <c r="AL305" s="5" t="inlineStr">
        <is>
          <t>(0.87, 0.0, 0.87)</t>
        </is>
      </c>
      <c r="AM305" s="5" t="inlineStr">
        <is>
          <t>DM-VOILE</t>
        </is>
      </c>
    </row>
    <row r="306">
      <c r="A306" s="5" t="n">
        <v>305</v>
      </c>
      <c r="B306" s="5" t="inlineStr">
        <is>
          <t>123</t>
        </is>
      </c>
      <c r="C306" s="5" t="inlineStr">
        <is>
          <t>own label</t>
        </is>
      </c>
      <c r="D306" s="5" t="inlineStr">
        <is>
          <t>wall</t>
        </is>
      </c>
      <c r="E306" s="5" t="inlineStr">
        <is>
          <t>shear_wall</t>
        </is>
      </c>
      <c r="F306" s="5" t="inlineStr">
        <is>
          <t>V3/123</t>
        </is>
      </c>
      <c r="G306" s="5" t="inlineStr">
        <is>
          <t>V3/123/123</t>
        </is>
      </c>
      <c r="H306" s="5" t="inlineStr">
        <is>
          <t>printed</t>
        </is>
      </c>
      <c r="I306" s="5" t="n">
        <v>200</v>
      </c>
      <c r="J306" s="5" t="n">
        <v>25</v>
      </c>
      <c r="K306" s="9">
        <f>IF(AND(ISNUMBER(I306),ISNUMBER(J306),J306&gt;0),I306/J306,"")</f>
        <v/>
      </c>
      <c r="L306" s="5" t="n">
        <v>0.501</v>
      </c>
      <c r="M306" s="5" t="n"/>
      <c r="N306" s="5" t="n">
        <v>169.3</v>
      </c>
      <c r="O306" s="5" t="inlineStr">
        <is>
          <t>solid fill</t>
        </is>
      </c>
      <c r="P306" s="5" t="inlineStr">
        <is>
          <t>solid fill, rectangle, L &gt; 4 W (EN 1992-1-1 5.3.1(7))</t>
        </is>
      </c>
      <c r="Q306" s="5">
        <f>IF(OR(D306="column",D306="wall"),IF(I306&lt;='P vs V'!$B$3*J306,"column","wall"),"")</f>
        <v/>
      </c>
      <c r="R306" s="5" t="inlineStr"/>
      <c r="S306" s="5" t="inlineStr"/>
      <c r="T306" s="5" t="n"/>
      <c r="U306" s="5" t="inlineStr">
        <is>
          <t>yes</t>
        </is>
      </c>
      <c r="V306" s="5" t="inlineStr">
        <is>
          <t>no</t>
        </is>
      </c>
      <c r="W306" s="5" t="inlineStr">
        <is>
          <t>no</t>
        </is>
      </c>
      <c r="X306" s="5" t="inlineStr">
        <is>
          <t>no</t>
        </is>
      </c>
      <c r="Y306" s="5" t="inlineStr">
        <is>
          <t>no</t>
        </is>
      </c>
      <c r="Z306" s="5" t="inlineStr">
        <is>
          <t>no</t>
        </is>
      </c>
      <c r="AA306" s="5" t="n">
        <v>2.4</v>
      </c>
      <c r="AB306" s="5" t="n"/>
      <c r="AC306" s="5" t="n"/>
      <c r="AD306" s="5" t="n"/>
      <c r="AE306" s="5" t="n">
        <v>4805.9</v>
      </c>
      <c r="AF306" s="5" t="n">
        <v>3225.6</v>
      </c>
      <c r="AG306" s="5" t="n">
        <v>4865.3</v>
      </c>
      <c r="AH306" s="5" t="n">
        <v>3243.8</v>
      </c>
      <c r="AI306" s="5" t="inlineStr">
        <is>
          <t>yes</t>
        </is>
      </c>
      <c r="AJ306" s="5" t="inlineStr">
        <is>
          <t>shear_wall</t>
        </is>
      </c>
      <c r="AK306" s="5" t="inlineStr"/>
      <c r="AL306" s="5" t="inlineStr">
        <is>
          <t>(0.87, 0.0, 0.87)</t>
        </is>
      </c>
      <c r="AM306" s="5" t="inlineStr">
        <is>
          <t>DM-VOILE</t>
        </is>
      </c>
    </row>
    <row r="307">
      <c r="A307" s="5" t="n">
        <v>306</v>
      </c>
      <c r="B307" s="5" t="inlineStr">
        <is>
          <t>123</t>
        </is>
      </c>
      <c r="C307" s="5" t="inlineStr">
        <is>
          <t>own label</t>
        </is>
      </c>
      <c r="D307" s="5" t="inlineStr">
        <is>
          <t>wall</t>
        </is>
      </c>
      <c r="E307" s="5" t="inlineStr">
        <is>
          <t>shear_wall</t>
        </is>
      </c>
      <c r="F307" s="5" t="inlineStr">
        <is>
          <t>V3/123</t>
        </is>
      </c>
      <c r="G307" s="5" t="inlineStr">
        <is>
          <t>V3/123/123</t>
        </is>
      </c>
      <c r="H307" s="5" t="inlineStr">
        <is>
          <t>printed</t>
        </is>
      </c>
      <c r="I307" s="5" t="n">
        <v>200</v>
      </c>
      <c r="J307" s="5" t="n">
        <v>25</v>
      </c>
      <c r="K307" s="9">
        <f>IF(AND(ISNUMBER(I307),ISNUMBER(J307),J307&gt;0),I307/J307,"")</f>
        <v/>
      </c>
      <c r="L307" s="5" t="n">
        <v>0.499</v>
      </c>
      <c r="M307" s="5" t="n"/>
      <c r="N307" s="5" t="n">
        <v>79.3</v>
      </c>
      <c r="O307" s="5" t="inlineStr">
        <is>
          <t>solid fill</t>
        </is>
      </c>
      <c r="P307" s="5" t="inlineStr">
        <is>
          <t>solid fill, rectangle, L &gt; 4 W (EN 1992-1-1 5.3.1(7))</t>
        </is>
      </c>
      <c r="Q307" s="5">
        <f>IF(OR(D307="column",D307="wall"),IF(I307&lt;='P vs V'!$B$3*J307,"column","wall"),"")</f>
        <v/>
      </c>
      <c r="R307" s="5" t="inlineStr">
        <is>
          <t>SC3</t>
        </is>
      </c>
      <c r="S307" s="5" t="inlineStr"/>
      <c r="T307" s="5" t="n"/>
      <c r="U307" s="5" t="inlineStr">
        <is>
          <t>no</t>
        </is>
      </c>
      <c r="V307" s="5" t="inlineStr">
        <is>
          <t>no</t>
        </is>
      </c>
      <c r="W307" s="5" t="inlineStr">
        <is>
          <t>no</t>
        </is>
      </c>
      <c r="X307" s="5" t="inlineStr">
        <is>
          <t>yes</t>
        </is>
      </c>
      <c r="Y307" s="5" t="inlineStr">
        <is>
          <t>yes</t>
        </is>
      </c>
      <c r="Z307" s="5" t="inlineStr">
        <is>
          <t>yes</t>
        </is>
      </c>
      <c r="AA307" s="5" t="n">
        <v>3.04</v>
      </c>
      <c r="AB307" s="5" t="n"/>
      <c r="AC307" s="5" t="n"/>
      <c r="AD307" s="5" t="n"/>
      <c r="AE307" s="5" t="n">
        <v>4249.1</v>
      </c>
      <c r="AF307" s="5" t="n">
        <v>3088.5</v>
      </c>
      <c r="AG307" s="5" t="n">
        <v>4267.3</v>
      </c>
      <c r="AH307" s="5" t="n">
        <v>3147.9</v>
      </c>
      <c r="AI307" s="5" t="inlineStr">
        <is>
          <t>yes</t>
        </is>
      </c>
      <c r="AJ307" s="5" t="inlineStr">
        <is>
          <t>shear_wall</t>
        </is>
      </c>
      <c r="AK307" s="5" t="inlineStr"/>
      <c r="AL307" s="5" t="inlineStr">
        <is>
          <t>(0.87, 0.0, 0.87)</t>
        </is>
      </c>
      <c r="AM307" s="5" t="inlineStr">
        <is>
          <t>DM-VOILE</t>
        </is>
      </c>
    </row>
    <row r="308">
      <c r="A308" s="5" t="n">
        <v>307</v>
      </c>
      <c r="B308" s="5" t="inlineStr">
        <is>
          <t>123</t>
        </is>
      </c>
      <c r="C308" s="5" t="inlineStr">
        <is>
          <t>own label</t>
        </is>
      </c>
      <c r="D308" s="5" t="inlineStr">
        <is>
          <t>wall</t>
        </is>
      </c>
      <c r="E308" s="5" t="inlineStr">
        <is>
          <t>shear_wall</t>
        </is>
      </c>
      <c r="F308" s="5" t="inlineStr">
        <is>
          <t>V3/123</t>
        </is>
      </c>
      <c r="G308" s="5" t="inlineStr">
        <is>
          <t>V3/123/123</t>
        </is>
      </c>
      <c r="H308" s="5" t="inlineStr">
        <is>
          <t>printed</t>
        </is>
      </c>
      <c r="I308" s="5" t="n">
        <v>200</v>
      </c>
      <c r="J308" s="5" t="n">
        <v>25</v>
      </c>
      <c r="K308" s="9">
        <f>IF(AND(ISNUMBER(I308),ISNUMBER(J308),J308&gt;0),I308/J308,"")</f>
        <v/>
      </c>
      <c r="L308" s="5" t="n">
        <v>0.499</v>
      </c>
      <c r="M308" s="5" t="n"/>
      <c r="N308" s="5" t="n">
        <v>79.3</v>
      </c>
      <c r="O308" s="5" t="inlineStr">
        <is>
          <t>solid fill</t>
        </is>
      </c>
      <c r="P308" s="5" t="inlineStr">
        <is>
          <t>solid fill, rectangle, L &gt; 4 W (EN 1992-1-1 5.3.1(7))</t>
        </is>
      </c>
      <c r="Q308" s="5">
        <f>IF(OR(D308="column",D308="wall"),IF(I308&lt;='P vs V'!$B$3*J308,"column","wall"),"")</f>
        <v/>
      </c>
      <c r="R308" s="5" t="inlineStr">
        <is>
          <t>SC3</t>
        </is>
      </c>
      <c r="S308" s="5" t="inlineStr"/>
      <c r="T308" s="5" t="n"/>
      <c r="U308" s="5" t="inlineStr">
        <is>
          <t>no</t>
        </is>
      </c>
      <c r="V308" s="5" t="inlineStr">
        <is>
          <t>no</t>
        </is>
      </c>
      <c r="W308" s="5" t="inlineStr">
        <is>
          <t>yes</t>
        </is>
      </c>
      <c r="X308" s="5" t="inlineStr">
        <is>
          <t>no</t>
        </is>
      </c>
      <c r="Y308" s="5" t="inlineStr">
        <is>
          <t>yes</t>
        </is>
      </c>
      <c r="Z308" s="5" t="inlineStr">
        <is>
          <t>no</t>
        </is>
      </c>
      <c r="AA308" s="5" t="n">
        <v>3.04</v>
      </c>
      <c r="AB308" s="5" t="n"/>
      <c r="AC308" s="5" t="n"/>
      <c r="AD308" s="5" t="n"/>
      <c r="AE308" s="5" t="n">
        <v>4290.9</v>
      </c>
      <c r="AF308" s="5" t="n">
        <v>3310.2</v>
      </c>
      <c r="AG308" s="5" t="n">
        <v>4309.1</v>
      </c>
      <c r="AH308" s="5" t="n">
        <v>3369.6</v>
      </c>
      <c r="AI308" s="5" t="inlineStr">
        <is>
          <t>new</t>
        </is>
      </c>
      <c r="AJ308" s="5" t="inlineStr"/>
      <c r="AK308" s="5" t="inlineStr">
        <is>
          <t>piece of a wall network the colour pipeline left unsplit</t>
        </is>
      </c>
      <c r="AL308" s="5" t="inlineStr">
        <is>
          <t>(0.87, 0.0, 0.87)</t>
        </is>
      </c>
      <c r="AM308" s="5" t="inlineStr">
        <is>
          <t>DM-VOILE</t>
        </is>
      </c>
    </row>
    <row r="309">
      <c r="A309" s="5" t="n">
        <v>308</v>
      </c>
      <c r="B309" s="5" t="inlineStr">
        <is>
          <t>123</t>
        </is>
      </c>
      <c r="C309" s="5" t="inlineStr">
        <is>
          <t>own label</t>
        </is>
      </c>
      <c r="D309" s="5" t="inlineStr">
        <is>
          <t>wall</t>
        </is>
      </c>
      <c r="E309" s="5" t="inlineStr">
        <is>
          <t>shear_wall</t>
        </is>
      </c>
      <c r="F309" s="5" t="inlineStr">
        <is>
          <t>V4/123</t>
        </is>
      </c>
      <c r="G309" s="5" t="inlineStr">
        <is>
          <t>V4/123/123</t>
        </is>
      </c>
      <c r="H309" s="5" t="inlineStr">
        <is>
          <t>printed</t>
        </is>
      </c>
      <c r="I309" s="5" t="n">
        <v>200</v>
      </c>
      <c r="J309" s="5" t="n">
        <v>30</v>
      </c>
      <c r="K309" s="9">
        <f>IF(AND(ISNUMBER(I309),ISNUMBER(J309),J309&gt;0),I309/J309,"")</f>
        <v/>
      </c>
      <c r="L309" s="5" t="n">
        <v>0.603</v>
      </c>
      <c r="M309" s="5" t="n"/>
      <c r="N309" s="5" t="n">
        <v>79.40000000000001</v>
      </c>
      <c r="O309" s="5" t="inlineStr">
        <is>
          <t>solid fill</t>
        </is>
      </c>
      <c r="P309" s="5" t="inlineStr">
        <is>
          <t>solid fill, rectangle, L &gt; 4 W (EN 1992-1-1 5.3.1(7))</t>
        </is>
      </c>
      <c r="Q309" s="5">
        <f>IF(OR(D309="column",D309="wall"),IF(I309&lt;='P vs V'!$B$3*J309,"column","wall"),"")</f>
        <v/>
      </c>
      <c r="R309" s="5" t="inlineStr">
        <is>
          <t>S7</t>
        </is>
      </c>
      <c r="S309" s="5" t="inlineStr"/>
      <c r="T309" s="5" t="n"/>
      <c r="U309" s="5" t="inlineStr">
        <is>
          <t>no</t>
        </is>
      </c>
      <c r="V309" s="5" t="inlineStr">
        <is>
          <t>no</t>
        </is>
      </c>
      <c r="W309" s="5" t="inlineStr">
        <is>
          <t>yes</t>
        </is>
      </c>
      <c r="X309" s="5" t="inlineStr">
        <is>
          <t>no</t>
        </is>
      </c>
      <c r="Y309" s="5" t="inlineStr">
        <is>
          <t>yes</t>
        </is>
      </c>
      <c r="Z309" s="5" t="inlineStr">
        <is>
          <t>no</t>
        </is>
      </c>
      <c r="AA309" s="5" t="n">
        <v>3.28</v>
      </c>
      <c r="AB309" s="5" t="n"/>
      <c r="AC309" s="5" t="n"/>
      <c r="AD309" s="5" t="n"/>
      <c r="AE309" s="5" t="n">
        <v>4892.3</v>
      </c>
      <c r="AF309" s="5" t="n">
        <v>3417.7</v>
      </c>
      <c r="AG309" s="5" t="n">
        <v>4911.9</v>
      </c>
      <c r="AH309" s="5" t="n">
        <v>3477.4</v>
      </c>
      <c r="AI309" s="5" t="inlineStr">
        <is>
          <t>new</t>
        </is>
      </c>
      <c r="AJ309" s="5" t="inlineStr"/>
      <c r="AK309" s="5" t="inlineStr">
        <is>
          <t>piece of a wall network the colour pipeline left unsplit</t>
        </is>
      </c>
      <c r="AL309" s="5" t="inlineStr">
        <is>
          <t>(0.87, 0.0, 0.87)</t>
        </is>
      </c>
      <c r="AM309" s="5" t="inlineStr">
        <is>
          <t>DM-VOILE</t>
        </is>
      </c>
    </row>
    <row r="310">
      <c r="A310" s="5" t="n">
        <v>309</v>
      </c>
      <c r="B310" s="5" t="inlineStr">
        <is>
          <t>123</t>
        </is>
      </c>
      <c r="C310" s="5" t="inlineStr">
        <is>
          <t>own label</t>
        </is>
      </c>
      <c r="D310" s="5" t="inlineStr">
        <is>
          <t>wall</t>
        </is>
      </c>
      <c r="E310" s="5" t="inlineStr">
        <is>
          <t>shear_wall</t>
        </is>
      </c>
      <c r="F310" s="5" t="inlineStr">
        <is>
          <t>V4/123</t>
        </is>
      </c>
      <c r="G310" s="5" t="inlineStr">
        <is>
          <t>V4/123/123</t>
        </is>
      </c>
      <c r="H310" s="5" t="inlineStr">
        <is>
          <t>printed</t>
        </is>
      </c>
      <c r="I310" s="5" t="n">
        <v>200</v>
      </c>
      <c r="J310" s="5" t="n">
        <v>30</v>
      </c>
      <c r="K310" s="9">
        <f>IF(AND(ISNUMBER(I310),ISNUMBER(J310),J310&gt;0),I310/J310,"")</f>
        <v/>
      </c>
      <c r="L310" s="5" t="n">
        <v>0.599</v>
      </c>
      <c r="M310" s="5" t="n"/>
      <c r="N310" s="5" t="n">
        <v>79.3</v>
      </c>
      <c r="O310" s="5" t="inlineStr">
        <is>
          <t>solid fill</t>
        </is>
      </c>
      <c r="P310" s="5" t="inlineStr">
        <is>
          <t>solid fill, rectangle, L &gt; 4 W (EN 1992-1-1 5.3.1(7))</t>
        </is>
      </c>
      <c r="Q310" s="5">
        <f>IF(OR(D310="column",D310="wall"),IF(I310&lt;='P vs V'!$B$3*J310,"column","wall"),"")</f>
        <v/>
      </c>
      <c r="R310" s="5" t="inlineStr">
        <is>
          <t>S5</t>
        </is>
      </c>
      <c r="S310" s="5" t="inlineStr"/>
      <c r="T310" s="5" t="n"/>
      <c r="U310" s="5" t="inlineStr">
        <is>
          <t>no</t>
        </is>
      </c>
      <c r="V310" s="5" t="inlineStr">
        <is>
          <t>no</t>
        </is>
      </c>
      <c r="W310" s="5" t="inlineStr">
        <is>
          <t>no</t>
        </is>
      </c>
      <c r="X310" s="5" t="inlineStr">
        <is>
          <t>no</t>
        </is>
      </c>
      <c r="Y310" s="5" t="inlineStr">
        <is>
          <t>yes</t>
        </is>
      </c>
      <c r="Z310" s="5" t="inlineStr">
        <is>
          <t>no</t>
        </is>
      </c>
      <c r="AA310" s="5" t="n">
        <v>0.01</v>
      </c>
      <c r="AB310" s="5" t="n"/>
      <c r="AC310" s="5" t="n"/>
      <c r="AD310" s="5" t="n"/>
      <c r="AE310" s="5" t="n">
        <v>4483.5</v>
      </c>
      <c r="AF310" s="5" t="n">
        <v>3295.7</v>
      </c>
      <c r="AG310" s="5" t="n">
        <v>4503.1</v>
      </c>
      <c r="AH310" s="5" t="n">
        <v>3355.4</v>
      </c>
      <c r="AI310" s="5" t="inlineStr">
        <is>
          <t>yes</t>
        </is>
      </c>
      <c r="AJ310" s="5" t="inlineStr">
        <is>
          <t>shear_wall</t>
        </is>
      </c>
      <c r="AK310" s="5" t="inlineStr"/>
      <c r="AL310" s="5" t="inlineStr">
        <is>
          <t>(0.87, 0.0, 0.87)</t>
        </is>
      </c>
      <c r="AM310" s="5" t="inlineStr">
        <is>
          <t>DM-VOILE</t>
        </is>
      </c>
    </row>
    <row r="311">
      <c r="A311" s="5" t="n">
        <v>310</v>
      </c>
      <c r="B311" s="5" t="inlineStr">
        <is>
          <t>123</t>
        </is>
      </c>
      <c r="C311" s="5" t="inlineStr">
        <is>
          <t>own label</t>
        </is>
      </c>
      <c r="D311" s="5" t="inlineStr">
        <is>
          <t>wall</t>
        </is>
      </c>
      <c r="E311" s="5" t="inlineStr">
        <is>
          <t>shear_wall</t>
        </is>
      </c>
      <c r="F311" s="5" t="inlineStr">
        <is>
          <t>V5/123</t>
        </is>
      </c>
      <c r="G311" s="5" t="inlineStr">
        <is>
          <t>V5/123/123</t>
        </is>
      </c>
      <c r="H311" s="5" t="inlineStr">
        <is>
          <t>printed</t>
        </is>
      </c>
      <c r="I311" s="5" t="n">
        <v>1700</v>
      </c>
      <c r="J311" s="5" t="n">
        <v>25</v>
      </c>
      <c r="K311" s="9">
        <f>IF(AND(ISNUMBER(I311),ISNUMBER(J311),J311&gt;0),I311/J311,"")</f>
        <v/>
      </c>
      <c r="L311" s="5" t="n">
        <v>4.246</v>
      </c>
      <c r="M311" s="5" t="n"/>
      <c r="N311" s="5" t="n">
        <v>90</v>
      </c>
      <c r="O311" s="5" t="inlineStr">
        <is>
          <t>solid fill</t>
        </is>
      </c>
      <c r="P311" s="5" t="inlineStr">
        <is>
          <t>straight stretch of a thin filled outline with bends (pair of parallel faces)</t>
        </is>
      </c>
      <c r="Q311" s="5">
        <f>IF(OR(D311="column",D311="wall"),IF(I311&lt;='P vs V'!$B$3*J311,"column","wall"),"")</f>
        <v/>
      </c>
      <c r="R311" s="5" t="inlineStr"/>
      <c r="S311" s="5" t="inlineStr"/>
      <c r="T311" s="5" t="n"/>
      <c r="U311" s="5" t="inlineStr">
        <is>
          <t>no</t>
        </is>
      </c>
      <c r="V311" s="5" t="inlineStr">
        <is>
          <t>no</t>
        </is>
      </c>
      <c r="W311" s="5" t="inlineStr">
        <is>
          <t>yes</t>
        </is>
      </c>
      <c r="X311" s="5" t="inlineStr">
        <is>
          <t>no</t>
        </is>
      </c>
      <c r="Y311" s="5" t="inlineStr">
        <is>
          <t>yes</t>
        </is>
      </c>
      <c r="Z311" s="5" t="inlineStr">
        <is>
          <t>yes</t>
        </is>
      </c>
      <c r="AA311" s="5" t="n">
        <v>0.52</v>
      </c>
      <c r="AB311" s="5" t="n"/>
      <c r="AC311" s="5" t="n"/>
      <c r="AD311" s="5" t="n"/>
      <c r="AE311" s="5" t="n">
        <v>5013.8</v>
      </c>
      <c r="AF311" s="5" t="n">
        <v>2947.2</v>
      </c>
      <c r="AG311" s="5" t="n">
        <v>5021.6</v>
      </c>
      <c r="AH311" s="5" t="n">
        <v>3449</v>
      </c>
      <c r="AI311" s="5" t="inlineStr">
        <is>
          <t>new</t>
        </is>
      </c>
      <c r="AJ311" s="5" t="inlineStr"/>
      <c r="AK311" s="5" t="inlineStr">
        <is>
          <t>piece of a wall network the colour pipeline left unsplit</t>
        </is>
      </c>
      <c r="AL311" s="5" t="inlineStr"/>
      <c r="AM311" s="5" t="inlineStr"/>
    </row>
    <row r="312">
      <c r="A312" s="5" t="n">
        <v>311</v>
      </c>
      <c r="B312" s="5" t="inlineStr">
        <is>
          <t>123</t>
        </is>
      </c>
      <c r="C312" s="5" t="inlineStr">
        <is>
          <t>own label</t>
        </is>
      </c>
      <c r="D312" s="5" t="inlineStr">
        <is>
          <t>wall</t>
        </is>
      </c>
      <c r="E312" s="5" t="inlineStr">
        <is>
          <t>shear_wall</t>
        </is>
      </c>
      <c r="F312" s="5" t="inlineStr">
        <is>
          <t>V6/123</t>
        </is>
      </c>
      <c r="G312" s="5" t="inlineStr">
        <is>
          <t>V6/123/123</t>
        </is>
      </c>
      <c r="H312" s="5" t="inlineStr">
        <is>
          <t>printed</t>
        </is>
      </c>
      <c r="I312" s="5" t="n">
        <v>125</v>
      </c>
      <c r="J312" s="5" t="n">
        <v>30</v>
      </c>
      <c r="K312" s="9">
        <f>IF(AND(ISNUMBER(I312),ISNUMBER(J312),J312&gt;0),I312/J312,"")</f>
        <v/>
      </c>
      <c r="L312" s="5" t="n">
        <v>0.375</v>
      </c>
      <c r="M312" s="5" t="n"/>
      <c r="N312" s="5" t="n">
        <v>169.3</v>
      </c>
      <c r="O312" s="5" t="inlineStr">
        <is>
          <t>solid fill</t>
        </is>
      </c>
      <c r="P312" s="5" t="inlineStr">
        <is>
          <t>solid fill, rectangle, L &gt; 4 W (EN 1992-1-1 5.3.1(7))</t>
        </is>
      </c>
      <c r="Q312" s="5">
        <f>IF(OR(D312="column",D312="wall"),IF(I312&lt;='P vs V'!$B$3*J312,"column","wall"),"")</f>
        <v/>
      </c>
      <c r="R312" s="5" t="inlineStr">
        <is>
          <t>SC1</t>
        </is>
      </c>
      <c r="S312" s="5" t="inlineStr"/>
      <c r="T312" s="5" t="n"/>
      <c r="U312" s="5" t="inlineStr">
        <is>
          <t>no</t>
        </is>
      </c>
      <c r="V312" s="5" t="inlineStr">
        <is>
          <t>no</t>
        </is>
      </c>
      <c r="W312" s="5" t="inlineStr">
        <is>
          <t>yes</t>
        </is>
      </c>
      <c r="X312" s="5" t="inlineStr">
        <is>
          <t>no</t>
        </is>
      </c>
      <c r="Y312" s="5" t="inlineStr">
        <is>
          <t>yes</t>
        </is>
      </c>
      <c r="Z312" s="5" t="inlineStr">
        <is>
          <t>no</t>
        </is>
      </c>
      <c r="AA312" s="5" t="n">
        <v>0</v>
      </c>
      <c r="AB312" s="5" t="n"/>
      <c r="AC312" s="5" t="n"/>
      <c r="AD312" s="5" t="n"/>
      <c r="AE312" s="5" t="n">
        <v>4978.1</v>
      </c>
      <c r="AF312" s="5" t="n">
        <v>2947.2</v>
      </c>
      <c r="AG312" s="5" t="n">
        <v>5015.9</v>
      </c>
      <c r="AH312" s="5" t="n">
        <v>2962.7</v>
      </c>
      <c r="AI312" s="5" t="inlineStr">
        <is>
          <t>new</t>
        </is>
      </c>
      <c r="AJ312" s="5" t="inlineStr"/>
      <c r="AK312" s="5" t="inlineStr">
        <is>
          <t>piece of a wall network the colour pipeline left unsplit</t>
        </is>
      </c>
      <c r="AL312" s="5" t="inlineStr">
        <is>
          <t>(0.87, 0.0, 0.87)</t>
        </is>
      </c>
      <c r="AM312" s="5" t="inlineStr">
        <is>
          <t>DM-VOILE</t>
        </is>
      </c>
    </row>
    <row r="313">
      <c r="A313" s="5" t="n">
        <v>312</v>
      </c>
      <c r="B313" s="5" t="inlineStr">
        <is>
          <t>123</t>
        </is>
      </c>
      <c r="C313" s="5" t="inlineStr">
        <is>
          <t>own label</t>
        </is>
      </c>
      <c r="D313" s="5" t="inlineStr">
        <is>
          <t>wall</t>
        </is>
      </c>
      <c r="E313" s="5" t="inlineStr">
        <is>
          <t>shear_wall</t>
        </is>
      </c>
      <c r="F313" s="5" t="inlineStr">
        <is>
          <t>V7/123</t>
        </is>
      </c>
      <c r="G313" s="5" t="inlineStr">
        <is>
          <t>V7/123/123</t>
        </is>
      </c>
      <c r="H313" s="5" t="inlineStr">
        <is>
          <t>printed</t>
        </is>
      </c>
      <c r="I313" s="5" t="n">
        <v>200</v>
      </c>
      <c r="J313" s="5" t="n">
        <v>30</v>
      </c>
      <c r="K313" s="9">
        <f>IF(AND(ISNUMBER(I313),ISNUMBER(J313),J313&gt;0),I313/J313,"")</f>
        <v/>
      </c>
      <c r="L313" s="5" t="n">
        <v>0.601</v>
      </c>
      <c r="M313" s="5" t="n"/>
      <c r="N313" s="5" t="n">
        <v>169.3</v>
      </c>
      <c r="O313" s="5" t="inlineStr">
        <is>
          <t>solid fill</t>
        </is>
      </c>
      <c r="P313" s="5" t="inlineStr">
        <is>
          <t>solid fill, rectangle, L &gt; 4 W (EN 1992-1-1 5.3.1(7))</t>
        </is>
      </c>
      <c r="Q313" s="5">
        <f>IF(OR(D313="column",D313="wall"),IF(I313&lt;='P vs V'!$B$3*J313,"column","wall"),"")</f>
        <v/>
      </c>
      <c r="R313" s="5" t="inlineStr">
        <is>
          <t>S7</t>
        </is>
      </c>
      <c r="S313" s="5" t="inlineStr"/>
      <c r="T313" s="5" t="n"/>
      <c r="U313" s="5" t="inlineStr">
        <is>
          <t>no</t>
        </is>
      </c>
      <c r="V313" s="5" t="inlineStr">
        <is>
          <t>no</t>
        </is>
      </c>
      <c r="W313" s="5" t="inlineStr">
        <is>
          <t>yes</t>
        </is>
      </c>
      <c r="X313" s="5" t="inlineStr">
        <is>
          <t>no</t>
        </is>
      </c>
      <c r="Y313" s="5" t="inlineStr">
        <is>
          <t>yes</t>
        </is>
      </c>
      <c r="Z313" s="5" t="inlineStr">
        <is>
          <t>no</t>
        </is>
      </c>
      <c r="AA313" s="5" t="n">
        <v>0</v>
      </c>
      <c r="AB313" s="5" t="n"/>
      <c r="AC313" s="5" t="n"/>
      <c r="AD313" s="5" t="n"/>
      <c r="AE313" s="5" t="n">
        <v>4963.2</v>
      </c>
      <c r="AF313" s="5" t="n">
        <v>3141.2</v>
      </c>
      <c r="AG313" s="5" t="n">
        <v>5022.9</v>
      </c>
      <c r="AH313" s="5" t="n">
        <v>3160.9</v>
      </c>
      <c r="AI313" s="5" t="inlineStr">
        <is>
          <t>new</t>
        </is>
      </c>
      <c r="AJ313" s="5" t="inlineStr"/>
      <c r="AK313" s="5" t="inlineStr">
        <is>
          <t>piece of a wall network the colour pipeline left unsplit</t>
        </is>
      </c>
      <c r="AL313" s="5" t="inlineStr">
        <is>
          <t>(0.87, 0.0, 0.87)</t>
        </is>
      </c>
      <c r="AM313" s="5" t="inlineStr">
        <is>
          <t>DM-VOILE</t>
        </is>
      </c>
    </row>
    <row r="314">
      <c r="A314" s="5" t="n">
        <v>313</v>
      </c>
      <c r="B314" s="5" t="inlineStr">
        <is>
          <t>123</t>
        </is>
      </c>
      <c r="C314" s="5" t="inlineStr">
        <is>
          <t>nearest labels (100% agree)</t>
        </is>
      </c>
      <c r="D314" s="5" t="inlineStr">
        <is>
          <t>wall</t>
        </is>
      </c>
      <c r="E314" s="5" t="inlineStr">
        <is>
          <t>shear_wall</t>
        </is>
      </c>
      <c r="F314" s="5" t="inlineStr">
        <is>
          <t>(none)</t>
        </is>
      </c>
      <c r="G314" s="5" t="inlineStr"/>
      <c r="H314" s="5" t="inlineStr">
        <is>
          <t>none</t>
        </is>
      </c>
      <c r="I314" s="5" t="n">
        <v>150</v>
      </c>
      <c r="J314" s="5" t="n">
        <v>30</v>
      </c>
      <c r="K314" s="9">
        <f>IF(AND(ISNUMBER(I314),ISNUMBER(J314),J314&gt;0),I314/J314,"")</f>
        <v/>
      </c>
      <c r="L314" s="5" t="n">
        <v>0.45</v>
      </c>
      <c r="M314" s="5" t="n"/>
      <c r="N314" s="5" t="n">
        <v>169.4</v>
      </c>
      <c r="O314" s="5" t="inlineStr">
        <is>
          <t>solid fill</t>
        </is>
      </c>
      <c r="P314" s="5" t="inlineStr">
        <is>
          <t>solid fill, rectangle, L &gt; 4 W (EN 1992-1-1 5.3.1(7))</t>
        </is>
      </c>
      <c r="Q314" s="5">
        <f>IF(OR(D314="column",D314="wall"),IF(I314&lt;='P vs V'!$B$3*J314,"column","wall"),"")</f>
        <v/>
      </c>
      <c r="R314" s="5" t="inlineStr">
        <is>
          <t>S7</t>
        </is>
      </c>
      <c r="S314" s="5" t="inlineStr"/>
      <c r="T314" s="5" t="n"/>
      <c r="U314" s="5" t="inlineStr">
        <is>
          <t>no</t>
        </is>
      </c>
      <c r="V314" s="5" t="inlineStr">
        <is>
          <t>no</t>
        </is>
      </c>
      <c r="W314" s="5" t="inlineStr">
        <is>
          <t>yes</t>
        </is>
      </c>
      <c r="X314" s="5" t="inlineStr">
        <is>
          <t>no</t>
        </is>
      </c>
      <c r="Y314" s="5" t="inlineStr">
        <is>
          <t>yes</t>
        </is>
      </c>
      <c r="Z314" s="5" t="inlineStr">
        <is>
          <t>no</t>
        </is>
      </c>
      <c r="AA314" s="5" t="n">
        <v>0</v>
      </c>
      <c r="AB314" s="5" t="n"/>
      <c r="AC314" s="5" t="n"/>
      <c r="AD314" s="5" t="n"/>
      <c r="AE314" s="5" t="n">
        <v>4975.9</v>
      </c>
      <c r="AF314" s="5" t="n">
        <v>3317.4</v>
      </c>
      <c r="AG314" s="5" t="n">
        <v>5021.1</v>
      </c>
      <c r="AH314" s="5" t="n">
        <v>3334.2</v>
      </c>
      <c r="AI314" s="5" t="inlineStr">
        <is>
          <t>new</t>
        </is>
      </c>
      <c r="AJ314" s="5" t="inlineStr"/>
      <c r="AK314" s="5" t="inlineStr">
        <is>
          <t>piece of a wall network the colour pipeline left unsplit</t>
        </is>
      </c>
      <c r="AL314" s="5" t="inlineStr">
        <is>
          <t>(0.87, 0.0, 0.87)</t>
        </is>
      </c>
      <c r="AM314" s="5" t="inlineStr">
        <is>
          <t>DM-VOILE</t>
        </is>
      </c>
    </row>
    <row r="315">
      <c r="A315" s="5" t="n">
        <v>314</v>
      </c>
      <c r="B315" s="5" t="inlineStr">
        <is>
          <t>123</t>
        </is>
      </c>
      <c r="C315" s="5" t="inlineStr">
        <is>
          <t>nearest labels (60% agree)</t>
        </is>
      </c>
      <c r="D315" s="5" t="inlineStr">
        <is>
          <t>wall</t>
        </is>
      </c>
      <c r="E315" s="5" t="inlineStr">
        <is>
          <t>shear_wall</t>
        </is>
      </c>
      <c r="F315" s="5" t="inlineStr">
        <is>
          <t>(none)</t>
        </is>
      </c>
      <c r="G315" s="5" t="inlineStr"/>
      <c r="H315" s="5" t="inlineStr">
        <is>
          <t>none</t>
        </is>
      </c>
      <c r="I315" s="5" t="n">
        <v>125</v>
      </c>
      <c r="J315" s="5" t="n">
        <v>25</v>
      </c>
      <c r="K315" s="9">
        <f>IF(AND(ISNUMBER(I315),ISNUMBER(J315),J315&gt;0),I315/J315,"")</f>
        <v/>
      </c>
      <c r="L315" s="5" t="n">
        <v>0.313</v>
      </c>
      <c r="M315" s="5" t="n"/>
      <c r="N315" s="5" t="n">
        <v>79.40000000000001</v>
      </c>
      <c r="O315" s="5" t="inlineStr">
        <is>
          <t>solid fill</t>
        </is>
      </c>
      <c r="P315" s="5" t="inlineStr">
        <is>
          <t>solid fill, rectangle, L &gt; 4 W (EN 1992-1-1 5.3.1(7))</t>
        </is>
      </c>
      <c r="Q315" s="5">
        <f>IF(OR(D315="column",D315="wall"),IF(I315&lt;='P vs V'!$B$3*J315,"column","wall"),"")</f>
        <v/>
      </c>
      <c r="R315" s="5" t="inlineStr">
        <is>
          <t>SC1</t>
        </is>
      </c>
      <c r="S315" s="5" t="inlineStr"/>
      <c r="T315" s="5" t="n"/>
      <c r="U315" s="5" t="inlineStr">
        <is>
          <t>no</t>
        </is>
      </c>
      <c r="V315" s="5" t="inlineStr">
        <is>
          <t>no</t>
        </is>
      </c>
      <c r="W315" s="5" t="inlineStr">
        <is>
          <t>yes</t>
        </is>
      </c>
      <c r="X315" s="5" t="inlineStr">
        <is>
          <t>no</t>
        </is>
      </c>
      <c r="Y315" s="5" t="inlineStr">
        <is>
          <t>no</t>
        </is>
      </c>
      <c r="Z315" s="5" t="inlineStr">
        <is>
          <t>no</t>
        </is>
      </c>
      <c r="AA315" s="5" t="n">
        <v>3.04</v>
      </c>
      <c r="AB315" s="5" t="n"/>
      <c r="AC315" s="5" t="n"/>
      <c r="AD315" s="5" t="n"/>
      <c r="AE315" s="5" t="n">
        <v>4335.1</v>
      </c>
      <c r="AF315" s="5" t="n">
        <v>3545</v>
      </c>
      <c r="AG315" s="5" t="n">
        <v>4349.2</v>
      </c>
      <c r="AH315" s="5" t="n">
        <v>3582.7</v>
      </c>
      <c r="AI315" s="5" t="inlineStr">
        <is>
          <t>new</t>
        </is>
      </c>
      <c r="AJ315" s="5" t="inlineStr"/>
      <c r="AK315" s="5" t="inlineStr">
        <is>
          <t>piece of a wall network the colour pipeline left unsplit</t>
        </is>
      </c>
      <c r="AL315" s="5" t="inlineStr">
        <is>
          <t>(0.87, 0.0, 0.87)</t>
        </is>
      </c>
      <c r="AM315" s="5" t="inlineStr">
        <is>
          <t>DM-VOILE</t>
        </is>
      </c>
    </row>
    <row r="316">
      <c r="A316" s="5" t="n">
        <v>315</v>
      </c>
      <c r="B316" s="5" t="inlineStr">
        <is>
          <t>123</t>
        </is>
      </c>
      <c r="C316" s="5" t="inlineStr">
        <is>
          <t>nearest labels (100% agree)</t>
        </is>
      </c>
      <c r="D316" s="5" t="inlineStr">
        <is>
          <t>wall</t>
        </is>
      </c>
      <c r="E316" s="5" t="inlineStr">
        <is>
          <t>shear_wall</t>
        </is>
      </c>
      <c r="F316" s="5" t="inlineStr">
        <is>
          <t>(none)</t>
        </is>
      </c>
      <c r="G316" s="5" t="inlineStr"/>
      <c r="H316" s="5" t="inlineStr">
        <is>
          <t>none</t>
        </is>
      </c>
      <c r="I316" s="5" t="n">
        <v>200</v>
      </c>
      <c r="J316" s="5" t="n">
        <v>20</v>
      </c>
      <c r="K316" s="9">
        <f>IF(AND(ISNUMBER(I316),ISNUMBER(J316),J316&gt;0),I316/J316,"")</f>
        <v/>
      </c>
      <c r="L316" s="5" t="n">
        <v>0.402</v>
      </c>
      <c r="M316" s="5" t="n"/>
      <c r="N316" s="5" t="n">
        <v>179.8</v>
      </c>
      <c r="O316" s="5" t="inlineStr">
        <is>
          <t>solid fill</t>
        </is>
      </c>
      <c r="P316" s="5" t="inlineStr">
        <is>
          <t>straight stretch of a thin filled outline with bends (pair of parallel faces)</t>
        </is>
      </c>
      <c r="Q316" s="5">
        <f>IF(OR(D316="column",D316="wall"),IF(I316&lt;='P vs V'!$B$3*J316,"column","wall"),"")</f>
        <v/>
      </c>
      <c r="R316" s="5" t="inlineStr"/>
      <c r="S316" s="5" t="inlineStr"/>
      <c r="T316" s="5" t="n"/>
      <c r="U316" s="5" t="inlineStr">
        <is>
          <t>no</t>
        </is>
      </c>
      <c r="V316" s="5" t="inlineStr">
        <is>
          <t>no</t>
        </is>
      </c>
      <c r="W316" s="5" t="inlineStr">
        <is>
          <t>yes</t>
        </is>
      </c>
      <c r="X316" s="5" t="inlineStr">
        <is>
          <t>no</t>
        </is>
      </c>
      <c r="Y316" s="5" t="inlineStr">
        <is>
          <t>yes</t>
        </is>
      </c>
      <c r="Z316" s="5" t="inlineStr">
        <is>
          <t>no</t>
        </is>
      </c>
      <c r="AA316" s="5" t="n">
        <v>0.28</v>
      </c>
      <c r="AB316" s="5" t="n"/>
      <c r="AC316" s="5" t="n"/>
      <c r="AD316" s="5" t="n"/>
      <c r="AE316" s="5" t="n">
        <v>4956.4</v>
      </c>
      <c r="AF316" s="5" t="n">
        <v>3211.1</v>
      </c>
      <c r="AG316" s="5" t="n">
        <v>5015.5</v>
      </c>
      <c r="AH316" s="5" t="n">
        <v>3217.1</v>
      </c>
      <c r="AI316" s="5" t="inlineStr">
        <is>
          <t>new</t>
        </is>
      </c>
      <c r="AJ316" s="5" t="inlineStr"/>
      <c r="AK316" s="5" t="inlineStr">
        <is>
          <t>piece of a wall network the colour pipeline left unsplit</t>
        </is>
      </c>
      <c r="AL316" s="5" t="inlineStr"/>
      <c r="AM316" s="5" t="inlineStr"/>
    </row>
    <row r="317">
      <c r="A317" s="5" t="n">
        <v>316</v>
      </c>
      <c r="B317" s="5" t="inlineStr">
        <is>
          <t>123</t>
        </is>
      </c>
      <c r="C317" s="5" t="inlineStr">
        <is>
          <t>nearest labels (100% agree)</t>
        </is>
      </c>
      <c r="D317" s="5" t="inlineStr">
        <is>
          <t>wall</t>
        </is>
      </c>
      <c r="E317" s="5" t="inlineStr">
        <is>
          <t>shear_wall</t>
        </is>
      </c>
      <c r="F317" s="5" t="inlineStr">
        <is>
          <t>(none)</t>
        </is>
      </c>
      <c r="G317" s="5" t="inlineStr"/>
      <c r="H317" s="5" t="inlineStr">
        <is>
          <t>none</t>
        </is>
      </c>
      <c r="I317" s="5" t="n">
        <v>150</v>
      </c>
      <c r="J317" s="5" t="n">
        <v>20</v>
      </c>
      <c r="K317" s="9">
        <f>IF(AND(ISNUMBER(I317),ISNUMBER(J317),J317&gt;0),I317/J317,"")</f>
        <v/>
      </c>
      <c r="L317" s="5" t="n">
        <v>0.3</v>
      </c>
      <c r="M317" s="5" t="n"/>
      <c r="N317" s="5" t="n">
        <v>89.90000000000001</v>
      </c>
      <c r="O317" s="5" t="inlineStr">
        <is>
          <t>solid fill</t>
        </is>
      </c>
      <c r="P317" s="5" t="inlineStr">
        <is>
          <t>straight stretch of a thin filled outline with bends (pair of parallel faces)</t>
        </is>
      </c>
      <c r="Q317" s="5">
        <f>IF(OR(D317="column",D317="wall"),IF(I317&lt;='P vs V'!$B$3*J317,"column","wall"),"")</f>
        <v/>
      </c>
      <c r="R317" s="5" t="inlineStr"/>
      <c r="S317" s="5" t="inlineStr"/>
      <c r="T317" s="5" t="n"/>
      <c r="U317" s="5" t="inlineStr">
        <is>
          <t>no</t>
        </is>
      </c>
      <c r="V317" s="5" t="inlineStr">
        <is>
          <t>no</t>
        </is>
      </c>
      <c r="W317" s="5" t="inlineStr">
        <is>
          <t>yes</t>
        </is>
      </c>
      <c r="X317" s="5" t="inlineStr">
        <is>
          <t>no</t>
        </is>
      </c>
      <c r="Y317" s="5" t="inlineStr">
        <is>
          <t>yes</t>
        </is>
      </c>
      <c r="Z317" s="5" t="inlineStr">
        <is>
          <t>no</t>
        </is>
      </c>
      <c r="AA317" s="5" t="n">
        <v>0.29</v>
      </c>
      <c r="AB317" s="5" t="n"/>
      <c r="AC317" s="5" t="n"/>
      <c r="AD317" s="5" t="n"/>
      <c r="AE317" s="5" t="n">
        <v>5015.5</v>
      </c>
      <c r="AF317" s="5" t="n">
        <v>3217</v>
      </c>
      <c r="AG317" s="5" t="n">
        <v>5021.5</v>
      </c>
      <c r="AH317" s="5" t="n">
        <v>3261.3</v>
      </c>
      <c r="AI317" s="5" t="inlineStr">
        <is>
          <t>new</t>
        </is>
      </c>
      <c r="AJ317" s="5" t="inlineStr"/>
      <c r="AK317" s="5" t="inlineStr">
        <is>
          <t>piece of a wall network the colour pipeline left unsplit</t>
        </is>
      </c>
      <c r="AL317" s="5" t="inlineStr"/>
      <c r="AM317" s="5" t="inlineStr"/>
    </row>
    <row r="318">
      <c r="A318" s="5" t="n">
        <v>317</v>
      </c>
      <c r="B318" s="5" t="inlineStr">
        <is>
          <t>123</t>
        </is>
      </c>
      <c r="C318" s="5" t="inlineStr">
        <is>
          <t>nearest labels (100% agree)</t>
        </is>
      </c>
      <c r="D318" s="5" t="inlineStr">
        <is>
          <t>wall</t>
        </is>
      </c>
      <c r="E318" s="5" t="inlineStr">
        <is>
          <t>shear_wall</t>
        </is>
      </c>
      <c r="F318" s="5" t="inlineStr">
        <is>
          <t>(none)</t>
        </is>
      </c>
      <c r="G318" s="5" t="inlineStr"/>
      <c r="H318" s="5" t="inlineStr">
        <is>
          <t>none</t>
        </is>
      </c>
      <c r="I318" s="5" t="n">
        <v>180</v>
      </c>
      <c r="J318" s="5" t="n">
        <v>20</v>
      </c>
      <c r="K318" s="9">
        <f>IF(AND(ISNUMBER(I318),ISNUMBER(J318),J318&gt;0),I318/J318,"")</f>
        <v/>
      </c>
      <c r="L318" s="5" t="n">
        <v>0.36</v>
      </c>
      <c r="M318" s="5" t="n"/>
      <c r="N318" s="5" t="n">
        <v>179.9</v>
      </c>
      <c r="O318" s="5" t="inlineStr">
        <is>
          <t>solid fill</t>
        </is>
      </c>
      <c r="P318" s="5" t="inlineStr">
        <is>
          <t>straight stretch of a thin filled outline with bends (pair of parallel faces)</t>
        </is>
      </c>
      <c r="Q318" s="5">
        <f>IF(OR(D318="column",D318="wall"),IF(I318&lt;='P vs V'!$B$3*J318,"column","wall"),"")</f>
        <v/>
      </c>
      <c r="R318" s="5" t="inlineStr"/>
      <c r="S318" s="5" t="inlineStr"/>
      <c r="T318" s="5" t="n"/>
      <c r="U318" s="5" t="inlineStr">
        <is>
          <t>no</t>
        </is>
      </c>
      <c r="V318" s="5" t="inlineStr">
        <is>
          <t>no</t>
        </is>
      </c>
      <c r="W318" s="5" t="inlineStr">
        <is>
          <t>yes</t>
        </is>
      </c>
      <c r="X318" s="5" t="inlineStr">
        <is>
          <t>no</t>
        </is>
      </c>
      <c r="Y318" s="5" t="inlineStr">
        <is>
          <t>no</t>
        </is>
      </c>
      <c r="Z318" s="5" t="inlineStr">
        <is>
          <t>no</t>
        </is>
      </c>
      <c r="AA318" s="5" t="n">
        <v>0.13</v>
      </c>
      <c r="AB318" s="5" t="n"/>
      <c r="AC318" s="5" t="n"/>
      <c r="AD318" s="5" t="n"/>
      <c r="AE318" s="5" t="n">
        <v>4956.5</v>
      </c>
      <c r="AF318" s="5" t="n">
        <v>3261.3</v>
      </c>
      <c r="AG318" s="5" t="n">
        <v>5009.8</v>
      </c>
      <c r="AH318" s="5" t="n">
        <v>3267.3</v>
      </c>
      <c r="AI318" s="5" t="inlineStr">
        <is>
          <t>new</t>
        </is>
      </c>
      <c r="AJ318" s="5" t="inlineStr"/>
      <c r="AK318" s="5" t="inlineStr">
        <is>
          <t>piece of a wall network the colour pipeline left unsplit</t>
        </is>
      </c>
      <c r="AL318" s="5" t="inlineStr"/>
      <c r="AM318" s="5" t="inlineStr"/>
    </row>
    <row r="319">
      <c r="A319" s="5" t="n">
        <v>318</v>
      </c>
      <c r="B319" s="5" t="inlineStr">
        <is>
          <t>123</t>
        </is>
      </c>
      <c r="C319" s="5" t="inlineStr">
        <is>
          <t>nearest labels (100% agree)</t>
        </is>
      </c>
      <c r="D319" s="5" t="inlineStr">
        <is>
          <t>wall</t>
        </is>
      </c>
      <c r="E319" s="5" t="inlineStr">
        <is>
          <t>shear_wall</t>
        </is>
      </c>
      <c r="F319" s="5" t="inlineStr">
        <is>
          <t>(none)</t>
        </is>
      </c>
      <c r="G319" s="5" t="inlineStr"/>
      <c r="H319" s="5" t="inlineStr">
        <is>
          <t>none</t>
        </is>
      </c>
      <c r="I319" s="5" t="n">
        <v>150</v>
      </c>
      <c r="J319" s="5" t="n">
        <v>20</v>
      </c>
      <c r="K319" s="9">
        <f>IF(AND(ISNUMBER(I319),ISNUMBER(J319),J319&gt;0),I319/J319,"")</f>
        <v/>
      </c>
      <c r="L319" s="5" t="n">
        <v>0.3</v>
      </c>
      <c r="M319" s="5" t="n"/>
      <c r="N319" s="5" t="n">
        <v>89.90000000000001</v>
      </c>
      <c r="O319" s="5" t="inlineStr">
        <is>
          <t>solid fill</t>
        </is>
      </c>
      <c r="P319" s="5" t="inlineStr">
        <is>
          <t>straight stretch of a thin filled outline with bends (pair of parallel faces)</t>
        </is>
      </c>
      <c r="Q319" s="5">
        <f>IF(OR(D319="column",D319="wall"),IF(I319&lt;='P vs V'!$B$3*J319,"column","wall"),"")</f>
        <v/>
      </c>
      <c r="R319" s="5" t="inlineStr"/>
      <c r="S319" s="5" t="inlineStr"/>
      <c r="T319" s="5" t="n"/>
      <c r="U319" s="5" t="inlineStr">
        <is>
          <t>no</t>
        </is>
      </c>
      <c r="V319" s="5" t="inlineStr">
        <is>
          <t>no</t>
        </is>
      </c>
      <c r="W319" s="5" t="inlineStr">
        <is>
          <t>yes</t>
        </is>
      </c>
      <c r="X319" s="5" t="inlineStr">
        <is>
          <t>no</t>
        </is>
      </c>
      <c r="Y319" s="5" t="inlineStr">
        <is>
          <t>no</t>
        </is>
      </c>
      <c r="Z319" s="5" t="inlineStr">
        <is>
          <t>no</t>
        </is>
      </c>
      <c r="AA319" s="5" t="n">
        <v>0.96</v>
      </c>
      <c r="AB319" s="5" t="n"/>
      <c r="AC319" s="5" t="n"/>
      <c r="AD319" s="5" t="n"/>
      <c r="AE319" s="5" t="n">
        <v>4950.5</v>
      </c>
      <c r="AF319" s="5" t="n">
        <v>3217.1</v>
      </c>
      <c r="AG319" s="5" t="n">
        <v>4956.5</v>
      </c>
      <c r="AH319" s="5" t="n">
        <v>3261.4</v>
      </c>
      <c r="AI319" s="5" t="inlineStr">
        <is>
          <t>new</t>
        </is>
      </c>
      <c r="AJ319" s="5" t="inlineStr"/>
      <c r="AK319" s="5" t="inlineStr">
        <is>
          <t>piece of a wall network the colour pipeline left unsplit</t>
        </is>
      </c>
      <c r="AL319" s="5" t="inlineStr"/>
      <c r="AM319" s="5" t="inlineStr"/>
    </row>
    <row r="320">
      <c r="A320" s="5" t="n">
        <v>319</v>
      </c>
      <c r="B320" s="5" t="inlineStr">
        <is>
          <t>123</t>
        </is>
      </c>
      <c r="C320" s="5" t="inlineStr">
        <is>
          <t>nearest labels (80% agree)</t>
        </is>
      </c>
      <c r="D320" s="5" t="inlineStr">
        <is>
          <t>wall</t>
        </is>
      </c>
      <c r="E320" s="5" t="inlineStr">
        <is>
          <t>core_wall_hatched</t>
        </is>
      </c>
      <c r="F320" s="5" t="inlineStr">
        <is>
          <t>(none)</t>
        </is>
      </c>
      <c r="G320" s="5" t="inlineStr"/>
      <c r="H320" s="5" t="inlineStr">
        <is>
          <t>none</t>
        </is>
      </c>
      <c r="I320" s="5" t="n">
        <v>293</v>
      </c>
      <c r="J320" s="5" t="n">
        <v>20</v>
      </c>
      <c r="K320" s="9">
        <f>IF(AND(ISNUMBER(I320),ISNUMBER(J320),J320&gt;0),I320/J320,"")</f>
        <v/>
      </c>
      <c r="L320" s="5" t="n">
        <v>0.592</v>
      </c>
      <c r="M320" s="5" t="n">
        <v>2.93</v>
      </c>
      <c r="N320" s="5" t="n">
        <v>79.40000000000001</v>
      </c>
      <c r="O320" s="5" t="inlineStr">
        <is>
          <t>cross-hatch</t>
        </is>
      </c>
      <c r="P320" s="5" t="inlineStr">
        <is>
          <t>cross-hatch of short strokes in two perpendicular families</t>
        </is>
      </c>
      <c r="Q320" s="5">
        <f>IF(OR(D320="column",D320="wall"),IF(I320&lt;='P vs V'!$B$3*J320,"column","wall"),"")</f>
        <v/>
      </c>
      <c r="R320" s="5" t="inlineStr"/>
      <c r="S320" s="5" t="inlineStr"/>
      <c r="T320" s="5" t="n"/>
      <c r="U320" s="5" t="inlineStr">
        <is>
          <t>yes</t>
        </is>
      </c>
      <c r="V320" s="5" t="inlineStr">
        <is>
          <t>no</t>
        </is>
      </c>
      <c r="W320" s="5" t="inlineStr">
        <is>
          <t>yes</t>
        </is>
      </c>
      <c r="X320" s="5" t="inlineStr">
        <is>
          <t>no</t>
        </is>
      </c>
      <c r="Y320" s="5" t="inlineStr">
        <is>
          <t>no</t>
        </is>
      </c>
      <c r="Z320" s="5" t="inlineStr">
        <is>
          <t>no</t>
        </is>
      </c>
      <c r="AA320" s="5" t="n">
        <v>1.74</v>
      </c>
      <c r="AB320" s="5" t="n">
        <v>0.28</v>
      </c>
      <c r="AC320" s="5" t="n"/>
      <c r="AD320" s="5" t="n"/>
      <c r="AE320" s="5" t="n">
        <v>4612.3</v>
      </c>
      <c r="AF320" s="5" t="n">
        <v>3145.7</v>
      </c>
      <c r="AG320" s="5" t="n">
        <v>4639.7</v>
      </c>
      <c r="AH320" s="5" t="n">
        <v>3266.4</v>
      </c>
      <c r="AI320" s="5" t="inlineStr">
        <is>
          <t>n/a</t>
        </is>
      </c>
      <c r="AJ320" s="5" t="inlineStr"/>
      <c r="AK320" s="5" t="inlineStr"/>
      <c r="AL320" s="5" t="inlineStr"/>
      <c r="AM320" s="5" t="inlineStr"/>
    </row>
    <row r="321">
      <c r="A321" s="5" t="n">
        <v>320</v>
      </c>
      <c r="B321" s="5" t="inlineStr">
        <is>
          <t>123</t>
        </is>
      </c>
      <c r="C321" s="5" t="inlineStr">
        <is>
          <t>nearest labels (80% agree)</t>
        </is>
      </c>
      <c r="D321" s="5" t="inlineStr">
        <is>
          <t>wall</t>
        </is>
      </c>
      <c r="E321" s="5" t="inlineStr">
        <is>
          <t>core_wall_hatched</t>
        </is>
      </c>
      <c r="F321" s="5" t="inlineStr">
        <is>
          <t>(none)</t>
        </is>
      </c>
      <c r="G321" s="5" t="inlineStr"/>
      <c r="H321" s="5" t="inlineStr">
        <is>
          <t>none</t>
        </is>
      </c>
      <c r="I321" s="5" t="n">
        <v>883</v>
      </c>
      <c r="J321" s="5" t="n">
        <v>20</v>
      </c>
      <c r="K321" s="9">
        <f>IF(AND(ISNUMBER(I321),ISNUMBER(J321),J321&gt;0),I321/J321,"")</f>
        <v/>
      </c>
      <c r="L321" s="5" t="n">
        <v>1.782</v>
      </c>
      <c r="M321" s="5" t="n">
        <v>8.83</v>
      </c>
      <c r="N321" s="5" t="n">
        <v>169.3</v>
      </c>
      <c r="O321" s="5" t="inlineStr">
        <is>
          <t>cross-hatch</t>
        </is>
      </c>
      <c r="P321" s="5" t="inlineStr">
        <is>
          <t>cross-hatch of short strokes in two perpendicular families</t>
        </is>
      </c>
      <c r="Q321" s="5">
        <f>IF(OR(D321="column",D321="wall"),IF(I321&lt;='P vs V'!$B$3*J321,"column","wall"),"")</f>
        <v/>
      </c>
      <c r="R321" s="5" t="inlineStr"/>
      <c r="S321" s="5" t="inlineStr"/>
      <c r="T321" s="5" t="n"/>
      <c r="U321" s="5" t="inlineStr">
        <is>
          <t>yes</t>
        </is>
      </c>
      <c r="V321" s="5" t="inlineStr">
        <is>
          <t>no</t>
        </is>
      </c>
      <c r="W321" s="5" t="inlineStr">
        <is>
          <t>yes</t>
        </is>
      </c>
      <c r="X321" s="5" t="inlineStr">
        <is>
          <t>no</t>
        </is>
      </c>
      <c r="Y321" s="5" t="inlineStr">
        <is>
          <t>no</t>
        </is>
      </c>
      <c r="Z321" s="5" t="inlineStr">
        <is>
          <t>no</t>
        </is>
      </c>
      <c r="AA321" s="5" t="n">
        <v>0.58</v>
      </c>
      <c r="AB321" s="5" t="n">
        <v>0.28</v>
      </c>
      <c r="AC321" s="5" t="n"/>
      <c r="AD321" s="5" t="n"/>
      <c r="AE321" s="5" t="n">
        <v>4655.5</v>
      </c>
      <c r="AF321" s="5" t="n">
        <v>3160</v>
      </c>
      <c r="AG321" s="5" t="n">
        <v>4765</v>
      </c>
      <c r="AH321" s="5" t="n">
        <v>3263.4</v>
      </c>
      <c r="AI321" s="5" t="inlineStr">
        <is>
          <t>n/a</t>
        </is>
      </c>
      <c r="AJ321" s="5" t="inlineStr"/>
      <c r="AK321" s="5" t="inlineStr"/>
      <c r="AL321" s="5" t="inlineStr"/>
      <c r="AM321" s="5" t="inlineStr"/>
    </row>
    <row r="322">
      <c r="A322" s="5" t="n">
        <v>321</v>
      </c>
      <c r="B322" s="5" t="inlineStr">
        <is>
          <t>123</t>
        </is>
      </c>
      <c r="C322" s="5" t="inlineStr">
        <is>
          <t>nearest labels (60% agree)</t>
        </is>
      </c>
      <c r="D322" s="5" t="inlineStr">
        <is>
          <t>wall</t>
        </is>
      </c>
      <c r="E322" s="5" t="inlineStr">
        <is>
          <t>core_wall_hatched</t>
        </is>
      </c>
      <c r="F322" s="5" t="inlineStr">
        <is>
          <t>(none)</t>
        </is>
      </c>
      <c r="G322" s="5" t="inlineStr"/>
      <c r="H322" s="5" t="inlineStr">
        <is>
          <t>none</t>
        </is>
      </c>
      <c r="I322" s="5" t="n">
        <v>138</v>
      </c>
      <c r="J322" s="5" t="n">
        <v>25</v>
      </c>
      <c r="K322" s="9">
        <f>IF(AND(ISNUMBER(I322),ISNUMBER(J322),J322&gt;0),I322/J322,"")</f>
        <v/>
      </c>
      <c r="L322" s="5" t="n">
        <v>0.347</v>
      </c>
      <c r="M322" s="5" t="n">
        <v>1.38</v>
      </c>
      <c r="N322" s="5" t="n">
        <v>169.4</v>
      </c>
      <c r="O322" s="5" t="inlineStr">
        <is>
          <t>cross-hatch</t>
        </is>
      </c>
      <c r="P322" s="5" t="inlineStr">
        <is>
          <t>cross-hatch of short strokes in two perpendicular families</t>
        </is>
      </c>
      <c r="Q322" s="5">
        <f>IF(OR(D322="column",D322="wall"),IF(I322&lt;='P vs V'!$B$3*J322,"column","wall"),"")</f>
        <v/>
      </c>
      <c r="R322" s="5" t="inlineStr"/>
      <c r="S322" s="5" t="inlineStr"/>
      <c r="T322" s="5" t="n"/>
      <c r="U322" s="5" t="inlineStr">
        <is>
          <t>yes</t>
        </is>
      </c>
      <c r="V322" s="5" t="inlineStr">
        <is>
          <t>no</t>
        </is>
      </c>
      <c r="W322" s="5" t="inlineStr">
        <is>
          <t>yes</t>
        </is>
      </c>
      <c r="X322" s="5" t="inlineStr">
        <is>
          <t>no</t>
        </is>
      </c>
      <c r="Y322" s="5" t="inlineStr">
        <is>
          <t>no</t>
        </is>
      </c>
      <c r="Z322" s="5" t="inlineStr">
        <is>
          <t>no</t>
        </is>
      </c>
      <c r="AA322" s="5" t="n">
        <v>1.58</v>
      </c>
      <c r="AB322" s="5" t="n">
        <v>0.28</v>
      </c>
      <c r="AC322" s="5" t="n"/>
      <c r="AD322" s="5" t="n"/>
      <c r="AE322" s="5" t="n">
        <v>4758.6</v>
      </c>
      <c r="AF322" s="5" t="n">
        <v>3069</v>
      </c>
      <c r="AG322" s="5" t="n">
        <v>4798.9</v>
      </c>
      <c r="AH322" s="5" t="n">
        <v>3114.9</v>
      </c>
      <c r="AI322" s="5" t="inlineStr">
        <is>
          <t>n/a</t>
        </is>
      </c>
      <c r="AJ322" s="5" t="inlineStr"/>
      <c r="AK322" s="5" t="inlineStr"/>
      <c r="AL322" s="5" t="inlineStr"/>
      <c r="AM322" s="5" t="inlineStr"/>
    </row>
    <row r="323">
      <c r="A323" s="5" t="n">
        <v>322</v>
      </c>
      <c r="B323" s="5" t="inlineStr">
        <is>
          <t>123</t>
        </is>
      </c>
      <c r="C323" s="5" t="inlineStr">
        <is>
          <t>nearest labels (60% agree)</t>
        </is>
      </c>
      <c r="D323" s="5" t="inlineStr">
        <is>
          <t>footing</t>
        </is>
      </c>
      <c r="E323" s="5" t="inlineStr">
        <is>
          <t>combined_footing</t>
        </is>
      </c>
      <c r="F323" s="5" t="inlineStr">
        <is>
          <t>SC1</t>
        </is>
      </c>
      <c r="G323" s="5" t="inlineStr">
        <is>
          <t>SC1-</t>
        </is>
      </c>
      <c r="H323" s="5" t="inlineStr">
        <is>
          <t>printed</t>
        </is>
      </c>
      <c r="I323" s="5" t="n">
        <v>500</v>
      </c>
      <c r="J323" s="5" t="n">
        <v>350</v>
      </c>
      <c r="K323" s="9">
        <f>IF(AND(ISNUMBER(I323),ISNUMBER(J323),J323&gt;0),I323/J323,"")</f>
        <v/>
      </c>
      <c r="L323" s="5" t="n">
        <v>17.505</v>
      </c>
      <c r="M323" s="5" t="n"/>
      <c r="N323" s="5" t="n">
        <v>79.3</v>
      </c>
      <c r="O323" s="5" t="inlineStr">
        <is>
          <t>closed outline</t>
        </is>
      </c>
      <c r="P323" s="5" t="inlineStr">
        <is>
          <t>closed rectangular outline around a column/wall or next to an S/SC label</t>
        </is>
      </c>
      <c r="Q323" s="5">
        <f>IF(OR(D323="column",D323="wall"),IF(I323&lt;='P vs V'!$B$3*J323,"column","wall"),"")</f>
        <v/>
      </c>
      <c r="R323" s="5" t="inlineStr"/>
      <c r="S323" s="5" t="inlineStr">
        <is>
          <t>wall+wall</t>
        </is>
      </c>
      <c r="T323" s="5" t="n">
        <v>5</v>
      </c>
      <c r="U323" s="5" t="inlineStr">
        <is>
          <t>no</t>
        </is>
      </c>
      <c r="V323" s="5" t="inlineStr">
        <is>
          <t>no</t>
        </is>
      </c>
      <c r="W323" s="5" t="inlineStr">
        <is>
          <t>yes</t>
        </is>
      </c>
      <c r="X323" s="5" t="inlineStr">
        <is>
          <t>no</t>
        </is>
      </c>
      <c r="Y323" s="5" t="inlineStr">
        <is>
          <t>yes</t>
        </is>
      </c>
      <c r="Z323" s="5" t="inlineStr">
        <is>
          <t>no</t>
        </is>
      </c>
      <c r="AA323" s="5" t="n">
        <v>3.26</v>
      </c>
      <c r="AB323" s="5" t="n"/>
      <c r="AC323" s="5" t="n"/>
      <c r="AD323" s="5" t="n"/>
      <c r="AE323" s="5" t="n">
        <v>4271.1</v>
      </c>
      <c r="AF323" s="5" t="n">
        <v>3483</v>
      </c>
      <c r="AG323" s="5" t="n">
        <v>4400.1</v>
      </c>
      <c r="AH323" s="5" t="n">
        <v>3647.2</v>
      </c>
      <c r="AI323" s="5" t="inlineStr">
        <is>
          <t>yes</t>
        </is>
      </c>
      <c r="AJ323" s="5" t="inlineStr">
        <is>
          <t>combined_footing</t>
        </is>
      </c>
      <c r="AK323" s="5" t="inlineStr"/>
      <c r="AL323" s="5" t="inlineStr">
        <is>
          <t>(0.72, 0.72, 0.0)</t>
        </is>
      </c>
      <c r="AM323" s="5" t="inlineStr">
        <is>
          <t>DM-SEMELLES</t>
        </is>
      </c>
    </row>
    <row r="324">
      <c r="A324" s="5" t="n">
        <v>323</v>
      </c>
      <c r="B324" s="5" t="inlineStr">
        <is>
          <t>123</t>
        </is>
      </c>
      <c r="C324" s="5" t="inlineStr">
        <is>
          <t>nearest labels (60% agree)</t>
        </is>
      </c>
      <c r="D324" s="5" t="inlineStr">
        <is>
          <t>footing</t>
        </is>
      </c>
      <c r="E324" s="5" t="inlineStr">
        <is>
          <t>combined_footing</t>
        </is>
      </c>
      <c r="F324" s="5" t="inlineStr">
        <is>
          <t>SC1</t>
        </is>
      </c>
      <c r="G324" s="5" t="inlineStr">
        <is>
          <t>SC1-</t>
        </is>
      </c>
      <c r="H324" s="5" t="inlineStr">
        <is>
          <t>printed</t>
        </is>
      </c>
      <c r="I324" s="5" t="n">
        <v>500</v>
      </c>
      <c r="J324" s="5" t="n">
        <v>350</v>
      </c>
      <c r="K324" s="9">
        <f>IF(AND(ISNUMBER(I324),ISNUMBER(J324),J324&gt;0),I324/J324,"")</f>
        <v/>
      </c>
      <c r="L324" s="5" t="n">
        <v>17.492</v>
      </c>
      <c r="M324" s="5" t="n"/>
      <c r="N324" s="5" t="n">
        <v>169.8</v>
      </c>
      <c r="O324" s="5" t="inlineStr">
        <is>
          <t>closed outline</t>
        </is>
      </c>
      <c r="P324" s="5" t="inlineStr">
        <is>
          <t>closed rectangular outline around a column/wall or next to an S/SC label</t>
        </is>
      </c>
      <c r="Q324" s="5">
        <f>IF(OR(D324="column",D324="wall"),IF(I324&lt;='P vs V'!$B$3*J324,"column","wall"),"")</f>
        <v/>
      </c>
      <c r="R324" s="5" t="inlineStr"/>
      <c r="S324" s="5" t="inlineStr">
        <is>
          <t>wall+wall</t>
        </is>
      </c>
      <c r="T324" s="5" t="n">
        <v>6</v>
      </c>
      <c r="U324" s="5" t="inlineStr">
        <is>
          <t>no</t>
        </is>
      </c>
      <c r="V324" s="5" t="inlineStr">
        <is>
          <t>no</t>
        </is>
      </c>
      <c r="W324" s="5" t="inlineStr">
        <is>
          <t>yes</t>
        </is>
      </c>
      <c r="X324" s="5" t="inlineStr">
        <is>
          <t>no</t>
        </is>
      </c>
      <c r="Y324" s="5" t="inlineStr">
        <is>
          <t>yes</t>
        </is>
      </c>
      <c r="Z324" s="5" t="inlineStr">
        <is>
          <t>no</t>
        </is>
      </c>
      <c r="AA324" s="5" t="n">
        <v>0.07000000000000001</v>
      </c>
      <c r="AB324" s="5" t="n"/>
      <c r="AC324" s="5" t="n"/>
      <c r="AD324" s="5" t="n"/>
      <c r="AE324" s="5" t="n">
        <v>4915.8</v>
      </c>
      <c r="AF324" s="5" t="n">
        <v>2883.4</v>
      </c>
      <c r="AG324" s="5" t="n">
        <v>5079.3</v>
      </c>
      <c r="AH324" s="5" t="n">
        <v>3011.3</v>
      </c>
      <c r="AI324" s="5" t="inlineStr">
        <is>
          <t>yes</t>
        </is>
      </c>
      <c r="AJ324" s="5" t="inlineStr">
        <is>
          <t>combined_footing</t>
        </is>
      </c>
      <c r="AK324" s="5" t="inlineStr"/>
      <c r="AL324" s="5" t="inlineStr">
        <is>
          <t>(1.0, 0.0, 0.0)</t>
        </is>
      </c>
      <c r="AM324" s="5" t="inlineStr">
        <is>
          <t>A-WALL</t>
        </is>
      </c>
    </row>
    <row r="325">
      <c r="A325" s="5" t="n">
        <v>324</v>
      </c>
      <c r="B325" s="5" t="inlineStr">
        <is>
          <t>123</t>
        </is>
      </c>
      <c r="C325" s="5" t="inlineStr">
        <is>
          <t>nearest labels (40% agree)</t>
        </is>
      </c>
      <c r="D325" s="5" t="inlineStr">
        <is>
          <t>footing</t>
        </is>
      </c>
      <c r="E325" s="5" t="inlineStr">
        <is>
          <t>combined_footing</t>
        </is>
      </c>
      <c r="F325" s="5" t="inlineStr">
        <is>
          <t>SC4</t>
        </is>
      </c>
      <c r="G325" s="5" t="inlineStr">
        <is>
          <t>SC4-</t>
        </is>
      </c>
      <c r="H325" s="5" t="inlineStr">
        <is>
          <t>printed</t>
        </is>
      </c>
      <c r="I325" s="5" t="n">
        <v>450</v>
      </c>
      <c r="J325" s="5" t="n">
        <v>450</v>
      </c>
      <c r="K325" s="9">
        <f>IF(AND(ISNUMBER(I325),ISNUMBER(J325),J325&gt;0),I325/J325,"")</f>
        <v/>
      </c>
      <c r="L325" s="5" t="n">
        <v>20.254</v>
      </c>
      <c r="M325" s="5" t="n"/>
      <c r="N325" s="5" t="n">
        <v>169.4</v>
      </c>
      <c r="O325" s="5" t="inlineStr">
        <is>
          <t>closed outline</t>
        </is>
      </c>
      <c r="P325" s="5" t="inlineStr">
        <is>
          <t>closed rectangular outline around a column/wall or next to an S/SC label</t>
        </is>
      </c>
      <c r="Q325" s="5">
        <f>IF(OR(D325="column",D325="wall"),IF(I325&lt;='P vs V'!$B$3*J325,"column","wall"),"")</f>
        <v/>
      </c>
      <c r="R325" s="5" t="inlineStr"/>
      <c r="S325" s="5" t="inlineStr">
        <is>
          <t>column+wall</t>
        </is>
      </c>
      <c r="T325" s="5" t="n">
        <v>16</v>
      </c>
      <c r="U325" s="5" t="inlineStr">
        <is>
          <t>no</t>
        </is>
      </c>
      <c r="V325" s="5" t="inlineStr">
        <is>
          <t>no</t>
        </is>
      </c>
      <c r="W325" s="5" t="inlineStr">
        <is>
          <t>yes</t>
        </is>
      </c>
      <c r="X325" s="5" t="inlineStr">
        <is>
          <t>no</t>
        </is>
      </c>
      <c r="Y325" s="5" t="inlineStr">
        <is>
          <t>yes</t>
        </is>
      </c>
      <c r="Z325" s="5" t="inlineStr">
        <is>
          <t>yes</t>
        </is>
      </c>
      <c r="AA325" s="5" t="n">
        <v>0.02</v>
      </c>
      <c r="AB325" s="5" t="n"/>
      <c r="AC325" s="5" t="n"/>
      <c r="AD325" s="5" t="n"/>
      <c r="AE325" s="5" t="n">
        <v>4343.3</v>
      </c>
      <c r="AF325" s="5" t="n">
        <v>3006.4</v>
      </c>
      <c r="AG325" s="5" t="n">
        <v>4498.3</v>
      </c>
      <c r="AH325" s="5" t="n">
        <v>3161.4</v>
      </c>
      <c r="AI325" s="5" t="inlineStr">
        <is>
          <t>yes</t>
        </is>
      </c>
      <c r="AJ325" s="5" t="inlineStr">
        <is>
          <t>combined_footing</t>
        </is>
      </c>
      <c r="AK325" s="5" t="inlineStr"/>
      <c r="AL325" s="5" t="inlineStr">
        <is>
          <t>(0.72, 0.72, 0.0)</t>
        </is>
      </c>
      <c r="AM325" s="5" t="inlineStr">
        <is>
          <t>DM-SEMELLES</t>
        </is>
      </c>
    </row>
    <row r="326">
      <c r="A326" s="5" t="n">
        <v>325</v>
      </c>
      <c r="B326" s="5" t="inlineStr">
        <is>
          <t>123</t>
        </is>
      </c>
      <c r="C326" s="5" t="inlineStr">
        <is>
          <t>own label</t>
        </is>
      </c>
      <c r="D326" s="5" t="inlineStr">
        <is>
          <t>footing</t>
        </is>
      </c>
      <c r="E326" s="5" t="inlineStr">
        <is>
          <t>isolated_footing</t>
        </is>
      </c>
      <c r="F326" s="5" t="inlineStr">
        <is>
          <t>S5</t>
        </is>
      </c>
      <c r="G326" s="5" t="inlineStr">
        <is>
          <t>S5-123123</t>
        </is>
      </c>
      <c r="H326" s="5" t="inlineStr">
        <is>
          <t>printed</t>
        </is>
      </c>
      <c r="I326" s="5" t="n">
        <v>450</v>
      </c>
      <c r="J326" s="5" t="n">
        <v>400</v>
      </c>
      <c r="K326" s="9">
        <f>IF(AND(ISNUMBER(I326),ISNUMBER(J326),J326&gt;0),I326/J326,"")</f>
        <v/>
      </c>
      <c r="L326" s="5" t="n">
        <v>18.002</v>
      </c>
      <c r="M326" s="5" t="n"/>
      <c r="N326" s="5" t="n">
        <v>79.3</v>
      </c>
      <c r="O326" s="5" t="inlineStr">
        <is>
          <t>closed outline</t>
        </is>
      </c>
      <c r="P326" s="5" t="inlineStr">
        <is>
          <t>closed rectangular outline around a column/wall or next to an S/SC label</t>
        </is>
      </c>
      <c r="Q326" s="5">
        <f>IF(OR(D326="column",D326="wall"),IF(I326&lt;='P vs V'!$B$3*J326,"column","wall"),"")</f>
        <v/>
      </c>
      <c r="R326" s="5" t="inlineStr"/>
      <c r="S326" s="5" t="inlineStr">
        <is>
          <t>wall</t>
        </is>
      </c>
      <c r="T326" s="5" t="n">
        <v>0</v>
      </c>
      <c r="U326" s="5" t="inlineStr">
        <is>
          <t>no</t>
        </is>
      </c>
      <c r="V326" s="5" t="inlineStr">
        <is>
          <t>no</t>
        </is>
      </c>
      <c r="W326" s="5" t="inlineStr">
        <is>
          <t>yes</t>
        </is>
      </c>
      <c r="X326" s="5" t="inlineStr">
        <is>
          <t>no</t>
        </is>
      </c>
      <c r="Y326" s="5" t="inlineStr">
        <is>
          <t>yes</t>
        </is>
      </c>
      <c r="Z326" s="5" t="inlineStr">
        <is>
          <t>yes</t>
        </is>
      </c>
      <c r="AA326" s="5" t="n">
        <v>0.01</v>
      </c>
      <c r="AB326" s="5" t="n"/>
      <c r="AC326" s="5" t="n"/>
      <c r="AD326" s="5" t="n"/>
      <c r="AE326" s="5" t="n">
        <v>4422.9</v>
      </c>
      <c r="AF326" s="5" t="n">
        <v>3249.3</v>
      </c>
      <c r="AG326" s="5" t="n">
        <v>4563.6</v>
      </c>
      <c r="AH326" s="5" t="n">
        <v>3401.8</v>
      </c>
      <c r="AI326" s="5" t="inlineStr">
        <is>
          <t>yes</t>
        </is>
      </c>
      <c r="AJ326" s="5" t="inlineStr">
        <is>
          <t>isolated_footing</t>
        </is>
      </c>
      <c r="AK326" s="5" t="inlineStr"/>
      <c r="AL326" s="5" t="inlineStr">
        <is>
          <t>(0.72, 0.72, 0.0)</t>
        </is>
      </c>
      <c r="AM326" s="5" t="inlineStr">
        <is>
          <t>DM-SEMELLES</t>
        </is>
      </c>
    </row>
    <row r="327">
      <c r="A327" s="5" t="n">
        <v>326</v>
      </c>
      <c r="B327" s="5" t="inlineStr">
        <is>
          <t>123</t>
        </is>
      </c>
      <c r="C327" s="5" t="inlineStr">
        <is>
          <t>own label</t>
        </is>
      </c>
      <c r="D327" s="5" t="inlineStr">
        <is>
          <t>footing</t>
        </is>
      </c>
      <c r="E327" s="5" t="inlineStr">
        <is>
          <t>isolated_footing</t>
        </is>
      </c>
      <c r="F327" s="5" t="inlineStr">
        <is>
          <t>S7</t>
        </is>
      </c>
      <c r="G327" s="5" t="inlineStr">
        <is>
          <t>S7-123123</t>
        </is>
      </c>
      <c r="H327" s="5" t="inlineStr">
        <is>
          <t>printed</t>
        </is>
      </c>
      <c r="I327" s="5" t="n">
        <v>450</v>
      </c>
      <c r="J327" s="5" t="n">
        <v>350</v>
      </c>
      <c r="K327" s="9">
        <f>IF(AND(ISNUMBER(I327),ISNUMBER(J327),J327&gt;0),I327/J327,"")</f>
        <v/>
      </c>
      <c r="L327" s="5" t="n">
        <v>15.755</v>
      </c>
      <c r="M327" s="5" t="n"/>
      <c r="N327" s="5" t="n">
        <v>169.3</v>
      </c>
      <c r="O327" s="5" t="inlineStr">
        <is>
          <t>closed outline</t>
        </is>
      </c>
      <c r="P327" s="5" t="inlineStr">
        <is>
          <t>closed rectangular outline around a column/wall or next to an S/SC label</t>
        </is>
      </c>
      <c r="Q327" s="5">
        <f>IF(OR(D327="column",D327="wall"),IF(I327&lt;='P vs V'!$B$3*J327,"column","wall"),"")</f>
        <v/>
      </c>
      <c r="R327" s="5" t="inlineStr"/>
      <c r="S327" s="5" t="inlineStr">
        <is>
          <t>wall</t>
        </is>
      </c>
      <c r="T327" s="5" t="n">
        <v>3</v>
      </c>
      <c r="U327" s="5" t="inlineStr">
        <is>
          <t>no</t>
        </is>
      </c>
      <c r="V327" s="5" t="inlineStr">
        <is>
          <t>no</t>
        </is>
      </c>
      <c r="W327" s="5" t="inlineStr">
        <is>
          <t>yes</t>
        </is>
      </c>
      <c r="X327" s="5" t="inlineStr">
        <is>
          <t>no</t>
        </is>
      </c>
      <c r="Y327" s="5" t="inlineStr">
        <is>
          <t>yes</t>
        </is>
      </c>
      <c r="Z327" s="5" t="inlineStr">
        <is>
          <t>yes</t>
        </is>
      </c>
      <c r="AA327" s="5" t="n">
        <v>0</v>
      </c>
      <c r="AB327" s="5" t="n"/>
      <c r="AC327" s="5" t="n"/>
      <c r="AD327" s="5" t="n"/>
      <c r="AE327" s="5" t="n">
        <v>4918.1</v>
      </c>
      <c r="AF327" s="5" t="n">
        <v>3087.2</v>
      </c>
      <c r="AG327" s="5" t="n">
        <v>5067.8</v>
      </c>
      <c r="AH327" s="5" t="n">
        <v>3213.4</v>
      </c>
      <c r="AI327" s="5" t="inlineStr">
        <is>
          <t>yes</t>
        </is>
      </c>
      <c r="AJ327" s="5" t="inlineStr">
        <is>
          <t>isolated_footing</t>
        </is>
      </c>
      <c r="AK327" s="5" t="inlineStr"/>
      <c r="AL327" s="5" t="inlineStr">
        <is>
          <t>(0.72, 0.72, 0.0)</t>
        </is>
      </c>
      <c r="AM327" s="5" t="inlineStr">
        <is>
          <t>DM-SEMELLES</t>
        </is>
      </c>
    </row>
    <row r="328">
      <c r="A328" s="5" t="n">
        <v>327</v>
      </c>
      <c r="B328" s="5" t="inlineStr">
        <is>
          <t>123</t>
        </is>
      </c>
      <c r="C328" s="5" t="inlineStr">
        <is>
          <t>own label</t>
        </is>
      </c>
      <c r="D328" s="5" t="inlineStr">
        <is>
          <t>footing</t>
        </is>
      </c>
      <c r="E328" s="5" t="inlineStr">
        <is>
          <t>isolated_footing</t>
        </is>
      </c>
      <c r="F328" s="5" t="inlineStr">
        <is>
          <t>S7</t>
        </is>
      </c>
      <c r="G328" s="5" t="inlineStr">
        <is>
          <t>S7-123123</t>
        </is>
      </c>
      <c r="H328" s="5" t="inlineStr">
        <is>
          <t>printed</t>
        </is>
      </c>
      <c r="I328" s="5" t="n">
        <v>450</v>
      </c>
      <c r="J328" s="5" t="n">
        <v>350</v>
      </c>
      <c r="K328" s="9">
        <f>IF(AND(ISNUMBER(I328),ISNUMBER(J328),J328&gt;0),I328/J328,"")</f>
        <v/>
      </c>
      <c r="L328" s="5" t="n">
        <v>15.751</v>
      </c>
      <c r="M328" s="5" t="n"/>
      <c r="N328" s="5" t="n">
        <v>79.3</v>
      </c>
      <c r="O328" s="5" t="inlineStr">
        <is>
          <t>closed outline</t>
        </is>
      </c>
      <c r="P328" s="5" t="inlineStr">
        <is>
          <t>closed rectangular outline around a column/wall or next to an S/SC label</t>
        </is>
      </c>
      <c r="Q328" s="5">
        <f>IF(OR(D328="column",D328="wall"),IF(I328&lt;='P vs V'!$B$3*J328,"column","wall"),"")</f>
        <v/>
      </c>
      <c r="R328" s="5" t="inlineStr"/>
      <c r="S328" s="5" t="inlineStr">
        <is>
          <t>wall</t>
        </is>
      </c>
      <c r="T328" s="5" t="n">
        <v>3</v>
      </c>
      <c r="U328" s="5" t="inlineStr">
        <is>
          <t>no</t>
        </is>
      </c>
      <c r="V328" s="5" t="inlineStr">
        <is>
          <t>no</t>
        </is>
      </c>
      <c r="W328" s="5" t="inlineStr">
        <is>
          <t>yes</t>
        </is>
      </c>
      <c r="X328" s="5" t="inlineStr">
        <is>
          <t>no</t>
        </is>
      </c>
      <c r="Y328" s="5" t="inlineStr">
        <is>
          <t>yes</t>
        </is>
      </c>
      <c r="Z328" s="5" t="inlineStr">
        <is>
          <t>no</t>
        </is>
      </c>
      <c r="AA328" s="5" t="n">
        <v>3.25</v>
      </c>
      <c r="AB328" s="5" t="n"/>
      <c r="AC328" s="5" t="n"/>
      <c r="AD328" s="5" t="n"/>
      <c r="AE328" s="5" t="n">
        <v>4838.2</v>
      </c>
      <c r="AF328" s="5" t="n">
        <v>3372.9</v>
      </c>
      <c r="AG328" s="5" t="n">
        <v>4964.4</v>
      </c>
      <c r="AH328" s="5" t="n">
        <v>3522.5</v>
      </c>
      <c r="AI328" s="5" t="inlineStr">
        <is>
          <t>yes</t>
        </is>
      </c>
      <c r="AJ328" s="5" t="inlineStr">
        <is>
          <t>isolated_footing</t>
        </is>
      </c>
      <c r="AK328" s="5" t="inlineStr"/>
      <c r="AL328" s="5" t="inlineStr">
        <is>
          <t>(0.72, 0.72, 0.0)</t>
        </is>
      </c>
      <c r="AM328" s="5" t="inlineStr">
        <is>
          <t>DM-SEMELLES</t>
        </is>
      </c>
    </row>
    <row r="329">
      <c r="A329" s="5" t="n">
        <v>328</v>
      </c>
      <c r="B329" s="5" t="inlineStr">
        <is>
          <t>123</t>
        </is>
      </c>
      <c r="C329" s="5" t="inlineStr">
        <is>
          <t>own label</t>
        </is>
      </c>
      <c r="D329" s="5" t="inlineStr">
        <is>
          <t>footing</t>
        </is>
      </c>
      <c r="E329" s="5" t="inlineStr">
        <is>
          <t>isolated_footing</t>
        </is>
      </c>
      <c r="F329" s="5" t="inlineStr">
        <is>
          <t>S7</t>
        </is>
      </c>
      <c r="G329" s="5" t="inlineStr">
        <is>
          <t>S7-123123</t>
        </is>
      </c>
      <c r="H329" s="5" t="inlineStr">
        <is>
          <t>printed</t>
        </is>
      </c>
      <c r="I329" s="5" t="n">
        <v>450</v>
      </c>
      <c r="J329" s="5" t="n">
        <v>350</v>
      </c>
      <c r="K329" s="9">
        <f>IF(AND(ISNUMBER(I329),ISNUMBER(J329),J329&gt;0),I329/J329,"")</f>
        <v/>
      </c>
      <c r="L329" s="5" t="n">
        <v>15.751</v>
      </c>
      <c r="M329" s="5" t="n"/>
      <c r="N329" s="5" t="n">
        <v>79.3</v>
      </c>
      <c r="O329" s="5" t="inlineStr">
        <is>
          <t>closed outline</t>
        </is>
      </c>
      <c r="P329" s="5" t="inlineStr">
        <is>
          <t>closed rectangular outline around a column/wall or next to an S/SC label</t>
        </is>
      </c>
      <c r="Q329" s="5">
        <f>IF(OR(D329="column",D329="wall"),IF(I329&lt;='P vs V'!$B$3*J329,"column","wall"),"")</f>
        <v/>
      </c>
      <c r="R329" s="5" t="inlineStr"/>
      <c r="S329" s="5" t="inlineStr">
        <is>
          <t>wall</t>
        </is>
      </c>
      <c r="T329" s="5" t="n">
        <v>11</v>
      </c>
      <c r="U329" s="5" t="inlineStr">
        <is>
          <t>no</t>
        </is>
      </c>
      <c r="V329" s="5" t="inlineStr">
        <is>
          <t>no</t>
        </is>
      </c>
      <c r="W329" s="5" t="inlineStr">
        <is>
          <t>yes</t>
        </is>
      </c>
      <c r="X329" s="5" t="inlineStr">
        <is>
          <t>no</t>
        </is>
      </c>
      <c r="Y329" s="5" t="inlineStr">
        <is>
          <t>yes</t>
        </is>
      </c>
      <c r="Z329" s="5" t="inlineStr">
        <is>
          <t>yes</t>
        </is>
      </c>
      <c r="AA329" s="5" t="n">
        <v>0.5</v>
      </c>
      <c r="AB329" s="5" t="n"/>
      <c r="AC329" s="5" t="n"/>
      <c r="AD329" s="5" t="n"/>
      <c r="AE329" s="5" t="n">
        <v>4648</v>
      </c>
      <c r="AF329" s="5" t="n">
        <v>3386.2</v>
      </c>
      <c r="AG329" s="5" t="n">
        <v>4774.2</v>
      </c>
      <c r="AH329" s="5" t="n">
        <v>3535.9</v>
      </c>
      <c r="AI329" s="5" t="inlineStr">
        <is>
          <t>yes</t>
        </is>
      </c>
      <c r="AJ329" s="5" t="inlineStr">
        <is>
          <t>isolated_footing</t>
        </is>
      </c>
      <c r="AK329" s="5" t="inlineStr"/>
      <c r="AL329" s="5" t="inlineStr">
        <is>
          <t>(0.72, 0.72, 0.0)</t>
        </is>
      </c>
      <c r="AM329" s="5" t="inlineStr">
        <is>
          <t>DM-SEMELLES</t>
        </is>
      </c>
    </row>
    <row r="330">
      <c r="A330" s="5" t="n">
        <v>329</v>
      </c>
      <c r="B330" s="5" t="inlineStr">
        <is>
          <t>123</t>
        </is>
      </c>
      <c r="C330" s="5" t="inlineStr">
        <is>
          <t>own label</t>
        </is>
      </c>
      <c r="D330" s="5" t="inlineStr">
        <is>
          <t>footing</t>
        </is>
      </c>
      <c r="E330" s="5" t="inlineStr">
        <is>
          <t>isolated_footing</t>
        </is>
      </c>
      <c r="F330" s="5" t="inlineStr">
        <is>
          <t>S7</t>
        </is>
      </c>
      <c r="G330" s="5" t="inlineStr">
        <is>
          <t>S7-123123</t>
        </is>
      </c>
      <c r="H330" s="5" t="inlineStr">
        <is>
          <t>printed</t>
        </is>
      </c>
      <c r="I330" s="5" t="n">
        <v>450</v>
      </c>
      <c r="J330" s="5" t="n">
        <v>350</v>
      </c>
      <c r="K330" s="9">
        <f>IF(AND(ISNUMBER(I330),ISNUMBER(J330),J330&gt;0),I330/J330,"")</f>
        <v/>
      </c>
      <c r="L330" s="5" t="n">
        <v>15.749</v>
      </c>
      <c r="M330" s="5" t="n"/>
      <c r="N330" s="5" t="n">
        <v>169.3</v>
      </c>
      <c r="O330" s="5" t="inlineStr">
        <is>
          <t>closed outline</t>
        </is>
      </c>
      <c r="P330" s="5" t="inlineStr">
        <is>
          <t>closed rectangular outline around a column/wall or next to an S/SC label</t>
        </is>
      </c>
      <c r="Q330" s="5">
        <f>IF(OR(D330="column",D330="wall"),IF(I330&lt;='P vs V'!$B$3*J330,"column","wall"),"")</f>
        <v/>
      </c>
      <c r="R330" s="5" t="inlineStr"/>
      <c r="S330" s="5" t="inlineStr">
        <is>
          <t>wall</t>
        </is>
      </c>
      <c r="T330" s="5" t="n">
        <v>0</v>
      </c>
      <c r="U330" s="5" t="inlineStr">
        <is>
          <t>no</t>
        </is>
      </c>
      <c r="V330" s="5" t="inlineStr">
        <is>
          <t>no</t>
        </is>
      </c>
      <c r="W330" s="5" t="inlineStr">
        <is>
          <t>yes</t>
        </is>
      </c>
      <c r="X330" s="5" t="inlineStr">
        <is>
          <t>no</t>
        </is>
      </c>
      <c r="Y330" s="5" t="inlineStr">
        <is>
          <t>yes</t>
        </is>
      </c>
      <c r="Z330" s="5" t="inlineStr">
        <is>
          <t>yes</t>
        </is>
      </c>
      <c r="AA330" s="5" t="n">
        <v>0</v>
      </c>
      <c r="AB330" s="5" t="n"/>
      <c r="AC330" s="5" t="n"/>
      <c r="AD330" s="5" t="n"/>
      <c r="AE330" s="5" t="n">
        <v>4923.7</v>
      </c>
      <c r="AF330" s="5" t="n">
        <v>3262.7</v>
      </c>
      <c r="AG330" s="5" t="n">
        <v>5073.4</v>
      </c>
      <c r="AH330" s="5" t="n">
        <v>3388.8</v>
      </c>
      <c r="AI330" s="5" t="inlineStr">
        <is>
          <t>yes</t>
        </is>
      </c>
      <c r="AJ330" s="5" t="inlineStr">
        <is>
          <t>isolated_footing</t>
        </is>
      </c>
      <c r="AK330" s="5" t="inlineStr"/>
      <c r="AL330" s="5" t="inlineStr">
        <is>
          <t>(0.72, 0.72, 0.0)</t>
        </is>
      </c>
      <c r="AM330" s="5" t="inlineStr">
        <is>
          <t>DM-SEMELLES</t>
        </is>
      </c>
    </row>
    <row r="331">
      <c r="A331" s="5" t="n">
        <v>330</v>
      </c>
      <c r="B331" s="5" t="inlineStr">
        <is>
          <t>123</t>
        </is>
      </c>
      <c r="C331" s="5" t="inlineStr">
        <is>
          <t>own label</t>
        </is>
      </c>
      <c r="D331" s="5" t="inlineStr">
        <is>
          <t>footing</t>
        </is>
      </c>
      <c r="E331" s="5" t="inlineStr">
        <is>
          <t>isolated_footing</t>
        </is>
      </c>
      <c r="F331" s="5" t="inlineStr">
        <is>
          <t>S7</t>
        </is>
      </c>
      <c r="G331" s="5" t="inlineStr">
        <is>
          <t>S7-123123</t>
        </is>
      </c>
      <c r="H331" s="5" t="inlineStr">
        <is>
          <t>printed</t>
        </is>
      </c>
      <c r="I331" s="5" t="n">
        <v>450</v>
      </c>
      <c r="J331" s="5" t="n">
        <v>350</v>
      </c>
      <c r="K331" s="9">
        <f>IF(AND(ISNUMBER(I331),ISNUMBER(J331),J331&gt;0),I331/J331,"")</f>
        <v/>
      </c>
      <c r="L331" s="5" t="n">
        <v>15.749</v>
      </c>
      <c r="M331" s="5" t="n"/>
      <c r="N331" s="5" t="n">
        <v>79.3</v>
      </c>
      <c r="O331" s="5" t="inlineStr">
        <is>
          <t>closed outline</t>
        </is>
      </c>
      <c r="P331" s="5" t="inlineStr">
        <is>
          <t>closed rectangular outline around a column/wall or next to an S/SC label</t>
        </is>
      </c>
      <c r="Q331" s="5">
        <f>IF(OR(D331="column",D331="wall"),IF(I331&lt;='P vs V'!$B$3*J331,"column","wall"),"")</f>
        <v/>
      </c>
      <c r="R331" s="5" t="inlineStr"/>
      <c r="S331" s="5" t="inlineStr">
        <is>
          <t>wall</t>
        </is>
      </c>
      <c r="T331" s="5" t="n">
        <v>10</v>
      </c>
      <c r="U331" s="5" t="inlineStr">
        <is>
          <t>no</t>
        </is>
      </c>
      <c r="V331" s="5" t="inlineStr">
        <is>
          <t>no</t>
        </is>
      </c>
      <c r="W331" s="5" t="inlineStr">
        <is>
          <t>yes</t>
        </is>
      </c>
      <c r="X331" s="5" t="inlineStr">
        <is>
          <t>no</t>
        </is>
      </c>
      <c r="Y331" s="5" t="inlineStr">
        <is>
          <t>yes</t>
        </is>
      </c>
      <c r="Z331" s="5" t="inlineStr">
        <is>
          <t>no</t>
        </is>
      </c>
      <c r="AA331" s="5" t="n">
        <v>0.09</v>
      </c>
      <c r="AB331" s="5" t="n"/>
      <c r="AC331" s="5" t="n"/>
      <c r="AD331" s="5" t="n"/>
      <c r="AE331" s="5" t="n">
        <v>4464.4</v>
      </c>
      <c r="AF331" s="5" t="n">
        <v>3444.9</v>
      </c>
      <c r="AG331" s="5" t="n">
        <v>4590.5</v>
      </c>
      <c r="AH331" s="5" t="n">
        <v>3594.6</v>
      </c>
      <c r="AI331" s="5" t="inlineStr">
        <is>
          <t>yes</t>
        </is>
      </c>
      <c r="AJ331" s="5" t="inlineStr">
        <is>
          <t>isolated_footing</t>
        </is>
      </c>
      <c r="AK331" s="5" t="inlineStr"/>
      <c r="AL331" s="5" t="inlineStr">
        <is>
          <t>(0.72, 0.72, 0.0)</t>
        </is>
      </c>
      <c r="AM331" s="5" t="inlineStr">
        <is>
          <t>DM-SEMELLES</t>
        </is>
      </c>
    </row>
    <row r="332">
      <c r="A332" s="5" t="n">
        <v>331</v>
      </c>
      <c r="B332" s="5" t="inlineStr">
        <is>
          <t>123</t>
        </is>
      </c>
      <c r="C332" s="5" t="inlineStr">
        <is>
          <t>nearest labels (100% agree)</t>
        </is>
      </c>
      <c r="D332" s="5" t="inlineStr">
        <is>
          <t>mass_concrete_pad</t>
        </is>
      </c>
      <c r="E332" s="5" t="inlineStr">
        <is>
          <t>mass_concrete_pad</t>
        </is>
      </c>
      <c r="F332" s="5" t="inlineStr">
        <is>
          <t>(none)</t>
        </is>
      </c>
      <c r="G332" s="5" t="inlineStr"/>
      <c r="H332" s="5" t="inlineStr">
        <is>
          <t>none</t>
        </is>
      </c>
      <c r="I332" s="5" t="n">
        <v>60</v>
      </c>
      <c r="J332" s="5" t="n">
        <v>60</v>
      </c>
      <c r="K332" s="9">
        <f>IF(AND(ISNUMBER(I332),ISNUMBER(J332),J332&gt;0),I332/J332,"")</f>
        <v/>
      </c>
      <c r="L332" s="5" t="n">
        <v>0.36</v>
      </c>
      <c r="M332" s="5" t="n"/>
      <c r="N332" s="5" t="n">
        <v>80.90000000000001</v>
      </c>
      <c r="O332" s="5" t="inlineStr">
        <is>
          <t>closed outline + stipple</t>
        </is>
      </c>
      <c r="P332" s="5" t="inlineStr">
        <is>
          <t>small closed square filled with stipple dots, no label</t>
        </is>
      </c>
      <c r="Q332" s="5">
        <f>IF(OR(D332="column",D332="wall"),IF(I332&lt;='P vs V'!$B$3*J332,"column","wall"),"")</f>
        <v/>
      </c>
      <c r="R332" s="5" t="inlineStr"/>
      <c r="S332" s="5" t="inlineStr"/>
      <c r="T332" s="5" t="n"/>
      <c r="U332" s="5" t="inlineStr">
        <is>
          <t>no</t>
        </is>
      </c>
      <c r="V332" s="5" t="inlineStr">
        <is>
          <t>no</t>
        </is>
      </c>
      <c r="W332" s="5" t="inlineStr">
        <is>
          <t>no</t>
        </is>
      </c>
      <c r="X332" s="5" t="inlineStr">
        <is>
          <t>no</t>
        </is>
      </c>
      <c r="Y332" s="5" t="inlineStr">
        <is>
          <t>yes</t>
        </is>
      </c>
      <c r="Z332" s="5" t="inlineStr">
        <is>
          <t>yes</t>
        </is>
      </c>
      <c r="AA332" s="5" t="n">
        <v>3.22</v>
      </c>
      <c r="AB332" s="5" t="n"/>
      <c r="AC332" s="5" t="n">
        <v>51</v>
      </c>
      <c r="AD332" s="5" t="n"/>
      <c r="AE332" s="5" t="n">
        <v>4871.7</v>
      </c>
      <c r="AF332" s="5" t="n">
        <v>3338.7</v>
      </c>
      <c r="AG332" s="5" t="n">
        <v>4892</v>
      </c>
      <c r="AH332" s="5" t="n">
        <v>3359</v>
      </c>
      <c r="AI332" s="5" t="inlineStr">
        <is>
          <t>yes</t>
        </is>
      </c>
      <c r="AJ332" s="5" t="inlineStr">
        <is>
          <t>mass_concrete_pad</t>
        </is>
      </c>
      <c r="AK332" s="5" t="inlineStr"/>
      <c r="AL332" s="5" t="inlineStr">
        <is>
          <t>(0.5, 0.5, 0.5)</t>
        </is>
      </c>
      <c r="AM332" s="5" t="inlineStr">
        <is>
          <t>DM-MGB</t>
        </is>
      </c>
    </row>
    <row r="333">
      <c r="A333" s="5" t="n">
        <v>332</v>
      </c>
      <c r="B333" s="5" t="inlineStr">
        <is>
          <t>123</t>
        </is>
      </c>
      <c r="C333" s="5" t="inlineStr">
        <is>
          <t>nearest labels (60% agree)</t>
        </is>
      </c>
      <c r="D333" s="5" t="inlineStr">
        <is>
          <t>grade_beam</t>
        </is>
      </c>
      <c r="E333" s="5" t="inlineStr">
        <is>
          <t>grade_beam</t>
        </is>
      </c>
      <c r="F333" s="5" t="inlineStr">
        <is>
          <t>LG25x40</t>
        </is>
      </c>
      <c r="G333" s="5" t="inlineStr"/>
      <c r="H333" s="5" t="inlineStr">
        <is>
          <t>band width matches label</t>
        </is>
      </c>
      <c r="I333" s="5" t="n">
        <v>344</v>
      </c>
      <c r="J333" s="5" t="n">
        <v>25</v>
      </c>
      <c r="K333" s="9">
        <f>IF(AND(ISNUMBER(I333),ISNUMBER(J333),J333&gt;0),I333/J333,"")</f>
        <v/>
      </c>
      <c r="L333" s="5" t="n">
        <v>0.859</v>
      </c>
      <c r="M333" s="5" t="n">
        <v>3.44</v>
      </c>
      <c r="N333" s="5" t="n">
        <v>90</v>
      </c>
      <c r="O333" s="5" t="inlineStr">
        <is>
          <t>parallel line pair</t>
        </is>
      </c>
      <c r="P333" s="5" t="inlineStr">
        <is>
          <t>two parallel lines at the width written in the LG label, empty inside</t>
        </is>
      </c>
      <c r="Q333" s="5">
        <f>IF(OR(D333="column",D333="wall"),IF(I333&lt;='P vs V'!$B$3*J333,"column","wall"),"")</f>
        <v/>
      </c>
      <c r="R333" s="5" t="inlineStr"/>
      <c r="S333" s="5" t="inlineStr"/>
      <c r="T333" s="5" t="n"/>
      <c r="U333" s="5" t="inlineStr">
        <is>
          <t>no</t>
        </is>
      </c>
      <c r="V333" s="5" t="inlineStr">
        <is>
          <t>no</t>
        </is>
      </c>
      <c r="W333" s="5" t="inlineStr">
        <is>
          <t>yes</t>
        </is>
      </c>
      <c r="X333" s="5" t="inlineStr">
        <is>
          <t>yes</t>
        </is>
      </c>
      <c r="Y333" s="5" t="inlineStr">
        <is>
          <t>no</t>
        </is>
      </c>
      <c r="Z333" s="5" t="inlineStr">
        <is>
          <t>no</t>
        </is>
      </c>
      <c r="AA333" s="5" t="n">
        <v>1.77</v>
      </c>
      <c r="AB333" s="5" t="n"/>
      <c r="AC333" s="5" t="n"/>
      <c r="AD333" s="5" t="n"/>
      <c r="AE333" s="5" t="n">
        <v>5021.6</v>
      </c>
      <c r="AF333" s="5" t="n">
        <v>2787.7</v>
      </c>
      <c r="AG333" s="5" t="n">
        <v>5029.1</v>
      </c>
      <c r="AH333" s="5" t="n">
        <v>2889.2</v>
      </c>
      <c r="AI333" s="5" t="inlineStr">
        <is>
          <t>n/a</t>
        </is>
      </c>
      <c r="AJ333" s="5" t="inlineStr"/>
      <c r="AK333" s="5" t="inlineStr"/>
      <c r="AL333" s="5" t="inlineStr"/>
      <c r="AM333" s="5" t="inlineStr"/>
    </row>
    <row r="334">
      <c r="A334" s="5" t="n">
        <v>333</v>
      </c>
      <c r="B334" s="5" t="inlineStr">
        <is>
          <t>123</t>
        </is>
      </c>
      <c r="C334" s="5" t="inlineStr">
        <is>
          <t>nearest labels (80% agree)</t>
        </is>
      </c>
      <c r="D334" s="5" t="inlineStr">
        <is>
          <t>grade_beam</t>
        </is>
      </c>
      <c r="E334" s="5" t="inlineStr">
        <is>
          <t>grade_beam</t>
        </is>
      </c>
      <c r="F334" s="5" t="inlineStr">
        <is>
          <t>LG25x40</t>
        </is>
      </c>
      <c r="G334" s="5" t="inlineStr"/>
      <c r="H334" s="5" t="inlineStr">
        <is>
          <t>band width matches label</t>
        </is>
      </c>
      <c r="I334" s="5" t="n">
        <v>326</v>
      </c>
      <c r="J334" s="5" t="n">
        <v>25</v>
      </c>
      <c r="K334" s="9">
        <f>IF(AND(ISNUMBER(I334),ISNUMBER(J334),J334&gt;0),I334/J334,"")</f>
        <v/>
      </c>
      <c r="L334" s="5" t="n">
        <v>0.8149999999999999</v>
      </c>
      <c r="M334" s="5" t="n">
        <v>3.26</v>
      </c>
      <c r="N334" s="5" t="n">
        <v>90</v>
      </c>
      <c r="O334" s="5" t="inlineStr">
        <is>
          <t>parallel line pair</t>
        </is>
      </c>
      <c r="P334" s="5" t="inlineStr">
        <is>
          <t>two parallel lines at the width written in the LG label, empty inside</t>
        </is>
      </c>
      <c r="Q334" s="5">
        <f>IF(OR(D334="column",D334="wall"),IF(I334&lt;='P vs V'!$B$3*J334,"column","wall"),"")</f>
        <v/>
      </c>
      <c r="R334" s="5" t="inlineStr"/>
      <c r="S334" s="5" t="inlineStr"/>
      <c r="T334" s="5" t="n"/>
      <c r="U334" s="5" t="inlineStr">
        <is>
          <t>no</t>
        </is>
      </c>
      <c r="V334" s="5" t="inlineStr">
        <is>
          <t>no</t>
        </is>
      </c>
      <c r="W334" s="5" t="inlineStr">
        <is>
          <t>yes</t>
        </is>
      </c>
      <c r="X334" s="5" t="inlineStr">
        <is>
          <t>yes</t>
        </is>
      </c>
      <c r="Y334" s="5" t="inlineStr">
        <is>
          <t>no</t>
        </is>
      </c>
      <c r="Z334" s="5" t="inlineStr">
        <is>
          <t>no</t>
        </is>
      </c>
      <c r="AA334" s="5" t="n">
        <v>0.13</v>
      </c>
      <c r="AB334" s="5" t="n"/>
      <c r="AC334" s="5" t="n"/>
      <c r="AD334" s="5" t="n"/>
      <c r="AE334" s="5" t="n">
        <v>5006.7</v>
      </c>
      <c r="AF334" s="5" t="n">
        <v>2998.2</v>
      </c>
      <c r="AG334" s="5" t="n">
        <v>5014.1</v>
      </c>
      <c r="AH334" s="5" t="n">
        <v>3094.4</v>
      </c>
      <c r="AI334" s="5" t="inlineStr">
        <is>
          <t>n/a</t>
        </is>
      </c>
      <c r="AJ334" s="5" t="inlineStr"/>
      <c r="AK334" s="5" t="inlineStr"/>
      <c r="AL334" s="5" t="inlineStr"/>
      <c r="AM334" s="5" t="inlineStr"/>
    </row>
    <row r="335">
      <c r="A335" s="5" t="n">
        <v>334</v>
      </c>
      <c r="B335" s="5" t="inlineStr">
        <is>
          <t>123</t>
        </is>
      </c>
      <c r="C335" s="5" t="inlineStr">
        <is>
          <t>nearest labels (80% agree)</t>
        </is>
      </c>
      <c r="D335" s="5" t="inlineStr">
        <is>
          <t>grade_beam</t>
        </is>
      </c>
      <c r="E335" s="5" t="inlineStr">
        <is>
          <t>grade_beam</t>
        </is>
      </c>
      <c r="F335" s="5" t="inlineStr">
        <is>
          <t>LG25x40</t>
        </is>
      </c>
      <c r="G335" s="5" t="inlineStr"/>
      <c r="H335" s="5" t="inlineStr">
        <is>
          <t>band width matches label</t>
        </is>
      </c>
      <c r="I335" s="5" t="n">
        <v>317</v>
      </c>
      <c r="J335" s="5" t="n">
        <v>25</v>
      </c>
      <c r="K335" s="9">
        <f>IF(AND(ISNUMBER(I335),ISNUMBER(J335),J335&gt;0),I335/J335,"")</f>
        <v/>
      </c>
      <c r="L335" s="5" t="n">
        <v>0.792</v>
      </c>
      <c r="M335" s="5" t="n">
        <v>3.17</v>
      </c>
      <c r="N335" s="5" t="n">
        <v>169.3</v>
      </c>
      <c r="O335" s="5" t="inlineStr">
        <is>
          <t>parallel line pair</t>
        </is>
      </c>
      <c r="P335" s="5" t="inlineStr">
        <is>
          <t>two parallel lines at the width written in the LG label, empty inside</t>
        </is>
      </c>
      <c r="Q335" s="5">
        <f>IF(OR(D335="column",D335="wall"),IF(I335&lt;='P vs V'!$B$3*J335,"column","wall"),"")</f>
        <v/>
      </c>
      <c r="R335" s="5" t="inlineStr"/>
      <c r="S335" s="5" t="inlineStr"/>
      <c r="T335" s="5" t="n"/>
      <c r="U335" s="5" t="inlineStr">
        <is>
          <t>no</t>
        </is>
      </c>
      <c r="V335" s="5" t="inlineStr">
        <is>
          <t>no</t>
        </is>
      </c>
      <c r="W335" s="5" t="inlineStr">
        <is>
          <t>yes</t>
        </is>
      </c>
      <c r="X335" s="5" t="inlineStr">
        <is>
          <t>yes</t>
        </is>
      </c>
      <c r="Y335" s="5" t="inlineStr">
        <is>
          <t>no</t>
        </is>
      </c>
      <c r="Z335" s="5" t="inlineStr">
        <is>
          <t>no</t>
        </is>
      </c>
      <c r="AA335" s="5" t="n">
        <v>0.07000000000000001</v>
      </c>
      <c r="AB335" s="5" t="n"/>
      <c r="AC335" s="5" t="n"/>
      <c r="AD335" s="5" t="n"/>
      <c r="AE335" s="5" t="n">
        <v>4387.2</v>
      </c>
      <c r="AF335" s="5" t="n">
        <v>3542.3</v>
      </c>
      <c r="AG335" s="5" t="n">
        <v>4480.4</v>
      </c>
      <c r="AH335" s="5" t="n">
        <v>3566.9</v>
      </c>
      <c r="AI335" s="5" t="inlineStr">
        <is>
          <t>n/a</t>
        </is>
      </c>
      <c r="AJ335" s="5" t="inlineStr"/>
      <c r="AK335" s="5" t="inlineStr"/>
      <c r="AL335" s="5" t="inlineStr"/>
      <c r="AM335" s="5" t="inlineStr"/>
    </row>
    <row r="336">
      <c r="A336" s="5" t="n">
        <v>335</v>
      </c>
      <c r="B336" s="5" t="inlineStr">
        <is>
          <t>123</t>
        </is>
      </c>
      <c r="C336" s="5" t="inlineStr">
        <is>
          <t>nearest labels (100% agree)</t>
        </is>
      </c>
      <c r="D336" s="5" t="inlineStr">
        <is>
          <t>grade_beam</t>
        </is>
      </c>
      <c r="E336" s="5" t="inlineStr">
        <is>
          <t>grade_beam</t>
        </is>
      </c>
      <c r="F336" s="5" t="inlineStr">
        <is>
          <t>LG25x40</t>
        </is>
      </c>
      <c r="G336" s="5" t="inlineStr"/>
      <c r="H336" s="5" t="inlineStr">
        <is>
          <t>band width matches label</t>
        </is>
      </c>
      <c r="I336" s="5" t="n">
        <v>295</v>
      </c>
      <c r="J336" s="5" t="n">
        <v>25</v>
      </c>
      <c r="K336" s="9">
        <f>IF(AND(ISNUMBER(I336),ISNUMBER(J336),J336&gt;0),I336/J336,"")</f>
        <v/>
      </c>
      <c r="L336" s="5" t="n">
        <v>0.738</v>
      </c>
      <c r="M336" s="5" t="n">
        <v>2.95</v>
      </c>
      <c r="N336" s="5" t="n">
        <v>169.3</v>
      </c>
      <c r="O336" s="5" t="inlineStr">
        <is>
          <t>parallel line pair</t>
        </is>
      </c>
      <c r="P336" s="5" t="inlineStr">
        <is>
          <t>two parallel lines at the width written in the LG label, empty inside</t>
        </is>
      </c>
      <c r="Q336" s="5">
        <f>IF(OR(D336="column",D336="wall"),IF(I336&lt;='P vs V'!$B$3*J336,"column","wall"),"")</f>
        <v/>
      </c>
      <c r="R336" s="5" t="inlineStr"/>
      <c r="S336" s="5" t="inlineStr"/>
      <c r="T336" s="5" t="n"/>
      <c r="U336" s="5" t="inlineStr">
        <is>
          <t>no</t>
        </is>
      </c>
      <c r="V336" s="5" t="inlineStr">
        <is>
          <t>no</t>
        </is>
      </c>
      <c r="W336" s="5" t="inlineStr">
        <is>
          <t>yes</t>
        </is>
      </c>
      <c r="X336" s="5" t="inlineStr">
        <is>
          <t>yes</t>
        </is>
      </c>
      <c r="Y336" s="5" t="inlineStr">
        <is>
          <t>no</t>
        </is>
      </c>
      <c r="Z336" s="5" t="inlineStr">
        <is>
          <t>no</t>
        </is>
      </c>
      <c r="AA336" s="5" t="n">
        <v>3.14</v>
      </c>
      <c r="AB336" s="5" t="n"/>
      <c r="AC336" s="5" t="n"/>
      <c r="AD336" s="5" t="n"/>
      <c r="AE336" s="5" t="n">
        <v>4580.6</v>
      </c>
      <c r="AF336" s="5" t="n">
        <v>3506.9</v>
      </c>
      <c r="AG336" s="5" t="n">
        <v>4667.7</v>
      </c>
      <c r="AH336" s="5" t="n">
        <v>3530.3</v>
      </c>
      <c r="AI336" s="5" t="inlineStr">
        <is>
          <t>n/a</t>
        </is>
      </c>
      <c r="AJ336" s="5" t="inlineStr"/>
      <c r="AK336" s="5" t="inlineStr"/>
      <c r="AL336" s="5" t="inlineStr"/>
      <c r="AM336" s="5" t="inlineStr"/>
    </row>
    <row r="337">
      <c r="A337" s="5" t="n">
        <v>336</v>
      </c>
      <c r="B337" s="5" t="inlineStr">
        <is>
          <t>123</t>
        </is>
      </c>
      <c r="C337" s="5" t="inlineStr">
        <is>
          <t>nearest labels (100% agree)</t>
        </is>
      </c>
      <c r="D337" s="5" t="inlineStr">
        <is>
          <t>grade_beam</t>
        </is>
      </c>
      <c r="E337" s="5" t="inlineStr">
        <is>
          <t>grade_beam</t>
        </is>
      </c>
      <c r="F337" s="5" t="inlineStr">
        <is>
          <t>LG25x40</t>
        </is>
      </c>
      <c r="G337" s="5" t="inlineStr"/>
      <c r="H337" s="5" t="inlineStr">
        <is>
          <t>band width matches label</t>
        </is>
      </c>
      <c r="I337" s="5" t="n">
        <v>155</v>
      </c>
      <c r="J337" s="5" t="n">
        <v>25</v>
      </c>
      <c r="K337" s="9">
        <f>IF(AND(ISNUMBER(I337),ISNUMBER(J337),J337&gt;0),I337/J337,"")</f>
        <v/>
      </c>
      <c r="L337" s="5" t="n">
        <v>0.387</v>
      </c>
      <c r="M337" s="5" t="n">
        <v>1.55</v>
      </c>
      <c r="N337" s="5" t="n">
        <v>179.8</v>
      </c>
      <c r="O337" s="5" t="inlineStr">
        <is>
          <t>parallel line pair</t>
        </is>
      </c>
      <c r="P337" s="5" t="inlineStr">
        <is>
          <t>two parallel lines at the width written in the LG label, empty inside</t>
        </is>
      </c>
      <c r="Q337" s="5">
        <f>IF(OR(D337="column",D337="wall"),IF(I337&lt;='P vs V'!$B$3*J337,"column","wall"),"")</f>
        <v/>
      </c>
      <c r="R337" s="5" t="inlineStr"/>
      <c r="S337" s="5" t="inlineStr"/>
      <c r="T337" s="5" t="n"/>
      <c r="U337" s="5" t="inlineStr">
        <is>
          <t>no</t>
        </is>
      </c>
      <c r="V337" s="5" t="inlineStr">
        <is>
          <t>no</t>
        </is>
      </c>
      <c r="W337" s="5" t="inlineStr">
        <is>
          <t>yes</t>
        </is>
      </c>
      <c r="X337" s="5" t="inlineStr">
        <is>
          <t>no</t>
        </is>
      </c>
      <c r="Y337" s="5" t="inlineStr">
        <is>
          <t>no</t>
        </is>
      </c>
      <c r="Z337" s="5" t="inlineStr">
        <is>
          <t>no</t>
        </is>
      </c>
      <c r="AA337" s="5" t="n">
        <v>0.42</v>
      </c>
      <c r="AB337" s="5" t="n"/>
      <c r="AC337" s="5" t="n"/>
      <c r="AD337" s="5" t="n"/>
      <c r="AE337" s="5" t="n">
        <v>4968.3</v>
      </c>
      <c r="AF337" s="5" t="n">
        <v>3203.7</v>
      </c>
      <c r="AG337" s="5" t="n">
        <v>5014</v>
      </c>
      <c r="AH337" s="5" t="n">
        <v>3211.2</v>
      </c>
      <c r="AI337" s="5" t="inlineStr">
        <is>
          <t>n/a</t>
        </is>
      </c>
      <c r="AJ337" s="5" t="inlineStr"/>
      <c r="AK337" s="5" t="inlineStr"/>
      <c r="AL337" s="5" t="inlineStr"/>
      <c r="AM337" s="5" t="inlineStr"/>
    </row>
    <row r="338">
      <c r="A338" s="5" t="n">
        <v>337</v>
      </c>
      <c r="B338" s="5" t="inlineStr">
        <is>
          <t>123</t>
        </is>
      </c>
      <c r="C338" s="5" t="inlineStr">
        <is>
          <t>nearest labels (100% agree)</t>
        </is>
      </c>
      <c r="D338" s="5" t="inlineStr">
        <is>
          <t>grade_beam</t>
        </is>
      </c>
      <c r="E338" s="5" t="inlineStr">
        <is>
          <t>grade_beam</t>
        </is>
      </c>
      <c r="F338" s="5" t="inlineStr">
        <is>
          <t>LG25x40</t>
        </is>
      </c>
      <c r="G338" s="5" t="inlineStr"/>
      <c r="H338" s="5" t="inlineStr">
        <is>
          <t>band width matches label</t>
        </is>
      </c>
      <c r="I338" s="5" t="n">
        <v>218</v>
      </c>
      <c r="J338" s="5" t="n">
        <v>25</v>
      </c>
      <c r="K338" s="9">
        <f>IF(AND(ISNUMBER(I338),ISNUMBER(J338),J338&gt;0),I338/J338,"")</f>
        <v/>
      </c>
      <c r="L338" s="5" t="n">
        <v>0.546</v>
      </c>
      <c r="M338" s="5" t="n">
        <v>2.18</v>
      </c>
      <c r="N338" s="5" t="n">
        <v>90</v>
      </c>
      <c r="O338" s="5" t="inlineStr">
        <is>
          <t>parallel line pair</t>
        </is>
      </c>
      <c r="P338" s="5" t="inlineStr">
        <is>
          <t>two parallel lines at the width written in the LG label, empty inside</t>
        </is>
      </c>
      <c r="Q338" s="5">
        <f>IF(OR(D338="column",D338="wall"),IF(I338&lt;='P vs V'!$B$3*J338,"column","wall"),"")</f>
        <v/>
      </c>
      <c r="R338" s="5" t="inlineStr"/>
      <c r="S338" s="5" t="inlineStr"/>
      <c r="T338" s="5" t="n"/>
      <c r="U338" s="5" t="inlineStr">
        <is>
          <t>no</t>
        </is>
      </c>
      <c r="V338" s="5" t="inlineStr">
        <is>
          <t>no</t>
        </is>
      </c>
      <c r="W338" s="5" t="inlineStr">
        <is>
          <t>yes</t>
        </is>
      </c>
      <c r="X338" s="5" t="inlineStr">
        <is>
          <t>no</t>
        </is>
      </c>
      <c r="Y338" s="5" t="inlineStr">
        <is>
          <t>no</t>
        </is>
      </c>
      <c r="Z338" s="5" t="inlineStr">
        <is>
          <t>yes</t>
        </is>
      </c>
      <c r="AA338" s="5" t="n">
        <v>0.53</v>
      </c>
      <c r="AB338" s="5" t="n"/>
      <c r="AC338" s="5" t="n"/>
      <c r="AD338" s="5" t="n"/>
      <c r="AE338" s="5" t="n">
        <v>5021.4</v>
      </c>
      <c r="AF338" s="5" t="n">
        <v>3203.7</v>
      </c>
      <c r="AG338" s="5" t="n">
        <v>5028.8</v>
      </c>
      <c r="AH338" s="5" t="n">
        <v>3268.2</v>
      </c>
      <c r="AI338" s="5" t="inlineStr">
        <is>
          <t>n/a</t>
        </is>
      </c>
      <c r="AJ338" s="5" t="inlineStr"/>
      <c r="AK338" s="5" t="inlineStr"/>
      <c r="AL338" s="5" t="inlineStr"/>
      <c r="AM338" s="5" t="inlineStr"/>
    </row>
    <row r="339">
      <c r="A339" s="5" t="n">
        <v>338</v>
      </c>
      <c r="B339" s="5" t="inlineStr">
        <is>
          <t>123</t>
        </is>
      </c>
      <c r="C339" s="5" t="inlineStr">
        <is>
          <t>nearest labels (100% agree)</t>
        </is>
      </c>
      <c r="D339" s="5" t="inlineStr">
        <is>
          <t>grade_beam</t>
        </is>
      </c>
      <c r="E339" s="5" t="inlineStr">
        <is>
          <t>grade_beam</t>
        </is>
      </c>
      <c r="F339" s="5" t="inlineStr">
        <is>
          <t>LG25x40</t>
        </is>
      </c>
      <c r="G339" s="5" t="inlineStr"/>
      <c r="H339" s="5" t="inlineStr">
        <is>
          <t>band width matches label</t>
        </is>
      </c>
      <c r="I339" s="5" t="n">
        <v>203</v>
      </c>
      <c r="J339" s="5" t="n">
        <v>25</v>
      </c>
      <c r="K339" s="9">
        <f>IF(AND(ISNUMBER(I339),ISNUMBER(J339),J339&gt;0),I339/J339,"")</f>
        <v/>
      </c>
      <c r="L339" s="5" t="n">
        <v>0.507</v>
      </c>
      <c r="M339" s="5" t="n">
        <v>2.03</v>
      </c>
      <c r="N339" s="5" t="n">
        <v>179.9</v>
      </c>
      <c r="O339" s="5" t="inlineStr">
        <is>
          <t>parallel line pair</t>
        </is>
      </c>
      <c r="P339" s="5" t="inlineStr">
        <is>
          <t>two parallel lines at the width written in the LG label, empty inside</t>
        </is>
      </c>
      <c r="Q339" s="5">
        <f>IF(OR(D339="column",D339="wall"),IF(I339&lt;='P vs V'!$B$3*J339,"column","wall"),"")</f>
        <v/>
      </c>
      <c r="R339" s="5" t="inlineStr"/>
      <c r="S339" s="5" t="inlineStr"/>
      <c r="T339" s="5" t="n"/>
      <c r="U339" s="5" t="inlineStr">
        <is>
          <t>no</t>
        </is>
      </c>
      <c r="V339" s="5" t="inlineStr">
        <is>
          <t>no</t>
        </is>
      </c>
      <c r="W339" s="5" t="inlineStr">
        <is>
          <t>yes</t>
        </is>
      </c>
      <c r="X339" s="5" t="inlineStr">
        <is>
          <t>no</t>
        </is>
      </c>
      <c r="Y339" s="5" t="inlineStr">
        <is>
          <t>no</t>
        </is>
      </c>
      <c r="Z339" s="5" t="inlineStr">
        <is>
          <t>no</t>
        </is>
      </c>
      <c r="AA339" s="5" t="n">
        <v>0.25</v>
      </c>
      <c r="AB339" s="5" t="n"/>
      <c r="AC339" s="5" t="n"/>
      <c r="AD339" s="5" t="n"/>
      <c r="AE339" s="5" t="n">
        <v>4950.6</v>
      </c>
      <c r="AF339" s="5" t="n">
        <v>3267.2</v>
      </c>
      <c r="AG339" s="5" t="n">
        <v>5010.6</v>
      </c>
      <c r="AH339" s="5" t="n">
        <v>3274.7</v>
      </c>
      <c r="AI339" s="5" t="inlineStr">
        <is>
          <t>n/a</t>
        </is>
      </c>
      <c r="AJ339" s="5" t="inlineStr"/>
      <c r="AK339" s="5" t="inlineStr"/>
      <c r="AL339" s="5" t="inlineStr"/>
      <c r="AM339" s="5" t="inlineStr"/>
    </row>
    <row r="340">
      <c r="A340" s="5" t="n">
        <v>339</v>
      </c>
      <c r="B340" s="5" t="inlineStr">
        <is>
          <t>123</t>
        </is>
      </c>
      <c r="C340" s="5" t="inlineStr">
        <is>
          <t>nearest labels (100% agree)</t>
        </is>
      </c>
      <c r="D340" s="5" t="inlineStr">
        <is>
          <t>grade_beam</t>
        </is>
      </c>
      <c r="E340" s="5" t="inlineStr">
        <is>
          <t>grade_beam</t>
        </is>
      </c>
      <c r="F340" s="5" t="inlineStr">
        <is>
          <t>LG25x40</t>
        </is>
      </c>
      <c r="G340" s="5" t="inlineStr"/>
      <c r="H340" s="5" t="inlineStr">
        <is>
          <t>band width matches label</t>
        </is>
      </c>
      <c r="I340" s="5" t="n">
        <v>224</v>
      </c>
      <c r="J340" s="5" t="n">
        <v>25</v>
      </c>
      <c r="K340" s="9">
        <f>IF(AND(ISNUMBER(I340),ISNUMBER(J340),J340&gt;0),I340/J340,"")</f>
        <v/>
      </c>
      <c r="L340" s="5" t="n">
        <v>0.5600000000000001</v>
      </c>
      <c r="M340" s="5" t="n">
        <v>2.24</v>
      </c>
      <c r="N340" s="5" t="n">
        <v>90.09999999999999</v>
      </c>
      <c r="O340" s="5" t="inlineStr">
        <is>
          <t>parallel line pair</t>
        </is>
      </c>
      <c r="P340" s="5" t="inlineStr">
        <is>
          <t>two parallel lines at the width written in the LG label, empty inside</t>
        </is>
      </c>
      <c r="Q340" s="5">
        <f>IF(OR(D340="column",D340="wall"),IF(I340&lt;='P vs V'!$B$3*J340,"column","wall"),"")</f>
        <v/>
      </c>
      <c r="R340" s="5" t="inlineStr"/>
      <c r="S340" s="5" t="inlineStr"/>
      <c r="T340" s="5" t="n"/>
      <c r="U340" s="5" t="inlineStr">
        <is>
          <t>no</t>
        </is>
      </c>
      <c r="V340" s="5" t="inlineStr">
        <is>
          <t>no</t>
        </is>
      </c>
      <c r="W340" s="5" t="inlineStr">
        <is>
          <t>yes</t>
        </is>
      </c>
      <c r="X340" s="5" t="inlineStr">
        <is>
          <t>yes</t>
        </is>
      </c>
      <c r="Y340" s="5" t="inlineStr">
        <is>
          <t>no</t>
        </is>
      </c>
      <c r="Z340" s="5" t="inlineStr">
        <is>
          <t>no</t>
        </is>
      </c>
      <c r="AA340" s="5" t="n">
        <v>0.14</v>
      </c>
      <c r="AB340" s="5" t="n"/>
      <c r="AC340" s="5" t="n"/>
      <c r="AD340" s="5" t="n"/>
      <c r="AE340" s="5" t="n">
        <v>5006.4</v>
      </c>
      <c r="AF340" s="5" t="n">
        <v>3376.8</v>
      </c>
      <c r="AG340" s="5" t="n">
        <v>5013.9</v>
      </c>
      <c r="AH340" s="5" t="n">
        <v>3442.9</v>
      </c>
      <c r="AI340" s="5" t="inlineStr">
        <is>
          <t>n/a</t>
        </is>
      </c>
      <c r="AJ340" s="5" t="inlineStr"/>
      <c r="AK340" s="5" t="inlineStr"/>
      <c r="AL340" s="5" t="inlineStr"/>
      <c r="AM340" s="5" t="inlineStr"/>
    </row>
    <row r="341">
      <c r="A341" s="5" t="n">
        <v>340</v>
      </c>
      <c r="B341" s="5" t="inlineStr">
        <is>
          <t>123</t>
        </is>
      </c>
      <c r="C341" s="5" t="inlineStr">
        <is>
          <t>nearest labels (100% agree)</t>
        </is>
      </c>
      <c r="D341" s="5" t="inlineStr">
        <is>
          <t>grade_beam</t>
        </is>
      </c>
      <c r="E341" s="5" t="inlineStr">
        <is>
          <t>grade_beam</t>
        </is>
      </c>
      <c r="F341" s="5" t="inlineStr">
        <is>
          <t>LG40x15</t>
        </is>
      </c>
      <c r="G341" s="5" t="inlineStr"/>
      <c r="H341" s="5" t="inlineStr">
        <is>
          <t>band width matches label</t>
        </is>
      </c>
      <c r="I341" s="5" t="n">
        <v>175</v>
      </c>
      <c r="J341" s="5" t="n">
        <v>40</v>
      </c>
      <c r="K341" s="9">
        <f>IF(AND(ISNUMBER(I341),ISNUMBER(J341),J341&gt;0),I341/J341,"")</f>
        <v/>
      </c>
      <c r="L341" s="5" t="n">
        <v>0.699</v>
      </c>
      <c r="M341" s="5" t="n">
        <v>1.75</v>
      </c>
      <c r="N341" s="5" t="n">
        <v>169.4</v>
      </c>
      <c r="O341" s="5" t="inlineStr">
        <is>
          <t>parallel line pair</t>
        </is>
      </c>
      <c r="P341" s="5" t="inlineStr">
        <is>
          <t>two parallel lines at the width written in the LG label, empty inside</t>
        </is>
      </c>
      <c r="Q341" s="5">
        <f>IF(OR(D341="column",D341="wall"),IF(I341&lt;='P vs V'!$B$3*J341,"column","wall"),"")</f>
        <v/>
      </c>
      <c r="R341" s="5" t="inlineStr"/>
      <c r="S341" s="5" t="inlineStr"/>
      <c r="T341" s="5" t="n"/>
      <c r="U341" s="5" t="inlineStr">
        <is>
          <t>no</t>
        </is>
      </c>
      <c r="V341" s="5" t="inlineStr">
        <is>
          <t>no</t>
        </is>
      </c>
      <c r="W341" s="5" t="inlineStr">
        <is>
          <t>no</t>
        </is>
      </c>
      <c r="X341" s="5" t="inlineStr">
        <is>
          <t>no</t>
        </is>
      </c>
      <c r="Y341" s="5" t="inlineStr">
        <is>
          <t>no</t>
        </is>
      </c>
      <c r="Z341" s="5" t="inlineStr">
        <is>
          <t>no</t>
        </is>
      </c>
      <c r="AA341" s="5" t="n">
        <v>2.87</v>
      </c>
      <c r="AB341" s="5" t="n"/>
      <c r="AC341" s="5" t="n"/>
      <c r="AD341" s="5" t="n"/>
      <c r="AE341" s="5" t="n">
        <v>4546</v>
      </c>
      <c r="AF341" s="5" t="n">
        <v>3277</v>
      </c>
      <c r="AG341" s="5" t="n">
        <v>4598.9</v>
      </c>
      <c r="AH341" s="5" t="n">
        <v>3298.1</v>
      </c>
      <c r="AI341" s="5" t="inlineStr">
        <is>
          <t>n/a</t>
        </is>
      </c>
      <c r="AJ341" s="5" t="inlineStr"/>
      <c r="AK341" s="5" t="inlineStr"/>
      <c r="AL341" s="5" t="inlineStr"/>
      <c r="AM341" s="5" t="inlineStr"/>
    </row>
    <row r="342">
      <c r="A342" s="5" t="n">
        <v>341</v>
      </c>
      <c r="B342" s="5" t="inlineStr">
        <is>
          <t>123</t>
        </is>
      </c>
      <c r="C342" s="5" t="inlineStr">
        <is>
          <t>nearest labels (60% agree)</t>
        </is>
      </c>
      <c r="D342" s="5" t="inlineStr">
        <is>
          <t>grade_beam</t>
        </is>
      </c>
      <c r="E342" s="5" t="inlineStr">
        <is>
          <t>grade_beam</t>
        </is>
      </c>
      <c r="F342" s="5" t="inlineStr">
        <is>
          <t>LG40x15</t>
        </is>
      </c>
      <c r="G342" s="5" t="inlineStr"/>
      <c r="H342" s="5" t="inlineStr">
        <is>
          <t>band width matches label</t>
        </is>
      </c>
      <c r="I342" s="5" t="n">
        <v>371</v>
      </c>
      <c r="J342" s="5" t="n">
        <v>40</v>
      </c>
      <c r="K342" s="9">
        <f>IF(AND(ISNUMBER(I342),ISNUMBER(J342),J342&gt;0),I342/J342,"")</f>
        <v/>
      </c>
      <c r="L342" s="5" t="n">
        <v>1.483</v>
      </c>
      <c r="M342" s="5" t="n">
        <v>3.71</v>
      </c>
      <c r="N342" s="5" t="n">
        <v>169.4</v>
      </c>
      <c r="O342" s="5" t="inlineStr">
        <is>
          <t>parallel line pair</t>
        </is>
      </c>
      <c r="P342" s="5" t="inlineStr">
        <is>
          <t>two parallel lines at the width written in the LG label, empty inside</t>
        </is>
      </c>
      <c r="Q342" s="5">
        <f>IF(OR(D342="column",D342="wall"),IF(I342&lt;='P vs V'!$B$3*J342,"column","wall"),"")</f>
        <v/>
      </c>
      <c r="R342" s="5" t="inlineStr"/>
      <c r="S342" s="5" t="inlineStr"/>
      <c r="T342" s="5" t="n"/>
      <c r="U342" s="5" t="inlineStr">
        <is>
          <t>no</t>
        </is>
      </c>
      <c r="V342" s="5" t="inlineStr">
        <is>
          <t>no</t>
        </is>
      </c>
      <c r="W342" s="5" t="inlineStr">
        <is>
          <t>no</t>
        </is>
      </c>
      <c r="X342" s="5" t="inlineStr">
        <is>
          <t>no</t>
        </is>
      </c>
      <c r="Y342" s="5" t="inlineStr">
        <is>
          <t>no</t>
        </is>
      </c>
      <c r="Z342" s="5" t="inlineStr">
        <is>
          <t>no</t>
        </is>
      </c>
      <c r="AA342" s="5" t="n">
        <v>0.37</v>
      </c>
      <c r="AB342" s="5" t="n"/>
      <c r="AC342" s="5" t="n"/>
      <c r="AD342" s="5" t="n"/>
      <c r="AE342" s="5" t="n">
        <v>4322.3</v>
      </c>
      <c r="AF342" s="5" t="n">
        <v>3308.1</v>
      </c>
      <c r="AG342" s="5" t="n">
        <v>4432.1</v>
      </c>
      <c r="AH342" s="5" t="n">
        <v>3339.8</v>
      </c>
      <c r="AI342" s="5" t="inlineStr">
        <is>
          <t>n/a</t>
        </is>
      </c>
      <c r="AJ342" s="5" t="inlineStr"/>
      <c r="AK342" s="5" t="inlineStr"/>
      <c r="AL342" s="5" t="inlineStr"/>
      <c r="AM342" s="5" t="inlineStr"/>
    </row>
    <row r="343">
      <c r="A343" s="5" t="n">
        <v>342</v>
      </c>
      <c r="B343" s="5" t="inlineStr">
        <is>
          <t>123</t>
        </is>
      </c>
      <c r="C343" s="5" t="inlineStr">
        <is>
          <t>nearest labels (60% agree)</t>
        </is>
      </c>
      <c r="D343" s="5" t="inlineStr">
        <is>
          <t>grade_beam</t>
        </is>
      </c>
      <c r="E343" s="5" t="inlineStr">
        <is>
          <t>grade_beam</t>
        </is>
      </c>
      <c r="F343" s="5" t="inlineStr">
        <is>
          <t>LG40x15</t>
        </is>
      </c>
      <c r="G343" s="5" t="inlineStr"/>
      <c r="H343" s="5" t="inlineStr">
        <is>
          <t>band width matches label</t>
        </is>
      </c>
      <c r="I343" s="5" t="n">
        <v>504</v>
      </c>
      <c r="J343" s="5" t="n">
        <v>40</v>
      </c>
      <c r="K343" s="9">
        <f>IF(AND(ISNUMBER(I343),ISNUMBER(J343),J343&gt;0),I343/J343,"")</f>
        <v/>
      </c>
      <c r="L343" s="5" t="n">
        <v>2.016</v>
      </c>
      <c r="M343" s="5" t="n">
        <v>5.04</v>
      </c>
      <c r="N343" s="5" t="n">
        <v>169.3</v>
      </c>
      <c r="O343" s="5" t="inlineStr">
        <is>
          <t>parallel line pair</t>
        </is>
      </c>
      <c r="P343" s="5" t="inlineStr">
        <is>
          <t>two parallel lines at the width written in the LG label, empty inside</t>
        </is>
      </c>
      <c r="Q343" s="5">
        <f>IF(OR(D343="column",D343="wall"),IF(I343&lt;='P vs V'!$B$3*J343,"column","wall"),"")</f>
        <v/>
      </c>
      <c r="R343" s="5" t="inlineStr"/>
      <c r="S343" s="5" t="inlineStr"/>
      <c r="T343" s="5" t="n"/>
      <c r="U343" s="5" t="inlineStr">
        <is>
          <t>no</t>
        </is>
      </c>
      <c r="V343" s="5" t="inlineStr">
        <is>
          <t>no</t>
        </is>
      </c>
      <c r="W343" s="5" t="inlineStr">
        <is>
          <t>yes</t>
        </is>
      </c>
      <c r="X343" s="5" t="inlineStr">
        <is>
          <t>no</t>
        </is>
      </c>
      <c r="Y343" s="5" t="inlineStr">
        <is>
          <t>no</t>
        </is>
      </c>
      <c r="Z343" s="5" t="inlineStr">
        <is>
          <t>no</t>
        </is>
      </c>
      <c r="AA343" s="5" t="n">
        <v>2.68</v>
      </c>
      <c r="AB343" s="5" t="n"/>
      <c r="AC343" s="5" t="n"/>
      <c r="AD343" s="5" t="n"/>
      <c r="AE343" s="5" t="n">
        <v>4779.2</v>
      </c>
      <c r="AF343" s="5" t="n">
        <v>2963.9</v>
      </c>
      <c r="AG343" s="5" t="n">
        <v>4927.7</v>
      </c>
      <c r="AH343" s="5" t="n">
        <v>3003.1</v>
      </c>
      <c r="AI343" s="5" t="inlineStr">
        <is>
          <t>n/a</t>
        </is>
      </c>
      <c r="AJ343" s="5" t="inlineStr"/>
      <c r="AK343" s="5" t="inlineStr"/>
      <c r="AL343" s="5" t="inlineStr"/>
      <c r="AM343" s="5" t="inlineStr"/>
    </row>
    <row r="344">
      <c r="A344" s="5" t="n">
        <v>343</v>
      </c>
      <c r="B344" s="5" t="inlineStr">
        <is>
          <t>123</t>
        </is>
      </c>
      <c r="C344" s="5" t="inlineStr">
        <is>
          <t>nearest labels (80% agree)</t>
        </is>
      </c>
      <c r="D344" s="5" t="inlineStr">
        <is>
          <t>grade_beam</t>
        </is>
      </c>
      <c r="E344" s="5" t="inlineStr">
        <is>
          <t>grade_beam</t>
        </is>
      </c>
      <c r="F344" s="5" t="inlineStr">
        <is>
          <t>LG40x15</t>
        </is>
      </c>
      <c r="G344" s="5" t="inlineStr"/>
      <c r="H344" s="5" t="inlineStr">
        <is>
          <t>band width matches label</t>
        </is>
      </c>
      <c r="I344" s="5" t="n">
        <v>400</v>
      </c>
      <c r="J344" s="5" t="n">
        <v>40</v>
      </c>
      <c r="K344" s="9">
        <f>IF(AND(ISNUMBER(I344),ISNUMBER(J344),J344&gt;0),I344/J344,"")</f>
        <v/>
      </c>
      <c r="L344" s="5" t="n">
        <v>1.599</v>
      </c>
      <c r="M344" s="5" t="n">
        <v>4</v>
      </c>
      <c r="N344" s="5" t="n">
        <v>79.40000000000001</v>
      </c>
      <c r="O344" s="5" t="inlineStr">
        <is>
          <t>parallel line pair</t>
        </is>
      </c>
      <c r="P344" s="5" t="inlineStr">
        <is>
          <t>two parallel lines at the width written in the LG label, empty inside</t>
        </is>
      </c>
      <c r="Q344" s="5">
        <f>IF(OR(D344="column",D344="wall"),IF(I344&lt;='P vs V'!$B$3*J344,"column","wall"),"")</f>
        <v/>
      </c>
      <c r="R344" s="5" t="inlineStr"/>
      <c r="S344" s="5" t="inlineStr"/>
      <c r="T344" s="5" t="n"/>
      <c r="U344" s="5" t="inlineStr">
        <is>
          <t>no</t>
        </is>
      </c>
      <c r="V344" s="5" t="inlineStr">
        <is>
          <t>no</t>
        </is>
      </c>
      <c r="W344" s="5" t="inlineStr">
        <is>
          <t>no</t>
        </is>
      </c>
      <c r="X344" s="5" t="inlineStr">
        <is>
          <t>no</t>
        </is>
      </c>
      <c r="Y344" s="5" t="inlineStr">
        <is>
          <t>no</t>
        </is>
      </c>
      <c r="Z344" s="5" t="inlineStr">
        <is>
          <t>no</t>
        </is>
      </c>
      <c r="AA344" s="5" t="n">
        <v>0.01</v>
      </c>
      <c r="AB344" s="5" t="n"/>
      <c r="AC344" s="5" t="n"/>
      <c r="AD344" s="5" t="n"/>
      <c r="AE344" s="5" t="n">
        <v>4427.2</v>
      </c>
      <c r="AF344" s="5" t="n">
        <v>3148.1</v>
      </c>
      <c r="AG344" s="5" t="n">
        <v>4460.5</v>
      </c>
      <c r="AH344" s="5" t="n">
        <v>3266.3</v>
      </c>
      <c r="AI344" s="5" t="inlineStr">
        <is>
          <t>n/a</t>
        </is>
      </c>
      <c r="AJ344" s="5" t="inlineStr"/>
      <c r="AK344" s="5" t="inlineStr"/>
      <c r="AL344" s="5" t="inlineStr"/>
      <c r="AM344" s="5" t="inlineStr"/>
    </row>
    <row r="345">
      <c r="A345" s="5" t="n">
        <v>344</v>
      </c>
      <c r="B345" s="5" t="inlineStr">
        <is>
          <t>123</t>
        </is>
      </c>
      <c r="C345" s="5" t="inlineStr">
        <is>
          <t>nearest labels (100% agree)</t>
        </is>
      </c>
      <c r="D345" s="5" t="inlineStr">
        <is>
          <t>grade_beam</t>
        </is>
      </c>
      <c r="E345" s="5" t="inlineStr">
        <is>
          <t>grade_beam</t>
        </is>
      </c>
      <c r="F345" s="5" t="inlineStr">
        <is>
          <t>LG40x15</t>
        </is>
      </c>
      <c r="G345" s="5" t="inlineStr"/>
      <c r="H345" s="5" t="inlineStr">
        <is>
          <t>band width matches label</t>
        </is>
      </c>
      <c r="I345" s="5" t="n">
        <v>212</v>
      </c>
      <c r="J345" s="5" t="n">
        <v>40</v>
      </c>
      <c r="K345" s="9">
        <f>IF(AND(ISNUMBER(I345),ISNUMBER(J345),J345&gt;0),I345/J345,"")</f>
        <v/>
      </c>
      <c r="L345" s="5" t="n">
        <v>0.847</v>
      </c>
      <c r="M345" s="5" t="n">
        <v>2.12</v>
      </c>
      <c r="N345" s="5" t="n">
        <v>79.40000000000001</v>
      </c>
      <c r="O345" s="5" t="inlineStr">
        <is>
          <t>parallel line pair</t>
        </is>
      </c>
      <c r="P345" s="5" t="inlineStr">
        <is>
          <t>two parallel lines at the width written in the LG label, empty inside</t>
        </is>
      </c>
      <c r="Q345" s="5">
        <f>IF(OR(D345="column",D345="wall"),IF(I345&lt;='P vs V'!$B$3*J345,"column","wall"),"")</f>
        <v/>
      </c>
      <c r="R345" s="5" t="inlineStr"/>
      <c r="S345" s="5" t="inlineStr"/>
      <c r="T345" s="5" t="n"/>
      <c r="U345" s="5" t="inlineStr">
        <is>
          <t>no</t>
        </is>
      </c>
      <c r="V345" s="5" t="inlineStr">
        <is>
          <t>no</t>
        </is>
      </c>
      <c r="W345" s="5" t="inlineStr">
        <is>
          <t>no</t>
        </is>
      </c>
      <c r="X345" s="5" t="inlineStr">
        <is>
          <t>no</t>
        </is>
      </c>
      <c r="Y345" s="5" t="inlineStr">
        <is>
          <t>no</t>
        </is>
      </c>
      <c r="Z345" s="5" t="inlineStr">
        <is>
          <t>yes</t>
        </is>
      </c>
      <c r="AA345" s="5" t="n">
        <v>3.24</v>
      </c>
      <c r="AB345" s="5" t="n"/>
      <c r="AC345" s="5" t="n"/>
      <c r="AD345" s="5" t="n"/>
      <c r="AE345" s="5" t="n">
        <v>4863.2</v>
      </c>
      <c r="AF345" s="5" t="n">
        <v>3277.6</v>
      </c>
      <c r="AG345" s="5" t="n">
        <v>4886.3</v>
      </c>
      <c r="AH345" s="5" t="n">
        <v>3341.2</v>
      </c>
      <c r="AI345" s="5" t="inlineStr">
        <is>
          <t>n/a</t>
        </is>
      </c>
      <c r="AJ345" s="5" t="inlineStr"/>
      <c r="AK345" s="5" t="inlineStr"/>
      <c r="AL345" s="5" t="inlineStr"/>
      <c r="AM345" s="5" t="inlineStr"/>
    </row>
    <row r="346">
      <c r="A346" s="5" t="n">
        <v>345</v>
      </c>
      <c r="B346" s="5" t="inlineStr">
        <is>
          <t>123</t>
        </is>
      </c>
      <c r="C346" s="5" t="inlineStr">
        <is>
          <t>nearest labels (100% agree)</t>
        </is>
      </c>
      <c r="D346" s="5" t="inlineStr">
        <is>
          <t>grade_beam</t>
        </is>
      </c>
      <c r="E346" s="5" t="inlineStr">
        <is>
          <t>grade_beam</t>
        </is>
      </c>
      <c r="F346" s="5" t="inlineStr">
        <is>
          <t>LG40x15</t>
        </is>
      </c>
      <c r="G346" s="5" t="inlineStr"/>
      <c r="H346" s="5" t="inlineStr">
        <is>
          <t>band width matches label</t>
        </is>
      </c>
      <c r="I346" s="5" t="n">
        <v>86</v>
      </c>
      <c r="J346" s="5" t="n">
        <v>40</v>
      </c>
      <c r="K346" s="9">
        <f>IF(AND(ISNUMBER(I346),ISNUMBER(J346),J346&gt;0),I346/J346,"")</f>
        <v/>
      </c>
      <c r="L346" s="5" t="n">
        <v>0.344</v>
      </c>
      <c r="M346" s="5" t="n">
        <v>0.86</v>
      </c>
      <c r="N346" s="5" t="n">
        <v>79.40000000000001</v>
      </c>
      <c r="O346" s="5" t="inlineStr">
        <is>
          <t>parallel line pair</t>
        </is>
      </c>
      <c r="P346" s="5" t="inlineStr">
        <is>
          <t>two parallel lines at the width written in the LG label, empty inside</t>
        </is>
      </c>
      <c r="Q346" s="5">
        <f>IF(OR(D346="column",D346="wall"),IF(I346&lt;='P vs V'!$B$3*J346,"column","wall"),"")</f>
        <v/>
      </c>
      <c r="R346" s="5" t="inlineStr"/>
      <c r="S346" s="5" t="inlineStr"/>
      <c r="T346" s="5" t="n"/>
      <c r="U346" s="5" t="inlineStr">
        <is>
          <t>no</t>
        </is>
      </c>
      <c r="V346" s="5" t="inlineStr">
        <is>
          <t>no</t>
        </is>
      </c>
      <c r="W346" s="5" t="inlineStr">
        <is>
          <t>no</t>
        </is>
      </c>
      <c r="X346" s="5" t="inlineStr">
        <is>
          <t>no</t>
        </is>
      </c>
      <c r="Y346" s="5" t="inlineStr">
        <is>
          <t>no</t>
        </is>
      </c>
      <c r="Z346" s="5" t="inlineStr">
        <is>
          <t>yes</t>
        </is>
      </c>
      <c r="AA346" s="5" t="n">
        <v>3.23</v>
      </c>
      <c r="AB346" s="5" t="n"/>
      <c r="AC346" s="5" t="n"/>
      <c r="AD346" s="5" t="n"/>
      <c r="AE346" s="5" t="n">
        <v>4878</v>
      </c>
      <c r="AF346" s="5" t="n">
        <v>3356.5</v>
      </c>
      <c r="AG346" s="5" t="n">
        <v>4894.2</v>
      </c>
      <c r="AH346" s="5" t="n">
        <v>3383.6</v>
      </c>
      <c r="AI346" s="5" t="inlineStr">
        <is>
          <t>n/a</t>
        </is>
      </c>
      <c r="AJ346" s="5" t="inlineStr"/>
      <c r="AK346" s="5" t="inlineStr"/>
      <c r="AL346" s="5" t="inlineStr"/>
      <c r="AM346" s="5" t="inlineStr"/>
    </row>
    <row r="347">
      <c r="A347" s="5" t="n">
        <v>346</v>
      </c>
      <c r="B347" s="5" t="inlineStr">
        <is>
          <t>123</t>
        </is>
      </c>
      <c r="C347" s="5" t="inlineStr">
        <is>
          <t>nearest labels (100% agree)</t>
        </is>
      </c>
      <c r="D347" s="5" t="inlineStr">
        <is>
          <t>grade_beam</t>
        </is>
      </c>
      <c r="E347" s="5" t="inlineStr">
        <is>
          <t>grade_beam</t>
        </is>
      </c>
      <c r="F347" s="5" t="inlineStr">
        <is>
          <t>LG40x15</t>
        </is>
      </c>
      <c r="G347" s="5" t="inlineStr"/>
      <c r="H347" s="5" t="inlineStr">
        <is>
          <t>band width matches label</t>
        </is>
      </c>
      <c r="I347" s="5" t="n">
        <v>284</v>
      </c>
      <c r="J347" s="5" t="n">
        <v>40</v>
      </c>
      <c r="K347" s="9">
        <f>IF(AND(ISNUMBER(I347),ISNUMBER(J347),J347&gt;0),I347/J347,"")</f>
        <v/>
      </c>
      <c r="L347" s="5" t="n">
        <v>1.136</v>
      </c>
      <c r="M347" s="5" t="n">
        <v>2.84</v>
      </c>
      <c r="N347" s="5" t="n">
        <v>79.3</v>
      </c>
      <c r="O347" s="5" t="inlineStr">
        <is>
          <t>parallel line pair</t>
        </is>
      </c>
      <c r="P347" s="5" t="inlineStr">
        <is>
          <t>two parallel lines at the width written in the LG label, empty inside</t>
        </is>
      </c>
      <c r="Q347" s="5">
        <f>IF(OR(D347="column",D347="wall"),IF(I347&lt;='P vs V'!$B$3*J347,"column","wall"),"")</f>
        <v/>
      </c>
      <c r="R347" s="5" t="inlineStr"/>
      <c r="S347" s="5" t="inlineStr"/>
      <c r="T347" s="5" t="n"/>
      <c r="U347" s="5" t="inlineStr">
        <is>
          <t>no</t>
        </is>
      </c>
      <c r="V347" s="5" t="inlineStr">
        <is>
          <t>no</t>
        </is>
      </c>
      <c r="W347" s="5" t="inlineStr">
        <is>
          <t>no</t>
        </is>
      </c>
      <c r="X347" s="5" t="inlineStr">
        <is>
          <t>no</t>
        </is>
      </c>
      <c r="Y347" s="5" t="inlineStr">
        <is>
          <t>no</t>
        </is>
      </c>
      <c r="Z347" s="5" t="inlineStr">
        <is>
          <t>no</t>
        </is>
      </c>
      <c r="AA347" s="5" t="n">
        <v>0.46</v>
      </c>
      <c r="AB347" s="5" t="n"/>
      <c r="AC347" s="5" t="n"/>
      <c r="AD347" s="5" t="n"/>
      <c r="AE347" s="5" t="n">
        <v>4678.7</v>
      </c>
      <c r="AF347" s="5" t="n">
        <v>3312</v>
      </c>
      <c r="AG347" s="5" t="n">
        <v>4705.8</v>
      </c>
      <c r="AH347" s="5" t="n">
        <v>3396.6</v>
      </c>
      <c r="AI347" s="5" t="inlineStr">
        <is>
          <t>n/a</t>
        </is>
      </c>
      <c r="AJ347" s="5" t="inlineStr"/>
      <c r="AK347" s="5" t="inlineStr"/>
      <c r="AL347" s="5" t="inlineStr"/>
      <c r="AM347" s="5" t="inlineStr"/>
    </row>
    <row r="348">
      <c r="A348" s="5" t="n">
        <v>347</v>
      </c>
      <c r="B348" s="5" t="inlineStr">
        <is>
          <t>123</t>
        </is>
      </c>
      <c r="C348" s="5" t="inlineStr">
        <is>
          <t>nearest labels (100% agree)</t>
        </is>
      </c>
      <c r="D348" s="5" t="inlineStr">
        <is>
          <t>grade_beam</t>
        </is>
      </c>
      <c r="E348" s="5" t="inlineStr">
        <is>
          <t>grade_beam</t>
        </is>
      </c>
      <c r="F348" s="5" t="inlineStr">
        <is>
          <t>LG40x15</t>
        </is>
      </c>
      <c r="G348" s="5" t="inlineStr"/>
      <c r="H348" s="5" t="inlineStr">
        <is>
          <t>band width matches label</t>
        </is>
      </c>
      <c r="I348" s="5" t="n">
        <v>298</v>
      </c>
      <c r="J348" s="5" t="n">
        <v>40</v>
      </c>
      <c r="K348" s="9">
        <f>IF(AND(ISNUMBER(I348),ISNUMBER(J348),J348&gt;0),I348/J348,"")</f>
        <v/>
      </c>
      <c r="L348" s="5" t="n">
        <v>1.192</v>
      </c>
      <c r="M348" s="5" t="n">
        <v>2.98</v>
      </c>
      <c r="N348" s="5" t="n">
        <v>169.4</v>
      </c>
      <c r="O348" s="5" t="inlineStr">
        <is>
          <t>parallel line pair</t>
        </is>
      </c>
      <c r="P348" s="5" t="inlineStr">
        <is>
          <t>two parallel lines at the width written in the LG label, empty inside</t>
        </is>
      </c>
      <c r="Q348" s="5">
        <f>IF(OR(D348="column",D348="wall"),IF(I348&lt;='P vs V'!$B$3*J348,"column","wall"),"")</f>
        <v/>
      </c>
      <c r="R348" s="5" t="inlineStr"/>
      <c r="S348" s="5" t="inlineStr"/>
      <c r="T348" s="5" t="n"/>
      <c r="U348" s="5" t="inlineStr">
        <is>
          <t>no</t>
        </is>
      </c>
      <c r="V348" s="5" t="inlineStr">
        <is>
          <t>no</t>
        </is>
      </c>
      <c r="W348" s="5" t="inlineStr">
        <is>
          <t>no</t>
        </is>
      </c>
      <c r="X348" s="5" t="inlineStr">
        <is>
          <t>no</t>
        </is>
      </c>
      <c r="Y348" s="5" t="inlineStr">
        <is>
          <t>no</t>
        </is>
      </c>
      <c r="Z348" s="5" t="inlineStr">
        <is>
          <t>no</t>
        </is>
      </c>
      <c r="AA348" s="5" t="n">
        <v>3.15</v>
      </c>
      <c r="AB348" s="5" t="n"/>
      <c r="AC348" s="5" t="n"/>
      <c r="AD348" s="5" t="n"/>
      <c r="AE348" s="5" t="n">
        <v>4572.5</v>
      </c>
      <c r="AF348" s="5" t="n">
        <v>3463.5</v>
      </c>
      <c r="AG348" s="5" t="n">
        <v>4661.2</v>
      </c>
      <c r="AH348" s="5" t="n">
        <v>3491.3</v>
      </c>
      <c r="AI348" s="5" t="inlineStr">
        <is>
          <t>n/a</t>
        </is>
      </c>
      <c r="AJ348" s="5" t="inlineStr"/>
      <c r="AK348" s="5" t="inlineStr"/>
      <c r="AL348" s="5" t="inlineStr"/>
      <c r="AM348" s="5" t="inlineStr"/>
    </row>
    <row r="349">
      <c r="A349" s="5" t="n">
        <v>348</v>
      </c>
      <c r="B349" s="5" t="inlineStr">
        <is>
          <t>123</t>
        </is>
      </c>
      <c r="C349" s="5" t="inlineStr">
        <is>
          <t>nearest labels (100% agree)</t>
        </is>
      </c>
      <c r="D349" s="5" t="inlineStr">
        <is>
          <t>grade_beam</t>
        </is>
      </c>
      <c r="E349" s="5" t="inlineStr">
        <is>
          <t>grade_beam</t>
        </is>
      </c>
      <c r="F349" s="5" t="inlineStr">
        <is>
          <t>LG40x15</t>
        </is>
      </c>
      <c r="G349" s="5" t="inlineStr"/>
      <c r="H349" s="5" t="inlineStr">
        <is>
          <t>band width matches label</t>
        </is>
      </c>
      <c r="I349" s="5" t="n">
        <v>152</v>
      </c>
      <c r="J349" s="5" t="n">
        <v>40</v>
      </c>
      <c r="K349" s="9">
        <f>IF(AND(ISNUMBER(I349),ISNUMBER(J349),J349&gt;0),I349/J349,"")</f>
        <v/>
      </c>
      <c r="L349" s="5" t="n">
        <v>0.609</v>
      </c>
      <c r="M349" s="5" t="n">
        <v>1.52</v>
      </c>
      <c r="N349" s="5" t="n">
        <v>169.4</v>
      </c>
      <c r="O349" s="5" t="inlineStr">
        <is>
          <t>parallel line pair</t>
        </is>
      </c>
      <c r="P349" s="5" t="inlineStr">
        <is>
          <t>two parallel lines at the width written in the LG label, empty inside</t>
        </is>
      </c>
      <c r="Q349" s="5">
        <f>IF(OR(D349="column",D349="wall"),IF(I349&lt;='P vs V'!$B$3*J349,"column","wall"),"")</f>
        <v/>
      </c>
      <c r="R349" s="5" t="inlineStr"/>
      <c r="S349" s="5" t="inlineStr"/>
      <c r="T349" s="5" t="n"/>
      <c r="U349" s="5" t="inlineStr">
        <is>
          <t>no</t>
        </is>
      </c>
      <c r="V349" s="5" t="inlineStr">
        <is>
          <t>no</t>
        </is>
      </c>
      <c r="W349" s="5" t="inlineStr">
        <is>
          <t>no</t>
        </is>
      </c>
      <c r="X349" s="5" t="inlineStr">
        <is>
          <t>no</t>
        </is>
      </c>
      <c r="Y349" s="5" t="inlineStr">
        <is>
          <t>no</t>
        </is>
      </c>
      <c r="Z349" s="5" t="inlineStr">
        <is>
          <t>no</t>
        </is>
      </c>
      <c r="AA349" s="5" t="n">
        <v>2.1</v>
      </c>
      <c r="AB349" s="5" t="n"/>
      <c r="AC349" s="5" t="n"/>
      <c r="AD349" s="5" t="n"/>
      <c r="AE349" s="5" t="n">
        <v>4882.8</v>
      </c>
      <c r="AF349" s="5" t="n">
        <v>3159</v>
      </c>
      <c r="AG349" s="5" t="n">
        <v>4929.2</v>
      </c>
      <c r="AH349" s="5" t="n">
        <v>3178.9</v>
      </c>
      <c r="AI349" s="5" t="inlineStr">
        <is>
          <t>n/a</t>
        </is>
      </c>
      <c r="AJ349" s="5" t="inlineStr"/>
      <c r="AK349" s="5" t="inlineStr"/>
      <c r="AL349" s="5" t="inlineStr"/>
      <c r="AM349" s="5" t="inlineStr"/>
    </row>
    <row r="350">
      <c r="A350" s="5" t="n">
        <v>349</v>
      </c>
      <c r="B350" s="5" t="inlineStr">
        <is>
          <t>123</t>
        </is>
      </c>
      <c r="C350" s="5" t="inlineStr">
        <is>
          <t>nearest labels (100% agree)</t>
        </is>
      </c>
      <c r="D350" s="5" t="inlineStr">
        <is>
          <t>grade_beam</t>
        </is>
      </c>
      <c r="E350" s="5" t="inlineStr">
        <is>
          <t>grade_beam</t>
        </is>
      </c>
      <c r="F350" s="5" t="inlineStr">
        <is>
          <t>LG40x15</t>
        </is>
      </c>
      <c r="G350" s="5" t="inlineStr"/>
      <c r="H350" s="5" t="inlineStr">
        <is>
          <t>band width matches label</t>
        </is>
      </c>
      <c r="I350" s="5" t="n">
        <v>148</v>
      </c>
      <c r="J350" s="5" t="n">
        <v>40</v>
      </c>
      <c r="K350" s="9">
        <f>IF(AND(ISNUMBER(I350),ISNUMBER(J350),J350&gt;0),I350/J350,"")</f>
        <v/>
      </c>
      <c r="L350" s="5" t="n">
        <v>0.592</v>
      </c>
      <c r="M350" s="5" t="n">
        <v>1.48</v>
      </c>
      <c r="N350" s="5" t="n">
        <v>169.4</v>
      </c>
      <c r="O350" s="5" t="inlineStr">
        <is>
          <t>parallel line pair</t>
        </is>
      </c>
      <c r="P350" s="5" t="inlineStr">
        <is>
          <t>two parallel lines at the width written in the LG label, empty inside</t>
        </is>
      </c>
      <c r="Q350" s="5">
        <f>IF(OR(D350="column",D350="wall"),IF(I350&lt;='P vs V'!$B$3*J350,"column","wall"),"")</f>
        <v/>
      </c>
      <c r="R350" s="5" t="inlineStr"/>
      <c r="S350" s="5" t="inlineStr"/>
      <c r="T350" s="5" t="n"/>
      <c r="U350" s="5" t="inlineStr">
        <is>
          <t>no</t>
        </is>
      </c>
      <c r="V350" s="5" t="inlineStr">
        <is>
          <t>no</t>
        </is>
      </c>
      <c r="W350" s="5" t="inlineStr">
        <is>
          <t>no</t>
        </is>
      </c>
      <c r="X350" s="5" t="inlineStr">
        <is>
          <t>no</t>
        </is>
      </c>
      <c r="Y350" s="5" t="inlineStr">
        <is>
          <t>no</t>
        </is>
      </c>
      <c r="Z350" s="5" t="inlineStr">
        <is>
          <t>yes</t>
        </is>
      </c>
      <c r="AA350" s="5" t="n">
        <v>2.99</v>
      </c>
      <c r="AB350" s="5" t="n"/>
      <c r="AC350" s="5" t="n"/>
      <c r="AD350" s="5" t="n"/>
      <c r="AE350" s="5" t="n">
        <v>4889.5</v>
      </c>
      <c r="AF350" s="5" t="n">
        <v>3333.6</v>
      </c>
      <c r="AG350" s="5" t="n">
        <v>4934.6</v>
      </c>
      <c r="AH350" s="5" t="n">
        <v>3353.2</v>
      </c>
      <c r="AI350" s="5" t="inlineStr">
        <is>
          <t>n/a</t>
        </is>
      </c>
      <c r="AJ350" s="5" t="inlineStr"/>
      <c r="AK350" s="5" t="inlineStr"/>
      <c r="AL350" s="5" t="inlineStr"/>
      <c r="AM350" s="5" t="inlineStr"/>
    </row>
    <row r="351">
      <c r="A351" s="5" t="n">
        <v>350</v>
      </c>
      <c r="B351" s="5" t="inlineStr">
        <is>
          <t>123</t>
        </is>
      </c>
      <c r="C351" s="5" t="inlineStr">
        <is>
          <t>nearest labels (60% agree)</t>
        </is>
      </c>
      <c r="D351" s="5" t="inlineStr">
        <is>
          <t>strip_footing</t>
        </is>
      </c>
      <c r="E351" s="5" t="inlineStr">
        <is>
          <t>strip_footing</t>
        </is>
      </c>
      <c r="F351" s="5" t="inlineStr">
        <is>
          <t>SF1</t>
        </is>
      </c>
      <c r="G351" s="5" t="inlineStr"/>
      <c r="H351" s="5" t="inlineStr">
        <is>
          <t>band width matches label</t>
        </is>
      </c>
      <c r="I351" s="5" t="n">
        <v>344</v>
      </c>
      <c r="J351" s="5" t="n">
        <v>80</v>
      </c>
      <c r="K351" s="9">
        <f>IF(AND(ISNUMBER(I351),ISNUMBER(J351),J351&gt;0),I351/J351,"")</f>
        <v/>
      </c>
      <c r="L351" s="5" t="n">
        <v>2.75</v>
      </c>
      <c r="M351" s="5" t="n">
        <v>3.44</v>
      </c>
      <c r="N351" s="5" t="n">
        <v>90</v>
      </c>
      <c r="O351" s="5" t="inlineStr">
        <is>
          <t>parallel line pair</t>
        </is>
      </c>
      <c r="P351" s="5" t="inlineStr">
        <is>
          <t>two parallel lines at the width written in the SF label, a wall inside</t>
        </is>
      </c>
      <c r="Q351" s="5">
        <f>IF(OR(D351="column",D351="wall"),IF(I351&lt;='P vs V'!$B$3*J351,"column","wall"),"")</f>
        <v/>
      </c>
      <c r="R351" s="5" t="inlineStr"/>
      <c r="S351" s="5" t="inlineStr"/>
      <c r="T351" s="5" t="n"/>
      <c r="U351" s="5" t="inlineStr">
        <is>
          <t>no</t>
        </is>
      </c>
      <c r="V351" s="5" t="inlineStr">
        <is>
          <t>no</t>
        </is>
      </c>
      <c r="W351" s="5" t="inlineStr">
        <is>
          <t>yes</t>
        </is>
      </c>
      <c r="X351" s="5" t="inlineStr">
        <is>
          <t>yes</t>
        </is>
      </c>
      <c r="Y351" s="5" t="inlineStr">
        <is>
          <t>yes</t>
        </is>
      </c>
      <c r="Z351" s="5" t="inlineStr">
        <is>
          <t>no</t>
        </is>
      </c>
      <c r="AA351" s="5" t="n">
        <v>1.53</v>
      </c>
      <c r="AB351" s="5" t="n"/>
      <c r="AC351" s="5" t="n"/>
      <c r="AD351" s="5" t="n"/>
      <c r="AE351" s="5" t="n">
        <v>5005.4</v>
      </c>
      <c r="AF351" s="5" t="n">
        <v>2787.7</v>
      </c>
      <c r="AG351" s="5" t="n">
        <v>5029.1</v>
      </c>
      <c r="AH351" s="5" t="n">
        <v>2889.2</v>
      </c>
      <c r="AI351" s="5" t="inlineStr">
        <is>
          <t>n/a</t>
        </is>
      </c>
      <c r="AJ351" s="5" t="inlineStr"/>
      <c r="AK351" s="5" t="inlineStr"/>
      <c r="AL351" s="5" t="inlineStr"/>
      <c r="AM351" s="5" t="inlineStr"/>
    </row>
    <row r="352">
      <c r="A352" s="5" t="n">
        <v>351</v>
      </c>
      <c r="B352" s="5" t="inlineStr">
        <is>
          <t>123</t>
        </is>
      </c>
      <c r="C352" s="5" t="inlineStr">
        <is>
          <t>nearest labels (80% agree)</t>
        </is>
      </c>
      <c r="D352" s="5" t="inlineStr">
        <is>
          <t>strip_footing</t>
        </is>
      </c>
      <c r="E352" s="5" t="inlineStr">
        <is>
          <t>strip_footing</t>
        </is>
      </c>
      <c r="F352" s="5" t="inlineStr">
        <is>
          <t>SF1</t>
        </is>
      </c>
      <c r="G352" s="5" t="inlineStr"/>
      <c r="H352" s="5" t="inlineStr">
        <is>
          <t>band width matches label</t>
        </is>
      </c>
      <c r="I352" s="5" t="n">
        <v>317</v>
      </c>
      <c r="J352" s="5" t="n">
        <v>80</v>
      </c>
      <c r="K352" s="9">
        <f>IF(AND(ISNUMBER(I352),ISNUMBER(J352),J352&gt;0),I352/J352,"")</f>
        <v/>
      </c>
      <c r="L352" s="5" t="n">
        <v>2.534</v>
      </c>
      <c r="M352" s="5" t="n">
        <v>3.17</v>
      </c>
      <c r="N352" s="5" t="n">
        <v>169.3</v>
      </c>
      <c r="O352" s="5" t="inlineStr">
        <is>
          <t>parallel line pair</t>
        </is>
      </c>
      <c r="P352" s="5" t="inlineStr">
        <is>
          <t>two parallel lines at the width written in the SF label, a wall inside</t>
        </is>
      </c>
      <c r="Q352" s="5">
        <f>IF(OR(D352="column",D352="wall"),IF(I352&lt;='P vs V'!$B$3*J352,"column","wall"),"")</f>
        <v/>
      </c>
      <c r="R352" s="5" t="inlineStr"/>
      <c r="S352" s="5" t="inlineStr"/>
      <c r="T352" s="5" t="n"/>
      <c r="U352" s="5" t="inlineStr">
        <is>
          <t>no</t>
        </is>
      </c>
      <c r="V352" s="5" t="inlineStr">
        <is>
          <t>no</t>
        </is>
      </c>
      <c r="W352" s="5" t="inlineStr">
        <is>
          <t>yes</t>
        </is>
      </c>
      <c r="X352" s="5" t="inlineStr">
        <is>
          <t>yes</t>
        </is>
      </c>
      <c r="Y352" s="5" t="inlineStr">
        <is>
          <t>yes</t>
        </is>
      </c>
      <c r="Z352" s="5" t="inlineStr">
        <is>
          <t>no</t>
        </is>
      </c>
      <c r="AA352" s="5" t="n">
        <v>0.07000000000000001</v>
      </c>
      <c r="AB352" s="5" t="n"/>
      <c r="AC352" s="5" t="n"/>
      <c r="AD352" s="5" t="n"/>
      <c r="AE352" s="5" t="n">
        <v>4387.1</v>
      </c>
      <c r="AF352" s="5" t="n">
        <v>3542.2</v>
      </c>
      <c r="AG352" s="5" t="n">
        <v>4483.4</v>
      </c>
      <c r="AH352" s="5" t="n">
        <v>3582.8</v>
      </c>
      <c r="AI352" s="5" t="inlineStr">
        <is>
          <t>n/a</t>
        </is>
      </c>
      <c r="AJ352" s="5" t="inlineStr"/>
      <c r="AK352" s="5" t="inlineStr"/>
      <c r="AL352" s="5" t="inlineStr"/>
      <c r="AM352" s="5" t="inlineStr"/>
    </row>
    <row r="353">
      <c r="A353" s="5" t="n">
        <v>352</v>
      </c>
      <c r="B353" s="5" t="inlineStr">
        <is>
          <t>123</t>
        </is>
      </c>
      <c r="C353" s="5" t="inlineStr">
        <is>
          <t>nearest labels (80% agree)</t>
        </is>
      </c>
      <c r="D353" s="5" t="inlineStr">
        <is>
          <t>strip_footing</t>
        </is>
      </c>
      <c r="E353" s="5" t="inlineStr">
        <is>
          <t>strip_footing</t>
        </is>
      </c>
      <c r="F353" s="5" t="inlineStr">
        <is>
          <t>SF1</t>
        </is>
      </c>
      <c r="G353" s="5" t="inlineStr"/>
      <c r="H353" s="5" t="inlineStr">
        <is>
          <t>band width matches label</t>
        </is>
      </c>
      <c r="I353" s="5" t="n">
        <v>313</v>
      </c>
      <c r="J353" s="5" t="n">
        <v>80</v>
      </c>
      <c r="K353" s="9">
        <f>IF(AND(ISNUMBER(I353),ISNUMBER(J353),J353&gt;0),I353/J353,"")</f>
        <v/>
      </c>
      <c r="L353" s="5" t="n">
        <v>2.506</v>
      </c>
      <c r="M353" s="5" t="n">
        <v>3.13</v>
      </c>
      <c r="N353" s="5" t="n">
        <v>90</v>
      </c>
      <c r="O353" s="5" t="inlineStr">
        <is>
          <t>parallel line pair</t>
        </is>
      </c>
      <c r="P353" s="5" t="inlineStr">
        <is>
          <t>two parallel lines at the width written in the SF label, a wall inside</t>
        </is>
      </c>
      <c r="Q353" s="5">
        <f>IF(OR(D353="column",D353="wall"),IF(I353&lt;='P vs V'!$B$3*J353,"column","wall"),"")</f>
        <v/>
      </c>
      <c r="R353" s="5" t="inlineStr"/>
      <c r="S353" s="5" t="inlineStr"/>
      <c r="T353" s="5" t="n"/>
      <c r="U353" s="5" t="inlineStr">
        <is>
          <t>no</t>
        </is>
      </c>
      <c r="V353" s="5" t="inlineStr">
        <is>
          <t>no</t>
        </is>
      </c>
      <c r="W353" s="5" t="inlineStr">
        <is>
          <t>yes</t>
        </is>
      </c>
      <c r="X353" s="5" t="inlineStr">
        <is>
          <t>yes</t>
        </is>
      </c>
      <c r="Y353" s="5" t="inlineStr">
        <is>
          <t>yes</t>
        </is>
      </c>
      <c r="Z353" s="5" t="inlineStr">
        <is>
          <t>no</t>
        </is>
      </c>
      <c r="AA353" s="5" t="n">
        <v>0.16</v>
      </c>
      <c r="AB353" s="5" t="n"/>
      <c r="AC353" s="5" t="n"/>
      <c r="AD353" s="5" t="n"/>
      <c r="AE353" s="5" t="n">
        <v>5006.7</v>
      </c>
      <c r="AF353" s="5" t="n">
        <v>2998.2</v>
      </c>
      <c r="AG353" s="5" t="n">
        <v>5030.4</v>
      </c>
      <c r="AH353" s="5" t="n">
        <v>3090.7</v>
      </c>
      <c r="AI353" s="5" t="inlineStr">
        <is>
          <t>n/a</t>
        </is>
      </c>
      <c r="AJ353" s="5" t="inlineStr"/>
      <c r="AK353" s="5" t="inlineStr"/>
      <c r="AL353" s="5" t="inlineStr"/>
      <c r="AM353" s="5" t="inlineStr"/>
    </row>
    <row r="354">
      <c r="A354" s="5" t="n">
        <v>353</v>
      </c>
      <c r="B354" s="5" t="inlineStr">
        <is>
          <t>123</t>
        </is>
      </c>
      <c r="C354" s="5" t="inlineStr">
        <is>
          <t>nearest labels (100% agree)</t>
        </is>
      </c>
      <c r="D354" s="5" t="inlineStr">
        <is>
          <t>strip_footing</t>
        </is>
      </c>
      <c r="E354" s="5" t="inlineStr">
        <is>
          <t>strip_footing</t>
        </is>
      </c>
      <c r="F354" s="5" t="inlineStr">
        <is>
          <t>SF1</t>
        </is>
      </c>
      <c r="G354" s="5" t="inlineStr"/>
      <c r="H354" s="5" t="inlineStr">
        <is>
          <t>band width matches label</t>
        </is>
      </c>
      <c r="I354" s="5" t="n">
        <v>295</v>
      </c>
      <c r="J354" s="5" t="n">
        <v>80</v>
      </c>
      <c r="K354" s="9">
        <f>IF(AND(ISNUMBER(I354),ISNUMBER(J354),J354&gt;0),I354/J354,"")</f>
        <v/>
      </c>
      <c r="L354" s="5" t="n">
        <v>2.363</v>
      </c>
      <c r="M354" s="5" t="n">
        <v>2.95</v>
      </c>
      <c r="N354" s="5" t="n">
        <v>169.3</v>
      </c>
      <c r="O354" s="5" t="inlineStr">
        <is>
          <t>parallel line pair</t>
        </is>
      </c>
      <c r="P354" s="5" t="inlineStr">
        <is>
          <t>two parallel lines at the width written in the SF label, a wall inside</t>
        </is>
      </c>
      <c r="Q354" s="5">
        <f>IF(OR(D354="column",D354="wall"),IF(I354&lt;='P vs V'!$B$3*J354,"column","wall"),"")</f>
        <v/>
      </c>
      <c r="R354" s="5" t="inlineStr"/>
      <c r="S354" s="5" t="inlineStr"/>
      <c r="T354" s="5" t="n"/>
      <c r="U354" s="5" t="inlineStr">
        <is>
          <t>no</t>
        </is>
      </c>
      <c r="V354" s="5" t="inlineStr">
        <is>
          <t>no</t>
        </is>
      </c>
      <c r="W354" s="5" t="inlineStr">
        <is>
          <t>yes</t>
        </is>
      </c>
      <c r="X354" s="5" t="inlineStr">
        <is>
          <t>yes</t>
        </is>
      </c>
      <c r="Y354" s="5" t="inlineStr">
        <is>
          <t>yes</t>
        </is>
      </c>
      <c r="Z354" s="5" t="inlineStr">
        <is>
          <t>no</t>
        </is>
      </c>
      <c r="AA354" s="5" t="n">
        <v>3.14</v>
      </c>
      <c r="AB354" s="5" t="n"/>
      <c r="AC354" s="5" t="n"/>
      <c r="AD354" s="5" t="n"/>
      <c r="AE354" s="5" t="n">
        <v>4580.6</v>
      </c>
      <c r="AF354" s="5" t="n">
        <v>3506.8</v>
      </c>
      <c r="AG354" s="5" t="n">
        <v>4670.7</v>
      </c>
      <c r="AH354" s="5" t="n">
        <v>3546.2</v>
      </c>
      <c r="AI354" s="5" t="inlineStr">
        <is>
          <t>n/a</t>
        </is>
      </c>
      <c r="AJ354" s="5" t="inlineStr"/>
      <c r="AK354" s="5" t="inlineStr"/>
      <c r="AL354" s="5" t="inlineStr"/>
      <c r="AM354" s="5" t="inlineStr"/>
    </row>
    <row r="355">
      <c r="A355" s="5" t="n">
        <v>354</v>
      </c>
      <c r="B355" s="5" t="inlineStr">
        <is>
          <t>123</t>
        </is>
      </c>
      <c r="C355" s="5" t="inlineStr">
        <is>
          <t>nearest labels (100% agree)</t>
        </is>
      </c>
      <c r="D355" s="5" t="inlineStr">
        <is>
          <t>strip_footing</t>
        </is>
      </c>
      <c r="E355" s="5" t="inlineStr">
        <is>
          <t>strip_footing</t>
        </is>
      </c>
      <c r="F355" s="5" t="inlineStr">
        <is>
          <t>SF1</t>
        </is>
      </c>
      <c r="G355" s="5" t="inlineStr"/>
      <c r="H355" s="5" t="inlineStr">
        <is>
          <t>band width matches label</t>
        </is>
      </c>
      <c r="I355" s="5" t="n">
        <v>291</v>
      </c>
      <c r="J355" s="5" t="n">
        <v>80</v>
      </c>
      <c r="K355" s="9">
        <f>IF(AND(ISNUMBER(I355),ISNUMBER(J355),J355&gt;0),I355/J355,"")</f>
        <v/>
      </c>
      <c r="L355" s="5" t="n">
        <v>2.329</v>
      </c>
      <c r="M355" s="5" t="n">
        <v>2.91</v>
      </c>
      <c r="N355" s="5" t="n">
        <v>169.4</v>
      </c>
      <c r="O355" s="5" t="inlineStr">
        <is>
          <t>parallel line pair</t>
        </is>
      </c>
      <c r="P355" s="5" t="inlineStr">
        <is>
          <t>two parallel lines at the width written in the SF label, a wall inside</t>
        </is>
      </c>
      <c r="Q355" s="5">
        <f>IF(OR(D355="column",D355="wall"),IF(I355&lt;='P vs V'!$B$3*J355,"column","wall"),"")</f>
        <v/>
      </c>
      <c r="R355" s="5" t="inlineStr"/>
      <c r="S355" s="5" t="inlineStr"/>
      <c r="T355" s="5" t="n"/>
      <c r="U355" s="5" t="inlineStr">
        <is>
          <t>no</t>
        </is>
      </c>
      <c r="V355" s="5" t="inlineStr">
        <is>
          <t>no</t>
        </is>
      </c>
      <c r="W355" s="5" t="inlineStr">
        <is>
          <t>yes</t>
        </is>
      </c>
      <c r="X355" s="5" t="inlineStr">
        <is>
          <t>yes</t>
        </is>
      </c>
      <c r="Y355" s="5" t="inlineStr">
        <is>
          <t>no</t>
        </is>
      </c>
      <c r="Z355" s="5" t="inlineStr">
        <is>
          <t>no</t>
        </is>
      </c>
      <c r="AA355" s="5" t="n">
        <v>0.04</v>
      </c>
      <c r="AB355" s="5" t="n"/>
      <c r="AC355" s="5" t="n"/>
      <c r="AD355" s="5" t="n"/>
      <c r="AE355" s="5" t="n">
        <v>4768.7</v>
      </c>
      <c r="AF355" s="5" t="n">
        <v>3471.7</v>
      </c>
      <c r="AG355" s="5" t="n">
        <v>4857.5</v>
      </c>
      <c r="AH355" s="5" t="n">
        <v>3510.7</v>
      </c>
      <c r="AI355" s="5" t="inlineStr">
        <is>
          <t>n/a</t>
        </is>
      </c>
      <c r="AJ355" s="5" t="inlineStr"/>
      <c r="AK355" s="5" t="inlineStr"/>
      <c r="AL355" s="5" t="inlineStr"/>
      <c r="AM355" s="5" t="inlineStr"/>
    </row>
    <row r="356">
      <c r="A356" s="5" t="n">
        <v>355</v>
      </c>
      <c r="B356" s="5" t="inlineStr">
        <is>
          <t>123</t>
        </is>
      </c>
      <c r="C356" s="5" t="inlineStr">
        <is>
          <t>nearest labels (100% agree)</t>
        </is>
      </c>
      <c r="D356" s="5" t="inlineStr">
        <is>
          <t>strip_footing</t>
        </is>
      </c>
      <c r="E356" s="5" t="inlineStr">
        <is>
          <t>strip_footing</t>
        </is>
      </c>
      <c r="F356" s="5" t="inlineStr">
        <is>
          <t>SF1</t>
        </is>
      </c>
      <c r="G356" s="5" t="inlineStr"/>
      <c r="H356" s="5" t="inlineStr">
        <is>
          <t>band width matches label</t>
        </is>
      </c>
      <c r="I356" s="5" t="n">
        <v>224</v>
      </c>
      <c r="J356" s="5" t="n">
        <v>80</v>
      </c>
      <c r="K356" s="9">
        <f>IF(AND(ISNUMBER(I356),ISNUMBER(J356),J356&gt;0),I356/J356,"")</f>
        <v/>
      </c>
      <c r="L356" s="5" t="n">
        <v>1.792</v>
      </c>
      <c r="M356" s="5" t="n">
        <v>2.24</v>
      </c>
      <c r="N356" s="5" t="n">
        <v>90.09999999999999</v>
      </c>
      <c r="O356" s="5" t="inlineStr">
        <is>
          <t>parallel line pair</t>
        </is>
      </c>
      <c r="P356" s="5" t="inlineStr">
        <is>
          <t>two parallel lines at the width written in the SF label, a wall inside</t>
        </is>
      </c>
      <c r="Q356" s="5">
        <f>IF(OR(D356="column",D356="wall"),IF(I356&lt;='P vs V'!$B$3*J356,"column","wall"),"")</f>
        <v/>
      </c>
      <c r="R356" s="5" t="inlineStr"/>
      <c r="S356" s="5" t="inlineStr"/>
      <c r="T356" s="5" t="n"/>
      <c r="U356" s="5" t="inlineStr">
        <is>
          <t>no</t>
        </is>
      </c>
      <c r="V356" s="5" t="inlineStr">
        <is>
          <t>no</t>
        </is>
      </c>
      <c r="W356" s="5" t="inlineStr">
        <is>
          <t>yes</t>
        </is>
      </c>
      <c r="X356" s="5" t="inlineStr">
        <is>
          <t>yes</t>
        </is>
      </c>
      <c r="Y356" s="5" t="inlineStr">
        <is>
          <t>yes</t>
        </is>
      </c>
      <c r="Z356" s="5" t="inlineStr">
        <is>
          <t>no</t>
        </is>
      </c>
      <c r="AA356" s="5" t="n">
        <v>0.13</v>
      </c>
      <c r="AB356" s="5" t="n"/>
      <c r="AC356" s="5" t="n"/>
      <c r="AD356" s="5" t="n"/>
      <c r="AE356" s="5" t="n">
        <v>5006.4</v>
      </c>
      <c r="AF356" s="5" t="n">
        <v>3376.8</v>
      </c>
      <c r="AG356" s="5" t="n">
        <v>5030.1</v>
      </c>
      <c r="AH356" s="5" t="n">
        <v>3442.9</v>
      </c>
      <c r="AI356" s="5" t="inlineStr">
        <is>
          <t>n/a</t>
        </is>
      </c>
      <c r="AJ356" s="5" t="inlineStr"/>
      <c r="AK356" s="5" t="inlineStr"/>
      <c r="AL356" s="5" t="inlineStr"/>
      <c r="AM356" s="5" t="inlineStr"/>
    </row>
    <row r="357">
      <c r="A357" s="5" t="n">
        <v>356</v>
      </c>
      <c r="B357" s="5" t="inlineStr">
        <is>
          <t>123</t>
        </is>
      </c>
      <c r="C357" s="5" t="inlineStr">
        <is>
          <t>nearest labels (40% agree)</t>
        </is>
      </c>
      <c r="D357" s="5" t="inlineStr">
        <is>
          <t>strip_footing</t>
        </is>
      </c>
      <c r="E357" s="5" t="inlineStr">
        <is>
          <t>strip_footing</t>
        </is>
      </c>
      <c r="F357" s="5" t="inlineStr">
        <is>
          <t>SF1</t>
        </is>
      </c>
      <c r="G357" s="5" t="inlineStr"/>
      <c r="H357" s="5" t="inlineStr">
        <is>
          <t>band width matches label</t>
        </is>
      </c>
      <c r="I357" s="5" t="n">
        <v>153</v>
      </c>
      <c r="J357" s="5" t="n">
        <v>80</v>
      </c>
      <c r="K357" s="9">
        <f>IF(AND(ISNUMBER(I357),ISNUMBER(J357),J357&gt;0),I357/J357,"")</f>
        <v/>
      </c>
      <c r="L357" s="5" t="n">
        <v>1.224</v>
      </c>
      <c r="M357" s="5" t="n">
        <v>1.53</v>
      </c>
      <c r="N357" s="5" t="n">
        <v>79.40000000000001</v>
      </c>
      <c r="O357" s="5" t="inlineStr">
        <is>
          <t>parallel line pair</t>
        </is>
      </c>
      <c r="P357" s="5" t="inlineStr">
        <is>
          <t>two parallel lines at the width written in the SF label, a wall inside</t>
        </is>
      </c>
      <c r="Q357" s="5">
        <f>IF(OR(D357="column",D357="wall"),IF(I357&lt;='P vs V'!$B$3*J357,"column","wall"),"")</f>
        <v/>
      </c>
      <c r="R357" s="5" t="inlineStr">
        <is>
          <t>SC4</t>
        </is>
      </c>
      <c r="S357" s="5" t="inlineStr"/>
      <c r="T357" s="5" t="n"/>
      <c r="U357" s="5" t="inlineStr">
        <is>
          <t>no</t>
        </is>
      </c>
      <c r="V357" s="5" t="inlineStr">
        <is>
          <t>no</t>
        </is>
      </c>
      <c r="W357" s="5" t="inlineStr">
        <is>
          <t>yes</t>
        </is>
      </c>
      <c r="X357" s="5" t="inlineStr">
        <is>
          <t>yes</t>
        </is>
      </c>
      <c r="Y357" s="5" t="inlineStr">
        <is>
          <t>yes</t>
        </is>
      </c>
      <c r="Z357" s="5" t="inlineStr">
        <is>
          <t>yes</t>
        </is>
      </c>
      <c r="AA357" s="5" t="n">
        <v>0.19</v>
      </c>
      <c r="AB357" s="5" t="n"/>
      <c r="AC357" s="5" t="n"/>
      <c r="AD357" s="5" t="n"/>
      <c r="AE357" s="5" t="n">
        <v>4401</v>
      </c>
      <c r="AF357" s="5" t="n">
        <v>3070.4</v>
      </c>
      <c r="AG357" s="5" t="n">
        <v>4432.5</v>
      </c>
      <c r="AH357" s="5" t="n">
        <v>3119.1</v>
      </c>
      <c r="AI357" s="5" t="inlineStr">
        <is>
          <t>n/a</t>
        </is>
      </c>
      <c r="AJ357" s="5" t="inlineStr"/>
      <c r="AK357" s="5" t="inlineStr"/>
      <c r="AL357" s="5" t="inlineStr"/>
      <c r="AM357" s="5" t="inlineStr"/>
    </row>
    <row r="358">
      <c r="A358" s="5" t="n">
        <v>357</v>
      </c>
      <c r="B358" s="5" t="inlineStr">
        <is>
          <t>123</t>
        </is>
      </c>
      <c r="C358" s="5" t="inlineStr">
        <is>
          <t>nearest labels (60% agree)</t>
        </is>
      </c>
      <c r="D358" s="5" t="inlineStr">
        <is>
          <t>raft</t>
        </is>
      </c>
      <c r="E358" s="5" t="inlineStr">
        <is>
          <t>raft</t>
        </is>
      </c>
      <c r="F358" s="5" t="inlineStr">
        <is>
          <t>Radier 90</t>
        </is>
      </c>
      <c r="G358" s="5" t="inlineStr">
        <is>
          <t>Radier</t>
        </is>
      </c>
      <c r="H358" s="5" t="inlineStr">
        <is>
          <t>printed</t>
        </is>
      </c>
      <c r="I358" s="5" t="n">
        <v>1197</v>
      </c>
      <c r="J358" s="5" t="n">
        <v>1020</v>
      </c>
      <c r="K358" s="9">
        <f>IF(AND(ISNUMBER(I358),ISNUMBER(J358),J358&gt;0),I358/J358,"")</f>
        <v/>
      </c>
      <c r="L358" s="5" t="n">
        <v>117.104</v>
      </c>
      <c r="M358" s="5" t="n"/>
      <c r="N358" s="5" t="n">
        <v>79.40000000000001</v>
      </c>
      <c r="O358" s="5" t="inlineStr">
        <is>
          <t>stamp + corner diagonals</t>
        </is>
      </c>
      <c r="P358" s="5" t="inlineStr">
        <is>
          <t>'Radier' stamp; extent from the corner diagonals that stop at the stamp</t>
        </is>
      </c>
      <c r="Q358" s="5">
        <f>IF(OR(D358="column",D358="wall"),IF(I358&lt;='P vs V'!$B$3*J358,"column","wall"),"")</f>
        <v/>
      </c>
      <c r="R358" s="5" t="inlineStr"/>
      <c r="S358" s="5" t="inlineStr"/>
      <c r="T358" s="5" t="n"/>
      <c r="U358" s="5" t="inlineStr">
        <is>
          <t>no</t>
        </is>
      </c>
      <c r="V358" s="5" t="inlineStr">
        <is>
          <t>yes</t>
        </is>
      </c>
      <c r="W358" s="5" t="inlineStr">
        <is>
          <t>yes</t>
        </is>
      </c>
      <c r="X358" s="5" t="inlineStr">
        <is>
          <t>no</t>
        </is>
      </c>
      <c r="Y358" s="5" t="inlineStr">
        <is>
          <t>yes</t>
        </is>
      </c>
      <c r="Z358" s="5" t="inlineStr">
        <is>
          <t>no</t>
        </is>
      </c>
      <c r="AA358" s="5" t="n">
        <v>0.91</v>
      </c>
      <c r="AB358" s="5" t="n"/>
      <c r="AC358" s="5" t="n"/>
      <c r="AD358" s="5" t="n">
        <v>90</v>
      </c>
      <c r="AE358" s="5" t="n">
        <v>4541.4</v>
      </c>
      <c r="AF358" s="5" t="n">
        <v>2929.5</v>
      </c>
      <c r="AG358" s="5" t="n">
        <v>4902.4</v>
      </c>
      <c r="AH358" s="5" t="n">
        <v>3327.7</v>
      </c>
      <c r="AI358" s="5" t="inlineStr">
        <is>
          <t>n/a</t>
        </is>
      </c>
      <c r="AJ358" s="5" t="inlineStr"/>
      <c r="AK358" s="5" t="inlineStr"/>
      <c r="AL358" s="5" t="inlineStr"/>
      <c r="AM358" s="5" t="inlineStr"/>
    </row>
    <row r="359">
      <c r="A359" s="5" t="n">
        <v>358</v>
      </c>
      <c r="B359" s="5" t="inlineStr">
        <is>
          <t>123</t>
        </is>
      </c>
      <c r="C359" s="5" t="inlineStr">
        <is>
          <t>nearest labels (100% agree)</t>
        </is>
      </c>
      <c r="D359" s="5" t="inlineStr">
        <is>
          <t>sump_pit</t>
        </is>
      </c>
      <c r="E359" s="5" t="inlineStr">
        <is>
          <t>sump_pit</t>
        </is>
      </c>
      <c r="F359" s="5" t="inlineStr">
        <is>
          <t>Fosse 2.00x1.50x1.50</t>
        </is>
      </c>
      <c r="G359" s="5" t="inlineStr">
        <is>
          <t>FOSSE DE RELEVAGE2.00x1.50x1.50</t>
        </is>
      </c>
      <c r="H359" s="5" t="inlineStr">
        <is>
          <t>printed</t>
        </is>
      </c>
      <c r="I359" s="5" t="n">
        <v>200</v>
      </c>
      <c r="J359" s="5" t="n">
        <v>150</v>
      </c>
      <c r="K359" s="9">
        <f>IF(AND(ISNUMBER(I359),ISNUMBER(J359),J359&gt;0),I359/J359,"")</f>
        <v/>
      </c>
      <c r="L359" s="5" t="n">
        <v>3</v>
      </c>
      <c r="M359" s="5" t="n"/>
      <c r="N359" s="5" t="n">
        <v>30.9</v>
      </c>
      <c r="O359" s="5" t="inlineStr">
        <is>
          <t>text</t>
        </is>
      </c>
      <c r="P359" s="5" t="inlineStr">
        <is>
          <t>'FOSSE DE RELEVAGE LxWxH' text (size read from the text)</t>
        </is>
      </c>
      <c r="Q359" s="5">
        <f>IF(OR(D359="column",D359="wall"),IF(I359&lt;='P vs V'!$B$3*J359,"column","wall"),"")</f>
        <v/>
      </c>
      <c r="R359" s="5" t="inlineStr"/>
      <c r="S359" s="5" t="inlineStr"/>
      <c r="T359" s="5" t="n"/>
      <c r="U359" s="5" t="inlineStr">
        <is>
          <t>no</t>
        </is>
      </c>
      <c r="V359" s="5" t="inlineStr">
        <is>
          <t>no</t>
        </is>
      </c>
      <c r="W359" s="5" t="inlineStr">
        <is>
          <t>no</t>
        </is>
      </c>
      <c r="X359" s="5" t="inlineStr">
        <is>
          <t>no</t>
        </is>
      </c>
      <c r="Y359" s="5" t="inlineStr">
        <is>
          <t>no</t>
        </is>
      </c>
      <c r="Z359" s="5" t="inlineStr">
        <is>
          <t>no</t>
        </is>
      </c>
      <c r="AA359" s="5" t="n">
        <v>2.24</v>
      </c>
      <c r="AB359" s="5" t="n"/>
      <c r="AC359" s="5" t="n"/>
      <c r="AD359" s="5" t="n"/>
      <c r="AE359" s="5" t="n">
        <v>4902.9</v>
      </c>
      <c r="AF359" s="5" t="n">
        <v>3239.4</v>
      </c>
      <c r="AG359" s="5" t="n">
        <v>4932.5</v>
      </c>
      <c r="AH359" s="5" t="n">
        <v>3268.9</v>
      </c>
      <c r="AI359" s="5" t="inlineStr">
        <is>
          <t>n/a</t>
        </is>
      </c>
      <c r="AJ359" s="5" t="inlineStr"/>
      <c r="AK359" s="5" t="inlineStr"/>
      <c r="AL359" s="5" t="inlineStr"/>
      <c r="AM359" s="5" t="inlineStr"/>
    </row>
    <row r="360">
      <c r="A360" s="5" t="n">
        <v>359</v>
      </c>
      <c r="B360" s="5" t="inlineStr">
        <is>
          <t>124</t>
        </is>
      </c>
      <c r="C360" s="5" t="inlineStr">
        <is>
          <t>own label</t>
        </is>
      </c>
      <c r="D360" s="5" t="inlineStr">
        <is>
          <t>column</t>
        </is>
      </c>
      <c r="E360" s="5" t="inlineStr">
        <is>
          <t>column</t>
        </is>
      </c>
      <c r="F360" s="5" t="inlineStr">
        <is>
          <t>P1/124</t>
        </is>
      </c>
      <c r="G360" s="5" t="inlineStr">
        <is>
          <t>P1/124/124</t>
        </is>
      </c>
      <c r="H360" s="5" t="inlineStr">
        <is>
          <t>printed</t>
        </is>
      </c>
      <c r="I360" s="5" t="n">
        <v>100</v>
      </c>
      <c r="J360" s="5" t="n">
        <v>30</v>
      </c>
      <c r="K360" s="9">
        <f>IF(AND(ISNUMBER(I360),ISNUMBER(J360),J360&gt;0),I360/J360,"")</f>
        <v/>
      </c>
      <c r="L360" s="5" t="n">
        <v>0.301</v>
      </c>
      <c r="M360" s="5" t="n"/>
      <c r="N360" s="5" t="n">
        <v>79.3</v>
      </c>
      <c r="O360" s="5" t="inlineStr">
        <is>
          <t>solid fill</t>
        </is>
      </c>
      <c r="P360" s="5" t="inlineStr">
        <is>
          <t>solid fill, rectangle, L &lt;= 4 W (EN 1992-1-1 5.3.1(7))</t>
        </is>
      </c>
      <c r="Q360" s="5">
        <f>IF(OR(D360="column",D360="wall"),IF(I360&lt;='P vs V'!$B$3*J360,"column","wall"),"")</f>
        <v/>
      </c>
      <c r="R360" s="5" t="inlineStr">
        <is>
          <t>S3</t>
        </is>
      </c>
      <c r="S360" s="5" t="inlineStr"/>
      <c r="T360" s="5" t="n"/>
      <c r="U360" s="5" t="inlineStr">
        <is>
          <t>no</t>
        </is>
      </c>
      <c r="V360" s="5" t="inlineStr">
        <is>
          <t>no</t>
        </is>
      </c>
      <c r="W360" s="5" t="inlineStr">
        <is>
          <t>no</t>
        </is>
      </c>
      <c r="X360" s="5" t="inlineStr">
        <is>
          <t>no</t>
        </is>
      </c>
      <c r="Y360" s="5" t="inlineStr">
        <is>
          <t>yes</t>
        </is>
      </c>
      <c r="Z360" s="5" t="inlineStr">
        <is>
          <t>yes</t>
        </is>
      </c>
      <c r="AA360" s="5" t="n">
        <v>0.02</v>
      </c>
      <c r="AB360" s="5" t="n"/>
      <c r="AC360" s="5" t="n"/>
      <c r="AD360" s="5" t="n"/>
      <c r="AE360" s="5" t="n">
        <v>4070.1</v>
      </c>
      <c r="AF360" s="5" t="n">
        <v>3198.9</v>
      </c>
      <c r="AG360" s="5" t="n">
        <v>4084.3</v>
      </c>
      <c r="AH360" s="5" t="n">
        <v>3229.6</v>
      </c>
      <c r="AI360" s="5" t="inlineStr">
        <is>
          <t>yes</t>
        </is>
      </c>
      <c r="AJ360" s="5" t="inlineStr">
        <is>
          <t>column</t>
        </is>
      </c>
      <c r="AK360" s="5" t="inlineStr"/>
      <c r="AL360" s="5" t="inlineStr">
        <is>
          <t>(0.0, 0.0, 1.0)</t>
        </is>
      </c>
      <c r="AM360" s="5" t="inlineStr">
        <is>
          <t>DM-Poteaux</t>
        </is>
      </c>
    </row>
    <row r="361">
      <c r="A361" s="5" t="n">
        <v>360</v>
      </c>
      <c r="B361" s="5" t="inlineStr">
        <is>
          <t>124</t>
        </is>
      </c>
      <c r="C361" s="5" t="inlineStr">
        <is>
          <t>own label</t>
        </is>
      </c>
      <c r="D361" s="5" t="inlineStr">
        <is>
          <t>column</t>
        </is>
      </c>
      <c r="E361" s="5" t="inlineStr">
        <is>
          <t>column</t>
        </is>
      </c>
      <c r="F361" s="5" t="inlineStr">
        <is>
          <t>P1/124</t>
        </is>
      </c>
      <c r="G361" s="5" t="inlineStr">
        <is>
          <t>P1/124/124</t>
        </is>
      </c>
      <c r="H361" s="5" t="inlineStr">
        <is>
          <t>printed</t>
        </is>
      </c>
      <c r="I361" s="5" t="n">
        <v>100</v>
      </c>
      <c r="J361" s="5" t="n">
        <v>30</v>
      </c>
      <c r="K361" s="9">
        <f>IF(AND(ISNUMBER(I361),ISNUMBER(J361),J361&gt;0),I361/J361,"")</f>
        <v/>
      </c>
      <c r="L361" s="5" t="n">
        <v>0.3</v>
      </c>
      <c r="M361" s="5" t="n"/>
      <c r="N361" s="5" t="n">
        <v>79.40000000000001</v>
      </c>
      <c r="O361" s="5" t="inlineStr">
        <is>
          <t>solid fill</t>
        </is>
      </c>
      <c r="P361" s="5" t="inlineStr">
        <is>
          <t>solid fill, rectangle, L &lt;= 4 W (EN 1992-1-1 5.3.1(7))</t>
        </is>
      </c>
      <c r="Q361" s="5">
        <f>IF(OR(D361="column",D361="wall"),IF(I361&lt;='P vs V'!$B$3*J361,"column","wall"),"")</f>
        <v/>
      </c>
      <c r="R361" s="5" t="inlineStr"/>
      <c r="S361" s="5" t="inlineStr"/>
      <c r="T361" s="5" t="n"/>
      <c r="U361" s="5" t="inlineStr">
        <is>
          <t>yes</t>
        </is>
      </c>
      <c r="V361" s="5" t="inlineStr">
        <is>
          <t>no</t>
        </is>
      </c>
      <c r="W361" s="5" t="inlineStr">
        <is>
          <t>no</t>
        </is>
      </c>
      <c r="X361" s="5" t="inlineStr">
        <is>
          <t>no</t>
        </is>
      </c>
      <c r="Y361" s="5" t="inlineStr">
        <is>
          <t>yes</t>
        </is>
      </c>
      <c r="Z361" s="5" t="inlineStr">
        <is>
          <t>yes</t>
        </is>
      </c>
      <c r="AA361" s="5" t="n">
        <v>0.03</v>
      </c>
      <c r="AB361" s="5" t="n"/>
      <c r="AC361" s="5" t="n"/>
      <c r="AD361" s="5" t="n"/>
      <c r="AE361" s="5" t="n">
        <v>4003</v>
      </c>
      <c r="AF361" s="5" t="n">
        <v>3320.2</v>
      </c>
      <c r="AG361" s="5" t="n">
        <v>4017.1</v>
      </c>
      <c r="AH361" s="5" t="n">
        <v>3350.9</v>
      </c>
      <c r="AI361" s="5" t="inlineStr">
        <is>
          <t>yes</t>
        </is>
      </c>
      <c r="AJ361" s="5" t="inlineStr">
        <is>
          <t>column</t>
        </is>
      </c>
      <c r="AK361" s="5" t="inlineStr"/>
      <c r="AL361" s="5" t="inlineStr">
        <is>
          <t>(0.0, 0.0, 1.0)</t>
        </is>
      </c>
      <c r="AM361" s="5" t="inlineStr">
        <is>
          <t>DM-Poteaux</t>
        </is>
      </c>
    </row>
    <row r="362">
      <c r="A362" s="5" t="n">
        <v>361</v>
      </c>
      <c r="B362" s="5" t="inlineStr">
        <is>
          <t>124</t>
        </is>
      </c>
      <c r="C362" s="5" t="inlineStr">
        <is>
          <t>own label</t>
        </is>
      </c>
      <c r="D362" s="5" t="inlineStr">
        <is>
          <t>column</t>
        </is>
      </c>
      <c r="E362" s="5" t="inlineStr">
        <is>
          <t>column</t>
        </is>
      </c>
      <c r="F362" s="5" t="inlineStr">
        <is>
          <t>P1/124</t>
        </is>
      </c>
      <c r="G362" s="5" t="inlineStr">
        <is>
          <t>P1/124/124</t>
        </is>
      </c>
      <c r="H362" s="5" t="inlineStr">
        <is>
          <t>printed</t>
        </is>
      </c>
      <c r="I362" s="5" t="n">
        <v>100</v>
      </c>
      <c r="J362" s="5" t="n">
        <v>30</v>
      </c>
      <c r="K362" s="9">
        <f>IF(AND(ISNUMBER(I362),ISNUMBER(J362),J362&gt;0),I362/J362,"")</f>
        <v/>
      </c>
      <c r="L362" s="5" t="n">
        <v>0.3</v>
      </c>
      <c r="M362" s="5" t="n"/>
      <c r="N362" s="5" t="n">
        <v>79.40000000000001</v>
      </c>
      <c r="O362" s="5" t="inlineStr">
        <is>
          <t>solid fill</t>
        </is>
      </c>
      <c r="P362" s="5" t="inlineStr">
        <is>
          <t>solid fill, rectangle, L &lt;= 4 W (EN 1992-1-1 5.3.1(7))</t>
        </is>
      </c>
      <c r="Q362" s="5">
        <f>IF(OR(D362="column",D362="wall"),IF(I362&lt;='P vs V'!$B$3*J362,"column","wall"),"")</f>
        <v/>
      </c>
      <c r="R362" s="5" t="inlineStr"/>
      <c r="S362" s="5" t="inlineStr"/>
      <c r="T362" s="5" t="n"/>
      <c r="U362" s="5" t="inlineStr">
        <is>
          <t>yes</t>
        </is>
      </c>
      <c r="V362" s="5" t="inlineStr">
        <is>
          <t>no</t>
        </is>
      </c>
      <c r="W362" s="5" t="inlineStr">
        <is>
          <t>no</t>
        </is>
      </c>
      <c r="X362" s="5" t="inlineStr">
        <is>
          <t>no</t>
        </is>
      </c>
      <c r="Y362" s="5" t="inlineStr">
        <is>
          <t>yes</t>
        </is>
      </c>
      <c r="Z362" s="5" t="inlineStr">
        <is>
          <t>no</t>
        </is>
      </c>
      <c r="AA362" s="5" t="n">
        <v>0.02</v>
      </c>
      <c r="AB362" s="5" t="n"/>
      <c r="AC362" s="5" t="n"/>
      <c r="AD362" s="5" t="n"/>
      <c r="AE362" s="5" t="n">
        <v>4089.9</v>
      </c>
      <c r="AF362" s="5" t="n">
        <v>3303.8</v>
      </c>
      <c r="AG362" s="5" t="n">
        <v>4104.1</v>
      </c>
      <c r="AH362" s="5" t="n">
        <v>3334.4</v>
      </c>
      <c r="AI362" s="5" t="inlineStr">
        <is>
          <t>yes</t>
        </is>
      </c>
      <c r="AJ362" s="5" t="inlineStr">
        <is>
          <t>column</t>
        </is>
      </c>
      <c r="AK362" s="5" t="inlineStr"/>
      <c r="AL362" s="5" t="inlineStr">
        <is>
          <t>(0.0, 0.0, 1.0)</t>
        </is>
      </c>
      <c r="AM362" s="5" t="inlineStr">
        <is>
          <t>DM-Poteaux</t>
        </is>
      </c>
    </row>
    <row r="363">
      <c r="A363" s="5" t="n">
        <v>362</v>
      </c>
      <c r="B363" s="5" t="inlineStr">
        <is>
          <t>124</t>
        </is>
      </c>
      <c r="C363" s="5" t="inlineStr">
        <is>
          <t>own label</t>
        </is>
      </c>
      <c r="D363" s="5" t="inlineStr">
        <is>
          <t>column</t>
        </is>
      </c>
      <c r="E363" s="5" t="inlineStr">
        <is>
          <t>column</t>
        </is>
      </c>
      <c r="F363" s="5" t="inlineStr">
        <is>
          <t>P1/124</t>
        </is>
      </c>
      <c r="G363" s="5" t="inlineStr"/>
      <c r="H363" s="5" t="inlineStr">
        <is>
          <t>inferred from building + size</t>
        </is>
      </c>
      <c r="I363" s="5" t="n">
        <v>100</v>
      </c>
      <c r="J363" s="5" t="n">
        <v>30</v>
      </c>
      <c r="K363" s="9">
        <f>IF(AND(ISNUMBER(I363),ISNUMBER(J363),J363&gt;0),I363/J363,"")</f>
        <v/>
      </c>
      <c r="L363" s="5" t="n">
        <v>0.299</v>
      </c>
      <c r="M363" s="5" t="n"/>
      <c r="N363" s="5" t="n">
        <v>79.40000000000001</v>
      </c>
      <c r="O363" s="5" t="inlineStr">
        <is>
          <t>solid fill</t>
        </is>
      </c>
      <c r="P363" s="5" t="inlineStr">
        <is>
          <t>solid fill, rectangle, L &lt;= 4 W (EN 1992-1-1 5.3.1(7))</t>
        </is>
      </c>
      <c r="Q363" s="5">
        <f>IF(OR(D363="column",D363="wall"),IF(I363&lt;='P vs V'!$B$3*J363,"column","wall"),"")</f>
        <v/>
      </c>
      <c r="R363" s="5" t="inlineStr">
        <is>
          <t>SC6</t>
        </is>
      </c>
      <c r="S363" s="5" t="inlineStr"/>
      <c r="T363" s="5" t="n"/>
      <c r="U363" s="5" t="inlineStr">
        <is>
          <t>no</t>
        </is>
      </c>
      <c r="V363" s="5" t="inlineStr">
        <is>
          <t>no</t>
        </is>
      </c>
      <c r="W363" s="5" t="inlineStr">
        <is>
          <t>no</t>
        </is>
      </c>
      <c r="X363" s="5" t="inlineStr">
        <is>
          <t>no</t>
        </is>
      </c>
      <c r="Y363" s="5" t="inlineStr">
        <is>
          <t>yes</t>
        </is>
      </c>
      <c r="Z363" s="5" t="inlineStr">
        <is>
          <t>yes</t>
        </is>
      </c>
      <c r="AA363" s="5" t="n">
        <v>0.03</v>
      </c>
      <c r="AB363" s="5" t="n"/>
      <c r="AC363" s="5" t="n"/>
      <c r="AD363" s="5" t="n"/>
      <c r="AE363" s="5" t="n">
        <v>3983.3</v>
      </c>
      <c r="AF363" s="5" t="n">
        <v>3215.8</v>
      </c>
      <c r="AG363" s="5" t="n">
        <v>3997.4</v>
      </c>
      <c r="AH363" s="5" t="n">
        <v>3246.4</v>
      </c>
      <c r="AI363" s="5" t="inlineStr">
        <is>
          <t>yes</t>
        </is>
      </c>
      <c r="AJ363" s="5" t="inlineStr">
        <is>
          <t>column</t>
        </is>
      </c>
      <c r="AK363" s="5" t="inlineStr"/>
      <c r="AL363" s="5" t="inlineStr">
        <is>
          <t>(0.0, 0.0, 1.0)</t>
        </is>
      </c>
      <c r="AM363" s="5" t="inlineStr">
        <is>
          <t>DM-Poteaux</t>
        </is>
      </c>
    </row>
    <row r="364">
      <c r="A364" s="5" t="n">
        <v>363</v>
      </c>
      <c r="B364" s="5" t="inlineStr">
        <is>
          <t>124</t>
        </is>
      </c>
      <c r="C364" s="5" t="inlineStr">
        <is>
          <t>nearest labels (100% agree)</t>
        </is>
      </c>
      <c r="D364" s="5" t="inlineStr">
        <is>
          <t>wall</t>
        </is>
      </c>
      <c r="E364" s="5" t="inlineStr">
        <is>
          <t>core_wall_solid</t>
        </is>
      </c>
      <c r="F364" s="5" t="inlineStr">
        <is>
          <t>(none)</t>
        </is>
      </c>
      <c r="G364" s="5" t="inlineStr"/>
      <c r="H364" s="5" t="inlineStr">
        <is>
          <t>none</t>
        </is>
      </c>
      <c r="I364" s="5" t="n">
        <v>342</v>
      </c>
      <c r="J364" s="5" t="n">
        <v>25</v>
      </c>
      <c r="K364" s="9">
        <f>IF(AND(ISNUMBER(I364),ISNUMBER(J364),J364&gt;0),I364/J364,"")</f>
        <v/>
      </c>
      <c r="L364" s="5" t="n">
        <v>0.856</v>
      </c>
      <c r="M364" s="5" t="n"/>
      <c r="N364" s="5" t="n">
        <v>79.40000000000001</v>
      </c>
      <c r="O364" s="5" t="inlineStr">
        <is>
          <t>solid fill</t>
        </is>
      </c>
      <c r="P364" s="5" t="inlineStr">
        <is>
          <t>solid fill, rectangle, L &gt; 4 W (EN 1992-1-1 5.3.1(7))</t>
        </is>
      </c>
      <c r="Q364" s="5">
        <f>IF(OR(D364="column",D364="wall"),IF(I364&lt;='P vs V'!$B$3*J364,"column","wall"),"")</f>
        <v/>
      </c>
      <c r="R364" s="5" t="inlineStr"/>
      <c r="S364" s="5" t="inlineStr"/>
      <c r="T364" s="5" t="n"/>
      <c r="U364" s="5" t="inlineStr">
        <is>
          <t>yes</t>
        </is>
      </c>
      <c r="V364" s="5" t="inlineStr">
        <is>
          <t>no</t>
        </is>
      </c>
      <c r="W364" s="5" t="inlineStr">
        <is>
          <t>yes</t>
        </is>
      </c>
      <c r="X364" s="5" t="inlineStr">
        <is>
          <t>no</t>
        </is>
      </c>
      <c r="Y364" s="5" t="inlineStr">
        <is>
          <t>yes</t>
        </is>
      </c>
      <c r="Z364" s="5" t="inlineStr">
        <is>
          <t>no</t>
        </is>
      </c>
      <c r="AA364" s="5" t="n">
        <v>0</v>
      </c>
      <c r="AB364" s="5" t="n"/>
      <c r="AC364" s="5" t="n"/>
      <c r="AD364" s="5" t="n"/>
      <c r="AE364" s="5" t="n">
        <v>4043.6</v>
      </c>
      <c r="AF364" s="5" t="n">
        <v>3528</v>
      </c>
      <c r="AG364" s="5" t="n">
        <v>4069.4</v>
      </c>
      <c r="AH364" s="5" t="n">
        <v>3628.4</v>
      </c>
      <c r="AI364" s="5" t="inlineStr">
        <is>
          <t>new</t>
        </is>
      </c>
      <c r="AJ364" s="5" t="inlineStr"/>
      <c r="AK364" s="5" t="inlineStr">
        <is>
          <t>piece of a wall network the colour pipeline left unsplit</t>
        </is>
      </c>
      <c r="AL364" s="5" t="inlineStr">
        <is>
          <t>(0.87, 0.0, 0.87)</t>
        </is>
      </c>
      <c r="AM364" s="5" t="inlineStr">
        <is>
          <t>DM-VOILE</t>
        </is>
      </c>
    </row>
    <row r="365">
      <c r="A365" s="5" t="n">
        <v>364</v>
      </c>
      <c r="B365" s="5" t="inlineStr">
        <is>
          <t>124</t>
        </is>
      </c>
      <c r="C365" s="5" t="inlineStr">
        <is>
          <t>nearest labels (80% agree)</t>
        </is>
      </c>
      <c r="D365" s="5" t="inlineStr">
        <is>
          <t>wall</t>
        </is>
      </c>
      <c r="E365" s="5" t="inlineStr">
        <is>
          <t>core_wall_solid</t>
        </is>
      </c>
      <c r="F365" s="5" t="inlineStr">
        <is>
          <t>(none)</t>
        </is>
      </c>
      <c r="G365" s="5" t="inlineStr"/>
      <c r="H365" s="5" t="inlineStr">
        <is>
          <t>none</t>
        </is>
      </c>
      <c r="I365" s="5" t="n">
        <v>317</v>
      </c>
      <c r="J365" s="5" t="n">
        <v>25</v>
      </c>
      <c r="K365" s="9">
        <f>IF(AND(ISNUMBER(I365),ISNUMBER(J365),J365&gt;0),I365/J365,"")</f>
        <v/>
      </c>
      <c r="L365" s="5" t="n">
        <v>0.793</v>
      </c>
      <c r="M365" s="5" t="n"/>
      <c r="N365" s="5" t="n">
        <v>79.3</v>
      </c>
      <c r="O365" s="5" t="inlineStr">
        <is>
          <t>solid fill</t>
        </is>
      </c>
      <c r="P365" s="5" t="inlineStr">
        <is>
          <t>straight stretch of a thin filled outline with bends (pair of parallel faces)</t>
        </is>
      </c>
      <c r="Q365" s="5">
        <f>IF(OR(D365="column",D365="wall"),IF(I365&lt;='P vs V'!$B$3*J365,"column","wall"),"")</f>
        <v/>
      </c>
      <c r="R365" s="5" t="inlineStr"/>
      <c r="S365" s="5" t="inlineStr"/>
      <c r="T365" s="5" t="n"/>
      <c r="U365" s="5" t="inlineStr">
        <is>
          <t>yes</t>
        </is>
      </c>
      <c r="V365" s="5" t="inlineStr">
        <is>
          <t>no</t>
        </is>
      </c>
      <c r="W365" s="5" t="inlineStr">
        <is>
          <t>yes</t>
        </is>
      </c>
      <c r="X365" s="5" t="inlineStr">
        <is>
          <t>no</t>
        </is>
      </c>
      <c r="Y365" s="5" t="inlineStr">
        <is>
          <t>no</t>
        </is>
      </c>
      <c r="Z365" s="5" t="inlineStr">
        <is>
          <t>no</t>
        </is>
      </c>
      <c r="AA365" s="5" t="n">
        <v>0</v>
      </c>
      <c r="AB365" s="5" t="n"/>
      <c r="AC365" s="5" t="n"/>
      <c r="AD365" s="5" t="n"/>
      <c r="AE365" s="5" t="n">
        <v>4104.3</v>
      </c>
      <c r="AF365" s="5" t="n">
        <v>3380.7</v>
      </c>
      <c r="AG365" s="5" t="n">
        <v>4128.9</v>
      </c>
      <c r="AH365" s="5" t="n">
        <v>3474.2</v>
      </c>
      <c r="AI365" s="5" t="inlineStr">
        <is>
          <t>new</t>
        </is>
      </c>
      <c r="AJ365" s="5" t="inlineStr"/>
      <c r="AK365" s="5" t="inlineStr">
        <is>
          <t>piece of a wall network the colour pipeline left unsplit</t>
        </is>
      </c>
      <c r="AL365" s="5" t="inlineStr"/>
      <c r="AM365" s="5" t="inlineStr"/>
    </row>
    <row r="366">
      <c r="A366" s="5" t="n">
        <v>365</v>
      </c>
      <c r="B366" s="5" t="inlineStr">
        <is>
          <t>124</t>
        </is>
      </c>
      <c r="C366" s="5" t="inlineStr">
        <is>
          <t>nearest labels (100% agree)</t>
        </is>
      </c>
      <c r="D366" s="5" t="inlineStr">
        <is>
          <t>wall</t>
        </is>
      </c>
      <c r="E366" s="5" t="inlineStr">
        <is>
          <t>core_wall_solid</t>
        </is>
      </c>
      <c r="F366" s="5" t="inlineStr">
        <is>
          <t>(none)</t>
        </is>
      </c>
      <c r="G366" s="5" t="inlineStr"/>
      <c r="H366" s="5" t="inlineStr">
        <is>
          <t>none</t>
        </is>
      </c>
      <c r="I366" s="5" t="n">
        <v>109</v>
      </c>
      <c r="J366" s="5" t="n">
        <v>25</v>
      </c>
      <c r="K366" s="9">
        <f>IF(AND(ISNUMBER(I366),ISNUMBER(J366),J366&gt;0),I366/J366,"")</f>
        <v/>
      </c>
      <c r="L366" s="5" t="n">
        <v>0.274</v>
      </c>
      <c r="M366" s="5" t="n"/>
      <c r="N366" s="5" t="n">
        <v>169.6</v>
      </c>
      <c r="O366" s="5" t="inlineStr">
        <is>
          <t>solid fill</t>
        </is>
      </c>
      <c r="P366" s="5" t="inlineStr">
        <is>
          <t>straight stretch of a thin filled outline with bends (pair of parallel faces)</t>
        </is>
      </c>
      <c r="Q366" s="5">
        <f>IF(OR(D366="column",D366="wall"),IF(I366&lt;='P vs V'!$B$3*J366,"column","wall"),"")</f>
        <v/>
      </c>
      <c r="R366" s="5" t="inlineStr"/>
      <c r="S366" s="5" t="inlineStr"/>
      <c r="T366" s="5" t="n"/>
      <c r="U366" s="5" t="inlineStr">
        <is>
          <t>yes</t>
        </is>
      </c>
      <c r="V366" s="5" t="inlineStr">
        <is>
          <t>no</t>
        </is>
      </c>
      <c r="W366" s="5" t="inlineStr">
        <is>
          <t>no</t>
        </is>
      </c>
      <c r="X366" s="5" t="inlineStr">
        <is>
          <t>no</t>
        </is>
      </c>
      <c r="Y366" s="5" t="inlineStr">
        <is>
          <t>no</t>
        </is>
      </c>
      <c r="Z366" s="5" t="inlineStr">
        <is>
          <t>no</t>
        </is>
      </c>
      <c r="AA366" s="5" t="n">
        <v>0.19</v>
      </c>
      <c r="AB366" s="5" t="n"/>
      <c r="AC366" s="5" t="n"/>
      <c r="AD366" s="5" t="n"/>
      <c r="AE366" s="5" t="n">
        <v>4060.7</v>
      </c>
      <c r="AF366" s="5" t="n">
        <v>3371.2</v>
      </c>
      <c r="AG366" s="5" t="n">
        <v>4093.7</v>
      </c>
      <c r="AH366" s="5" t="n">
        <v>3384.3</v>
      </c>
      <c r="AI366" s="5" t="inlineStr">
        <is>
          <t>new</t>
        </is>
      </c>
      <c r="AJ366" s="5" t="inlineStr"/>
      <c r="AK366" s="5" t="inlineStr">
        <is>
          <t>piece of a wall network the colour pipeline left unsplit</t>
        </is>
      </c>
      <c r="AL366" s="5" t="inlineStr"/>
      <c r="AM366" s="5" t="inlineStr"/>
    </row>
    <row r="367">
      <c r="A367" s="5" t="n">
        <v>366</v>
      </c>
      <c r="B367" s="5" t="inlineStr">
        <is>
          <t>124</t>
        </is>
      </c>
      <c r="C367" s="5" t="inlineStr">
        <is>
          <t>nearest labels (80% agree)</t>
        </is>
      </c>
      <c r="D367" s="5" t="inlineStr">
        <is>
          <t>wall</t>
        </is>
      </c>
      <c r="E367" s="5" t="inlineStr">
        <is>
          <t>core_wall_solid</t>
        </is>
      </c>
      <c r="F367" s="5" t="inlineStr">
        <is>
          <t>(none)</t>
        </is>
      </c>
      <c r="G367" s="5" t="inlineStr"/>
      <c r="H367" s="5" t="inlineStr">
        <is>
          <t>none</t>
        </is>
      </c>
      <c r="I367" s="5" t="n">
        <v>430</v>
      </c>
      <c r="J367" s="5" t="n">
        <v>25</v>
      </c>
      <c r="K367" s="9">
        <f>IF(AND(ISNUMBER(I367),ISNUMBER(J367),J367&gt;0),I367/J367,"")</f>
        <v/>
      </c>
      <c r="L367" s="5" t="n">
        <v>1.079</v>
      </c>
      <c r="M367" s="5" t="n"/>
      <c r="N367" s="5" t="n">
        <v>79.3</v>
      </c>
      <c r="O367" s="5" t="inlineStr">
        <is>
          <t>solid fill</t>
        </is>
      </c>
      <c r="P367" s="5" t="inlineStr">
        <is>
          <t>straight stretch of a thin filled outline with bends (pair of parallel faces)</t>
        </is>
      </c>
      <c r="Q367" s="5">
        <f>IF(OR(D367="column",D367="wall"),IF(I367&lt;='P vs V'!$B$3*J367,"column","wall"),"")</f>
        <v/>
      </c>
      <c r="R367" s="5" t="inlineStr"/>
      <c r="S367" s="5" t="inlineStr"/>
      <c r="T367" s="5" t="n"/>
      <c r="U367" s="5" t="inlineStr">
        <is>
          <t>yes</t>
        </is>
      </c>
      <c r="V367" s="5" t="inlineStr">
        <is>
          <t>no</t>
        </is>
      </c>
      <c r="W367" s="5" t="inlineStr">
        <is>
          <t>yes</t>
        </is>
      </c>
      <c r="X367" s="5" t="inlineStr">
        <is>
          <t>no</t>
        </is>
      </c>
      <c r="Y367" s="5" t="inlineStr">
        <is>
          <t>no</t>
        </is>
      </c>
      <c r="Z367" s="5" t="inlineStr">
        <is>
          <t>no</t>
        </is>
      </c>
      <c r="AA367" s="5" t="n">
        <v>0</v>
      </c>
      <c r="AB367" s="5" t="n"/>
      <c r="AC367" s="5" t="n"/>
      <c r="AD367" s="5" t="n"/>
      <c r="AE367" s="5" t="n">
        <v>4124.1</v>
      </c>
      <c r="AF367" s="5" t="n">
        <v>3485.9</v>
      </c>
      <c r="AG367" s="5" t="n">
        <v>4154.9</v>
      </c>
      <c r="AH367" s="5" t="n">
        <v>3612</v>
      </c>
      <c r="AI367" s="5" t="inlineStr">
        <is>
          <t>new</t>
        </is>
      </c>
      <c r="AJ367" s="5" t="inlineStr"/>
      <c r="AK367" s="5" t="inlineStr">
        <is>
          <t>piece of a wall network the colour pipeline left unsplit</t>
        </is>
      </c>
      <c r="AL367" s="5" t="inlineStr"/>
      <c r="AM367" s="5" t="inlineStr"/>
    </row>
    <row r="368">
      <c r="A368" s="5" t="n">
        <v>367</v>
      </c>
      <c r="B368" s="5" t="inlineStr">
        <is>
          <t>124</t>
        </is>
      </c>
      <c r="C368" s="5" t="inlineStr">
        <is>
          <t>nearest labels (80% agree)</t>
        </is>
      </c>
      <c r="D368" s="5" t="inlineStr">
        <is>
          <t>wall</t>
        </is>
      </c>
      <c r="E368" s="5" t="inlineStr">
        <is>
          <t>core_wall_solid</t>
        </is>
      </c>
      <c r="F368" s="5" t="inlineStr">
        <is>
          <t>(none)</t>
        </is>
      </c>
      <c r="G368" s="5" t="inlineStr"/>
      <c r="H368" s="5" t="inlineStr">
        <is>
          <t>none</t>
        </is>
      </c>
      <c r="I368" s="5" t="n">
        <v>295</v>
      </c>
      <c r="J368" s="5" t="n">
        <v>25</v>
      </c>
      <c r="K368" s="9">
        <f>IF(AND(ISNUMBER(I368),ISNUMBER(J368),J368&gt;0),I368/J368,"")</f>
        <v/>
      </c>
      <c r="L368" s="5" t="n">
        <v>0.75</v>
      </c>
      <c r="M368" s="5" t="n"/>
      <c r="N368" s="5" t="n">
        <v>169.1</v>
      </c>
      <c r="O368" s="5" t="inlineStr">
        <is>
          <t>solid fill</t>
        </is>
      </c>
      <c r="P368" s="5" t="inlineStr">
        <is>
          <t>straight stretch of a thin filled outline with bends (pair of parallel faces)</t>
        </is>
      </c>
      <c r="Q368" s="5">
        <f>IF(OR(D368="column",D368="wall"),IF(I368&lt;='P vs V'!$B$3*J368,"column","wall"),"")</f>
        <v/>
      </c>
      <c r="R368" s="5" t="inlineStr"/>
      <c r="S368" s="5" t="inlineStr"/>
      <c r="T368" s="5" t="n"/>
      <c r="U368" s="5" t="inlineStr">
        <is>
          <t>yes</t>
        </is>
      </c>
      <c r="V368" s="5" t="inlineStr">
        <is>
          <t>no</t>
        </is>
      </c>
      <c r="W368" s="5" t="inlineStr">
        <is>
          <t>yes</t>
        </is>
      </c>
      <c r="X368" s="5" t="inlineStr">
        <is>
          <t>no</t>
        </is>
      </c>
      <c r="Y368" s="5" t="inlineStr">
        <is>
          <t>no</t>
        </is>
      </c>
      <c r="Z368" s="5" t="inlineStr">
        <is>
          <t>no</t>
        </is>
      </c>
      <c r="AA368" s="5" t="n">
        <v>0.41</v>
      </c>
      <c r="AB368" s="5" t="n"/>
      <c r="AC368" s="5" t="n"/>
      <c r="AD368" s="5" t="n"/>
      <c r="AE368" s="5" t="n">
        <v>4062.1</v>
      </c>
      <c r="AF368" s="5" t="n">
        <v>3612</v>
      </c>
      <c r="AG368" s="5" t="n">
        <v>4149.1</v>
      </c>
      <c r="AH368" s="5" t="n">
        <v>3635.8</v>
      </c>
      <c r="AI368" s="5" t="inlineStr">
        <is>
          <t>new</t>
        </is>
      </c>
      <c r="AJ368" s="5" t="inlineStr"/>
      <c r="AK368" s="5" t="inlineStr">
        <is>
          <t>piece of a wall network the colour pipeline left unsplit</t>
        </is>
      </c>
      <c r="AL368" s="5" t="inlineStr"/>
      <c r="AM368" s="5" t="inlineStr"/>
    </row>
    <row r="369">
      <c r="A369" s="5" t="n">
        <v>368</v>
      </c>
      <c r="B369" s="5" t="inlineStr">
        <is>
          <t>124</t>
        </is>
      </c>
      <c r="C369" s="5" t="inlineStr">
        <is>
          <t>nearest labels (100% agree)</t>
        </is>
      </c>
      <c r="D369" s="5" t="inlineStr">
        <is>
          <t>wall</t>
        </is>
      </c>
      <c r="E369" s="5" t="inlineStr">
        <is>
          <t>core_wall_solid</t>
        </is>
      </c>
      <c r="F369" s="5" t="inlineStr">
        <is>
          <t>(none)</t>
        </is>
      </c>
      <c r="G369" s="5" t="inlineStr"/>
      <c r="H369" s="5" t="inlineStr">
        <is>
          <t>none</t>
        </is>
      </c>
      <c r="I369" s="5" t="n">
        <v>229</v>
      </c>
      <c r="J369" s="5" t="n">
        <v>25</v>
      </c>
      <c r="K369" s="9">
        <f>IF(AND(ISNUMBER(I369),ISNUMBER(J369),J369&gt;0),I369/J369,"")</f>
        <v/>
      </c>
      <c r="L369" s="5" t="n">
        <v>0.575</v>
      </c>
      <c r="M369" s="5" t="n"/>
      <c r="N369" s="5" t="n">
        <v>169.4</v>
      </c>
      <c r="O369" s="5" t="inlineStr">
        <is>
          <t>solid fill</t>
        </is>
      </c>
      <c r="P369" s="5" t="inlineStr">
        <is>
          <t>straight stretch of a thin filled outline with bends (pair of parallel faces)</t>
        </is>
      </c>
      <c r="Q369" s="5">
        <f>IF(OR(D369="column",D369="wall"),IF(I369&lt;='P vs V'!$B$3*J369,"column","wall"),"")</f>
        <v/>
      </c>
      <c r="R369" s="5" t="inlineStr"/>
      <c r="S369" s="5" t="inlineStr"/>
      <c r="T369" s="5" t="n"/>
      <c r="U369" s="5" t="inlineStr">
        <is>
          <t>yes</t>
        </is>
      </c>
      <c r="V369" s="5" t="inlineStr">
        <is>
          <t>yes</t>
        </is>
      </c>
      <c r="W369" s="5" t="inlineStr">
        <is>
          <t>no</t>
        </is>
      </c>
      <c r="X369" s="5" t="inlineStr">
        <is>
          <t>no</t>
        </is>
      </c>
      <c r="Y369" s="5" t="inlineStr">
        <is>
          <t>no</t>
        </is>
      </c>
      <c r="Z369" s="5" t="inlineStr">
        <is>
          <t>no</t>
        </is>
      </c>
      <c r="AA369" s="5" t="n">
        <v>0.41</v>
      </c>
      <c r="AB369" s="5" t="n"/>
      <c r="AC369" s="5" t="n"/>
      <c r="AD369" s="5" t="n"/>
      <c r="AE369" s="5" t="n">
        <v>4045.6</v>
      </c>
      <c r="AF369" s="5" t="n">
        <v>3476.4</v>
      </c>
      <c r="AG369" s="5" t="n">
        <v>4113.6</v>
      </c>
      <c r="AH369" s="5" t="n">
        <v>3496</v>
      </c>
      <c r="AI369" s="5" t="inlineStr">
        <is>
          <t>new</t>
        </is>
      </c>
      <c r="AJ369" s="5" t="inlineStr"/>
      <c r="AK369" s="5" t="inlineStr">
        <is>
          <t>piece of a wall network the colour pipeline left unsplit</t>
        </is>
      </c>
      <c r="AL369" s="5" t="inlineStr"/>
      <c r="AM369" s="5" t="inlineStr"/>
    </row>
    <row r="370">
      <c r="A370" s="5" t="n">
        <v>369</v>
      </c>
      <c r="B370" s="5" t="inlineStr">
        <is>
          <t>124</t>
        </is>
      </c>
      <c r="C370" s="5" t="inlineStr">
        <is>
          <t>nearest labels (100% agree)</t>
        </is>
      </c>
      <c r="D370" s="5" t="inlineStr">
        <is>
          <t>wall</t>
        </is>
      </c>
      <c r="E370" s="5" t="inlineStr">
        <is>
          <t>core_wall_solid</t>
        </is>
      </c>
      <c r="F370" s="5" t="inlineStr">
        <is>
          <t>(none)</t>
        </is>
      </c>
      <c r="G370" s="5" t="inlineStr"/>
      <c r="H370" s="5" t="inlineStr">
        <is>
          <t>none</t>
        </is>
      </c>
      <c r="I370" s="5" t="n">
        <v>816</v>
      </c>
      <c r="J370" s="5" t="n">
        <v>25</v>
      </c>
      <c r="K370" s="9">
        <f>IF(AND(ISNUMBER(I370),ISNUMBER(J370),J370&gt;0),I370/J370,"")</f>
        <v/>
      </c>
      <c r="L370" s="5" t="n">
        <v>2.026</v>
      </c>
      <c r="M370" s="5" t="n"/>
      <c r="N370" s="5" t="n">
        <v>79.40000000000001</v>
      </c>
      <c r="O370" s="5" t="inlineStr">
        <is>
          <t>solid fill</t>
        </is>
      </c>
      <c r="P370" s="5" t="inlineStr">
        <is>
          <t>straight stretch of a thin filled outline with bends (pair of parallel faces)</t>
        </is>
      </c>
      <c r="Q370" s="5">
        <f>IF(OR(D370="column",D370="wall"),IF(I370&lt;='P vs V'!$B$3*J370,"column","wall"),"")</f>
        <v/>
      </c>
      <c r="R370" s="5" t="inlineStr"/>
      <c r="S370" s="5" t="inlineStr"/>
      <c r="T370" s="5" t="n"/>
      <c r="U370" s="5" t="inlineStr">
        <is>
          <t>yes</t>
        </is>
      </c>
      <c r="V370" s="5" t="inlineStr">
        <is>
          <t>no</t>
        </is>
      </c>
      <c r="W370" s="5" t="inlineStr">
        <is>
          <t>yes</t>
        </is>
      </c>
      <c r="X370" s="5" t="inlineStr">
        <is>
          <t>no</t>
        </is>
      </c>
      <c r="Y370" s="5" t="inlineStr">
        <is>
          <t>no</t>
        </is>
      </c>
      <c r="Z370" s="5" t="inlineStr">
        <is>
          <t>no</t>
        </is>
      </c>
      <c r="AA370" s="5" t="n">
        <v>0.02</v>
      </c>
      <c r="AB370" s="5" t="n"/>
      <c r="AC370" s="5" t="n"/>
      <c r="AD370" s="5" t="n"/>
      <c r="AE370" s="5" t="n">
        <v>4102.8</v>
      </c>
      <c r="AF370" s="5" t="n">
        <v>3374</v>
      </c>
      <c r="AG370" s="5" t="n">
        <v>4154.2</v>
      </c>
      <c r="AH370" s="5" t="n">
        <v>3612.1</v>
      </c>
      <c r="AI370" s="5" t="inlineStr">
        <is>
          <t>new</t>
        </is>
      </c>
      <c r="AJ370" s="5" t="inlineStr"/>
      <c r="AK370" s="5" t="inlineStr">
        <is>
          <t>piece of a wall network the colour pipeline left unsplit</t>
        </is>
      </c>
      <c r="AL370" s="5" t="inlineStr"/>
      <c r="AM370" s="5" t="inlineStr"/>
    </row>
    <row r="371">
      <c r="A371" s="5" t="n">
        <v>370</v>
      </c>
      <c r="B371" s="5" t="inlineStr">
        <is>
          <t>124</t>
        </is>
      </c>
      <c r="C371" s="5" t="inlineStr">
        <is>
          <t>nearest labels (60% agree)</t>
        </is>
      </c>
      <c r="D371" s="5" t="inlineStr">
        <is>
          <t>wall</t>
        </is>
      </c>
      <c r="E371" s="5" t="inlineStr">
        <is>
          <t>retaining_wall</t>
        </is>
      </c>
      <c r="F371" s="5" t="inlineStr">
        <is>
          <t>VP20</t>
        </is>
      </c>
      <c r="G371" s="5" t="inlineStr"/>
      <c r="H371" s="5" t="inlineStr">
        <is>
          <t>thickness matches a VP type</t>
        </is>
      </c>
      <c r="I371" s="5" t="n">
        <v>604</v>
      </c>
      <c r="J371" s="5" t="n">
        <v>20</v>
      </c>
      <c r="K371" s="9">
        <f>IF(AND(ISNUMBER(I371),ISNUMBER(J371),J371&gt;0),I371/J371,"")</f>
        <v/>
      </c>
      <c r="L371" s="5" t="n">
        <v>1.2</v>
      </c>
      <c r="M371" s="5" t="n"/>
      <c r="N371" s="5" t="n">
        <v>79.3</v>
      </c>
      <c r="O371" s="5" t="inlineStr">
        <is>
          <t>solid fill</t>
        </is>
      </c>
      <c r="P371" s="5" t="inlineStr">
        <is>
          <t>solid fill, rectangle, L &gt; 4 W (EN 1992-1-1 5.3.1(7))</t>
        </is>
      </c>
      <c r="Q371" s="5">
        <f>IF(OR(D371="column",D371="wall"),IF(I371&lt;='P vs V'!$B$3*J371,"column","wall"),"")</f>
        <v/>
      </c>
      <c r="R371" s="5" t="inlineStr"/>
      <c r="S371" s="5" t="inlineStr"/>
      <c r="T371" s="5" t="n"/>
      <c r="U371" s="5" t="inlineStr">
        <is>
          <t>no</t>
        </is>
      </c>
      <c r="V371" s="5" t="inlineStr">
        <is>
          <t>no</t>
        </is>
      </c>
      <c r="W371" s="5" t="inlineStr">
        <is>
          <t>yes</t>
        </is>
      </c>
      <c r="X371" s="5" t="inlineStr">
        <is>
          <t>no</t>
        </is>
      </c>
      <c r="Y371" s="5" t="inlineStr">
        <is>
          <t>yes</t>
        </is>
      </c>
      <c r="Z371" s="5" t="inlineStr">
        <is>
          <t>no</t>
        </is>
      </c>
      <c r="AA371" s="5" t="n">
        <v>5.11</v>
      </c>
      <c r="AB371" s="5" t="n"/>
      <c r="AC371" s="5" t="n"/>
      <c r="AD371" s="5" t="n"/>
      <c r="AE371" s="5" t="n">
        <v>3624.3</v>
      </c>
      <c r="AF371" s="5" t="n">
        <v>3495</v>
      </c>
      <c r="AG371" s="5" t="n">
        <v>3663.1</v>
      </c>
      <c r="AH371" s="5" t="n">
        <v>3671.5</v>
      </c>
      <c r="AI371" s="5" t="inlineStr">
        <is>
          <t>new</t>
        </is>
      </c>
      <c r="AJ371" s="5" t="inlineStr"/>
      <c r="AK371" s="5" t="inlineStr">
        <is>
          <t>piece of a wall network the colour pipeline left unsplit</t>
        </is>
      </c>
      <c r="AL371" s="5" t="inlineStr">
        <is>
          <t>(0.87, 0.0, 0.87)</t>
        </is>
      </c>
      <c r="AM371" s="5" t="inlineStr">
        <is>
          <t>DM-VOILE</t>
        </is>
      </c>
    </row>
    <row r="372">
      <c r="A372" s="5" t="n">
        <v>371</v>
      </c>
      <c r="B372" s="5" t="inlineStr">
        <is>
          <t>124</t>
        </is>
      </c>
      <c r="C372" s="5" t="inlineStr">
        <is>
          <t>nearest labels (100% agree)</t>
        </is>
      </c>
      <c r="D372" s="5" t="inlineStr">
        <is>
          <t>wall</t>
        </is>
      </c>
      <c r="E372" s="5" t="inlineStr">
        <is>
          <t>retaining_wall</t>
        </is>
      </c>
      <c r="F372" s="5" t="inlineStr">
        <is>
          <t>VP25</t>
        </is>
      </c>
      <c r="G372" s="5" t="inlineStr"/>
      <c r="H372" s="5" t="inlineStr">
        <is>
          <t>thickness matches a VP type</t>
        </is>
      </c>
      <c r="I372" s="5" t="n">
        <v>2324</v>
      </c>
      <c r="J372" s="5" t="n">
        <v>25</v>
      </c>
      <c r="K372" s="9">
        <f>IF(AND(ISNUMBER(I372),ISNUMBER(J372),J372&gt;0),I372/J372,"")</f>
        <v/>
      </c>
      <c r="L372" s="5" t="n">
        <v>5.81</v>
      </c>
      <c r="M372" s="5" t="n"/>
      <c r="N372" s="5" t="n">
        <v>169.4</v>
      </c>
      <c r="O372" s="5" t="inlineStr">
        <is>
          <t>solid fill</t>
        </is>
      </c>
      <c r="P372" s="5" t="inlineStr">
        <is>
          <t>solid fill, rectangle, L &gt; 4 W (EN 1992-1-1 5.3.1(7))</t>
        </is>
      </c>
      <c r="Q372" s="5">
        <f>IF(OR(D372="column",D372="wall"),IF(I372&lt;='P vs V'!$B$3*J372,"column","wall"),"")</f>
        <v/>
      </c>
      <c r="R372" s="5" t="inlineStr"/>
      <c r="S372" s="5" t="inlineStr"/>
      <c r="T372" s="5" t="n"/>
      <c r="U372" s="5" t="inlineStr">
        <is>
          <t>no</t>
        </is>
      </c>
      <c r="V372" s="5" t="inlineStr">
        <is>
          <t>no</t>
        </is>
      </c>
      <c r="W372" s="5" t="inlineStr">
        <is>
          <t>no</t>
        </is>
      </c>
      <c r="X372" s="5" t="inlineStr">
        <is>
          <t>yes</t>
        </is>
      </c>
      <c r="Y372" s="5" t="inlineStr">
        <is>
          <t>yes</t>
        </is>
      </c>
      <c r="Z372" s="5" t="inlineStr">
        <is>
          <t>yes</t>
        </is>
      </c>
      <c r="AA372" s="5" t="n">
        <v>0.4</v>
      </c>
      <c r="AB372" s="5" t="n"/>
      <c r="AC372" s="5" t="n"/>
      <c r="AD372" s="5" t="n"/>
      <c r="AE372" s="5" t="n">
        <v>3504</v>
      </c>
      <c r="AF372" s="5" t="n">
        <v>2731.7</v>
      </c>
      <c r="AG372" s="5" t="n">
        <v>4179.9</v>
      </c>
      <c r="AH372" s="5" t="n">
        <v>2865.1</v>
      </c>
      <c r="AI372" s="5" t="inlineStr">
        <is>
          <t>yes</t>
        </is>
      </c>
      <c r="AJ372" s="5" t="inlineStr">
        <is>
          <t>retaining_wall</t>
        </is>
      </c>
      <c r="AK372" s="5" t="inlineStr"/>
      <c r="AL372" s="5" t="inlineStr">
        <is>
          <t>(0.87, 0.0, 0.87)</t>
        </is>
      </c>
      <c r="AM372" s="5" t="inlineStr">
        <is>
          <t>DM-VOILE</t>
        </is>
      </c>
    </row>
    <row r="373">
      <c r="A373" s="5" t="n">
        <v>372</v>
      </c>
      <c r="B373" s="5" t="inlineStr">
        <is>
          <t>124</t>
        </is>
      </c>
      <c r="C373" s="5" t="inlineStr">
        <is>
          <t>nearest labels (80% agree)</t>
        </is>
      </c>
      <c r="D373" s="5" t="inlineStr">
        <is>
          <t>wall</t>
        </is>
      </c>
      <c r="E373" s="5" t="inlineStr">
        <is>
          <t>retaining_wall</t>
        </is>
      </c>
      <c r="F373" s="5" t="inlineStr">
        <is>
          <t>VP25</t>
        </is>
      </c>
      <c r="G373" s="5" t="inlineStr"/>
      <c r="H373" s="5" t="inlineStr">
        <is>
          <t>thickness matches a VP type</t>
        </is>
      </c>
      <c r="I373" s="5" t="n">
        <v>1667</v>
      </c>
      <c r="J373" s="5" t="n">
        <v>25</v>
      </c>
      <c r="K373" s="9">
        <f>IF(AND(ISNUMBER(I373),ISNUMBER(J373),J373&gt;0),I373/J373,"")</f>
        <v/>
      </c>
      <c r="L373" s="5" t="n">
        <v>4.16</v>
      </c>
      <c r="M373" s="5" t="n"/>
      <c r="N373" s="5" t="n">
        <v>169.3</v>
      </c>
      <c r="O373" s="5" t="inlineStr">
        <is>
          <t>solid fill</t>
        </is>
      </c>
      <c r="P373" s="5" t="inlineStr">
        <is>
          <t>straight stretch of a thin filled outline with bends (pair of parallel faces)</t>
        </is>
      </c>
      <c r="Q373" s="5">
        <f>IF(OR(D373="column",D373="wall"),IF(I373&lt;='P vs V'!$B$3*J373,"column","wall"),"")</f>
        <v/>
      </c>
      <c r="R373" s="5" t="inlineStr"/>
      <c r="S373" s="5" t="inlineStr"/>
      <c r="T373" s="5" t="n"/>
      <c r="U373" s="5" t="inlineStr">
        <is>
          <t>no</t>
        </is>
      </c>
      <c r="V373" s="5" t="inlineStr">
        <is>
          <t>no</t>
        </is>
      </c>
      <c r="W373" s="5" t="inlineStr">
        <is>
          <t>yes</t>
        </is>
      </c>
      <c r="X373" s="5" t="inlineStr">
        <is>
          <t>no</t>
        </is>
      </c>
      <c r="Y373" s="5" t="inlineStr">
        <is>
          <t>yes</t>
        </is>
      </c>
      <c r="Z373" s="5" t="inlineStr">
        <is>
          <t>yes</t>
        </is>
      </c>
      <c r="AA373" s="5" t="n">
        <v>0.43</v>
      </c>
      <c r="AB373" s="5" t="n"/>
      <c r="AC373" s="5" t="n"/>
      <c r="AD373" s="5" t="n"/>
      <c r="AE373" s="5" t="n">
        <v>3663.3</v>
      </c>
      <c r="AF373" s="5" t="n">
        <v>3612.1</v>
      </c>
      <c r="AG373" s="5" t="n">
        <v>4148.4</v>
      </c>
      <c r="AH373" s="5" t="n">
        <v>3710.4</v>
      </c>
      <c r="AI373" s="5" t="inlineStr">
        <is>
          <t>new</t>
        </is>
      </c>
      <c r="AJ373" s="5" t="inlineStr"/>
      <c r="AK373" s="5" t="inlineStr">
        <is>
          <t>piece of a wall network the colour pipeline left unsplit</t>
        </is>
      </c>
      <c r="AL373" s="5" t="inlineStr"/>
      <c r="AM373" s="5" t="inlineStr"/>
    </row>
    <row r="374">
      <c r="A374" s="5" t="n">
        <v>373</v>
      </c>
      <c r="B374" s="5" t="inlineStr">
        <is>
          <t>124</t>
        </is>
      </c>
      <c r="C374" s="5" t="inlineStr">
        <is>
          <t>nearest labels (80% agree)</t>
        </is>
      </c>
      <c r="D374" s="5" t="inlineStr">
        <is>
          <t>wall</t>
        </is>
      </c>
      <c r="E374" s="5" t="inlineStr">
        <is>
          <t>retaining_wall</t>
        </is>
      </c>
      <c r="F374" s="5" t="inlineStr">
        <is>
          <t>VP25</t>
        </is>
      </c>
      <c r="G374" s="5" t="inlineStr"/>
      <c r="H374" s="5" t="inlineStr">
        <is>
          <t>thickness matches a VP type</t>
        </is>
      </c>
      <c r="I374" s="5" t="n">
        <v>631</v>
      </c>
      <c r="J374" s="5" t="n">
        <v>25</v>
      </c>
      <c r="K374" s="9">
        <f>IF(AND(ISNUMBER(I374),ISNUMBER(J374),J374&gt;0),I374/J374,"")</f>
        <v/>
      </c>
      <c r="L374" s="5" t="n">
        <v>1.572</v>
      </c>
      <c r="M374" s="5" t="n"/>
      <c r="N374" s="5" t="n">
        <v>169.4</v>
      </c>
      <c r="O374" s="5" t="inlineStr">
        <is>
          <t>solid fill</t>
        </is>
      </c>
      <c r="P374" s="5" t="inlineStr">
        <is>
          <t>straight stretch of a thin filled outline with bends (pair of parallel faces)</t>
        </is>
      </c>
      <c r="Q374" s="5">
        <f>IF(OR(D374="column",D374="wall"),IF(I374&lt;='P vs V'!$B$3*J374,"column","wall"),"")</f>
        <v/>
      </c>
      <c r="R374" s="5" t="inlineStr">
        <is>
          <t>SC3</t>
        </is>
      </c>
      <c r="S374" s="5" t="inlineStr"/>
      <c r="T374" s="5" t="n"/>
      <c r="U374" s="5" t="inlineStr">
        <is>
          <t>no</t>
        </is>
      </c>
      <c r="V374" s="5" t="inlineStr">
        <is>
          <t>no</t>
        </is>
      </c>
      <c r="W374" s="5" t="inlineStr">
        <is>
          <t>yes</t>
        </is>
      </c>
      <c r="X374" s="5" t="inlineStr">
        <is>
          <t>no</t>
        </is>
      </c>
      <c r="Y374" s="5" t="inlineStr">
        <is>
          <t>yes</t>
        </is>
      </c>
      <c r="Z374" s="5" t="inlineStr">
        <is>
          <t>no</t>
        </is>
      </c>
      <c r="AA374" s="5" t="n">
        <v>0.72</v>
      </c>
      <c r="AB374" s="5" t="n"/>
      <c r="AC374" s="5" t="n"/>
      <c r="AD374" s="5" t="n"/>
      <c r="AE374" s="5" t="n">
        <v>4108.6</v>
      </c>
      <c r="AF374" s="5" t="n">
        <v>3332.5</v>
      </c>
      <c r="AG374" s="5" t="n">
        <v>4293.1</v>
      </c>
      <c r="AH374" s="5" t="n">
        <v>3374</v>
      </c>
      <c r="AI374" s="5" t="inlineStr">
        <is>
          <t>new</t>
        </is>
      </c>
      <c r="AJ374" s="5" t="inlineStr"/>
      <c r="AK374" s="5" t="inlineStr">
        <is>
          <t>piece of a wall network the colour pipeline left unsplit</t>
        </is>
      </c>
      <c r="AL374" s="5" t="inlineStr"/>
      <c r="AM374" s="5" t="inlineStr"/>
    </row>
    <row r="375">
      <c r="A375" s="5" t="n">
        <v>374</v>
      </c>
      <c r="B375" s="5" t="inlineStr">
        <is>
          <t>124</t>
        </is>
      </c>
      <c r="C375" s="5" t="inlineStr">
        <is>
          <t>own label</t>
        </is>
      </c>
      <c r="D375" s="5" t="inlineStr">
        <is>
          <t>wall</t>
        </is>
      </c>
      <c r="E375" s="5" t="inlineStr">
        <is>
          <t>shear_wall</t>
        </is>
      </c>
      <c r="F375" s="5" t="inlineStr">
        <is>
          <t>V1/124</t>
        </is>
      </c>
      <c r="G375" s="5" t="inlineStr">
        <is>
          <t>V1/124/124</t>
        </is>
      </c>
      <c r="H375" s="5" t="inlineStr">
        <is>
          <t>printed</t>
        </is>
      </c>
      <c r="I375" s="5" t="n">
        <v>125</v>
      </c>
      <c r="J375" s="5" t="n">
        <v>25</v>
      </c>
      <c r="K375" s="9">
        <f>IF(AND(ISNUMBER(I375),ISNUMBER(J375),J375&gt;0),I375/J375,"")</f>
        <v/>
      </c>
      <c r="L375" s="5" t="n">
        <v>0.313</v>
      </c>
      <c r="M375" s="5" t="n"/>
      <c r="N375" s="5" t="n">
        <v>79.40000000000001</v>
      </c>
      <c r="O375" s="5" t="inlineStr">
        <is>
          <t>solid fill</t>
        </is>
      </c>
      <c r="P375" s="5" t="inlineStr">
        <is>
          <t>solid fill, rectangle, L &gt; 4 W (EN 1992-1-1 5.3.1(7))</t>
        </is>
      </c>
      <c r="Q375" s="5">
        <f>IF(OR(D375="column",D375="wall"),IF(I375&lt;='P vs V'!$B$3*J375,"column","wall"),"")</f>
        <v/>
      </c>
      <c r="R375" s="5" t="inlineStr">
        <is>
          <t>SC3</t>
        </is>
      </c>
      <c r="S375" s="5" t="inlineStr"/>
      <c r="T375" s="5" t="n"/>
      <c r="U375" s="5" t="inlineStr">
        <is>
          <t>no</t>
        </is>
      </c>
      <c r="V375" s="5" t="inlineStr">
        <is>
          <t>no</t>
        </is>
      </c>
      <c r="W375" s="5" t="inlineStr">
        <is>
          <t>yes</t>
        </is>
      </c>
      <c r="X375" s="5" t="inlineStr">
        <is>
          <t>no</t>
        </is>
      </c>
      <c r="Y375" s="5" t="inlineStr">
        <is>
          <t>no</t>
        </is>
      </c>
      <c r="Z375" s="5" t="inlineStr">
        <is>
          <t>no</t>
        </is>
      </c>
      <c r="AA375" s="5" t="n">
        <v>3.39</v>
      </c>
      <c r="AB375" s="5" t="n"/>
      <c r="AC375" s="5" t="n"/>
      <c r="AD375" s="5" t="n"/>
      <c r="AE375" s="5" t="n">
        <v>4284.7</v>
      </c>
      <c r="AF375" s="5" t="n">
        <v>3333.9</v>
      </c>
      <c r="AG375" s="5" t="n">
        <v>4298.9</v>
      </c>
      <c r="AH375" s="5" t="n">
        <v>3371.5</v>
      </c>
      <c r="AI375" s="5" t="inlineStr">
        <is>
          <t>new</t>
        </is>
      </c>
      <c r="AJ375" s="5" t="inlineStr"/>
      <c r="AK375" s="5" t="inlineStr">
        <is>
          <t>piece of a wall network the colour pipeline left unsplit</t>
        </is>
      </c>
      <c r="AL375" s="5" t="inlineStr">
        <is>
          <t>(0.87, 0.0, 0.87)</t>
        </is>
      </c>
      <c r="AM375" s="5" t="inlineStr">
        <is>
          <t>DM-VOILE</t>
        </is>
      </c>
    </row>
    <row r="376">
      <c r="A376" s="5" t="n">
        <v>375</v>
      </c>
      <c r="B376" s="5" t="inlineStr">
        <is>
          <t>124</t>
        </is>
      </c>
      <c r="C376" s="5" t="inlineStr">
        <is>
          <t>own label</t>
        </is>
      </c>
      <c r="D376" s="5" t="inlineStr">
        <is>
          <t>wall</t>
        </is>
      </c>
      <c r="E376" s="5" t="inlineStr">
        <is>
          <t>shear_wall</t>
        </is>
      </c>
      <c r="F376" s="5" t="inlineStr">
        <is>
          <t>V1/124</t>
        </is>
      </c>
      <c r="G376" s="5" t="inlineStr">
        <is>
          <t>V1/124/124</t>
        </is>
      </c>
      <c r="H376" s="5" t="inlineStr">
        <is>
          <t>printed</t>
        </is>
      </c>
      <c r="I376" s="5" t="n">
        <v>125</v>
      </c>
      <c r="J376" s="5" t="n">
        <v>25</v>
      </c>
      <c r="K376" s="9">
        <f>IF(AND(ISNUMBER(I376),ISNUMBER(J376),J376&gt;0),I376/J376,"")</f>
        <v/>
      </c>
      <c r="L376" s="5" t="n">
        <v>0.313</v>
      </c>
      <c r="M376" s="5" t="n"/>
      <c r="N376" s="5" t="n">
        <v>79.40000000000001</v>
      </c>
      <c r="O376" s="5" t="inlineStr">
        <is>
          <t>solid fill</t>
        </is>
      </c>
      <c r="P376" s="5" t="inlineStr">
        <is>
          <t>solid fill, rectangle, L &gt; 4 W (EN 1992-1-1 5.3.1(7))</t>
        </is>
      </c>
      <c r="Q376" s="5">
        <f>IF(OR(D376="column",D376="wall"),IF(I376&lt;='P vs V'!$B$3*J376,"column","wall"),"")</f>
        <v/>
      </c>
      <c r="R376" s="5" t="inlineStr">
        <is>
          <t>SC5</t>
        </is>
      </c>
      <c r="S376" s="5" t="inlineStr"/>
      <c r="T376" s="5" t="n"/>
      <c r="U376" s="5" t="inlineStr">
        <is>
          <t>no</t>
        </is>
      </c>
      <c r="V376" s="5" t="inlineStr">
        <is>
          <t>no</t>
        </is>
      </c>
      <c r="W376" s="5" t="inlineStr">
        <is>
          <t>yes</t>
        </is>
      </c>
      <c r="X376" s="5" t="inlineStr">
        <is>
          <t>no</t>
        </is>
      </c>
      <c r="Y376" s="5" t="inlineStr">
        <is>
          <t>no</t>
        </is>
      </c>
      <c r="Z376" s="5" t="inlineStr">
        <is>
          <t>no</t>
        </is>
      </c>
      <c r="AA376" s="5" t="n">
        <v>5.13</v>
      </c>
      <c r="AB376" s="5" t="n"/>
      <c r="AC376" s="5" t="n"/>
      <c r="AD376" s="5" t="n"/>
      <c r="AE376" s="5" t="n">
        <v>3657.3</v>
      </c>
      <c r="AF376" s="5" t="n">
        <v>3670.2</v>
      </c>
      <c r="AG376" s="5" t="n">
        <v>3671.4</v>
      </c>
      <c r="AH376" s="5" t="n">
        <v>3707.8</v>
      </c>
      <c r="AI376" s="5" t="inlineStr">
        <is>
          <t>new</t>
        </is>
      </c>
      <c r="AJ376" s="5" t="inlineStr"/>
      <c r="AK376" s="5" t="inlineStr">
        <is>
          <t>piece of a wall network the colour pipeline left unsplit</t>
        </is>
      </c>
      <c r="AL376" s="5" t="inlineStr">
        <is>
          <t>(0.87, 0.0, 0.87)</t>
        </is>
      </c>
      <c r="AM376" s="5" t="inlineStr">
        <is>
          <t>DM-VOILE</t>
        </is>
      </c>
    </row>
    <row r="377">
      <c r="A377" s="5" t="n">
        <v>376</v>
      </c>
      <c r="B377" s="5" t="inlineStr">
        <is>
          <t>124</t>
        </is>
      </c>
      <c r="C377" s="5" t="inlineStr">
        <is>
          <t>own label</t>
        </is>
      </c>
      <c r="D377" s="5" t="inlineStr">
        <is>
          <t>wall</t>
        </is>
      </c>
      <c r="E377" s="5" t="inlineStr">
        <is>
          <t>shear_wall</t>
        </is>
      </c>
      <c r="F377" s="5" t="inlineStr">
        <is>
          <t>V1/124</t>
        </is>
      </c>
      <c r="G377" s="5" t="inlineStr">
        <is>
          <t>V1/124/124</t>
        </is>
      </c>
      <c r="H377" s="5" t="inlineStr">
        <is>
          <t>printed</t>
        </is>
      </c>
      <c r="I377" s="5" t="n">
        <v>125</v>
      </c>
      <c r="J377" s="5" t="n">
        <v>25</v>
      </c>
      <c r="K377" s="9">
        <f>IF(AND(ISNUMBER(I377),ISNUMBER(J377),J377&gt;0),I377/J377,"")</f>
        <v/>
      </c>
      <c r="L377" s="5" t="n">
        <v>0.313</v>
      </c>
      <c r="M377" s="5" t="n"/>
      <c r="N377" s="5" t="n">
        <v>79.40000000000001</v>
      </c>
      <c r="O377" s="5" t="inlineStr">
        <is>
          <t>solid fill</t>
        </is>
      </c>
      <c r="P377" s="5" t="inlineStr">
        <is>
          <t>solid fill, rectangle, L &gt; 4 W (EN 1992-1-1 5.3.1(7))</t>
        </is>
      </c>
      <c r="Q377" s="5">
        <f>IF(OR(D377="column",D377="wall"),IF(I377&lt;='P vs V'!$B$3*J377,"column","wall"),"")</f>
        <v/>
      </c>
      <c r="R377" s="5" t="inlineStr">
        <is>
          <t>SC1</t>
        </is>
      </c>
      <c r="S377" s="5" t="inlineStr"/>
      <c r="T377" s="5" t="n"/>
      <c r="U377" s="5" t="inlineStr">
        <is>
          <t>no</t>
        </is>
      </c>
      <c r="V377" s="5" t="inlineStr">
        <is>
          <t>no</t>
        </is>
      </c>
      <c r="W377" s="5" t="inlineStr">
        <is>
          <t>no</t>
        </is>
      </c>
      <c r="X377" s="5" t="inlineStr">
        <is>
          <t>no</t>
        </is>
      </c>
      <c r="Y377" s="5" t="inlineStr">
        <is>
          <t>no</t>
        </is>
      </c>
      <c r="Z377" s="5" t="inlineStr">
        <is>
          <t>no</t>
        </is>
      </c>
      <c r="AA377" s="5" t="n">
        <v>3.39</v>
      </c>
      <c r="AB377" s="5" t="n"/>
      <c r="AC377" s="5" t="n"/>
      <c r="AD377" s="5" t="n"/>
      <c r="AE377" s="5" t="n">
        <v>4325</v>
      </c>
      <c r="AF377" s="5" t="n">
        <v>3547.5</v>
      </c>
      <c r="AG377" s="5" t="n">
        <v>4339.1</v>
      </c>
      <c r="AH377" s="5" t="n">
        <v>3585.1</v>
      </c>
      <c r="AI377" s="5" t="inlineStr">
        <is>
          <t>yes</t>
        </is>
      </c>
      <c r="AJ377" s="5" t="inlineStr">
        <is>
          <t>shear_wall</t>
        </is>
      </c>
      <c r="AK377" s="5" t="inlineStr"/>
      <c r="AL377" s="5" t="inlineStr">
        <is>
          <t>(0.87, 0.0, 0.87)</t>
        </is>
      </c>
      <c r="AM377" s="5" t="inlineStr">
        <is>
          <t>DM-VOILE</t>
        </is>
      </c>
    </row>
    <row r="378">
      <c r="A378" s="5" t="n">
        <v>377</v>
      </c>
      <c r="B378" s="5" t="inlineStr">
        <is>
          <t>124</t>
        </is>
      </c>
      <c r="C378" s="5" t="inlineStr">
        <is>
          <t>own label</t>
        </is>
      </c>
      <c r="D378" s="5" t="inlineStr">
        <is>
          <t>wall</t>
        </is>
      </c>
      <c r="E378" s="5" t="inlineStr">
        <is>
          <t>shear_wall</t>
        </is>
      </c>
      <c r="F378" s="5" t="inlineStr">
        <is>
          <t>V2/124</t>
        </is>
      </c>
      <c r="G378" s="5" t="inlineStr">
        <is>
          <t>V2/124/124</t>
        </is>
      </c>
      <c r="H378" s="5" t="inlineStr">
        <is>
          <t>printed</t>
        </is>
      </c>
      <c r="I378" s="5" t="n">
        <v>200</v>
      </c>
      <c r="J378" s="5" t="n">
        <v>25</v>
      </c>
      <c r="K378" s="9">
        <f>IF(AND(ISNUMBER(I378),ISNUMBER(J378),J378&gt;0),I378/J378,"")</f>
        <v/>
      </c>
      <c r="L378" s="5" t="n">
        <v>0.501</v>
      </c>
      <c r="M378" s="5" t="n"/>
      <c r="N378" s="5" t="n">
        <v>169.4</v>
      </c>
      <c r="O378" s="5" t="inlineStr">
        <is>
          <t>solid fill</t>
        </is>
      </c>
      <c r="P378" s="5" t="inlineStr">
        <is>
          <t>solid fill, rectangle, L &gt; 4 W (EN 1992-1-1 5.3.1(7))</t>
        </is>
      </c>
      <c r="Q378" s="5">
        <f>IF(OR(D378="column",D378="wall"),IF(I378&lt;='P vs V'!$B$3*J378,"column","wall"),"")</f>
        <v/>
      </c>
      <c r="R378" s="5" t="inlineStr">
        <is>
          <t>SC3</t>
        </is>
      </c>
      <c r="S378" s="5" t="inlineStr"/>
      <c r="T378" s="5" t="n"/>
      <c r="U378" s="5" t="inlineStr">
        <is>
          <t>no</t>
        </is>
      </c>
      <c r="V378" s="5" t="inlineStr">
        <is>
          <t>no</t>
        </is>
      </c>
      <c r="W378" s="5" t="inlineStr">
        <is>
          <t>yes</t>
        </is>
      </c>
      <c r="X378" s="5" t="inlineStr">
        <is>
          <t>no</t>
        </is>
      </c>
      <c r="Y378" s="5" t="inlineStr">
        <is>
          <t>no</t>
        </is>
      </c>
      <c r="Z378" s="5" t="inlineStr">
        <is>
          <t>no</t>
        </is>
      </c>
      <c r="AA378" s="5" t="n">
        <v>1.63</v>
      </c>
      <c r="AB378" s="5" t="n"/>
      <c r="AC378" s="5" t="n"/>
      <c r="AD378" s="5" t="n"/>
      <c r="AE378" s="5" t="n">
        <v>4197.5</v>
      </c>
      <c r="AF378" s="5" t="n">
        <v>3339.3</v>
      </c>
      <c r="AG378" s="5" t="n">
        <v>4256.9</v>
      </c>
      <c r="AH378" s="5" t="n">
        <v>3357.4</v>
      </c>
      <c r="AI378" s="5" t="inlineStr">
        <is>
          <t>new</t>
        </is>
      </c>
      <c r="AJ378" s="5" t="inlineStr"/>
      <c r="AK378" s="5" t="inlineStr">
        <is>
          <t>piece of a wall network the colour pipeline left unsplit</t>
        </is>
      </c>
      <c r="AL378" s="5" t="inlineStr">
        <is>
          <t>(0.87, 0.0, 0.87)</t>
        </is>
      </c>
      <c r="AM378" s="5" t="inlineStr">
        <is>
          <t>DM-VOILE</t>
        </is>
      </c>
    </row>
    <row r="379">
      <c r="A379" s="5" t="n">
        <v>378</v>
      </c>
      <c r="B379" s="5" t="inlineStr">
        <is>
          <t>124</t>
        </is>
      </c>
      <c r="C379" s="5" t="inlineStr">
        <is>
          <t>own label</t>
        </is>
      </c>
      <c r="D379" s="5" t="inlineStr">
        <is>
          <t>wall</t>
        </is>
      </c>
      <c r="E379" s="5" t="inlineStr">
        <is>
          <t>shear_wall</t>
        </is>
      </c>
      <c r="F379" s="5" t="inlineStr">
        <is>
          <t>V3/124</t>
        </is>
      </c>
      <c r="G379" s="5" t="inlineStr">
        <is>
          <t>V3/124/124</t>
        </is>
      </c>
      <c r="H379" s="5" t="inlineStr">
        <is>
          <t>printed</t>
        </is>
      </c>
      <c r="I379" s="5" t="n">
        <v>200</v>
      </c>
      <c r="J379" s="5" t="n">
        <v>25</v>
      </c>
      <c r="K379" s="9">
        <f>IF(AND(ISNUMBER(I379),ISNUMBER(J379),J379&gt;0),I379/J379,"")</f>
        <v/>
      </c>
      <c r="L379" s="5" t="n">
        <v>0.499</v>
      </c>
      <c r="M379" s="5" t="n"/>
      <c r="N379" s="5" t="n">
        <v>79.3</v>
      </c>
      <c r="O379" s="5" t="inlineStr">
        <is>
          <t>solid fill</t>
        </is>
      </c>
      <c r="P379" s="5" t="inlineStr">
        <is>
          <t>solid fill, rectangle, L &gt; 4 W (EN 1992-1-1 5.3.1(7))</t>
        </is>
      </c>
      <c r="Q379" s="5">
        <f>IF(OR(D379="column",D379="wall"),IF(I379&lt;='P vs V'!$B$3*J379,"column","wall"),"")</f>
        <v/>
      </c>
      <c r="R379" s="5" t="inlineStr">
        <is>
          <t>SC3</t>
        </is>
      </c>
      <c r="S379" s="5" t="inlineStr"/>
      <c r="T379" s="5" t="n"/>
      <c r="U379" s="5" t="inlineStr">
        <is>
          <t>no</t>
        </is>
      </c>
      <c r="V379" s="5" t="inlineStr">
        <is>
          <t>no</t>
        </is>
      </c>
      <c r="W379" s="5" t="inlineStr">
        <is>
          <t>no</t>
        </is>
      </c>
      <c r="X379" s="5" t="inlineStr">
        <is>
          <t>no</t>
        </is>
      </c>
      <c r="Y379" s="5" t="inlineStr">
        <is>
          <t>yes</t>
        </is>
      </c>
      <c r="Z379" s="5" t="inlineStr">
        <is>
          <t>yes</t>
        </is>
      </c>
      <c r="AA379" s="5" t="n">
        <v>3.39</v>
      </c>
      <c r="AB379" s="5" t="n"/>
      <c r="AC379" s="5" t="n"/>
      <c r="AD379" s="5" t="n"/>
      <c r="AE379" s="5" t="n">
        <v>4238.9</v>
      </c>
      <c r="AF379" s="5" t="n">
        <v>3090.4</v>
      </c>
      <c r="AG379" s="5" t="n">
        <v>4257.1</v>
      </c>
      <c r="AH379" s="5" t="n">
        <v>3149.9</v>
      </c>
      <c r="AI379" s="5" t="inlineStr">
        <is>
          <t>yes</t>
        </is>
      </c>
      <c r="AJ379" s="5" t="inlineStr">
        <is>
          <t>shear_wall</t>
        </is>
      </c>
      <c r="AK379" s="5" t="inlineStr"/>
      <c r="AL379" s="5" t="inlineStr">
        <is>
          <t>(0.87, 0.0, 0.87)</t>
        </is>
      </c>
      <c r="AM379" s="5" t="inlineStr">
        <is>
          <t>DM-VOILE</t>
        </is>
      </c>
    </row>
    <row r="380">
      <c r="A380" s="5" t="n">
        <v>379</v>
      </c>
      <c r="B380" s="5" t="inlineStr">
        <is>
          <t>124</t>
        </is>
      </c>
      <c r="C380" s="5" t="inlineStr">
        <is>
          <t>own label</t>
        </is>
      </c>
      <c r="D380" s="5" t="inlineStr">
        <is>
          <t>wall</t>
        </is>
      </c>
      <c r="E380" s="5" t="inlineStr">
        <is>
          <t>shear_wall</t>
        </is>
      </c>
      <c r="F380" s="5" t="inlineStr">
        <is>
          <t>V4/124</t>
        </is>
      </c>
      <c r="G380" s="5" t="inlineStr">
        <is>
          <t>V4/124/124</t>
        </is>
      </c>
      <c r="H380" s="5" t="inlineStr">
        <is>
          <t>printed</t>
        </is>
      </c>
      <c r="I380" s="5" t="n">
        <v>220</v>
      </c>
      <c r="J380" s="5" t="n">
        <v>30</v>
      </c>
      <c r="K380" s="9">
        <f>IF(AND(ISNUMBER(I380),ISNUMBER(J380),J380&gt;0),I380/J380,"")</f>
        <v/>
      </c>
      <c r="L380" s="5" t="n">
        <v>0.649</v>
      </c>
      <c r="M380" s="5" t="n"/>
      <c r="N380" s="5" t="n">
        <v>79.40000000000001</v>
      </c>
      <c r="O380" s="5" t="inlineStr">
        <is>
          <t>solid fill</t>
        </is>
      </c>
      <c r="P380" s="5" t="inlineStr">
        <is>
          <t>solid fill, rectangle, L &gt; 4 W (EN 1992-1-1 5.3.1(7))</t>
        </is>
      </c>
      <c r="Q380" s="5">
        <f>IF(OR(D380="column",D380="wall"),IF(I380&lt;='P vs V'!$B$3*J380,"column","wall"),"")</f>
        <v/>
      </c>
      <c r="R380" s="5" t="inlineStr">
        <is>
          <t>SC6</t>
        </is>
      </c>
      <c r="S380" s="5" t="inlineStr"/>
      <c r="T380" s="5" t="n"/>
      <c r="U380" s="5" t="inlineStr">
        <is>
          <t>no</t>
        </is>
      </c>
      <c r="V380" s="5" t="inlineStr">
        <is>
          <t>no</t>
        </is>
      </c>
      <c r="W380" s="5" t="inlineStr">
        <is>
          <t>no</t>
        </is>
      </c>
      <c r="X380" s="5" t="inlineStr">
        <is>
          <t>no</t>
        </is>
      </c>
      <c r="Y380" s="5" t="inlineStr">
        <is>
          <t>yes</t>
        </is>
      </c>
      <c r="Z380" s="5" t="inlineStr">
        <is>
          <t>yes</t>
        </is>
      </c>
      <c r="AA380" s="5" t="n">
        <v>1.21</v>
      </c>
      <c r="AB380" s="5" t="n"/>
      <c r="AC380" s="5" t="n"/>
      <c r="AD380" s="5" t="n"/>
      <c r="AE380" s="5" t="n">
        <v>3928.7</v>
      </c>
      <c r="AF380" s="5" t="n">
        <v>3149.3</v>
      </c>
      <c r="AG380" s="5" t="n">
        <v>3949.2</v>
      </c>
      <c r="AH380" s="5" t="n">
        <v>3214.7</v>
      </c>
      <c r="AI380" s="5" t="inlineStr">
        <is>
          <t>yes</t>
        </is>
      </c>
      <c r="AJ380" s="5" t="inlineStr">
        <is>
          <t>shear_wall</t>
        </is>
      </c>
      <c r="AK380" s="5" t="inlineStr"/>
      <c r="AL380" s="5" t="inlineStr">
        <is>
          <t>(0.87, 0.0, 0.87)</t>
        </is>
      </c>
      <c r="AM380" s="5" t="inlineStr">
        <is>
          <t>DM-VOILE</t>
        </is>
      </c>
    </row>
    <row r="381">
      <c r="A381" s="5" t="n">
        <v>380</v>
      </c>
      <c r="B381" s="5" t="inlineStr">
        <is>
          <t>124</t>
        </is>
      </c>
      <c r="C381" s="5" t="inlineStr">
        <is>
          <t>own label</t>
        </is>
      </c>
      <c r="D381" s="5" t="inlineStr">
        <is>
          <t>wall</t>
        </is>
      </c>
      <c r="E381" s="5" t="inlineStr">
        <is>
          <t>shear_wall</t>
        </is>
      </c>
      <c r="F381" s="5" t="inlineStr">
        <is>
          <t>V5/124</t>
        </is>
      </c>
      <c r="G381" s="5" t="inlineStr">
        <is>
          <t>V5/124/124</t>
        </is>
      </c>
      <c r="H381" s="5" t="inlineStr">
        <is>
          <t>printed</t>
        </is>
      </c>
      <c r="I381" s="5" t="n">
        <v>300</v>
      </c>
      <c r="J381" s="5" t="n">
        <v>30</v>
      </c>
      <c r="K381" s="9">
        <f>IF(AND(ISNUMBER(I381),ISNUMBER(J381),J381&gt;0),I381/J381,"")</f>
        <v/>
      </c>
      <c r="L381" s="5" t="n">
        <v>0.9</v>
      </c>
      <c r="M381" s="5" t="n"/>
      <c r="N381" s="5" t="n">
        <v>169.4</v>
      </c>
      <c r="O381" s="5" t="inlineStr">
        <is>
          <t>solid fill</t>
        </is>
      </c>
      <c r="P381" s="5" t="inlineStr">
        <is>
          <t>solid fill, rectangle, L &gt; 4 W (EN 1992-1-1 5.3.1(7))</t>
        </is>
      </c>
      <c r="Q381" s="5">
        <f>IF(OR(D381="column",D381="wall"),IF(I381&lt;='P vs V'!$B$3*J381,"column","wall"),"")</f>
        <v/>
      </c>
      <c r="R381" s="5" t="inlineStr">
        <is>
          <t>S11</t>
        </is>
      </c>
      <c r="S381" s="5" t="inlineStr"/>
      <c r="T381" s="5" t="n"/>
      <c r="U381" s="5" t="inlineStr">
        <is>
          <t>no</t>
        </is>
      </c>
      <c r="V381" s="5" t="inlineStr">
        <is>
          <t>no</t>
        </is>
      </c>
      <c r="W381" s="5" t="inlineStr">
        <is>
          <t>no</t>
        </is>
      </c>
      <c r="X381" s="5" t="inlineStr">
        <is>
          <t>no</t>
        </is>
      </c>
      <c r="Y381" s="5" t="inlineStr">
        <is>
          <t>yes</t>
        </is>
      </c>
      <c r="Z381" s="5" t="inlineStr">
        <is>
          <t>yes</t>
        </is>
      </c>
      <c r="AA381" s="5" t="n">
        <v>0.41</v>
      </c>
      <c r="AB381" s="5" t="n"/>
      <c r="AC381" s="5" t="n"/>
      <c r="AD381" s="5" t="n"/>
      <c r="AE381" s="5" t="n">
        <v>3737.7</v>
      </c>
      <c r="AF381" s="5" t="n">
        <v>3420.7</v>
      </c>
      <c r="AG381" s="5" t="n">
        <v>3826.4</v>
      </c>
      <c r="AH381" s="5" t="n">
        <v>3445.7</v>
      </c>
      <c r="AI381" s="5" t="inlineStr">
        <is>
          <t>yes</t>
        </is>
      </c>
      <c r="AJ381" s="5" t="inlineStr">
        <is>
          <t>shear_wall</t>
        </is>
      </c>
      <c r="AK381" s="5" t="inlineStr"/>
      <c r="AL381" s="5" t="inlineStr">
        <is>
          <t>(0.87, 0.0, 0.87)</t>
        </is>
      </c>
      <c r="AM381" s="5" t="inlineStr">
        <is>
          <t>DM-VOILE</t>
        </is>
      </c>
    </row>
    <row r="382">
      <c r="A382" s="5" t="n">
        <v>381</v>
      </c>
      <c r="B382" s="5" t="inlineStr">
        <is>
          <t>124</t>
        </is>
      </c>
      <c r="C382" s="5" t="inlineStr">
        <is>
          <t>own label</t>
        </is>
      </c>
      <c r="D382" s="5" t="inlineStr">
        <is>
          <t>wall</t>
        </is>
      </c>
      <c r="E382" s="5" t="inlineStr">
        <is>
          <t>shear_wall</t>
        </is>
      </c>
      <c r="F382" s="5" t="inlineStr">
        <is>
          <t>V6/124</t>
        </is>
      </c>
      <c r="G382" s="5" t="inlineStr">
        <is>
          <t>V6/124/124</t>
        </is>
      </c>
      <c r="H382" s="5" t="inlineStr">
        <is>
          <t>printed</t>
        </is>
      </c>
      <c r="I382" s="5" t="n">
        <v>125</v>
      </c>
      <c r="J382" s="5" t="n">
        <v>25</v>
      </c>
      <c r="K382" s="9">
        <f>IF(AND(ISNUMBER(I382),ISNUMBER(J382),J382&gt;0),I382/J382,"")</f>
        <v/>
      </c>
      <c r="L382" s="5" t="n">
        <v>0.312</v>
      </c>
      <c r="M382" s="5" t="n"/>
      <c r="N382" s="5" t="n">
        <v>79.40000000000001</v>
      </c>
      <c r="O382" s="5" t="inlineStr">
        <is>
          <t>solid fill</t>
        </is>
      </c>
      <c r="P382" s="5" t="inlineStr">
        <is>
          <t>solid fill, rectangle, L &gt; 4 W (EN 1992-1-1 5.3.1(7))</t>
        </is>
      </c>
      <c r="Q382" s="5">
        <f>IF(OR(D382="column",D382="wall"),IF(I382&lt;='P vs V'!$B$3*J382,"column","wall"),"")</f>
        <v/>
      </c>
      <c r="R382" s="5" t="inlineStr">
        <is>
          <t>SC2</t>
        </is>
      </c>
      <c r="S382" s="5" t="inlineStr"/>
      <c r="T382" s="5" t="n"/>
      <c r="U382" s="5" t="inlineStr">
        <is>
          <t>no</t>
        </is>
      </c>
      <c r="V382" s="5" t="inlineStr">
        <is>
          <t>no</t>
        </is>
      </c>
      <c r="W382" s="5" t="inlineStr">
        <is>
          <t>no</t>
        </is>
      </c>
      <c r="X382" s="5" t="inlineStr">
        <is>
          <t>yes</t>
        </is>
      </c>
      <c r="Y382" s="5" t="inlineStr">
        <is>
          <t>yes</t>
        </is>
      </c>
      <c r="Z382" s="5" t="inlineStr">
        <is>
          <t>yes</t>
        </is>
      </c>
      <c r="AA382" s="5" t="n">
        <v>3.75</v>
      </c>
      <c r="AB382" s="5" t="n"/>
      <c r="AC382" s="5" t="n"/>
      <c r="AD382" s="5" t="n"/>
      <c r="AE382" s="5" t="n">
        <v>4198</v>
      </c>
      <c r="AF382" s="5" t="n">
        <v>2873.2</v>
      </c>
      <c r="AG382" s="5" t="n">
        <v>4212.1</v>
      </c>
      <c r="AH382" s="5" t="n">
        <v>2910.9</v>
      </c>
      <c r="AI382" s="5" t="inlineStr">
        <is>
          <t>yes</t>
        </is>
      </c>
      <c r="AJ382" s="5" t="inlineStr">
        <is>
          <t>shear_wall</t>
        </is>
      </c>
      <c r="AK382" s="5" t="inlineStr"/>
      <c r="AL382" s="5" t="inlineStr">
        <is>
          <t>(0.87, 0.0, 0.87)</t>
        </is>
      </c>
      <c r="AM382" s="5" t="inlineStr">
        <is>
          <t>DM-VOILE</t>
        </is>
      </c>
    </row>
    <row r="383">
      <c r="A383" s="5" t="n">
        <v>382</v>
      </c>
      <c r="B383" s="5" t="inlineStr">
        <is>
          <t>124</t>
        </is>
      </c>
      <c r="C383" s="5" t="inlineStr">
        <is>
          <t>own label</t>
        </is>
      </c>
      <c r="D383" s="5" t="inlineStr">
        <is>
          <t>wall</t>
        </is>
      </c>
      <c r="E383" s="5" t="inlineStr">
        <is>
          <t>shear_wall</t>
        </is>
      </c>
      <c r="F383" s="5" t="inlineStr">
        <is>
          <t>V6/124</t>
        </is>
      </c>
      <c r="G383" s="5" t="inlineStr">
        <is>
          <t>V6/124/124</t>
        </is>
      </c>
      <c r="H383" s="5" t="inlineStr">
        <is>
          <t>printed</t>
        </is>
      </c>
      <c r="I383" s="5" t="n">
        <v>125</v>
      </c>
      <c r="J383" s="5" t="n">
        <v>25</v>
      </c>
      <c r="K383" s="9">
        <f>IF(AND(ISNUMBER(I383),ISNUMBER(J383),J383&gt;0),I383/J383,"")</f>
        <v/>
      </c>
      <c r="L383" s="5" t="n">
        <v>0.312</v>
      </c>
      <c r="M383" s="5" t="n"/>
      <c r="N383" s="5" t="n">
        <v>79.40000000000001</v>
      </c>
      <c r="O383" s="5" t="inlineStr">
        <is>
          <t>solid fill</t>
        </is>
      </c>
      <c r="P383" s="5" t="inlineStr">
        <is>
          <t>solid fill, rectangle, L &gt; 4 W (EN 1992-1-1 5.3.1(7))</t>
        </is>
      </c>
      <c r="Q383" s="5">
        <f>IF(OR(D383="column",D383="wall"),IF(I383&lt;='P vs V'!$B$3*J383,"column","wall"),"")</f>
        <v/>
      </c>
      <c r="R383" s="5" t="inlineStr">
        <is>
          <t>SC2</t>
        </is>
      </c>
      <c r="S383" s="5" t="inlineStr"/>
      <c r="T383" s="5" t="n"/>
      <c r="U383" s="5" t="inlineStr">
        <is>
          <t>no</t>
        </is>
      </c>
      <c r="V383" s="5" t="inlineStr">
        <is>
          <t>no</t>
        </is>
      </c>
      <c r="W383" s="5" t="inlineStr">
        <is>
          <t>no</t>
        </is>
      </c>
      <c r="X383" s="5" t="inlineStr">
        <is>
          <t>no</t>
        </is>
      </c>
      <c r="Y383" s="5" t="inlineStr">
        <is>
          <t>yes</t>
        </is>
      </c>
      <c r="Z383" s="5" t="inlineStr">
        <is>
          <t>yes</t>
        </is>
      </c>
      <c r="AA383" s="5" t="n">
        <v>5.14</v>
      </c>
      <c r="AB383" s="5" t="n"/>
      <c r="AC383" s="5" t="n"/>
      <c r="AD383" s="5" t="n"/>
      <c r="AE383" s="5" t="n">
        <v>3526.1</v>
      </c>
      <c r="AF383" s="5" t="n">
        <v>2972.8</v>
      </c>
      <c r="AG383" s="5" t="n">
        <v>3540.1</v>
      </c>
      <c r="AH383" s="5" t="n">
        <v>3010.5</v>
      </c>
      <c r="AI383" s="5" t="inlineStr">
        <is>
          <t>yes</t>
        </is>
      </c>
      <c r="AJ383" s="5" t="inlineStr">
        <is>
          <t>shear_wall</t>
        </is>
      </c>
      <c r="AK383" s="5" t="inlineStr"/>
      <c r="AL383" s="5" t="inlineStr">
        <is>
          <t>(0.87, 0.0, 0.87)</t>
        </is>
      </c>
      <c r="AM383" s="5" t="inlineStr">
        <is>
          <t>DM-VOILE</t>
        </is>
      </c>
    </row>
    <row r="384">
      <c r="A384" s="5" t="n">
        <v>383</v>
      </c>
      <c r="B384" s="5" t="inlineStr">
        <is>
          <t>124</t>
        </is>
      </c>
      <c r="C384" s="5" t="inlineStr">
        <is>
          <t>own label</t>
        </is>
      </c>
      <c r="D384" s="5" t="inlineStr">
        <is>
          <t>wall</t>
        </is>
      </c>
      <c r="E384" s="5" t="inlineStr">
        <is>
          <t>shear_wall</t>
        </is>
      </c>
      <c r="F384" s="5" t="inlineStr">
        <is>
          <t>V6/124</t>
        </is>
      </c>
      <c r="G384" s="5" t="inlineStr">
        <is>
          <t>V6/124/124</t>
        </is>
      </c>
      <c r="H384" s="5" t="inlineStr">
        <is>
          <t>printed</t>
        </is>
      </c>
      <c r="I384" s="5" t="n">
        <v>125</v>
      </c>
      <c r="J384" s="5" t="n">
        <v>25</v>
      </c>
      <c r="K384" s="9">
        <f>IF(AND(ISNUMBER(I384),ISNUMBER(J384),J384&gt;0),I384/J384,"")</f>
        <v/>
      </c>
      <c r="L384" s="5" t="n">
        <v>0.312</v>
      </c>
      <c r="M384" s="5" t="n"/>
      <c r="N384" s="5" t="n">
        <v>79.40000000000001</v>
      </c>
      <c r="O384" s="5" t="inlineStr">
        <is>
          <t>solid fill</t>
        </is>
      </c>
      <c r="P384" s="5" t="inlineStr">
        <is>
          <t>solid fill, rectangle, L &gt; 4 W (EN 1992-1-1 5.3.1(7))</t>
        </is>
      </c>
      <c r="Q384" s="5">
        <f>IF(OR(D384="column",D384="wall"),IF(I384&lt;='P vs V'!$B$3*J384,"column","wall"),"")</f>
        <v/>
      </c>
      <c r="R384" s="5" t="inlineStr">
        <is>
          <t>S2</t>
        </is>
      </c>
      <c r="S384" s="5" t="inlineStr"/>
      <c r="T384" s="5" t="n"/>
      <c r="U384" s="5" t="inlineStr">
        <is>
          <t>no</t>
        </is>
      </c>
      <c r="V384" s="5" t="inlineStr">
        <is>
          <t>no</t>
        </is>
      </c>
      <c r="W384" s="5" t="inlineStr">
        <is>
          <t>no</t>
        </is>
      </c>
      <c r="X384" s="5" t="inlineStr">
        <is>
          <t>no</t>
        </is>
      </c>
      <c r="Y384" s="5" t="inlineStr">
        <is>
          <t>yes</t>
        </is>
      </c>
      <c r="Z384" s="5" t="inlineStr">
        <is>
          <t>yes</t>
        </is>
      </c>
      <c r="AA384" s="5" t="n">
        <v>0</v>
      </c>
      <c r="AB384" s="5" t="n"/>
      <c r="AC384" s="5" t="n"/>
      <c r="AD384" s="5" t="n"/>
      <c r="AE384" s="5" t="n">
        <v>3980.6</v>
      </c>
      <c r="AF384" s="5" t="n">
        <v>2913.9</v>
      </c>
      <c r="AG384" s="5" t="n">
        <v>3994.7</v>
      </c>
      <c r="AH384" s="5" t="n">
        <v>2951.5</v>
      </c>
      <c r="AI384" s="5" t="inlineStr">
        <is>
          <t>yes</t>
        </is>
      </c>
      <c r="AJ384" s="5" t="inlineStr">
        <is>
          <t>shear_wall</t>
        </is>
      </c>
      <c r="AK384" s="5" t="inlineStr"/>
      <c r="AL384" s="5" t="inlineStr">
        <is>
          <t>(0.87, 0.0, 0.87)</t>
        </is>
      </c>
      <c r="AM384" s="5" t="inlineStr">
        <is>
          <t>DM-VOILE</t>
        </is>
      </c>
    </row>
    <row r="385">
      <c r="A385" s="5" t="n">
        <v>384</v>
      </c>
      <c r="B385" s="5" t="inlineStr">
        <is>
          <t>124</t>
        </is>
      </c>
      <c r="C385" s="5" t="inlineStr">
        <is>
          <t>own label</t>
        </is>
      </c>
      <c r="D385" s="5" t="inlineStr">
        <is>
          <t>wall</t>
        </is>
      </c>
      <c r="E385" s="5" t="inlineStr">
        <is>
          <t>shear_wall</t>
        </is>
      </c>
      <c r="F385" s="5" t="inlineStr">
        <is>
          <t>V6/124</t>
        </is>
      </c>
      <c r="G385" s="5" t="inlineStr">
        <is>
          <t>V6/124/124</t>
        </is>
      </c>
      <c r="H385" s="5" t="inlineStr">
        <is>
          <t>printed</t>
        </is>
      </c>
      <c r="I385" s="5" t="n">
        <v>125</v>
      </c>
      <c r="J385" s="5" t="n">
        <v>25</v>
      </c>
      <c r="K385" s="9">
        <f>IF(AND(ISNUMBER(I385),ISNUMBER(J385),J385&gt;0),I385/J385,"")</f>
        <v/>
      </c>
      <c r="L385" s="5" t="n">
        <v>0.312</v>
      </c>
      <c r="M385" s="5" t="n"/>
      <c r="N385" s="5" t="n">
        <v>79.40000000000001</v>
      </c>
      <c r="O385" s="5" t="inlineStr">
        <is>
          <t>solid fill</t>
        </is>
      </c>
      <c r="P385" s="5" t="inlineStr">
        <is>
          <t>solid fill, rectangle, L &gt; 4 W (EN 1992-1-1 5.3.1(7))</t>
        </is>
      </c>
      <c r="Q385" s="5">
        <f>IF(OR(D385="column",D385="wall"),IF(I385&lt;='P vs V'!$B$3*J385,"column","wall"),"")</f>
        <v/>
      </c>
      <c r="R385" s="5" t="inlineStr">
        <is>
          <t>S2</t>
        </is>
      </c>
      <c r="S385" s="5" t="inlineStr"/>
      <c r="T385" s="5" t="n"/>
      <c r="U385" s="5" t="inlineStr">
        <is>
          <t>no</t>
        </is>
      </c>
      <c r="V385" s="5" t="inlineStr">
        <is>
          <t>no</t>
        </is>
      </c>
      <c r="W385" s="5" t="inlineStr">
        <is>
          <t>no</t>
        </is>
      </c>
      <c r="X385" s="5" t="inlineStr">
        <is>
          <t>no</t>
        </is>
      </c>
      <c r="Y385" s="5" t="inlineStr">
        <is>
          <t>yes</t>
        </is>
      </c>
      <c r="Z385" s="5" t="inlineStr">
        <is>
          <t>no</t>
        </is>
      </c>
      <c r="AA385" s="5" t="n">
        <v>0</v>
      </c>
      <c r="AB385" s="5" t="n"/>
      <c r="AC385" s="5" t="n"/>
      <c r="AD385" s="5" t="n"/>
      <c r="AE385" s="5" t="n">
        <v>3754.3</v>
      </c>
      <c r="AF385" s="5" t="n">
        <v>2944.3</v>
      </c>
      <c r="AG385" s="5" t="n">
        <v>3768.4</v>
      </c>
      <c r="AH385" s="5" t="n">
        <v>2981.9</v>
      </c>
      <c r="AI385" s="5" t="inlineStr">
        <is>
          <t>yes</t>
        </is>
      </c>
      <c r="AJ385" s="5" t="inlineStr">
        <is>
          <t>shear_wall</t>
        </is>
      </c>
      <c r="AK385" s="5" t="inlineStr"/>
      <c r="AL385" s="5" t="inlineStr">
        <is>
          <t>(0.87, 0.0, 0.87)</t>
        </is>
      </c>
      <c r="AM385" s="5" t="inlineStr">
        <is>
          <t>DM-VOILE</t>
        </is>
      </c>
    </row>
    <row r="386">
      <c r="A386" s="5" t="n">
        <v>385</v>
      </c>
      <c r="B386" s="5" t="inlineStr">
        <is>
          <t>124</t>
        </is>
      </c>
      <c r="C386" s="5" t="inlineStr">
        <is>
          <t>own label</t>
        </is>
      </c>
      <c r="D386" s="5" t="inlineStr">
        <is>
          <t>wall</t>
        </is>
      </c>
      <c r="E386" s="5" t="inlineStr">
        <is>
          <t>shear_wall</t>
        </is>
      </c>
      <c r="F386" s="5" t="inlineStr">
        <is>
          <t>V7/124</t>
        </is>
      </c>
      <c r="G386" s="5" t="inlineStr">
        <is>
          <t>V7/124/124</t>
        </is>
      </c>
      <c r="H386" s="5" t="inlineStr">
        <is>
          <t>printed</t>
        </is>
      </c>
      <c r="I386" s="5" t="n">
        <v>250</v>
      </c>
      <c r="J386" s="5" t="n">
        <v>30</v>
      </c>
      <c r="K386" s="9">
        <f>IF(AND(ISNUMBER(I386),ISNUMBER(J386),J386&gt;0),I386/J386,"")</f>
        <v/>
      </c>
      <c r="L386" s="5" t="n">
        <v>0.75</v>
      </c>
      <c r="M386" s="5" t="n"/>
      <c r="N386" s="5" t="n">
        <v>79.40000000000001</v>
      </c>
      <c r="O386" s="5" t="inlineStr">
        <is>
          <t>solid fill</t>
        </is>
      </c>
      <c r="P386" s="5" t="inlineStr">
        <is>
          <t>solid fill, rectangle, L &gt; 4 W (EN 1992-1-1 5.3.1(7))</t>
        </is>
      </c>
      <c r="Q386" s="5">
        <f>IF(OR(D386="column",D386="wall"),IF(I386&lt;='P vs V'!$B$3*J386,"column","wall"),"")</f>
        <v/>
      </c>
      <c r="R386" s="5" t="inlineStr">
        <is>
          <t>S6</t>
        </is>
      </c>
      <c r="S386" s="5" t="inlineStr"/>
      <c r="T386" s="5" t="n"/>
      <c r="U386" s="5" t="inlineStr">
        <is>
          <t>no</t>
        </is>
      </c>
      <c r="V386" s="5" t="inlineStr">
        <is>
          <t>no</t>
        </is>
      </c>
      <c r="W386" s="5" t="inlineStr">
        <is>
          <t>no</t>
        </is>
      </c>
      <c r="X386" s="5" t="inlineStr">
        <is>
          <t>no</t>
        </is>
      </c>
      <c r="Y386" s="5" t="inlineStr">
        <is>
          <t>yes</t>
        </is>
      </c>
      <c r="Z386" s="5" t="inlineStr">
        <is>
          <t>yes</t>
        </is>
      </c>
      <c r="AA386" s="5" t="n">
        <v>0.02</v>
      </c>
      <c r="AB386" s="5" t="n"/>
      <c r="AC386" s="5" t="n"/>
      <c r="AD386" s="5" t="n"/>
      <c r="AE386" s="5" t="n">
        <v>3743.9</v>
      </c>
      <c r="AF386" s="5" t="n">
        <v>3191</v>
      </c>
      <c r="AG386" s="5" t="n">
        <v>3766.2</v>
      </c>
      <c r="AH386" s="5" t="n">
        <v>3265.2</v>
      </c>
      <c r="AI386" s="5" t="inlineStr">
        <is>
          <t>yes</t>
        </is>
      </c>
      <c r="AJ386" s="5" t="inlineStr">
        <is>
          <t>shear_wall</t>
        </is>
      </c>
      <c r="AK386" s="5" t="inlineStr"/>
      <c r="AL386" s="5" t="inlineStr">
        <is>
          <t>(0.87, 0.0, 0.87)</t>
        </is>
      </c>
      <c r="AM386" s="5" t="inlineStr">
        <is>
          <t>DM-VOILE</t>
        </is>
      </c>
    </row>
    <row r="387">
      <c r="A387" s="5" t="n">
        <v>386</v>
      </c>
      <c r="B387" s="5" t="inlineStr">
        <is>
          <t>124</t>
        </is>
      </c>
      <c r="C387" s="5" t="inlineStr">
        <is>
          <t>own label</t>
        </is>
      </c>
      <c r="D387" s="5" t="inlineStr">
        <is>
          <t>wall</t>
        </is>
      </c>
      <c r="E387" s="5" t="inlineStr">
        <is>
          <t>shear_wall</t>
        </is>
      </c>
      <c r="F387" s="5" t="inlineStr">
        <is>
          <t>V7/124</t>
        </is>
      </c>
      <c r="G387" s="5" t="inlineStr">
        <is>
          <t>V7/124/124</t>
        </is>
      </c>
      <c r="H387" s="5" t="inlineStr">
        <is>
          <t>printed</t>
        </is>
      </c>
      <c r="I387" s="5" t="n">
        <v>250</v>
      </c>
      <c r="J387" s="5" t="n">
        <v>30</v>
      </c>
      <c r="K387" s="9">
        <f>IF(AND(ISNUMBER(I387),ISNUMBER(J387),J387&gt;0),I387/J387,"")</f>
        <v/>
      </c>
      <c r="L387" s="5" t="n">
        <v>0.75</v>
      </c>
      <c r="M387" s="5" t="n"/>
      <c r="N387" s="5" t="n">
        <v>79.40000000000001</v>
      </c>
      <c r="O387" s="5" t="inlineStr">
        <is>
          <t>solid fill</t>
        </is>
      </c>
      <c r="P387" s="5" t="inlineStr">
        <is>
          <t>solid fill, rectangle, L &gt; 4 W (EN 1992-1-1 5.3.1(7))</t>
        </is>
      </c>
      <c r="Q387" s="5">
        <f>IF(OR(D387="column",D387="wall"),IF(I387&lt;='P vs V'!$B$3*J387,"column","wall"),"")</f>
        <v/>
      </c>
      <c r="R387" s="5" t="inlineStr">
        <is>
          <t>S11</t>
        </is>
      </c>
      <c r="S387" s="5" t="inlineStr"/>
      <c r="T387" s="5" t="n"/>
      <c r="U387" s="5" t="inlineStr">
        <is>
          <t>no</t>
        </is>
      </c>
      <c r="V387" s="5" t="inlineStr">
        <is>
          <t>no</t>
        </is>
      </c>
      <c r="W387" s="5" t="inlineStr">
        <is>
          <t>no</t>
        </is>
      </c>
      <c r="X387" s="5" t="inlineStr">
        <is>
          <t>no</t>
        </is>
      </c>
      <c r="Y387" s="5" t="inlineStr">
        <is>
          <t>yes</t>
        </is>
      </c>
      <c r="Z387" s="5" t="inlineStr">
        <is>
          <t>yes</t>
        </is>
      </c>
      <c r="AA387" s="5" t="n">
        <v>0</v>
      </c>
      <c r="AB387" s="5" t="n"/>
      <c r="AC387" s="5" t="n"/>
      <c r="AD387" s="5" t="n"/>
      <c r="AE387" s="5" t="n">
        <v>3818</v>
      </c>
      <c r="AF387" s="5" t="n">
        <v>3580.2</v>
      </c>
      <c r="AG387" s="5" t="n">
        <v>3840.2</v>
      </c>
      <c r="AH387" s="5" t="n">
        <v>3654.4</v>
      </c>
      <c r="AI387" s="5" t="inlineStr">
        <is>
          <t>yes</t>
        </is>
      </c>
      <c r="AJ387" s="5" t="inlineStr">
        <is>
          <t>shear_wall</t>
        </is>
      </c>
      <c r="AK387" s="5" t="inlineStr"/>
      <c r="AL387" s="5" t="inlineStr">
        <is>
          <t>(0.87, 0.0, 0.87)</t>
        </is>
      </c>
      <c r="AM387" s="5" t="inlineStr">
        <is>
          <t>DM-VOILE</t>
        </is>
      </c>
    </row>
    <row r="388">
      <c r="A388" s="5" t="n">
        <v>387</v>
      </c>
      <c r="B388" s="5" t="inlineStr">
        <is>
          <t>124</t>
        </is>
      </c>
      <c r="C388" s="5" t="inlineStr">
        <is>
          <t>own label</t>
        </is>
      </c>
      <c r="D388" s="5" t="inlineStr">
        <is>
          <t>wall</t>
        </is>
      </c>
      <c r="E388" s="5" t="inlineStr">
        <is>
          <t>shear_wall</t>
        </is>
      </c>
      <c r="F388" s="5" t="inlineStr">
        <is>
          <t>V8/124</t>
        </is>
      </c>
      <c r="G388" s="5" t="inlineStr">
        <is>
          <t>V8/124/124</t>
        </is>
      </c>
      <c r="H388" s="5" t="inlineStr">
        <is>
          <t>printed</t>
        </is>
      </c>
      <c r="I388" s="5" t="n">
        <v>125</v>
      </c>
      <c r="J388" s="5" t="n">
        <v>30</v>
      </c>
      <c r="K388" s="9">
        <f>IF(AND(ISNUMBER(I388),ISNUMBER(J388),J388&gt;0),I388/J388,"")</f>
        <v/>
      </c>
      <c r="L388" s="5" t="n">
        <v>0.376</v>
      </c>
      <c r="M388" s="5" t="n"/>
      <c r="N388" s="5" t="n">
        <v>79.3</v>
      </c>
      <c r="O388" s="5" t="inlineStr">
        <is>
          <t>solid fill</t>
        </is>
      </c>
      <c r="P388" s="5" t="inlineStr">
        <is>
          <t>solid fill, rectangle, L &gt; 4 W (EN 1992-1-1 5.3.1(7))</t>
        </is>
      </c>
      <c r="Q388" s="5">
        <f>IF(OR(D388="column",D388="wall"),IF(I388&lt;='P vs V'!$B$3*J388,"column","wall"),"")</f>
        <v/>
      </c>
      <c r="R388" s="5" t="inlineStr">
        <is>
          <t>SC3</t>
        </is>
      </c>
      <c r="S388" s="5" t="inlineStr"/>
      <c r="T388" s="5" t="n"/>
      <c r="U388" s="5" t="inlineStr">
        <is>
          <t>no</t>
        </is>
      </c>
      <c r="V388" s="5" t="inlineStr">
        <is>
          <t>no</t>
        </is>
      </c>
      <c r="W388" s="5" t="inlineStr">
        <is>
          <t>no</t>
        </is>
      </c>
      <c r="X388" s="5" t="inlineStr">
        <is>
          <t>yes</t>
        </is>
      </c>
      <c r="Y388" s="5" t="inlineStr">
        <is>
          <t>yes</t>
        </is>
      </c>
      <c r="Z388" s="5" t="inlineStr">
        <is>
          <t>yes</t>
        </is>
      </c>
      <c r="AA388" s="5" t="n">
        <v>5.16</v>
      </c>
      <c r="AB388" s="5" t="n"/>
      <c r="AC388" s="5" t="n"/>
      <c r="AD388" s="5" t="n"/>
      <c r="AE388" s="5" t="n">
        <v>3571.8</v>
      </c>
      <c r="AF388" s="5" t="n">
        <v>3215.9</v>
      </c>
      <c r="AG388" s="5" t="n">
        <v>3587.4</v>
      </c>
      <c r="AH388" s="5" t="n">
        <v>3253.8</v>
      </c>
      <c r="AI388" s="5" t="inlineStr">
        <is>
          <t>yes</t>
        </is>
      </c>
      <c r="AJ388" s="5" t="inlineStr">
        <is>
          <t>shear_wall</t>
        </is>
      </c>
      <c r="AK388" s="5" t="inlineStr"/>
      <c r="AL388" s="5" t="inlineStr">
        <is>
          <t>(0.87, 0.0, 0.87)</t>
        </is>
      </c>
      <c r="AM388" s="5" t="inlineStr">
        <is>
          <t>DM-VOILE</t>
        </is>
      </c>
    </row>
    <row r="389">
      <c r="A389" s="5" t="n">
        <v>388</v>
      </c>
      <c r="B389" s="5" t="inlineStr">
        <is>
          <t>124</t>
        </is>
      </c>
      <c r="C389" s="5" t="inlineStr">
        <is>
          <t>own label</t>
        </is>
      </c>
      <c r="D389" s="5" t="inlineStr">
        <is>
          <t>wall</t>
        </is>
      </c>
      <c r="E389" s="5" t="inlineStr">
        <is>
          <t>shear_wall</t>
        </is>
      </c>
      <c r="F389" s="5" t="inlineStr">
        <is>
          <t>V8/124</t>
        </is>
      </c>
      <c r="G389" s="5" t="inlineStr">
        <is>
          <t>V8/124/124</t>
        </is>
      </c>
      <c r="H389" s="5" t="inlineStr">
        <is>
          <t>printed</t>
        </is>
      </c>
      <c r="I389" s="5" t="n">
        <v>125</v>
      </c>
      <c r="J389" s="5" t="n">
        <v>30</v>
      </c>
      <c r="K389" s="9">
        <f>IF(AND(ISNUMBER(I389),ISNUMBER(J389),J389&gt;0),I389/J389,"")</f>
        <v/>
      </c>
      <c r="L389" s="5" t="n">
        <v>0.375</v>
      </c>
      <c r="M389" s="5" t="n"/>
      <c r="N389" s="5" t="n">
        <v>79.3</v>
      </c>
      <c r="O389" s="5" t="inlineStr">
        <is>
          <t>solid fill</t>
        </is>
      </c>
      <c r="P389" s="5" t="inlineStr">
        <is>
          <t>solid fill, rectangle, L &gt; 4 W (EN 1992-1-1 5.3.1(7))</t>
        </is>
      </c>
      <c r="Q389" s="5">
        <f>IF(OR(D389="column",D389="wall"),IF(I389&lt;='P vs V'!$B$3*J389,"column","wall"),"")</f>
        <v/>
      </c>
      <c r="R389" s="5" t="inlineStr">
        <is>
          <t>SC1</t>
        </is>
      </c>
      <c r="S389" s="5" t="inlineStr"/>
      <c r="T389" s="5" t="n"/>
      <c r="U389" s="5" t="inlineStr">
        <is>
          <t>no</t>
        </is>
      </c>
      <c r="V389" s="5" t="inlineStr">
        <is>
          <t>no</t>
        </is>
      </c>
      <c r="W389" s="5" t="inlineStr">
        <is>
          <t>yes</t>
        </is>
      </c>
      <c r="X389" s="5" t="inlineStr">
        <is>
          <t>no</t>
        </is>
      </c>
      <c r="Y389" s="5" t="inlineStr">
        <is>
          <t>yes</t>
        </is>
      </c>
      <c r="Z389" s="5" t="inlineStr">
        <is>
          <t>yes</t>
        </is>
      </c>
      <c r="AA389" s="5" t="n">
        <v>5.15</v>
      </c>
      <c r="AB389" s="5" t="n"/>
      <c r="AC389" s="5" t="n"/>
      <c r="AD389" s="5" t="n"/>
      <c r="AE389" s="5" t="n">
        <v>3617.4</v>
      </c>
      <c r="AF389" s="5" t="n">
        <v>3458.2</v>
      </c>
      <c r="AG389" s="5" t="n">
        <v>3633</v>
      </c>
      <c r="AH389" s="5" t="n">
        <v>3496.1</v>
      </c>
      <c r="AI389" s="5" t="inlineStr">
        <is>
          <t>new</t>
        </is>
      </c>
      <c r="AJ389" s="5" t="inlineStr"/>
      <c r="AK389" s="5" t="inlineStr">
        <is>
          <t>piece of a wall network the colour pipeline left unsplit</t>
        </is>
      </c>
      <c r="AL389" s="5" t="inlineStr">
        <is>
          <t>(0.87, 0.0, 0.87)</t>
        </is>
      </c>
      <c r="AM389" s="5" t="inlineStr">
        <is>
          <t>DM-VOILE</t>
        </is>
      </c>
    </row>
    <row r="390">
      <c r="A390" s="5" t="n">
        <v>389</v>
      </c>
      <c r="B390" s="5" t="inlineStr">
        <is>
          <t>124</t>
        </is>
      </c>
      <c r="C390" s="5" t="inlineStr">
        <is>
          <t>nearest labels (100% agree)</t>
        </is>
      </c>
      <c r="D390" s="5" t="inlineStr">
        <is>
          <t>wall</t>
        </is>
      </c>
      <c r="E390" s="5" t="inlineStr">
        <is>
          <t>core_wall_hatched</t>
        </is>
      </c>
      <c r="F390" s="5" t="inlineStr">
        <is>
          <t>(none)</t>
        </is>
      </c>
      <c r="G390" s="5" t="inlineStr"/>
      <c r="H390" s="5" t="inlineStr">
        <is>
          <t>none</t>
        </is>
      </c>
      <c r="I390" s="5" t="n">
        <v>122</v>
      </c>
      <c r="J390" s="5" t="n">
        <v>20</v>
      </c>
      <c r="K390" s="9">
        <f>IF(AND(ISNUMBER(I390),ISNUMBER(J390),J390&gt;0),I390/J390,"")</f>
        <v/>
      </c>
      <c r="L390" s="5" t="n">
        <v>0.247</v>
      </c>
      <c r="M390" s="5" t="n">
        <v>1.22</v>
      </c>
      <c r="N390" s="5" t="n">
        <v>169.4</v>
      </c>
      <c r="O390" s="5" t="inlineStr">
        <is>
          <t>cross-hatch</t>
        </is>
      </c>
      <c r="P390" s="5" t="inlineStr">
        <is>
          <t>cross-hatch of short strokes in two perpendicular families</t>
        </is>
      </c>
      <c r="Q390" s="5">
        <f>IF(OR(D390="column",D390="wall"),IF(I390&lt;='P vs V'!$B$3*J390,"column","wall"),"")</f>
        <v/>
      </c>
      <c r="R390" s="5" t="inlineStr"/>
      <c r="S390" s="5" t="inlineStr"/>
      <c r="T390" s="5" t="n"/>
      <c r="U390" s="5" t="inlineStr">
        <is>
          <t>yes</t>
        </is>
      </c>
      <c r="V390" s="5" t="inlineStr">
        <is>
          <t>no</t>
        </is>
      </c>
      <c r="W390" s="5" t="inlineStr">
        <is>
          <t>no</t>
        </is>
      </c>
      <c r="X390" s="5" t="inlineStr">
        <is>
          <t>no</t>
        </is>
      </c>
      <c r="Y390" s="5" t="inlineStr">
        <is>
          <t>no</t>
        </is>
      </c>
      <c r="Z390" s="5" t="inlineStr">
        <is>
          <t>no</t>
        </is>
      </c>
      <c r="AA390" s="5" t="n">
        <v>0.14</v>
      </c>
      <c r="AB390" s="5" t="n">
        <v>0.28</v>
      </c>
      <c r="AC390" s="5" t="n"/>
      <c r="AD390" s="5" t="n"/>
      <c r="AE390" s="5" t="n">
        <v>4029.6</v>
      </c>
      <c r="AF390" s="5" t="n">
        <v>3308</v>
      </c>
      <c r="AG390" s="5" t="n">
        <v>4082.2</v>
      </c>
      <c r="AH390" s="5" t="n">
        <v>3322.1</v>
      </c>
      <c r="AI390" s="5" t="inlineStr">
        <is>
          <t>n/a</t>
        </is>
      </c>
      <c r="AJ390" s="5" t="inlineStr"/>
      <c r="AK390" s="5" t="inlineStr"/>
      <c r="AL390" s="5" t="inlineStr"/>
      <c r="AM390" s="5" t="inlineStr"/>
    </row>
    <row r="391">
      <c r="A391" s="5" t="n">
        <v>390</v>
      </c>
      <c r="B391" s="5" t="inlineStr">
        <is>
          <t>124</t>
        </is>
      </c>
      <c r="C391" s="5" t="inlineStr">
        <is>
          <t>nearest labels (100% agree)</t>
        </is>
      </c>
      <c r="D391" s="5" t="inlineStr">
        <is>
          <t>wall</t>
        </is>
      </c>
      <c r="E391" s="5" t="inlineStr">
        <is>
          <t>core_wall_hatched</t>
        </is>
      </c>
      <c r="F391" s="5" t="inlineStr">
        <is>
          <t>(none)</t>
        </is>
      </c>
      <c r="G391" s="5" t="inlineStr"/>
      <c r="H391" s="5" t="inlineStr">
        <is>
          <t>none</t>
        </is>
      </c>
      <c r="I391" s="5" t="n">
        <v>408</v>
      </c>
      <c r="J391" s="5" t="n">
        <v>20</v>
      </c>
      <c r="K391" s="9">
        <f>IF(AND(ISNUMBER(I391),ISNUMBER(J391),J391&gt;0),I391/J391,"")</f>
        <v/>
      </c>
      <c r="L391" s="5" t="n">
        <v>0.824</v>
      </c>
      <c r="M391" s="5" t="n">
        <v>4.08</v>
      </c>
      <c r="N391" s="5" t="n">
        <v>79.40000000000001</v>
      </c>
      <c r="O391" s="5" t="inlineStr">
        <is>
          <t>cross-hatch</t>
        </is>
      </c>
      <c r="P391" s="5" t="inlineStr">
        <is>
          <t>cross-hatch of short strokes in two perpendicular families</t>
        </is>
      </c>
      <c r="Q391" s="5">
        <f>IF(OR(D391="column",D391="wall"),IF(I391&lt;='P vs V'!$B$3*J391,"column","wall"),"")</f>
        <v/>
      </c>
      <c r="R391" s="5" t="inlineStr"/>
      <c r="S391" s="5" t="inlineStr"/>
      <c r="T391" s="5" t="n"/>
      <c r="U391" s="5" t="inlineStr">
        <is>
          <t>yes</t>
        </is>
      </c>
      <c r="V391" s="5" t="inlineStr">
        <is>
          <t>no</t>
        </is>
      </c>
      <c r="W391" s="5" t="inlineStr">
        <is>
          <t>no</t>
        </is>
      </c>
      <c r="X391" s="5" t="inlineStr">
        <is>
          <t>no</t>
        </is>
      </c>
      <c r="Y391" s="5" t="inlineStr">
        <is>
          <t>no</t>
        </is>
      </c>
      <c r="Z391" s="5" t="inlineStr">
        <is>
          <t>no</t>
        </is>
      </c>
      <c r="AA391" s="5" t="n">
        <v>0.03</v>
      </c>
      <c r="AB391" s="5" t="n">
        <v>0.28</v>
      </c>
      <c r="AC391" s="5" t="n"/>
      <c r="AD391" s="5" t="n"/>
      <c r="AE391" s="5" t="n">
        <v>4008.9</v>
      </c>
      <c r="AF391" s="5" t="n">
        <v>3352.9</v>
      </c>
      <c r="AG391" s="5" t="n">
        <v>4033.3</v>
      </c>
      <c r="AH391" s="5" t="n">
        <v>3435.6</v>
      </c>
      <c r="AI391" s="5" t="inlineStr">
        <is>
          <t>n/a</t>
        </is>
      </c>
      <c r="AJ391" s="5" t="inlineStr"/>
      <c r="AK391" s="5" t="inlineStr"/>
      <c r="AL391" s="5" t="inlineStr"/>
      <c r="AM391" s="5" t="inlineStr"/>
    </row>
    <row r="392">
      <c r="A392" s="5" t="n">
        <v>391</v>
      </c>
      <c r="B392" s="5" t="inlineStr">
        <is>
          <t>124</t>
        </is>
      </c>
      <c r="C392" s="5" t="inlineStr">
        <is>
          <t>nearest labels (100% agree)</t>
        </is>
      </c>
      <c r="D392" s="5" t="inlineStr">
        <is>
          <t>wall</t>
        </is>
      </c>
      <c r="E392" s="5" t="inlineStr">
        <is>
          <t>core_wall_hatched</t>
        </is>
      </c>
      <c r="F392" s="5" t="inlineStr">
        <is>
          <t>(none)</t>
        </is>
      </c>
      <c r="G392" s="5" t="inlineStr"/>
      <c r="H392" s="5" t="inlineStr">
        <is>
          <t>none</t>
        </is>
      </c>
      <c r="I392" s="5" t="n">
        <v>126</v>
      </c>
      <c r="J392" s="5" t="n">
        <v>20</v>
      </c>
      <c r="K392" s="9">
        <f>IF(AND(ISNUMBER(I392),ISNUMBER(J392),J392&gt;0),I392/J392,"")</f>
        <v/>
      </c>
      <c r="L392" s="5" t="n">
        <v>0.255</v>
      </c>
      <c r="M392" s="5" t="n">
        <v>1.26</v>
      </c>
      <c r="N392" s="5" t="n">
        <v>79.40000000000001</v>
      </c>
      <c r="O392" s="5" t="inlineStr">
        <is>
          <t>cross-hatch</t>
        </is>
      </c>
      <c r="P392" s="5" t="inlineStr">
        <is>
          <t>cross-hatch of short strokes in two perpendicular families</t>
        </is>
      </c>
      <c r="Q392" s="5">
        <f>IF(OR(D392="column",D392="wall"),IF(I392&lt;='P vs V'!$B$3*J392,"column","wall"),"")</f>
        <v/>
      </c>
      <c r="R392" s="5" t="inlineStr"/>
      <c r="S392" s="5" t="inlineStr"/>
      <c r="T392" s="5" t="n"/>
      <c r="U392" s="5" t="inlineStr">
        <is>
          <t>yes</t>
        </is>
      </c>
      <c r="V392" s="5" t="inlineStr">
        <is>
          <t>no</t>
        </is>
      </c>
      <c r="W392" s="5" t="inlineStr">
        <is>
          <t>no</t>
        </is>
      </c>
      <c r="X392" s="5" t="inlineStr">
        <is>
          <t>no</t>
        </is>
      </c>
      <c r="Y392" s="5" t="inlineStr">
        <is>
          <t>no</t>
        </is>
      </c>
      <c r="Z392" s="5" t="inlineStr">
        <is>
          <t>no</t>
        </is>
      </c>
      <c r="AA392" s="5" t="n">
        <v>0.59</v>
      </c>
      <c r="AB392" s="5" t="n">
        <v>0.28</v>
      </c>
      <c r="AC392" s="5" t="n"/>
      <c r="AD392" s="5" t="n"/>
      <c r="AE392" s="5" t="n">
        <v>4060</v>
      </c>
      <c r="AF392" s="5" t="n">
        <v>3426.4</v>
      </c>
      <c r="AG392" s="5" t="n">
        <v>4076.4</v>
      </c>
      <c r="AH392" s="5" t="n">
        <v>3481.9</v>
      </c>
      <c r="AI392" s="5" t="inlineStr">
        <is>
          <t>n/a</t>
        </is>
      </c>
      <c r="AJ392" s="5" t="inlineStr"/>
      <c r="AK392" s="5" t="inlineStr"/>
      <c r="AL392" s="5" t="inlineStr"/>
      <c r="AM392" s="5" t="inlineStr"/>
    </row>
    <row r="393">
      <c r="A393" s="5" t="n">
        <v>392</v>
      </c>
      <c r="B393" s="5" t="inlineStr">
        <is>
          <t>124</t>
        </is>
      </c>
      <c r="C393" s="5" t="inlineStr">
        <is>
          <t>nearest labels (60% agree)</t>
        </is>
      </c>
      <c r="D393" s="5" t="inlineStr">
        <is>
          <t>footing</t>
        </is>
      </c>
      <c r="E393" s="5" t="inlineStr">
        <is>
          <t>combined_footing</t>
        </is>
      </c>
      <c r="F393" s="5" t="inlineStr">
        <is>
          <t>SC2</t>
        </is>
      </c>
      <c r="G393" s="5" t="inlineStr">
        <is>
          <t>SC2-</t>
        </is>
      </c>
      <c r="H393" s="5" t="inlineStr">
        <is>
          <t>printed</t>
        </is>
      </c>
      <c r="I393" s="5" t="n">
        <v>350</v>
      </c>
      <c r="J393" s="5" t="n">
        <v>200</v>
      </c>
      <c r="K393" s="9">
        <f>IF(AND(ISNUMBER(I393),ISNUMBER(J393),J393&gt;0),I393/J393,"")</f>
        <v/>
      </c>
      <c r="L393" s="5" t="n">
        <v>7.001</v>
      </c>
      <c r="M393" s="5" t="n"/>
      <c r="N393" s="5" t="n">
        <v>79.3</v>
      </c>
      <c r="O393" s="5" t="inlineStr">
        <is>
          <t>closed outline</t>
        </is>
      </c>
      <c r="P393" s="5" t="inlineStr">
        <is>
          <t>closed rectangular outline around a column/wall or next to an S/SC label</t>
        </is>
      </c>
      <c r="Q393" s="5">
        <f>IF(OR(D393="column",D393="wall"),IF(I393&lt;='P vs V'!$B$3*J393,"column","wall"),"")</f>
        <v/>
      </c>
      <c r="R393" s="5" t="inlineStr"/>
      <c r="S393" s="5" t="inlineStr">
        <is>
          <t>wall+wall</t>
        </is>
      </c>
      <c r="T393" s="5" t="n">
        <v>3</v>
      </c>
      <c r="U393" s="5" t="inlineStr">
        <is>
          <t>no</t>
        </is>
      </c>
      <c r="V393" s="5" t="inlineStr">
        <is>
          <t>no</t>
        </is>
      </c>
      <c r="W393" s="5" t="inlineStr">
        <is>
          <t>yes</t>
        </is>
      </c>
      <c r="X393" s="5" t="inlineStr">
        <is>
          <t>no</t>
        </is>
      </c>
      <c r="Y393" s="5" t="inlineStr">
        <is>
          <t>yes</t>
        </is>
      </c>
      <c r="Z393" s="5" t="inlineStr">
        <is>
          <t>yes</t>
        </is>
      </c>
      <c r="AA393" s="5" t="n">
        <v>4.93</v>
      </c>
      <c r="AB393" s="5" t="n"/>
      <c r="AC393" s="5" t="n"/>
      <c r="AD393" s="5" t="n"/>
      <c r="AE393" s="5" t="n">
        <v>3488.6</v>
      </c>
      <c r="AF393" s="5" t="n">
        <v>2936.5</v>
      </c>
      <c r="AG393" s="5" t="n">
        <v>3565.7</v>
      </c>
      <c r="AH393" s="5" t="n">
        <v>3049</v>
      </c>
      <c r="AI393" s="5" t="inlineStr">
        <is>
          <t>yes</t>
        </is>
      </c>
      <c r="AJ393" s="5" t="inlineStr">
        <is>
          <t>combined_footing</t>
        </is>
      </c>
      <c r="AK393" s="5" t="inlineStr"/>
      <c r="AL393" s="5" t="inlineStr">
        <is>
          <t>(0.72, 0.72, 0.0)</t>
        </is>
      </c>
      <c r="AM393" s="5" t="inlineStr">
        <is>
          <t>DM-SEMELLES</t>
        </is>
      </c>
    </row>
    <row r="394">
      <c r="A394" s="5" t="n">
        <v>393</v>
      </c>
      <c r="B394" s="5" t="inlineStr">
        <is>
          <t>124</t>
        </is>
      </c>
      <c r="C394" s="5" t="inlineStr">
        <is>
          <t>nearest labels (80% agree)</t>
        </is>
      </c>
      <c r="D394" s="5" t="inlineStr">
        <is>
          <t>footing</t>
        </is>
      </c>
      <c r="E394" s="5" t="inlineStr">
        <is>
          <t>combined_footing</t>
        </is>
      </c>
      <c r="F394" s="5" t="inlineStr">
        <is>
          <t>SC3</t>
        </is>
      </c>
      <c r="G394" s="5" t="inlineStr">
        <is>
          <t>SC3-</t>
        </is>
      </c>
      <c r="H394" s="5" t="inlineStr">
        <is>
          <t>printed</t>
        </is>
      </c>
      <c r="I394" s="5" t="n">
        <v>500</v>
      </c>
      <c r="J394" s="5" t="n">
        <v>450</v>
      </c>
      <c r="K394" s="9">
        <f>IF(AND(ISNUMBER(I394),ISNUMBER(J394),J394&gt;0),I394/J394,"")</f>
        <v/>
      </c>
      <c r="L394" s="5" t="n">
        <v>22.502</v>
      </c>
      <c r="M394" s="5" t="n"/>
      <c r="N394" s="5" t="n">
        <v>168.8</v>
      </c>
      <c r="O394" s="5" t="inlineStr">
        <is>
          <t>closed outline</t>
        </is>
      </c>
      <c r="P394" s="5" t="inlineStr">
        <is>
          <t>closed rectangular outline around a column/wall or next to an S/SC label</t>
        </is>
      </c>
      <c r="Q394" s="5">
        <f>IF(OR(D394="column",D394="wall"),IF(I394&lt;='P vs V'!$B$3*J394,"column","wall"),"")</f>
        <v/>
      </c>
      <c r="R394" s="5" t="inlineStr"/>
      <c r="S394" s="5" t="inlineStr">
        <is>
          <t>wall+wall+wall+wall</t>
        </is>
      </c>
      <c r="T394" s="5" t="n">
        <v>65</v>
      </c>
      <c r="U394" s="5" t="inlineStr">
        <is>
          <t>no</t>
        </is>
      </c>
      <c r="V394" s="5" t="inlineStr">
        <is>
          <t>no</t>
        </is>
      </c>
      <c r="W394" s="5" t="inlineStr">
        <is>
          <t>yes</t>
        </is>
      </c>
      <c r="X394" s="5" t="inlineStr">
        <is>
          <t>no</t>
        </is>
      </c>
      <c r="Y394" s="5" t="inlineStr">
        <is>
          <t>yes</t>
        </is>
      </c>
      <c r="Z394" s="5" t="inlineStr">
        <is>
          <t>no</t>
        </is>
      </c>
      <c r="AA394" s="5" t="n">
        <v>2.41</v>
      </c>
      <c r="AB394" s="5" t="n"/>
      <c r="AC394" s="5" t="n"/>
      <c r="AD394" s="5" t="n"/>
      <c r="AE394" s="5" t="n">
        <v>4164.4</v>
      </c>
      <c r="AF394" s="5" t="n">
        <v>3262.5</v>
      </c>
      <c r="AG394" s="5" t="n">
        <v>4335</v>
      </c>
      <c r="AH394" s="5" t="n">
        <v>3421.6</v>
      </c>
      <c r="AI394" s="5" t="inlineStr">
        <is>
          <t>yes</t>
        </is>
      </c>
      <c r="AJ394" s="5" t="inlineStr">
        <is>
          <t>combined_footing</t>
        </is>
      </c>
      <c r="AK394" s="5" t="inlineStr"/>
      <c r="AL394" s="5" t="inlineStr">
        <is>
          <t>(0.72, 0.72, 0.0)</t>
        </is>
      </c>
      <c r="AM394" s="5" t="inlineStr">
        <is>
          <t>DM-SEMELLES</t>
        </is>
      </c>
    </row>
    <row r="395">
      <c r="A395" s="5" t="n">
        <v>394</v>
      </c>
      <c r="B395" s="5" t="inlineStr">
        <is>
          <t>124</t>
        </is>
      </c>
      <c r="C395" s="5" t="inlineStr">
        <is>
          <t>nearest labels (60% agree)</t>
        </is>
      </c>
      <c r="D395" s="5" t="inlineStr">
        <is>
          <t>footing</t>
        </is>
      </c>
      <c r="E395" s="5" t="inlineStr">
        <is>
          <t>combined_footing</t>
        </is>
      </c>
      <c r="F395" s="5" t="inlineStr">
        <is>
          <t>SC3</t>
        </is>
      </c>
      <c r="G395" s="5" t="inlineStr">
        <is>
          <t>SC3-</t>
        </is>
      </c>
      <c r="H395" s="5" t="inlineStr">
        <is>
          <t>printed</t>
        </is>
      </c>
      <c r="I395" s="5" t="n">
        <v>500</v>
      </c>
      <c r="J395" s="5" t="n">
        <v>450</v>
      </c>
      <c r="K395" s="9">
        <f>IF(AND(ISNUMBER(I395),ISNUMBER(J395),J395&gt;0),I395/J395,"")</f>
        <v/>
      </c>
      <c r="L395" s="5" t="n">
        <v>22.496</v>
      </c>
      <c r="M395" s="5" t="n"/>
      <c r="N395" s="5" t="n">
        <v>78.8</v>
      </c>
      <c r="O395" s="5" t="inlineStr">
        <is>
          <t>closed outline</t>
        </is>
      </c>
      <c r="P395" s="5" t="inlineStr">
        <is>
          <t>closed rectangular outline around a column/wall or next to an S/SC label</t>
        </is>
      </c>
      <c r="Q395" s="5">
        <f>IF(OR(D395="column",D395="wall"),IF(I395&lt;='P vs V'!$B$3*J395,"column","wall"),"")</f>
        <v/>
      </c>
      <c r="R395" s="5" t="inlineStr"/>
      <c r="S395" s="5" t="inlineStr">
        <is>
          <t>column+wall+wall</t>
        </is>
      </c>
      <c r="T395" s="5" t="n">
        <v>8</v>
      </c>
      <c r="U395" s="5" t="inlineStr">
        <is>
          <t>no</t>
        </is>
      </c>
      <c r="V395" s="5" t="inlineStr">
        <is>
          <t>no</t>
        </is>
      </c>
      <c r="W395" s="5" t="inlineStr">
        <is>
          <t>yes</t>
        </is>
      </c>
      <c r="X395" s="5" t="inlineStr">
        <is>
          <t>no</t>
        </is>
      </c>
      <c r="Y395" s="5" t="inlineStr">
        <is>
          <t>yes</t>
        </is>
      </c>
      <c r="Z395" s="5" t="inlineStr">
        <is>
          <t>yes</t>
        </is>
      </c>
      <c r="AA395" s="5" t="n">
        <v>3.23</v>
      </c>
      <c r="AB395" s="5" t="n"/>
      <c r="AC395" s="5" t="n"/>
      <c r="AD395" s="5" t="n"/>
      <c r="AE395" s="5" t="n">
        <v>4171.9</v>
      </c>
      <c r="AF395" s="5" t="n">
        <v>3027.2</v>
      </c>
      <c r="AG395" s="5" t="n">
        <v>4330.9</v>
      </c>
      <c r="AH395" s="5" t="n">
        <v>3197.8</v>
      </c>
      <c r="AI395" s="5" t="inlineStr">
        <is>
          <t>yes</t>
        </is>
      </c>
      <c r="AJ395" s="5" t="inlineStr">
        <is>
          <t>combined_footing</t>
        </is>
      </c>
      <c r="AK395" s="5" t="inlineStr"/>
      <c r="AL395" s="5" t="inlineStr">
        <is>
          <t>(0.72, 0.72, 0.0)</t>
        </is>
      </c>
      <c r="AM395" s="5" t="inlineStr">
        <is>
          <t>DM-SEMELLES</t>
        </is>
      </c>
    </row>
    <row r="396">
      <c r="A396" s="5" t="n">
        <v>395</v>
      </c>
      <c r="B396" s="5" t="inlineStr">
        <is>
          <t>124</t>
        </is>
      </c>
      <c r="C396" s="5" t="inlineStr">
        <is>
          <t>nearest labels (60% agree)</t>
        </is>
      </c>
      <c r="D396" s="5" t="inlineStr">
        <is>
          <t>footing</t>
        </is>
      </c>
      <c r="E396" s="5" t="inlineStr">
        <is>
          <t>combined_footing</t>
        </is>
      </c>
      <c r="F396" s="5" t="inlineStr">
        <is>
          <t>SC3</t>
        </is>
      </c>
      <c r="G396" s="5" t="inlineStr">
        <is>
          <t>SC3-</t>
        </is>
      </c>
      <c r="H396" s="5" t="inlineStr">
        <is>
          <t>printed</t>
        </is>
      </c>
      <c r="I396" s="5" t="n">
        <v>500</v>
      </c>
      <c r="J396" s="5" t="n">
        <v>450</v>
      </c>
      <c r="K396" s="9">
        <f>IF(AND(ISNUMBER(I396),ISNUMBER(J396),J396&gt;0),I396/J396,"")</f>
        <v/>
      </c>
      <c r="L396" s="5" t="n">
        <v>22.496</v>
      </c>
      <c r="M396" s="5" t="n"/>
      <c r="N396" s="5" t="n">
        <v>78.8</v>
      </c>
      <c r="O396" s="5" t="inlineStr">
        <is>
          <t>closed outline</t>
        </is>
      </c>
      <c r="P396" s="5" t="inlineStr">
        <is>
          <t>closed rectangular outline around a column/wall or next to an S/SC label</t>
        </is>
      </c>
      <c r="Q396" s="5">
        <f>IF(OR(D396="column",D396="wall"),IF(I396&lt;='P vs V'!$B$3*J396,"column","wall"),"")</f>
        <v/>
      </c>
      <c r="R396" s="5" t="inlineStr"/>
      <c r="S396" s="5" t="inlineStr">
        <is>
          <t>wall+wall</t>
        </is>
      </c>
      <c r="T396" s="5" t="n">
        <v>15</v>
      </c>
      <c r="U396" s="5" t="inlineStr">
        <is>
          <t>no</t>
        </is>
      </c>
      <c r="V396" s="5" t="inlineStr">
        <is>
          <t>no</t>
        </is>
      </c>
      <c r="W396" s="5" t="inlineStr">
        <is>
          <t>yes</t>
        </is>
      </c>
      <c r="X396" s="5" t="inlineStr">
        <is>
          <t>no</t>
        </is>
      </c>
      <c r="Y396" s="5" t="inlineStr">
        <is>
          <t>yes</t>
        </is>
      </c>
      <c r="Z396" s="5" t="inlineStr">
        <is>
          <t>yes</t>
        </is>
      </c>
      <c r="AA396" s="5" t="n">
        <v>5.01</v>
      </c>
      <c r="AB396" s="5" t="n"/>
      <c r="AC396" s="5" t="n"/>
      <c r="AD396" s="5" t="n"/>
      <c r="AE396" s="5" t="n">
        <v>3496.5</v>
      </c>
      <c r="AF396" s="5" t="n">
        <v>3154.4</v>
      </c>
      <c r="AG396" s="5" t="n">
        <v>3655.5</v>
      </c>
      <c r="AH396" s="5" t="n">
        <v>3325</v>
      </c>
      <c r="AI396" s="5" t="inlineStr">
        <is>
          <t>yes</t>
        </is>
      </c>
      <c r="AJ396" s="5" t="inlineStr">
        <is>
          <t>combined_footing</t>
        </is>
      </c>
      <c r="AK396" s="5" t="inlineStr"/>
      <c r="AL396" s="5" t="inlineStr">
        <is>
          <t>(0.72, 0.72, 0.0)</t>
        </is>
      </c>
      <c r="AM396" s="5" t="inlineStr">
        <is>
          <t>DM-SEMELLES</t>
        </is>
      </c>
    </row>
    <row r="397">
      <c r="A397" s="5" t="n">
        <v>396</v>
      </c>
      <c r="B397" s="5" t="inlineStr">
        <is>
          <t>124</t>
        </is>
      </c>
      <c r="C397" s="5" t="inlineStr">
        <is>
          <t>nearest labels (60% agree)</t>
        </is>
      </c>
      <c r="D397" s="5" t="inlineStr">
        <is>
          <t>footing</t>
        </is>
      </c>
      <c r="E397" s="5" t="inlineStr">
        <is>
          <t>combined_footing</t>
        </is>
      </c>
      <c r="F397" s="5" t="inlineStr">
        <is>
          <t>SC5</t>
        </is>
      </c>
      <c r="G397" s="5" t="inlineStr">
        <is>
          <t>SC5-</t>
        </is>
      </c>
      <c r="H397" s="5" t="inlineStr">
        <is>
          <t>printed</t>
        </is>
      </c>
      <c r="I397" s="5" t="n">
        <v>500</v>
      </c>
      <c r="J397" s="5" t="n">
        <v>400</v>
      </c>
      <c r="K397" s="9">
        <f>IF(AND(ISNUMBER(I397),ISNUMBER(J397),J397&gt;0),I397/J397,"")</f>
        <v/>
      </c>
      <c r="L397" s="5" t="n">
        <v>19.999</v>
      </c>
      <c r="M397" s="5" t="n"/>
      <c r="N397" s="5" t="n">
        <v>79.3</v>
      </c>
      <c r="O397" s="5" t="inlineStr">
        <is>
          <t>closed outline</t>
        </is>
      </c>
      <c r="P397" s="5" t="inlineStr">
        <is>
          <t>closed rectangular outline around a column/wall or next to an S/SC label</t>
        </is>
      </c>
      <c r="Q397" s="5">
        <f>IF(OR(D397="column",D397="wall"),IF(I397&lt;='P vs V'!$B$3*J397,"column","wall"),"")</f>
        <v/>
      </c>
      <c r="R397" s="5" t="inlineStr"/>
      <c r="S397" s="5" t="inlineStr">
        <is>
          <t>wall+wall</t>
        </is>
      </c>
      <c r="T397" s="5" t="n">
        <v>30</v>
      </c>
      <c r="U397" s="5" t="inlineStr">
        <is>
          <t>no</t>
        </is>
      </c>
      <c r="V397" s="5" t="inlineStr">
        <is>
          <t>no</t>
        </is>
      </c>
      <c r="W397" s="5" t="inlineStr">
        <is>
          <t>yes</t>
        </is>
      </c>
      <c r="X397" s="5" t="inlineStr">
        <is>
          <t>no</t>
        </is>
      </c>
      <c r="Y397" s="5" t="inlineStr">
        <is>
          <t>yes</t>
        </is>
      </c>
      <c r="Z397" s="5" t="inlineStr">
        <is>
          <t>no</t>
        </is>
      </c>
      <c r="AA397" s="5" t="n">
        <v>4.68</v>
      </c>
      <c r="AB397" s="5" t="n"/>
      <c r="AC397" s="5" t="n"/>
      <c r="AD397" s="5" t="n"/>
      <c r="AE397" s="5" t="n">
        <v>3578.9</v>
      </c>
      <c r="AF397" s="5" t="n">
        <v>3604.5</v>
      </c>
      <c r="AG397" s="5" t="n">
        <v>3722.4</v>
      </c>
      <c r="AH397" s="5" t="n">
        <v>3771.4</v>
      </c>
      <c r="AI397" s="5" t="inlineStr">
        <is>
          <t>yes</t>
        </is>
      </c>
      <c r="AJ397" s="5" t="inlineStr">
        <is>
          <t>combined_footing</t>
        </is>
      </c>
      <c r="AK397" s="5" t="inlineStr"/>
      <c r="AL397" s="5" t="inlineStr">
        <is>
          <t>(0.72, 0.72, 0.0)</t>
        </is>
      </c>
      <c r="AM397" s="5" t="inlineStr">
        <is>
          <t>DM-SEMELLES</t>
        </is>
      </c>
    </row>
    <row r="398">
      <c r="A398" s="5" t="n">
        <v>397</v>
      </c>
      <c r="B398" s="5" t="inlineStr">
        <is>
          <t>124</t>
        </is>
      </c>
      <c r="C398" s="5" t="inlineStr">
        <is>
          <t>nearest labels (100% agree)</t>
        </is>
      </c>
      <c r="D398" s="5" t="inlineStr">
        <is>
          <t>footing</t>
        </is>
      </c>
      <c r="E398" s="5" t="inlineStr">
        <is>
          <t>combined_footing</t>
        </is>
      </c>
      <c r="F398" s="5" t="inlineStr">
        <is>
          <t>SC6</t>
        </is>
      </c>
      <c r="G398" s="5" t="inlineStr">
        <is>
          <t>SC6</t>
        </is>
      </c>
      <c r="H398" s="5" t="inlineStr">
        <is>
          <t>printed</t>
        </is>
      </c>
      <c r="I398" s="5" t="n">
        <v>600</v>
      </c>
      <c r="J398" s="5" t="n">
        <v>450</v>
      </c>
      <c r="K398" s="9">
        <f>IF(AND(ISNUMBER(I398),ISNUMBER(J398),J398&gt;0),I398/J398,"")</f>
        <v/>
      </c>
      <c r="L398" s="5" t="n">
        <v>27.004</v>
      </c>
      <c r="M398" s="5" t="n"/>
      <c r="N398" s="5" t="n">
        <v>79.3</v>
      </c>
      <c r="O398" s="5" t="inlineStr">
        <is>
          <t>closed outline</t>
        </is>
      </c>
      <c r="P398" s="5" t="inlineStr">
        <is>
          <t>closed rectangular outline around a column/wall or next to an S/SC label</t>
        </is>
      </c>
      <c r="Q398" s="5">
        <f>IF(OR(D398="column",D398="wall"),IF(I398&lt;='P vs V'!$B$3*J398,"column","wall"),"")</f>
        <v/>
      </c>
      <c r="R398" s="5" t="inlineStr"/>
      <c r="S398" s="5" t="inlineStr">
        <is>
          <t>column+wall</t>
        </is>
      </c>
      <c r="T398" s="5" t="n">
        <v>31</v>
      </c>
      <c r="U398" s="5" t="inlineStr">
        <is>
          <t>no</t>
        </is>
      </c>
      <c r="V398" s="5" t="inlineStr">
        <is>
          <t>no</t>
        </is>
      </c>
      <c r="W398" s="5" t="inlineStr">
        <is>
          <t>yes</t>
        </is>
      </c>
      <c r="X398" s="5" t="inlineStr">
        <is>
          <t>no</t>
        </is>
      </c>
      <c r="Y398" s="5" t="inlineStr">
        <is>
          <t>yes</t>
        </is>
      </c>
      <c r="Z398" s="5" t="inlineStr">
        <is>
          <t>yes</t>
        </is>
      </c>
      <c r="AA398" s="5" t="n">
        <v>1.28</v>
      </c>
      <c r="AB398" s="5" t="n"/>
      <c r="AC398" s="5" t="n"/>
      <c r="AD398" s="5" t="n"/>
      <c r="AE398" s="5" t="n">
        <v>3864.5</v>
      </c>
      <c r="AF398" s="5" t="n">
        <v>3097.6</v>
      </c>
      <c r="AG398" s="5" t="n">
        <v>4027.9</v>
      </c>
      <c r="AH398" s="5" t="n">
        <v>3296.3</v>
      </c>
      <c r="AI398" s="5" t="inlineStr">
        <is>
          <t>yes</t>
        </is>
      </c>
      <c r="AJ398" s="5" t="inlineStr">
        <is>
          <t>combined_footing</t>
        </is>
      </c>
      <c r="AK398" s="5" t="inlineStr"/>
      <c r="AL398" s="5" t="inlineStr">
        <is>
          <t>(0.72, 0.72, 0.0)</t>
        </is>
      </c>
      <c r="AM398" s="5" t="inlineStr">
        <is>
          <t>DM-SEMELLES</t>
        </is>
      </c>
    </row>
    <row r="399">
      <c r="A399" s="5" t="n">
        <v>398</v>
      </c>
      <c r="B399" s="5" t="inlineStr">
        <is>
          <t>124</t>
        </is>
      </c>
      <c r="C399" s="5" t="inlineStr">
        <is>
          <t>own label</t>
        </is>
      </c>
      <c r="D399" s="5" t="inlineStr">
        <is>
          <t>footing</t>
        </is>
      </c>
      <c r="E399" s="5" t="inlineStr">
        <is>
          <t>isolated_footing</t>
        </is>
      </c>
      <c r="F399" s="5" t="inlineStr">
        <is>
          <t>S11</t>
        </is>
      </c>
      <c r="G399" s="5" t="inlineStr">
        <is>
          <t>S11-124124</t>
        </is>
      </c>
      <c r="H399" s="5" t="inlineStr">
        <is>
          <t>printed</t>
        </is>
      </c>
      <c r="I399" s="5" t="n">
        <v>500</v>
      </c>
      <c r="J399" s="5" t="n">
        <v>400</v>
      </c>
      <c r="K399" s="9">
        <f>IF(AND(ISNUMBER(I399),ISNUMBER(J399),J399&gt;0),I399/J399,"")</f>
        <v/>
      </c>
      <c r="L399" s="5" t="n">
        <v>20.006</v>
      </c>
      <c r="M399" s="5" t="n"/>
      <c r="N399" s="5" t="n">
        <v>169.4</v>
      </c>
      <c r="O399" s="5" t="inlineStr">
        <is>
          <t>closed outline</t>
        </is>
      </c>
      <c r="P399" s="5" t="inlineStr">
        <is>
          <t>closed rectangular outline around a column/wall or next to an S/SC label</t>
        </is>
      </c>
      <c r="Q399" s="5">
        <f>IF(OR(D399="column",D399="wall"),IF(I399&lt;='P vs V'!$B$3*J399,"column","wall"),"")</f>
        <v/>
      </c>
      <c r="R399" s="5" t="inlineStr"/>
      <c r="S399" s="5" t="inlineStr">
        <is>
          <t>wall</t>
        </is>
      </c>
      <c r="T399" s="5" t="n">
        <v>15</v>
      </c>
      <c r="U399" s="5" t="inlineStr">
        <is>
          <t>no</t>
        </is>
      </c>
      <c r="V399" s="5" t="inlineStr">
        <is>
          <t>no</t>
        </is>
      </c>
      <c r="W399" s="5" t="inlineStr">
        <is>
          <t>yes</t>
        </is>
      </c>
      <c r="X399" s="5" t="inlineStr">
        <is>
          <t>no</t>
        </is>
      </c>
      <c r="Y399" s="5" t="inlineStr">
        <is>
          <t>yes</t>
        </is>
      </c>
      <c r="Z399" s="5" t="inlineStr">
        <is>
          <t>yes</t>
        </is>
      </c>
      <c r="AA399" s="5" t="n">
        <v>0.41</v>
      </c>
      <c r="AB399" s="5" t="n"/>
      <c r="AC399" s="5" t="n"/>
      <c r="AD399" s="5" t="n"/>
      <c r="AE399" s="5" t="n">
        <v>3699.5</v>
      </c>
      <c r="AF399" s="5" t="n">
        <v>3365.9</v>
      </c>
      <c r="AG399" s="5" t="n">
        <v>3866.3</v>
      </c>
      <c r="AH399" s="5" t="n">
        <v>3509.2</v>
      </c>
      <c r="AI399" s="5" t="inlineStr">
        <is>
          <t>yes</t>
        </is>
      </c>
      <c r="AJ399" s="5" t="inlineStr">
        <is>
          <t>isolated_footing</t>
        </is>
      </c>
      <c r="AK399" s="5" t="inlineStr"/>
      <c r="AL399" s="5" t="inlineStr">
        <is>
          <t>(0.72, 0.72, 0.0)</t>
        </is>
      </c>
      <c r="AM399" s="5" t="inlineStr">
        <is>
          <t>DM-SEMELLES</t>
        </is>
      </c>
    </row>
    <row r="400">
      <c r="A400" s="5" t="n">
        <v>399</v>
      </c>
      <c r="B400" s="5" t="inlineStr">
        <is>
          <t>124</t>
        </is>
      </c>
      <c r="C400" s="5" t="inlineStr">
        <is>
          <t>own label</t>
        </is>
      </c>
      <c r="D400" s="5" t="inlineStr">
        <is>
          <t>footing</t>
        </is>
      </c>
      <c r="E400" s="5" t="inlineStr">
        <is>
          <t>isolated_footing</t>
        </is>
      </c>
      <c r="F400" s="5" t="inlineStr">
        <is>
          <t>S11</t>
        </is>
      </c>
      <c r="G400" s="5" t="inlineStr">
        <is>
          <t>S11-124124</t>
        </is>
      </c>
      <c r="H400" s="5" t="inlineStr">
        <is>
          <t>printed</t>
        </is>
      </c>
      <c r="I400" s="5" t="n">
        <v>500</v>
      </c>
      <c r="J400" s="5" t="n">
        <v>400</v>
      </c>
      <c r="K400" s="9">
        <f>IF(AND(ISNUMBER(I400),ISNUMBER(J400),J400&gt;0),I400/J400,"")</f>
        <v/>
      </c>
      <c r="L400" s="5" t="n">
        <v>20.003</v>
      </c>
      <c r="M400" s="5" t="n"/>
      <c r="N400" s="5" t="n">
        <v>79.3</v>
      </c>
      <c r="O400" s="5" t="inlineStr">
        <is>
          <t>closed outline</t>
        </is>
      </c>
      <c r="P400" s="5" t="inlineStr">
        <is>
          <t>closed rectangular outline around a column/wall or next to an S/SC label</t>
        </is>
      </c>
      <c r="Q400" s="5">
        <f>IF(OR(D400="column",D400="wall"),IF(I400&lt;='P vs V'!$B$3*J400,"column","wall"),"")</f>
        <v/>
      </c>
      <c r="R400" s="5" t="inlineStr"/>
      <c r="S400" s="5" t="inlineStr">
        <is>
          <t>wall</t>
        </is>
      </c>
      <c r="T400" s="5" t="n">
        <v>25</v>
      </c>
      <c r="U400" s="5" t="inlineStr">
        <is>
          <t>no</t>
        </is>
      </c>
      <c r="V400" s="5" t="inlineStr">
        <is>
          <t>no</t>
        </is>
      </c>
      <c r="W400" s="5" t="inlineStr">
        <is>
          <t>yes</t>
        </is>
      </c>
      <c r="X400" s="5" t="inlineStr">
        <is>
          <t>no</t>
        </is>
      </c>
      <c r="Y400" s="5" t="inlineStr">
        <is>
          <t>yes</t>
        </is>
      </c>
      <c r="Z400" s="5" t="inlineStr">
        <is>
          <t>yes</t>
        </is>
      </c>
      <c r="AA400" s="5" t="n">
        <v>0</v>
      </c>
      <c r="AB400" s="5" t="n"/>
      <c r="AC400" s="5" t="n"/>
      <c r="AD400" s="5" t="n"/>
      <c r="AE400" s="5" t="n">
        <v>3758.8</v>
      </c>
      <c r="AF400" s="5" t="n">
        <v>3541.1</v>
      </c>
      <c r="AG400" s="5" t="n">
        <v>3902.2</v>
      </c>
      <c r="AH400" s="5" t="n">
        <v>3708.1</v>
      </c>
      <c r="AI400" s="5" t="inlineStr">
        <is>
          <t>yes</t>
        </is>
      </c>
      <c r="AJ400" s="5" t="inlineStr">
        <is>
          <t>isolated_footing</t>
        </is>
      </c>
      <c r="AK400" s="5" t="inlineStr"/>
      <c r="AL400" s="5" t="inlineStr">
        <is>
          <t>(0.72, 0.72, 0.0)</t>
        </is>
      </c>
      <c r="AM400" s="5" t="inlineStr">
        <is>
          <t>DM-SEMELLES</t>
        </is>
      </c>
    </row>
    <row r="401">
      <c r="A401" s="5" t="n">
        <v>400</v>
      </c>
      <c r="B401" s="5" t="inlineStr">
        <is>
          <t>124</t>
        </is>
      </c>
      <c r="C401" s="5" t="inlineStr">
        <is>
          <t>own label</t>
        </is>
      </c>
      <c r="D401" s="5" t="inlineStr">
        <is>
          <t>footing</t>
        </is>
      </c>
      <c r="E401" s="5" t="inlineStr">
        <is>
          <t>isolated_footing</t>
        </is>
      </c>
      <c r="F401" s="5" t="inlineStr">
        <is>
          <t>S2</t>
        </is>
      </c>
      <c r="G401" s="5" t="inlineStr">
        <is>
          <t>S2-124124</t>
        </is>
      </c>
      <c r="H401" s="5" t="inlineStr">
        <is>
          <t>printed</t>
        </is>
      </c>
      <c r="I401" s="5" t="n">
        <v>350</v>
      </c>
      <c r="J401" s="5" t="n">
        <v>200</v>
      </c>
      <c r="K401" s="9">
        <f>IF(AND(ISNUMBER(I401),ISNUMBER(J401),J401&gt;0),I401/J401,"")</f>
        <v/>
      </c>
      <c r="L401" s="5" t="n">
        <v>7.001</v>
      </c>
      <c r="M401" s="5" t="n"/>
      <c r="N401" s="5" t="n">
        <v>79.3</v>
      </c>
      <c r="O401" s="5" t="inlineStr">
        <is>
          <t>closed outline</t>
        </is>
      </c>
      <c r="P401" s="5" t="inlineStr">
        <is>
          <t>closed rectangular outline around a column/wall or next to an S/SC label</t>
        </is>
      </c>
      <c r="Q401" s="5">
        <f>IF(OR(D401="column",D401="wall"),IF(I401&lt;='P vs V'!$B$3*J401,"column","wall"),"")</f>
        <v/>
      </c>
      <c r="R401" s="5" t="inlineStr"/>
      <c r="S401" s="5" t="inlineStr">
        <is>
          <t>wall</t>
        </is>
      </c>
      <c r="T401" s="5" t="n">
        <v>0</v>
      </c>
      <c r="U401" s="5" t="inlineStr">
        <is>
          <t>no</t>
        </is>
      </c>
      <c r="V401" s="5" t="inlineStr">
        <is>
          <t>no</t>
        </is>
      </c>
      <c r="W401" s="5" t="inlineStr">
        <is>
          <t>yes</t>
        </is>
      </c>
      <c r="X401" s="5" t="inlineStr">
        <is>
          <t>no</t>
        </is>
      </c>
      <c r="Y401" s="5" t="inlineStr">
        <is>
          <t>yes</t>
        </is>
      </c>
      <c r="Z401" s="5" t="inlineStr">
        <is>
          <t>yes</t>
        </is>
      </c>
      <c r="AA401" s="5" t="n">
        <v>0</v>
      </c>
      <c r="AB401" s="5" t="n"/>
      <c r="AC401" s="5" t="n"/>
      <c r="AD401" s="5" t="n"/>
      <c r="AE401" s="5" t="n">
        <v>3949.1</v>
      </c>
      <c r="AF401" s="5" t="n">
        <v>2876.4</v>
      </c>
      <c r="AG401" s="5" t="n">
        <v>4026.2</v>
      </c>
      <c r="AH401" s="5" t="n">
        <v>2988.9</v>
      </c>
      <c r="AI401" s="5" t="inlineStr">
        <is>
          <t>yes</t>
        </is>
      </c>
      <c r="AJ401" s="5" t="inlineStr">
        <is>
          <t>isolated_footing</t>
        </is>
      </c>
      <c r="AK401" s="5" t="inlineStr"/>
      <c r="AL401" s="5" t="inlineStr">
        <is>
          <t>(0.72, 0.72, 0.0)</t>
        </is>
      </c>
      <c r="AM401" s="5" t="inlineStr">
        <is>
          <t>DM-SEMELLES</t>
        </is>
      </c>
    </row>
    <row r="402">
      <c r="A402" s="5" t="n">
        <v>401</v>
      </c>
      <c r="B402" s="5" t="inlineStr">
        <is>
          <t>124</t>
        </is>
      </c>
      <c r="C402" s="5" t="inlineStr">
        <is>
          <t>own label</t>
        </is>
      </c>
      <c r="D402" s="5" t="inlineStr">
        <is>
          <t>footing</t>
        </is>
      </c>
      <c r="E402" s="5" t="inlineStr">
        <is>
          <t>isolated_footing</t>
        </is>
      </c>
      <c r="F402" s="5" t="inlineStr">
        <is>
          <t>S2</t>
        </is>
      </c>
      <c r="G402" s="5" t="inlineStr">
        <is>
          <t>S2-124124</t>
        </is>
      </c>
      <c r="H402" s="5" t="inlineStr">
        <is>
          <t>printed</t>
        </is>
      </c>
      <c r="I402" s="5" t="n">
        <v>350</v>
      </c>
      <c r="J402" s="5" t="n">
        <v>200</v>
      </c>
      <c r="K402" s="9">
        <f>IF(AND(ISNUMBER(I402),ISNUMBER(J402),J402&gt;0),I402/J402,"")</f>
        <v/>
      </c>
      <c r="L402" s="5" t="n">
        <v>7.001</v>
      </c>
      <c r="M402" s="5" t="n"/>
      <c r="N402" s="5" t="n">
        <v>79.3</v>
      </c>
      <c r="O402" s="5" t="inlineStr">
        <is>
          <t>closed outline</t>
        </is>
      </c>
      <c r="P402" s="5" t="inlineStr">
        <is>
          <t>closed rectangular outline around a column/wall or next to an S/SC label</t>
        </is>
      </c>
      <c r="Q402" s="5">
        <f>IF(OR(D402="column",D402="wall"),IF(I402&lt;='P vs V'!$B$3*J402,"column","wall"),"")</f>
        <v/>
      </c>
      <c r="R402" s="5" t="inlineStr"/>
      <c r="S402" s="5" t="inlineStr">
        <is>
          <t>wall</t>
        </is>
      </c>
      <c r="T402" s="5" t="n">
        <v>0</v>
      </c>
      <c r="U402" s="5" t="inlineStr">
        <is>
          <t>no</t>
        </is>
      </c>
      <c r="V402" s="5" t="inlineStr">
        <is>
          <t>no</t>
        </is>
      </c>
      <c r="W402" s="5" t="inlineStr">
        <is>
          <t>yes</t>
        </is>
      </c>
      <c r="X402" s="5" t="inlineStr">
        <is>
          <t>no</t>
        </is>
      </c>
      <c r="Y402" s="5" t="inlineStr">
        <is>
          <t>yes</t>
        </is>
      </c>
      <c r="Z402" s="5" t="inlineStr">
        <is>
          <t>no</t>
        </is>
      </c>
      <c r="AA402" s="5" t="n">
        <v>0</v>
      </c>
      <c r="AB402" s="5" t="n"/>
      <c r="AC402" s="5" t="n"/>
      <c r="AD402" s="5" t="n"/>
      <c r="AE402" s="5" t="n">
        <v>3722.7</v>
      </c>
      <c r="AF402" s="5" t="n">
        <v>2906.9</v>
      </c>
      <c r="AG402" s="5" t="n">
        <v>3799.9</v>
      </c>
      <c r="AH402" s="5" t="n">
        <v>3019.4</v>
      </c>
      <c r="AI402" s="5" t="inlineStr">
        <is>
          <t>yes</t>
        </is>
      </c>
      <c r="AJ402" s="5" t="inlineStr">
        <is>
          <t>isolated_footing</t>
        </is>
      </c>
      <c r="AK402" s="5" t="inlineStr"/>
      <c r="AL402" s="5" t="inlineStr">
        <is>
          <t>(0.72, 0.72, 0.0)</t>
        </is>
      </c>
      <c r="AM402" s="5" t="inlineStr">
        <is>
          <t>DM-SEMELLES</t>
        </is>
      </c>
    </row>
    <row r="403">
      <c r="A403" s="5" t="n">
        <v>402</v>
      </c>
      <c r="B403" s="5" t="inlineStr">
        <is>
          <t>124</t>
        </is>
      </c>
      <c r="C403" s="5" t="inlineStr">
        <is>
          <t>own label</t>
        </is>
      </c>
      <c r="D403" s="5" t="inlineStr">
        <is>
          <t>footing</t>
        </is>
      </c>
      <c r="E403" s="5" t="inlineStr">
        <is>
          <t>isolated_footing</t>
        </is>
      </c>
      <c r="F403" s="5" t="inlineStr">
        <is>
          <t>S3</t>
        </is>
      </c>
      <c r="G403" s="5" t="inlineStr">
        <is>
          <t>S3-124</t>
        </is>
      </c>
      <c r="H403" s="5" t="inlineStr">
        <is>
          <t>printed</t>
        </is>
      </c>
      <c r="I403" s="5" t="n">
        <v>320</v>
      </c>
      <c r="J403" s="5" t="n">
        <v>320</v>
      </c>
      <c r="K403" s="9">
        <f>IF(AND(ISNUMBER(I403),ISNUMBER(J403),J403&gt;0),I403/J403,"")</f>
        <v/>
      </c>
      <c r="L403" s="5" t="n">
        <v>10.242</v>
      </c>
      <c r="M403" s="5" t="n"/>
      <c r="N403" s="5" t="n">
        <v>168.8</v>
      </c>
      <c r="O403" s="5" t="inlineStr">
        <is>
          <t>closed outline</t>
        </is>
      </c>
      <c r="P403" s="5" t="inlineStr">
        <is>
          <t>closed rectangular outline around a column/wall or next to an S/SC label</t>
        </is>
      </c>
      <c r="Q403" s="5">
        <f>IF(OR(D403="column",D403="wall"),IF(I403&lt;='P vs V'!$B$3*J403,"column","wall"),"")</f>
        <v/>
      </c>
      <c r="R403" s="5" t="inlineStr"/>
      <c r="S403" s="5" t="inlineStr">
        <is>
          <t>column</t>
        </is>
      </c>
      <c r="T403" s="5" t="n">
        <v>0</v>
      </c>
      <c r="U403" s="5" t="inlineStr">
        <is>
          <t>no</t>
        </is>
      </c>
      <c r="V403" s="5" t="inlineStr">
        <is>
          <t>no</t>
        </is>
      </c>
      <c r="W403" s="5" t="inlineStr">
        <is>
          <t>yes</t>
        </is>
      </c>
      <c r="X403" s="5" t="inlineStr">
        <is>
          <t>no</t>
        </is>
      </c>
      <c r="Y403" s="5" t="inlineStr">
        <is>
          <t>yes</t>
        </is>
      </c>
      <c r="Z403" s="5" t="inlineStr">
        <is>
          <t>yes</t>
        </is>
      </c>
      <c r="AA403" s="5" t="n">
        <v>0.02</v>
      </c>
      <c r="AB403" s="5" t="n"/>
      <c r="AC403" s="5" t="n"/>
      <c r="AD403" s="5" t="n"/>
      <c r="AE403" s="5" t="n">
        <v>4021.7</v>
      </c>
      <c r="AF403" s="5" t="n">
        <v>3158.7</v>
      </c>
      <c r="AG403" s="5" t="n">
        <v>4132.7</v>
      </c>
      <c r="AH403" s="5" t="n">
        <v>3269.8</v>
      </c>
      <c r="AI403" s="5" t="inlineStr">
        <is>
          <t>yes</t>
        </is>
      </c>
      <c r="AJ403" s="5" t="inlineStr">
        <is>
          <t>isolated_footing</t>
        </is>
      </c>
      <c r="AK403" s="5" t="inlineStr"/>
      <c r="AL403" s="5" t="inlineStr">
        <is>
          <t>(0.72, 0.72, 0.0)</t>
        </is>
      </c>
      <c r="AM403" s="5" t="inlineStr">
        <is>
          <t>DM-SEMELLES</t>
        </is>
      </c>
    </row>
    <row r="404">
      <c r="A404" s="5" t="n">
        <v>403</v>
      </c>
      <c r="B404" s="5" t="inlineStr">
        <is>
          <t>124</t>
        </is>
      </c>
      <c r="C404" s="5" t="inlineStr">
        <is>
          <t>own label</t>
        </is>
      </c>
      <c r="D404" s="5" t="inlineStr">
        <is>
          <t>footing</t>
        </is>
      </c>
      <c r="E404" s="5" t="inlineStr">
        <is>
          <t>isolated_footing</t>
        </is>
      </c>
      <c r="F404" s="5" t="inlineStr">
        <is>
          <t>S6</t>
        </is>
      </c>
      <c r="G404" s="5" t="inlineStr">
        <is>
          <t>S6-124124</t>
        </is>
      </c>
      <c r="H404" s="5" t="inlineStr">
        <is>
          <t>printed</t>
        </is>
      </c>
      <c r="I404" s="5" t="n">
        <v>500</v>
      </c>
      <c r="J404" s="5" t="n">
        <v>450</v>
      </c>
      <c r="K404" s="9">
        <f>IF(AND(ISNUMBER(I404),ISNUMBER(J404),J404&gt;0),I404/J404,"")</f>
        <v/>
      </c>
      <c r="L404" s="5" t="n">
        <v>22.497</v>
      </c>
      <c r="M404" s="5" t="n"/>
      <c r="N404" s="5" t="n">
        <v>79.40000000000001</v>
      </c>
      <c r="O404" s="5" t="inlineStr">
        <is>
          <t>closed outline</t>
        </is>
      </c>
      <c r="P404" s="5" t="inlineStr">
        <is>
          <t>closed rectangular outline around a column/wall or next to an S/SC label</t>
        </is>
      </c>
      <c r="Q404" s="5">
        <f>IF(OR(D404="column",D404="wall"),IF(I404&lt;='P vs V'!$B$3*J404,"column","wall"),"")</f>
        <v/>
      </c>
      <c r="R404" s="5" t="inlineStr"/>
      <c r="S404" s="5" t="inlineStr">
        <is>
          <t>wall</t>
        </is>
      </c>
      <c r="T404" s="5" t="n">
        <v>15</v>
      </c>
      <c r="U404" s="5" t="inlineStr">
        <is>
          <t>no</t>
        </is>
      </c>
      <c r="V404" s="5" t="inlineStr">
        <is>
          <t>no</t>
        </is>
      </c>
      <c r="W404" s="5" t="inlineStr">
        <is>
          <t>yes</t>
        </is>
      </c>
      <c r="X404" s="5" t="inlineStr">
        <is>
          <t>no</t>
        </is>
      </c>
      <c r="Y404" s="5" t="inlineStr">
        <is>
          <t>yes</t>
        </is>
      </c>
      <c r="Z404" s="5" t="inlineStr">
        <is>
          <t>yes</t>
        </is>
      </c>
      <c r="AA404" s="5" t="n">
        <v>0.02</v>
      </c>
      <c r="AB404" s="5" t="n"/>
      <c r="AC404" s="5" t="n"/>
      <c r="AD404" s="5" t="n"/>
      <c r="AE404" s="5" t="n">
        <v>3675.4</v>
      </c>
      <c r="AF404" s="5" t="n">
        <v>3139</v>
      </c>
      <c r="AG404" s="5" t="n">
        <v>3833.1</v>
      </c>
      <c r="AH404" s="5" t="n">
        <v>3308.5</v>
      </c>
      <c r="AI404" s="5" t="inlineStr">
        <is>
          <t>yes</t>
        </is>
      </c>
      <c r="AJ404" s="5" t="inlineStr">
        <is>
          <t>isolated_footing</t>
        </is>
      </c>
      <c r="AK404" s="5" t="inlineStr"/>
      <c r="AL404" s="5" t="inlineStr">
        <is>
          <t>(0.72, 0.72, 0.0)</t>
        </is>
      </c>
      <c r="AM404" s="5" t="inlineStr">
        <is>
          <t>DM-SEMELLES</t>
        </is>
      </c>
    </row>
    <row r="405">
      <c r="A405" s="5" t="n">
        <v>404</v>
      </c>
      <c r="B405" s="5" t="inlineStr">
        <is>
          <t>124</t>
        </is>
      </c>
      <c r="C405" s="5" t="inlineStr">
        <is>
          <t>nearest labels (100% agree)</t>
        </is>
      </c>
      <c r="D405" s="5" t="inlineStr">
        <is>
          <t>mass_concrete_pad</t>
        </is>
      </c>
      <c r="E405" s="5" t="inlineStr">
        <is>
          <t>mass_concrete_pad</t>
        </is>
      </c>
      <c r="F405" s="5" t="inlineStr">
        <is>
          <t>(none)</t>
        </is>
      </c>
      <c r="G405" s="5" t="inlineStr"/>
      <c r="H405" s="5" t="inlineStr">
        <is>
          <t>none</t>
        </is>
      </c>
      <c r="I405" s="5" t="n">
        <v>60</v>
      </c>
      <c r="J405" s="5" t="n">
        <v>60</v>
      </c>
      <c r="K405" s="9">
        <f>IF(AND(ISNUMBER(I405),ISNUMBER(J405),J405&gt;0),I405/J405,"")</f>
        <v/>
      </c>
      <c r="L405" s="5" t="n">
        <v>0.36</v>
      </c>
      <c r="M405" s="5" t="n"/>
      <c r="N405" s="5" t="n">
        <v>79.40000000000001</v>
      </c>
      <c r="O405" s="5" t="inlineStr">
        <is>
          <t>closed outline + stipple</t>
        </is>
      </c>
      <c r="P405" s="5" t="inlineStr">
        <is>
          <t>small closed square filled with stipple dots, no label</t>
        </is>
      </c>
      <c r="Q405" s="5">
        <f>IF(OR(D405="column",D405="wall"),IF(I405&lt;='P vs V'!$B$3*J405,"column","wall"),"")</f>
        <v/>
      </c>
      <c r="R405" s="5" t="inlineStr"/>
      <c r="S405" s="5" t="inlineStr"/>
      <c r="T405" s="5" t="n"/>
      <c r="U405" s="5" t="inlineStr">
        <is>
          <t>no</t>
        </is>
      </c>
      <c r="V405" s="5" t="inlineStr">
        <is>
          <t>no</t>
        </is>
      </c>
      <c r="W405" s="5" t="inlineStr">
        <is>
          <t>no</t>
        </is>
      </c>
      <c r="X405" s="5" t="inlineStr">
        <is>
          <t>no</t>
        </is>
      </c>
      <c r="Y405" s="5" t="inlineStr">
        <is>
          <t>yes</t>
        </is>
      </c>
      <c r="Z405" s="5" t="inlineStr">
        <is>
          <t>yes</t>
        </is>
      </c>
      <c r="AA405" s="5" t="n">
        <v>1.2</v>
      </c>
      <c r="AB405" s="5" t="n"/>
      <c r="AC405" s="5" t="n">
        <v>47</v>
      </c>
      <c r="AD405" s="5" t="n"/>
      <c r="AE405" s="5" t="n">
        <v>3884.5</v>
      </c>
      <c r="AF405" s="5" t="n">
        <v>2938.5</v>
      </c>
      <c r="AG405" s="5" t="n">
        <v>3905.2</v>
      </c>
      <c r="AH405" s="5" t="n">
        <v>2959.2</v>
      </c>
      <c r="AI405" s="5" t="inlineStr">
        <is>
          <t>yes</t>
        </is>
      </c>
      <c r="AJ405" s="5" t="inlineStr">
        <is>
          <t>mass_concrete_pad</t>
        </is>
      </c>
      <c r="AK405" s="5" t="inlineStr"/>
      <c r="AL405" s="5" t="inlineStr">
        <is>
          <t>(0.5, 0.5, 0.5)</t>
        </is>
      </c>
      <c r="AM405" s="5" t="inlineStr">
        <is>
          <t>DM-MGB</t>
        </is>
      </c>
    </row>
    <row r="406">
      <c r="A406" s="5" t="n">
        <v>405</v>
      </c>
      <c r="B406" s="5" t="inlineStr">
        <is>
          <t>124</t>
        </is>
      </c>
      <c r="C406" s="5" t="inlineStr">
        <is>
          <t>nearest labels (100% agree)</t>
        </is>
      </c>
      <c r="D406" s="5" t="inlineStr">
        <is>
          <t>grade_beam</t>
        </is>
      </c>
      <c r="E406" s="5" t="inlineStr">
        <is>
          <t>grade_beam</t>
        </is>
      </c>
      <c r="F406" s="5" t="inlineStr">
        <is>
          <t>LG25x40</t>
        </is>
      </c>
      <c r="G406" s="5" t="inlineStr"/>
      <c r="H406" s="5" t="inlineStr">
        <is>
          <t>band width matches label</t>
        </is>
      </c>
      <c r="I406" s="5" t="n">
        <v>2249</v>
      </c>
      <c r="J406" s="5" t="n">
        <v>25</v>
      </c>
      <c r="K406" s="9">
        <f>IF(AND(ISNUMBER(I406),ISNUMBER(J406),J406&gt;0),I406/J406,"")</f>
        <v/>
      </c>
      <c r="L406" s="5" t="n">
        <v>5.623</v>
      </c>
      <c r="M406" s="5" t="n">
        <v>22.49</v>
      </c>
      <c r="N406" s="5" t="n">
        <v>169.4</v>
      </c>
      <c r="O406" s="5" t="inlineStr">
        <is>
          <t>parallel line pair</t>
        </is>
      </c>
      <c r="P406" s="5" t="inlineStr">
        <is>
          <t>two parallel lines at the width written in the LG label, empty inside</t>
        </is>
      </c>
      <c r="Q406" s="5">
        <f>IF(OR(D406="column",D406="wall"),IF(I406&lt;='P vs V'!$B$3*J406,"column","wall"),"")</f>
        <v/>
      </c>
      <c r="R406" s="5" t="inlineStr"/>
      <c r="S406" s="5" t="inlineStr"/>
      <c r="T406" s="5" t="n"/>
      <c r="U406" s="5" t="inlineStr">
        <is>
          <t>no</t>
        </is>
      </c>
      <c r="V406" s="5" t="inlineStr">
        <is>
          <t>no</t>
        </is>
      </c>
      <c r="W406" s="5" t="inlineStr">
        <is>
          <t>yes</t>
        </is>
      </c>
      <c r="X406" s="5" t="inlineStr">
        <is>
          <t>yes</t>
        </is>
      </c>
      <c r="Y406" s="5" t="inlineStr">
        <is>
          <t>no</t>
        </is>
      </c>
      <c r="Z406" s="5" t="inlineStr">
        <is>
          <t>yes</t>
        </is>
      </c>
      <c r="AA406" s="5" t="n">
        <v>0.01</v>
      </c>
      <c r="AB406" s="5" t="n"/>
      <c r="AC406" s="5" t="n"/>
      <c r="AD406" s="5" t="n"/>
      <c r="AE406" s="5" t="n">
        <v>3505.4</v>
      </c>
      <c r="AF406" s="5" t="n">
        <v>2743.1</v>
      </c>
      <c r="AG406" s="5" t="n">
        <v>4159.5</v>
      </c>
      <c r="AH406" s="5" t="n">
        <v>2872.5</v>
      </c>
      <c r="AI406" s="5" t="inlineStr">
        <is>
          <t>n/a</t>
        </is>
      </c>
      <c r="AJ406" s="5" t="inlineStr"/>
      <c r="AK406" s="5" t="inlineStr"/>
      <c r="AL406" s="5" t="inlineStr"/>
      <c r="AM406" s="5" t="inlineStr"/>
    </row>
    <row r="407">
      <c r="A407" s="5" t="n">
        <v>406</v>
      </c>
      <c r="B407" s="5" t="inlineStr">
        <is>
          <t>124</t>
        </is>
      </c>
      <c r="C407" s="5" t="inlineStr">
        <is>
          <t>nearest labels (100% agree)</t>
        </is>
      </c>
      <c r="D407" s="5" t="inlineStr">
        <is>
          <t>grade_beam</t>
        </is>
      </c>
      <c r="E407" s="5" t="inlineStr">
        <is>
          <t>grade_beam</t>
        </is>
      </c>
      <c r="F407" s="5" t="inlineStr">
        <is>
          <t>LG25x40</t>
        </is>
      </c>
      <c r="G407" s="5" t="inlineStr"/>
      <c r="H407" s="5" t="inlineStr">
        <is>
          <t>band width matches label</t>
        </is>
      </c>
      <c r="I407" s="5" t="n">
        <v>426</v>
      </c>
      <c r="J407" s="5" t="n">
        <v>25</v>
      </c>
      <c r="K407" s="9">
        <f>IF(AND(ISNUMBER(I407),ISNUMBER(J407),J407&gt;0),I407/J407,"")</f>
        <v/>
      </c>
      <c r="L407" s="5" t="n">
        <v>1.065</v>
      </c>
      <c r="M407" s="5" t="n">
        <v>4.26</v>
      </c>
      <c r="N407" s="5" t="n">
        <v>169.3</v>
      </c>
      <c r="O407" s="5" t="inlineStr">
        <is>
          <t>parallel line pair</t>
        </is>
      </c>
      <c r="P407" s="5" t="inlineStr">
        <is>
          <t>two parallel lines at the width written in the LG label, empty inside</t>
        </is>
      </c>
      <c r="Q407" s="5">
        <f>IF(OR(D407="column",D407="wall"),IF(I407&lt;='P vs V'!$B$3*J407,"column","wall"),"")</f>
        <v/>
      </c>
      <c r="R407" s="5" t="inlineStr"/>
      <c r="S407" s="5" t="inlineStr"/>
      <c r="T407" s="5" t="n"/>
      <c r="U407" s="5" t="inlineStr">
        <is>
          <t>no</t>
        </is>
      </c>
      <c r="V407" s="5" t="inlineStr">
        <is>
          <t>no</t>
        </is>
      </c>
      <c r="W407" s="5" t="inlineStr">
        <is>
          <t>yes</t>
        </is>
      </c>
      <c r="X407" s="5" t="inlineStr">
        <is>
          <t>yes</t>
        </is>
      </c>
      <c r="Y407" s="5" t="inlineStr">
        <is>
          <t>no</t>
        </is>
      </c>
      <c r="Z407" s="5" t="inlineStr">
        <is>
          <t>no</t>
        </is>
      </c>
      <c r="AA407" s="5" t="n">
        <v>1.05</v>
      </c>
      <c r="AB407" s="5" t="n"/>
      <c r="AC407" s="5" t="n"/>
      <c r="AD407" s="5" t="n"/>
      <c r="AE407" s="5" t="n">
        <v>3895.8</v>
      </c>
      <c r="AF407" s="5" t="n">
        <v>3628.7</v>
      </c>
      <c r="AG407" s="5" t="n">
        <v>4020.8</v>
      </c>
      <c r="AH407" s="5" t="n">
        <v>3659.3</v>
      </c>
      <c r="AI407" s="5" t="inlineStr">
        <is>
          <t>n/a</t>
        </is>
      </c>
      <c r="AJ407" s="5" t="inlineStr"/>
      <c r="AK407" s="5" t="inlineStr"/>
      <c r="AL407" s="5" t="inlineStr"/>
      <c r="AM407" s="5" t="inlineStr"/>
    </row>
    <row r="408">
      <c r="A408" s="5" t="n">
        <v>407</v>
      </c>
      <c r="B408" s="5" t="inlineStr">
        <is>
          <t>124</t>
        </is>
      </c>
      <c r="C408" s="5" t="inlineStr">
        <is>
          <t>nearest labels (80% agree)</t>
        </is>
      </c>
      <c r="D408" s="5" t="inlineStr">
        <is>
          <t>grade_beam</t>
        </is>
      </c>
      <c r="E408" s="5" t="inlineStr">
        <is>
          <t>grade_beam</t>
        </is>
      </c>
      <c r="F408" s="5" t="inlineStr">
        <is>
          <t>LG25x40</t>
        </is>
      </c>
      <c r="G408" s="5" t="inlineStr"/>
      <c r="H408" s="5" t="inlineStr">
        <is>
          <t>band width matches label</t>
        </is>
      </c>
      <c r="I408" s="5" t="n">
        <v>233</v>
      </c>
      <c r="J408" s="5" t="n">
        <v>25</v>
      </c>
      <c r="K408" s="9">
        <f>IF(AND(ISNUMBER(I408),ISNUMBER(J408),J408&gt;0),I408/J408,"")</f>
        <v/>
      </c>
      <c r="L408" s="5" t="n">
        <v>0.582</v>
      </c>
      <c r="M408" s="5" t="n">
        <v>2.33</v>
      </c>
      <c r="N408" s="5" t="n">
        <v>169.3</v>
      </c>
      <c r="O408" s="5" t="inlineStr">
        <is>
          <t>parallel line pair</t>
        </is>
      </c>
      <c r="P408" s="5" t="inlineStr">
        <is>
          <t>two parallel lines at the width written in the LG label, empty inside</t>
        </is>
      </c>
      <c r="Q408" s="5">
        <f>IF(OR(D408="column",D408="wall"),IF(I408&lt;='P vs V'!$B$3*J408,"column","wall"),"")</f>
        <v/>
      </c>
      <c r="R408" s="5" t="inlineStr"/>
      <c r="S408" s="5" t="inlineStr"/>
      <c r="T408" s="5" t="n"/>
      <c r="U408" s="5" t="inlineStr">
        <is>
          <t>no</t>
        </is>
      </c>
      <c r="V408" s="5" t="inlineStr">
        <is>
          <t>no</t>
        </is>
      </c>
      <c r="W408" s="5" t="inlineStr">
        <is>
          <t>yes</t>
        </is>
      </c>
      <c r="X408" s="5" t="inlineStr">
        <is>
          <t>yes</t>
        </is>
      </c>
      <c r="Y408" s="5" t="inlineStr">
        <is>
          <t>no</t>
        </is>
      </c>
      <c r="Z408" s="5" t="inlineStr">
        <is>
          <t>no</t>
        </is>
      </c>
      <c r="AA408" s="5" t="n">
        <v>3.16</v>
      </c>
      <c r="AB408" s="5" t="n"/>
      <c r="AC408" s="5" t="n"/>
      <c r="AD408" s="5" t="n"/>
      <c r="AE408" s="5" t="n">
        <v>3712.2</v>
      </c>
      <c r="AF408" s="5" t="n">
        <v>3673.8</v>
      </c>
      <c r="AG408" s="5" t="n">
        <v>3781</v>
      </c>
      <c r="AH408" s="5" t="n">
        <v>3693.8</v>
      </c>
      <c r="AI408" s="5" t="inlineStr">
        <is>
          <t>n/a</t>
        </is>
      </c>
      <c r="AJ408" s="5" t="inlineStr"/>
      <c r="AK408" s="5" t="inlineStr"/>
      <c r="AL408" s="5" t="inlineStr"/>
      <c r="AM408" s="5" t="inlineStr"/>
    </row>
    <row r="409">
      <c r="A409" s="5" t="n">
        <v>408</v>
      </c>
      <c r="B409" s="5" t="inlineStr">
        <is>
          <t>124</t>
        </is>
      </c>
      <c r="C409" s="5" t="inlineStr">
        <is>
          <t>nearest labels (100% agree)</t>
        </is>
      </c>
      <c r="D409" s="5" t="inlineStr">
        <is>
          <t>grade_beam</t>
        </is>
      </c>
      <c r="E409" s="5" t="inlineStr">
        <is>
          <t>grade_beam</t>
        </is>
      </c>
      <c r="F409" s="5" t="inlineStr">
        <is>
          <t>LG25x40</t>
        </is>
      </c>
      <c r="G409" s="5" t="inlineStr"/>
      <c r="H409" s="5" t="inlineStr">
        <is>
          <t>band width matches label</t>
        </is>
      </c>
      <c r="I409" s="5" t="n">
        <v>95</v>
      </c>
      <c r="J409" s="5" t="n">
        <v>25</v>
      </c>
      <c r="K409" s="9">
        <f>IF(AND(ISNUMBER(I409),ISNUMBER(J409),J409&gt;0),I409/J409,"")</f>
        <v/>
      </c>
      <c r="L409" s="5" t="n">
        <v>0.236</v>
      </c>
      <c r="M409" s="5" t="n">
        <v>0.95</v>
      </c>
      <c r="N409" s="5" t="n">
        <v>169.3</v>
      </c>
      <c r="O409" s="5" t="inlineStr">
        <is>
          <t>parallel line pair</t>
        </is>
      </c>
      <c r="P409" s="5" t="inlineStr">
        <is>
          <t>two parallel lines at the width written in the LG label, empty inside</t>
        </is>
      </c>
      <c r="Q409" s="5">
        <f>IF(OR(D409="column",D409="wall"),IF(I409&lt;='P vs V'!$B$3*J409,"column","wall"),"")</f>
        <v/>
      </c>
      <c r="R409" s="5" t="inlineStr"/>
      <c r="S409" s="5" t="inlineStr"/>
      <c r="T409" s="5" t="n"/>
      <c r="U409" s="5" t="inlineStr">
        <is>
          <t>no</t>
        </is>
      </c>
      <c r="V409" s="5" t="inlineStr">
        <is>
          <t>no</t>
        </is>
      </c>
      <c r="W409" s="5" t="inlineStr">
        <is>
          <t>yes</t>
        </is>
      </c>
      <c r="X409" s="5" t="inlineStr">
        <is>
          <t>no</t>
        </is>
      </c>
      <c r="Y409" s="5" t="inlineStr">
        <is>
          <t>no</t>
        </is>
      </c>
      <c r="Z409" s="5" t="inlineStr">
        <is>
          <t>no</t>
        </is>
      </c>
      <c r="AA409" s="5" t="n">
        <v>0.5600000000000001</v>
      </c>
      <c r="AB409" s="5" t="n"/>
      <c r="AC409" s="5" t="n"/>
      <c r="AD409" s="5" t="n"/>
      <c r="AE409" s="5" t="n">
        <v>4147.9</v>
      </c>
      <c r="AF409" s="5" t="n">
        <v>3346.8</v>
      </c>
      <c r="AG409" s="5" t="n">
        <v>4176.8</v>
      </c>
      <c r="AH409" s="5" t="n">
        <v>3359.2</v>
      </c>
      <c r="AI409" s="5" t="inlineStr">
        <is>
          <t>n/a</t>
        </is>
      </c>
      <c r="AJ409" s="5" t="inlineStr"/>
      <c r="AK409" s="5" t="inlineStr"/>
      <c r="AL409" s="5" t="inlineStr"/>
      <c r="AM409" s="5" t="inlineStr"/>
    </row>
    <row r="410">
      <c r="A410" s="5" t="n">
        <v>409</v>
      </c>
      <c r="B410" s="5" t="inlineStr">
        <is>
          <t>124</t>
        </is>
      </c>
      <c r="C410" s="5" t="inlineStr">
        <is>
          <t>nearest labels (100% agree)</t>
        </is>
      </c>
      <c r="D410" s="5" t="inlineStr">
        <is>
          <t>grade_beam</t>
        </is>
      </c>
      <c r="E410" s="5" t="inlineStr">
        <is>
          <t>grade_beam</t>
        </is>
      </c>
      <c r="F410" s="5" t="inlineStr">
        <is>
          <t>LG40x15</t>
        </is>
      </c>
      <c r="G410" s="5" t="inlineStr"/>
      <c r="H410" s="5" t="inlineStr">
        <is>
          <t>band width matches label</t>
        </is>
      </c>
      <c r="I410" s="5" t="n">
        <v>599</v>
      </c>
      <c r="J410" s="5" t="n">
        <v>40</v>
      </c>
      <c r="K410" s="9">
        <f>IF(AND(ISNUMBER(I410),ISNUMBER(J410),J410&gt;0),I410/J410,"")</f>
        <v/>
      </c>
      <c r="L410" s="5" t="n">
        <v>2.395</v>
      </c>
      <c r="M410" s="5" t="n">
        <v>5.99</v>
      </c>
      <c r="N410" s="5" t="n">
        <v>79.3</v>
      </c>
      <c r="O410" s="5" t="inlineStr">
        <is>
          <t>parallel line pair</t>
        </is>
      </c>
      <c r="P410" s="5" t="inlineStr">
        <is>
          <t>two parallel lines at the width written in the LG label, empty inside</t>
        </is>
      </c>
      <c r="Q410" s="5">
        <f>IF(OR(D410="column",D410="wall"),IF(I410&lt;='P vs V'!$B$3*J410,"column","wall"),"")</f>
        <v/>
      </c>
      <c r="R410" s="5" t="inlineStr"/>
      <c r="S410" s="5" t="inlineStr"/>
      <c r="T410" s="5" t="n"/>
      <c r="U410" s="5" t="inlineStr">
        <is>
          <t>no</t>
        </is>
      </c>
      <c r="V410" s="5" t="inlineStr">
        <is>
          <t>no</t>
        </is>
      </c>
      <c r="W410" s="5" t="inlineStr">
        <is>
          <t>no</t>
        </is>
      </c>
      <c r="X410" s="5" t="inlineStr">
        <is>
          <t>no</t>
        </is>
      </c>
      <c r="Y410" s="5" t="inlineStr">
        <is>
          <t>no</t>
        </is>
      </c>
      <c r="Z410" s="5" t="inlineStr">
        <is>
          <t>yes</t>
        </is>
      </c>
      <c r="AA410" s="5" t="n">
        <v>0.04</v>
      </c>
      <c r="AB410" s="5" t="n"/>
      <c r="AC410" s="5" t="n"/>
      <c r="AD410" s="5" t="n"/>
      <c r="AE410" s="5" t="n">
        <v>3701.5</v>
      </c>
      <c r="AF410" s="5" t="n">
        <v>2976.5</v>
      </c>
      <c r="AG410" s="5" t="n">
        <v>3745.9</v>
      </c>
      <c r="AH410" s="5" t="n">
        <v>3152.4</v>
      </c>
      <c r="AI410" s="5" t="inlineStr">
        <is>
          <t>n/a</t>
        </is>
      </c>
      <c r="AJ410" s="5" t="inlineStr"/>
      <c r="AK410" s="5" t="inlineStr"/>
      <c r="AL410" s="5" t="inlineStr"/>
      <c r="AM410" s="5" t="inlineStr"/>
    </row>
    <row r="411">
      <c r="A411" s="5" t="n">
        <v>410</v>
      </c>
      <c r="B411" s="5" t="inlineStr">
        <is>
          <t>124</t>
        </is>
      </c>
      <c r="C411" s="5" t="inlineStr">
        <is>
          <t>nearest labels (100% agree)</t>
        </is>
      </c>
      <c r="D411" s="5" t="inlineStr">
        <is>
          <t>grade_beam</t>
        </is>
      </c>
      <c r="E411" s="5" t="inlineStr">
        <is>
          <t>grade_beam</t>
        </is>
      </c>
      <c r="F411" s="5" t="inlineStr">
        <is>
          <t>LG40x15</t>
        </is>
      </c>
      <c r="G411" s="5" t="inlineStr"/>
      <c r="H411" s="5" t="inlineStr">
        <is>
          <t>band width matches label</t>
        </is>
      </c>
      <c r="I411" s="5" t="n">
        <v>280</v>
      </c>
      <c r="J411" s="5" t="n">
        <v>40</v>
      </c>
      <c r="K411" s="9">
        <f>IF(AND(ISNUMBER(I411),ISNUMBER(J411),J411&gt;0),I411/J411,"")</f>
        <v/>
      </c>
      <c r="L411" s="5" t="n">
        <v>1.118</v>
      </c>
      <c r="M411" s="5" t="n">
        <v>2.8</v>
      </c>
      <c r="N411" s="5" t="n">
        <v>79.3</v>
      </c>
      <c r="O411" s="5" t="inlineStr">
        <is>
          <t>parallel line pair</t>
        </is>
      </c>
      <c r="P411" s="5" t="inlineStr">
        <is>
          <t>two parallel lines at the width written in the LG label, empty inside</t>
        </is>
      </c>
      <c r="Q411" s="5">
        <f>IF(OR(D411="column",D411="wall"),IF(I411&lt;='P vs V'!$B$3*J411,"column","wall"),"")</f>
        <v/>
      </c>
      <c r="R411" s="5" t="inlineStr"/>
      <c r="S411" s="5" t="inlineStr"/>
      <c r="T411" s="5" t="n"/>
      <c r="U411" s="5" t="inlineStr">
        <is>
          <t>no</t>
        </is>
      </c>
      <c r="V411" s="5" t="inlineStr">
        <is>
          <t>no</t>
        </is>
      </c>
      <c r="W411" s="5" t="inlineStr">
        <is>
          <t>no</t>
        </is>
      </c>
      <c r="X411" s="5" t="inlineStr">
        <is>
          <t>no</t>
        </is>
      </c>
      <c r="Y411" s="5" t="inlineStr">
        <is>
          <t>no</t>
        </is>
      </c>
      <c r="Z411" s="5" t="inlineStr">
        <is>
          <t>yes</t>
        </is>
      </c>
      <c r="AA411" s="5" t="n">
        <v>0.04</v>
      </c>
      <c r="AB411" s="5" t="n"/>
      <c r="AC411" s="5" t="n"/>
      <c r="AD411" s="5" t="n"/>
      <c r="AE411" s="5" t="n">
        <v>3761.6</v>
      </c>
      <c r="AF411" s="5" t="n">
        <v>3295.3</v>
      </c>
      <c r="AG411" s="5" t="n">
        <v>3788.5</v>
      </c>
      <c r="AH411" s="5" t="n">
        <v>3378.6</v>
      </c>
      <c r="AI411" s="5" t="inlineStr">
        <is>
          <t>n/a</t>
        </is>
      </c>
      <c r="AJ411" s="5" t="inlineStr"/>
      <c r="AK411" s="5" t="inlineStr"/>
      <c r="AL411" s="5" t="inlineStr"/>
      <c r="AM411" s="5" t="inlineStr"/>
    </row>
    <row r="412">
      <c r="A412" s="5" t="n">
        <v>411</v>
      </c>
      <c r="B412" s="5" t="inlineStr">
        <is>
          <t>124</t>
        </is>
      </c>
      <c r="C412" s="5" t="inlineStr">
        <is>
          <t>nearest labels (100% agree)</t>
        </is>
      </c>
      <c r="D412" s="5" t="inlineStr">
        <is>
          <t>grade_beam</t>
        </is>
      </c>
      <c r="E412" s="5" t="inlineStr">
        <is>
          <t>grade_beam</t>
        </is>
      </c>
      <c r="F412" s="5" t="inlineStr">
        <is>
          <t>LG40x15</t>
        </is>
      </c>
      <c r="G412" s="5" t="inlineStr"/>
      <c r="H412" s="5" t="inlineStr">
        <is>
          <t>band width matches label</t>
        </is>
      </c>
      <c r="I412" s="5" t="n">
        <v>202</v>
      </c>
      <c r="J412" s="5" t="n">
        <v>40</v>
      </c>
      <c r="K412" s="9">
        <f>IF(AND(ISNUMBER(I412),ISNUMBER(J412),J412&gt;0),I412/J412,"")</f>
        <v/>
      </c>
      <c r="L412" s="5" t="n">
        <v>0.8090000000000001</v>
      </c>
      <c r="M412" s="5" t="n">
        <v>2.02</v>
      </c>
      <c r="N412" s="5" t="n">
        <v>79.3</v>
      </c>
      <c r="O412" s="5" t="inlineStr">
        <is>
          <t>parallel line pair</t>
        </is>
      </c>
      <c r="P412" s="5" t="inlineStr">
        <is>
          <t>two parallel lines at the width written in the LG label, empty inside</t>
        </is>
      </c>
      <c r="Q412" s="5">
        <f>IF(OR(D412="column",D412="wall"),IF(I412&lt;='P vs V'!$B$3*J412,"column","wall"),"")</f>
        <v/>
      </c>
      <c r="R412" s="5" t="inlineStr"/>
      <c r="S412" s="5" t="inlineStr"/>
      <c r="T412" s="5" t="n"/>
      <c r="U412" s="5" t="inlineStr">
        <is>
          <t>no</t>
        </is>
      </c>
      <c r="V412" s="5" t="inlineStr">
        <is>
          <t>no</t>
        </is>
      </c>
      <c r="W412" s="5" t="inlineStr">
        <is>
          <t>no</t>
        </is>
      </c>
      <c r="X412" s="5" t="inlineStr">
        <is>
          <t>no</t>
        </is>
      </c>
      <c r="Y412" s="5" t="inlineStr">
        <is>
          <t>no</t>
        </is>
      </c>
      <c r="Z412" s="5" t="inlineStr">
        <is>
          <t>no</t>
        </is>
      </c>
      <c r="AA412" s="5" t="n">
        <v>0.04</v>
      </c>
      <c r="AB412" s="5" t="n"/>
      <c r="AC412" s="5" t="n"/>
      <c r="AD412" s="5" t="n"/>
      <c r="AE412" s="5" t="n">
        <v>3798.8</v>
      </c>
      <c r="AF412" s="5" t="n">
        <v>3492.5</v>
      </c>
      <c r="AG412" s="5" t="n">
        <v>3821.5</v>
      </c>
      <c r="AH412" s="5" t="n">
        <v>3553.4</v>
      </c>
      <c r="AI412" s="5" t="inlineStr">
        <is>
          <t>n/a</t>
        </is>
      </c>
      <c r="AJ412" s="5" t="inlineStr"/>
      <c r="AK412" s="5" t="inlineStr"/>
      <c r="AL412" s="5" t="inlineStr"/>
      <c r="AM412" s="5" t="inlineStr"/>
    </row>
    <row r="413">
      <c r="A413" s="5" t="n">
        <v>412</v>
      </c>
      <c r="B413" s="5" t="inlineStr">
        <is>
          <t>124</t>
        </is>
      </c>
      <c r="C413" s="5" t="inlineStr">
        <is>
          <t>nearest labels (60% agree)</t>
        </is>
      </c>
      <c r="D413" s="5" t="inlineStr">
        <is>
          <t>grade_beam</t>
        </is>
      </c>
      <c r="E413" s="5" t="inlineStr">
        <is>
          <t>grade_beam</t>
        </is>
      </c>
      <c r="F413" s="5" t="inlineStr">
        <is>
          <t>LG40x15</t>
        </is>
      </c>
      <c r="G413" s="5" t="inlineStr"/>
      <c r="H413" s="5" t="inlineStr">
        <is>
          <t>band width matches label</t>
        </is>
      </c>
      <c r="I413" s="5" t="n">
        <v>427</v>
      </c>
      <c r="J413" s="5" t="n">
        <v>40</v>
      </c>
      <c r="K413" s="9">
        <f>IF(AND(ISNUMBER(I413),ISNUMBER(J413),J413&gt;0),I413/J413,"")</f>
        <v/>
      </c>
      <c r="L413" s="5" t="n">
        <v>1.71</v>
      </c>
      <c r="M413" s="5" t="n">
        <v>4.27</v>
      </c>
      <c r="N413" s="5" t="n">
        <v>79.3</v>
      </c>
      <c r="O413" s="5" t="inlineStr">
        <is>
          <t>parallel line pair</t>
        </is>
      </c>
      <c r="P413" s="5" t="inlineStr">
        <is>
          <t>two parallel lines at the width written in the LG label, empty inside</t>
        </is>
      </c>
      <c r="Q413" s="5">
        <f>IF(OR(D413="column",D413="wall"),IF(I413&lt;='P vs V'!$B$3*J413,"column","wall"),"")</f>
        <v/>
      </c>
      <c r="R413" s="5" t="inlineStr"/>
      <c r="S413" s="5" t="inlineStr"/>
      <c r="T413" s="5" t="n"/>
      <c r="U413" s="5" t="inlineStr">
        <is>
          <t>no</t>
        </is>
      </c>
      <c r="V413" s="5" t="inlineStr">
        <is>
          <t>no</t>
        </is>
      </c>
      <c r="W413" s="5" t="inlineStr">
        <is>
          <t>no</t>
        </is>
      </c>
      <c r="X413" s="5" t="inlineStr">
        <is>
          <t>no</t>
        </is>
      </c>
      <c r="Y413" s="5" t="inlineStr">
        <is>
          <t>no</t>
        </is>
      </c>
      <c r="Z413" s="5" t="inlineStr">
        <is>
          <t>no</t>
        </is>
      </c>
      <c r="AA413" s="5" t="n">
        <v>5.21</v>
      </c>
      <c r="AB413" s="5" t="n"/>
      <c r="AC413" s="5" t="n"/>
      <c r="AD413" s="5" t="n"/>
      <c r="AE413" s="5" t="n">
        <v>3539</v>
      </c>
      <c r="AF413" s="5" t="n">
        <v>3040.9</v>
      </c>
      <c r="AG413" s="5" t="n">
        <v>3573.9</v>
      </c>
      <c r="AH413" s="5" t="n">
        <v>3167.1</v>
      </c>
      <c r="AI413" s="5" t="inlineStr">
        <is>
          <t>n/a</t>
        </is>
      </c>
      <c r="AJ413" s="5" t="inlineStr"/>
      <c r="AK413" s="5" t="inlineStr"/>
      <c r="AL413" s="5" t="inlineStr"/>
      <c r="AM413" s="5" t="inlineStr"/>
    </row>
    <row r="414">
      <c r="A414" s="5" t="n">
        <v>413</v>
      </c>
      <c r="B414" s="5" t="inlineStr">
        <is>
          <t>124</t>
        </is>
      </c>
      <c r="C414" s="5" t="inlineStr">
        <is>
          <t>nearest labels (60% agree)</t>
        </is>
      </c>
      <c r="D414" s="5" t="inlineStr">
        <is>
          <t>grade_beam</t>
        </is>
      </c>
      <c r="E414" s="5" t="inlineStr">
        <is>
          <t>grade_beam</t>
        </is>
      </c>
      <c r="F414" s="5" t="inlineStr">
        <is>
          <t>LG40x15</t>
        </is>
      </c>
      <c r="G414" s="5" t="inlineStr"/>
      <c r="H414" s="5" t="inlineStr">
        <is>
          <t>band width matches label</t>
        </is>
      </c>
      <c r="I414" s="5" t="n">
        <v>285</v>
      </c>
      <c r="J414" s="5" t="n">
        <v>40</v>
      </c>
      <c r="K414" s="9">
        <f>IF(AND(ISNUMBER(I414),ISNUMBER(J414),J414&gt;0),I414/J414,"")</f>
        <v/>
      </c>
      <c r="L414" s="5" t="n">
        <v>1.141</v>
      </c>
      <c r="M414" s="5" t="n">
        <v>2.85</v>
      </c>
      <c r="N414" s="5" t="n">
        <v>79.3</v>
      </c>
      <c r="O414" s="5" t="inlineStr">
        <is>
          <t>parallel line pair</t>
        </is>
      </c>
      <c r="P414" s="5" t="inlineStr">
        <is>
          <t>two parallel lines at the width written in the LG label, empty inside</t>
        </is>
      </c>
      <c r="Q414" s="5">
        <f>IF(OR(D414="column",D414="wall"),IF(I414&lt;='P vs V'!$B$3*J414,"column","wall"),"")</f>
        <v/>
      </c>
      <c r="R414" s="5" t="inlineStr"/>
      <c r="S414" s="5" t="inlineStr"/>
      <c r="T414" s="5" t="n"/>
      <c r="U414" s="5" t="inlineStr">
        <is>
          <t>no</t>
        </is>
      </c>
      <c r="V414" s="5" t="inlineStr">
        <is>
          <t>no</t>
        </is>
      </c>
      <c r="W414" s="5" t="inlineStr">
        <is>
          <t>no</t>
        </is>
      </c>
      <c r="X414" s="5" t="inlineStr">
        <is>
          <t>no</t>
        </is>
      </c>
      <c r="Y414" s="5" t="inlineStr">
        <is>
          <t>no</t>
        </is>
      </c>
      <c r="Z414" s="5" t="inlineStr">
        <is>
          <t>no</t>
        </is>
      </c>
      <c r="AA414" s="5" t="n">
        <v>5.21</v>
      </c>
      <c r="AB414" s="5" t="n"/>
      <c r="AC414" s="5" t="n"/>
      <c r="AD414" s="5" t="n"/>
      <c r="AE414" s="5" t="n">
        <v>3589.6</v>
      </c>
      <c r="AF414" s="5" t="n">
        <v>3310</v>
      </c>
      <c r="AG414" s="5" t="n">
        <v>3616.8</v>
      </c>
      <c r="AH414" s="5" t="n">
        <v>3395</v>
      </c>
      <c r="AI414" s="5" t="inlineStr">
        <is>
          <t>n/a</t>
        </is>
      </c>
      <c r="AJ414" s="5" t="inlineStr"/>
      <c r="AK414" s="5" t="inlineStr"/>
      <c r="AL414" s="5" t="inlineStr"/>
      <c r="AM414" s="5" t="inlineStr"/>
    </row>
    <row r="415">
      <c r="A415" s="5" t="n">
        <v>414</v>
      </c>
      <c r="B415" s="5" t="inlineStr">
        <is>
          <t>124</t>
        </is>
      </c>
      <c r="C415" s="5" t="inlineStr">
        <is>
          <t>nearest labels (60% agree)</t>
        </is>
      </c>
      <c r="D415" s="5" t="inlineStr">
        <is>
          <t>grade_beam</t>
        </is>
      </c>
      <c r="E415" s="5" t="inlineStr">
        <is>
          <t>grade_beam</t>
        </is>
      </c>
      <c r="F415" s="5" t="inlineStr">
        <is>
          <t>LG40x15</t>
        </is>
      </c>
      <c r="G415" s="5" t="inlineStr"/>
      <c r="H415" s="5" t="inlineStr">
        <is>
          <t>band width matches label</t>
        </is>
      </c>
      <c r="I415" s="5" t="n">
        <v>428</v>
      </c>
      <c r="J415" s="5" t="n">
        <v>40</v>
      </c>
      <c r="K415" s="9">
        <f>IF(AND(ISNUMBER(I415),ISNUMBER(J415),J415&gt;0),I415/J415,"")</f>
        <v/>
      </c>
      <c r="L415" s="5" t="n">
        <v>1.712</v>
      </c>
      <c r="M415" s="5" t="n">
        <v>4.28</v>
      </c>
      <c r="N415" s="5" t="n">
        <v>79.3</v>
      </c>
      <c r="O415" s="5" t="inlineStr">
        <is>
          <t>parallel line pair</t>
        </is>
      </c>
      <c r="P415" s="5" t="inlineStr">
        <is>
          <t>two parallel lines at the width written in the LG label, empty inside</t>
        </is>
      </c>
      <c r="Q415" s="5">
        <f>IF(OR(D415="column",D415="wall"),IF(I415&lt;='P vs V'!$B$3*J415,"column","wall"),"")</f>
        <v/>
      </c>
      <c r="R415" s="5" t="inlineStr"/>
      <c r="S415" s="5" t="inlineStr"/>
      <c r="T415" s="5" t="n"/>
      <c r="U415" s="5" t="inlineStr">
        <is>
          <t>no</t>
        </is>
      </c>
      <c r="V415" s="5" t="inlineStr">
        <is>
          <t>no</t>
        </is>
      </c>
      <c r="W415" s="5" t="inlineStr">
        <is>
          <t>no</t>
        </is>
      </c>
      <c r="X415" s="5" t="inlineStr">
        <is>
          <t>no</t>
        </is>
      </c>
      <c r="Y415" s="5" t="inlineStr">
        <is>
          <t>no</t>
        </is>
      </c>
      <c r="Z415" s="5" t="inlineStr">
        <is>
          <t>no</t>
        </is>
      </c>
      <c r="AA415" s="5" t="n">
        <v>4.71</v>
      </c>
      <c r="AB415" s="5" t="n"/>
      <c r="AC415" s="5" t="n"/>
      <c r="AD415" s="5" t="n"/>
      <c r="AE415" s="5" t="n">
        <v>3524.4</v>
      </c>
      <c r="AF415" s="5" t="n">
        <v>3043.6</v>
      </c>
      <c r="AG415" s="5" t="n">
        <v>3559.4</v>
      </c>
      <c r="AH415" s="5" t="n">
        <v>3170</v>
      </c>
      <c r="AI415" s="5" t="inlineStr">
        <is>
          <t>n/a</t>
        </is>
      </c>
      <c r="AJ415" s="5" t="inlineStr"/>
      <c r="AK415" s="5" t="inlineStr"/>
      <c r="AL415" s="5" t="inlineStr"/>
      <c r="AM415" s="5" t="inlineStr"/>
    </row>
    <row r="416">
      <c r="A416" s="5" t="n">
        <v>415</v>
      </c>
      <c r="B416" s="5" t="inlineStr">
        <is>
          <t>124</t>
        </is>
      </c>
      <c r="C416" s="5" t="inlineStr">
        <is>
          <t>nearest labels (60% agree)</t>
        </is>
      </c>
      <c r="D416" s="5" t="inlineStr">
        <is>
          <t>grade_beam</t>
        </is>
      </c>
      <c r="E416" s="5" t="inlineStr">
        <is>
          <t>grade_beam</t>
        </is>
      </c>
      <c r="F416" s="5" t="inlineStr">
        <is>
          <t>LG40x15</t>
        </is>
      </c>
      <c r="G416" s="5" t="inlineStr"/>
      <c r="H416" s="5" t="inlineStr">
        <is>
          <t>band width matches label</t>
        </is>
      </c>
      <c r="I416" s="5" t="n">
        <v>286</v>
      </c>
      <c r="J416" s="5" t="n">
        <v>40</v>
      </c>
      <c r="K416" s="9">
        <f>IF(AND(ISNUMBER(I416),ISNUMBER(J416),J416&gt;0),I416/J416,"")</f>
        <v/>
      </c>
      <c r="L416" s="5" t="n">
        <v>1.145</v>
      </c>
      <c r="M416" s="5" t="n">
        <v>2.86</v>
      </c>
      <c r="N416" s="5" t="n">
        <v>79.3</v>
      </c>
      <c r="O416" s="5" t="inlineStr">
        <is>
          <t>parallel line pair</t>
        </is>
      </c>
      <c r="P416" s="5" t="inlineStr">
        <is>
          <t>two parallel lines at the width written in the LG label, empty inside</t>
        </is>
      </c>
      <c r="Q416" s="5">
        <f>IF(OR(D416="column",D416="wall"),IF(I416&lt;='P vs V'!$B$3*J416,"column","wall"),"")</f>
        <v/>
      </c>
      <c r="R416" s="5" t="inlineStr"/>
      <c r="S416" s="5" t="inlineStr"/>
      <c r="T416" s="5" t="n"/>
      <c r="U416" s="5" t="inlineStr">
        <is>
          <t>no</t>
        </is>
      </c>
      <c r="V416" s="5" t="inlineStr">
        <is>
          <t>no</t>
        </is>
      </c>
      <c r="W416" s="5" t="inlineStr">
        <is>
          <t>no</t>
        </is>
      </c>
      <c r="X416" s="5" t="inlineStr">
        <is>
          <t>no</t>
        </is>
      </c>
      <c r="Y416" s="5" t="inlineStr">
        <is>
          <t>no</t>
        </is>
      </c>
      <c r="Z416" s="5" t="inlineStr">
        <is>
          <t>no</t>
        </is>
      </c>
      <c r="AA416" s="5" t="n">
        <v>2.96</v>
      </c>
      <c r="AB416" s="5" t="n"/>
      <c r="AC416" s="5" t="n"/>
      <c r="AD416" s="5" t="n"/>
      <c r="AE416" s="5" t="n">
        <v>4266.9</v>
      </c>
      <c r="AF416" s="5" t="n">
        <v>3182.4</v>
      </c>
      <c r="AG416" s="5" t="n">
        <v>4294.2</v>
      </c>
      <c r="AH416" s="5" t="n">
        <v>3267.7</v>
      </c>
      <c r="AI416" s="5" t="inlineStr">
        <is>
          <t>n/a</t>
        </is>
      </c>
      <c r="AJ416" s="5" t="inlineStr"/>
      <c r="AK416" s="5" t="inlineStr"/>
      <c r="AL416" s="5" t="inlineStr"/>
      <c r="AM416" s="5" t="inlineStr"/>
    </row>
    <row r="417">
      <c r="A417" s="5" t="n">
        <v>416</v>
      </c>
      <c r="B417" s="5" t="inlineStr">
        <is>
          <t>124</t>
        </is>
      </c>
      <c r="C417" s="5" t="inlineStr">
        <is>
          <t>nearest labels (60% agree)</t>
        </is>
      </c>
      <c r="D417" s="5" t="inlineStr">
        <is>
          <t>grade_beam</t>
        </is>
      </c>
      <c r="E417" s="5" t="inlineStr">
        <is>
          <t>grade_beam</t>
        </is>
      </c>
      <c r="F417" s="5" t="inlineStr">
        <is>
          <t>LG40x15</t>
        </is>
      </c>
      <c r="G417" s="5" t="inlineStr"/>
      <c r="H417" s="5" t="inlineStr">
        <is>
          <t>band width matches label</t>
        </is>
      </c>
      <c r="I417" s="5" t="n">
        <v>287</v>
      </c>
      <c r="J417" s="5" t="n">
        <v>40</v>
      </c>
      <c r="K417" s="9">
        <f>IF(AND(ISNUMBER(I417),ISNUMBER(J417),J417&gt;0),I417/J417,"")</f>
        <v/>
      </c>
      <c r="L417" s="5" t="n">
        <v>1.146</v>
      </c>
      <c r="M417" s="5" t="n">
        <v>2.87</v>
      </c>
      <c r="N417" s="5" t="n">
        <v>79.3</v>
      </c>
      <c r="O417" s="5" t="inlineStr">
        <is>
          <t>parallel line pair</t>
        </is>
      </c>
      <c r="P417" s="5" t="inlineStr">
        <is>
          <t>two parallel lines at the width written in the LG label, empty inside</t>
        </is>
      </c>
      <c r="Q417" s="5">
        <f>IF(OR(D417="column",D417="wall"),IF(I417&lt;='P vs V'!$B$3*J417,"column","wall"),"")</f>
        <v/>
      </c>
      <c r="R417" s="5" t="inlineStr"/>
      <c r="S417" s="5" t="inlineStr"/>
      <c r="T417" s="5" t="n"/>
      <c r="U417" s="5" t="inlineStr">
        <is>
          <t>no</t>
        </is>
      </c>
      <c r="V417" s="5" t="inlineStr">
        <is>
          <t>no</t>
        </is>
      </c>
      <c r="W417" s="5" t="inlineStr">
        <is>
          <t>no</t>
        </is>
      </c>
      <c r="X417" s="5" t="inlineStr">
        <is>
          <t>no</t>
        </is>
      </c>
      <c r="Y417" s="5" t="inlineStr">
        <is>
          <t>no</t>
        </is>
      </c>
      <c r="Z417" s="5" t="inlineStr">
        <is>
          <t>no</t>
        </is>
      </c>
      <c r="AA417" s="5" t="n">
        <v>3.46</v>
      </c>
      <c r="AB417" s="5" t="n"/>
      <c r="AC417" s="5" t="n"/>
      <c r="AD417" s="5" t="n"/>
      <c r="AE417" s="5" t="n">
        <v>4252.4</v>
      </c>
      <c r="AF417" s="5" t="n">
        <v>3185.3</v>
      </c>
      <c r="AG417" s="5" t="n">
        <v>4279.7</v>
      </c>
      <c r="AH417" s="5" t="n">
        <v>3270.6</v>
      </c>
      <c r="AI417" s="5" t="inlineStr">
        <is>
          <t>n/a</t>
        </is>
      </c>
      <c r="AJ417" s="5" t="inlineStr"/>
      <c r="AK417" s="5" t="inlineStr"/>
      <c r="AL417" s="5" t="inlineStr"/>
      <c r="AM417" s="5" t="inlineStr"/>
    </row>
    <row r="418">
      <c r="A418" s="5" t="n">
        <v>417</v>
      </c>
      <c r="B418" s="5" t="inlineStr">
        <is>
          <t>124</t>
        </is>
      </c>
      <c r="C418" s="5" t="inlineStr">
        <is>
          <t>nearest labels (60% agree)</t>
        </is>
      </c>
      <c r="D418" s="5" t="inlineStr">
        <is>
          <t>grade_beam</t>
        </is>
      </c>
      <c r="E418" s="5" t="inlineStr">
        <is>
          <t>grade_beam</t>
        </is>
      </c>
      <c r="F418" s="5" t="inlineStr">
        <is>
          <t>LG40x15</t>
        </is>
      </c>
      <c r="G418" s="5" t="inlineStr"/>
      <c r="H418" s="5" t="inlineStr">
        <is>
          <t>band width matches label</t>
        </is>
      </c>
      <c r="I418" s="5" t="n">
        <v>561</v>
      </c>
      <c r="J418" s="5" t="n">
        <v>40</v>
      </c>
      <c r="K418" s="9">
        <f>IF(AND(ISNUMBER(I418),ISNUMBER(J418),J418&gt;0),I418/J418,"")</f>
        <v/>
      </c>
      <c r="L418" s="5" t="n">
        <v>2.246</v>
      </c>
      <c r="M418" s="5" t="n">
        <v>5.61</v>
      </c>
      <c r="N418" s="5" t="n">
        <v>169.3</v>
      </c>
      <c r="O418" s="5" t="inlineStr">
        <is>
          <t>parallel line pair</t>
        </is>
      </c>
      <c r="P418" s="5" t="inlineStr">
        <is>
          <t>two parallel lines at the width written in the LG label, empty inside</t>
        </is>
      </c>
      <c r="Q418" s="5">
        <f>IF(OR(D418="column",D418="wall"),IF(I418&lt;='P vs V'!$B$3*J418,"column","wall"),"")</f>
        <v/>
      </c>
      <c r="R418" s="5" t="inlineStr"/>
      <c r="S418" s="5" t="inlineStr"/>
      <c r="T418" s="5" t="n"/>
      <c r="U418" s="5" t="inlineStr">
        <is>
          <t>no</t>
        </is>
      </c>
      <c r="V418" s="5" t="inlineStr">
        <is>
          <t>no</t>
        </is>
      </c>
      <c r="W418" s="5" t="inlineStr">
        <is>
          <t>no</t>
        </is>
      </c>
      <c r="X418" s="5" t="inlineStr">
        <is>
          <t>no</t>
        </is>
      </c>
      <c r="Y418" s="5" t="inlineStr">
        <is>
          <t>no</t>
        </is>
      </c>
      <c r="Z418" s="5" t="inlineStr">
        <is>
          <t>no</t>
        </is>
      </c>
      <c r="AA418" s="5" t="n">
        <v>0.07000000000000001</v>
      </c>
      <c r="AB418" s="5" t="n"/>
      <c r="AC418" s="5" t="n"/>
      <c r="AD418" s="5" t="n"/>
      <c r="AE418" s="5" t="n">
        <v>4015.4</v>
      </c>
      <c r="AF418" s="5" t="n">
        <v>2889.6</v>
      </c>
      <c r="AG418" s="5" t="n">
        <v>4180.4</v>
      </c>
      <c r="AH418" s="5" t="n">
        <v>2931.9</v>
      </c>
      <c r="AI418" s="5" t="inlineStr">
        <is>
          <t>n/a</t>
        </is>
      </c>
      <c r="AJ418" s="5" t="inlineStr"/>
      <c r="AK418" s="5" t="inlineStr"/>
      <c r="AL418" s="5" t="inlineStr"/>
      <c r="AM418" s="5" t="inlineStr"/>
    </row>
    <row r="419">
      <c r="A419" s="5" t="n">
        <v>418</v>
      </c>
      <c r="B419" s="5" t="inlineStr">
        <is>
          <t>124</t>
        </is>
      </c>
      <c r="C419" s="5" t="inlineStr">
        <is>
          <t>nearest labels (100% agree)</t>
        </is>
      </c>
      <c r="D419" s="5" t="inlineStr">
        <is>
          <t>grade_beam</t>
        </is>
      </c>
      <c r="E419" s="5" t="inlineStr">
        <is>
          <t>grade_beam</t>
        </is>
      </c>
      <c r="F419" s="5" t="inlineStr">
        <is>
          <t>LG40x15</t>
        </is>
      </c>
      <c r="G419" s="5" t="inlineStr"/>
      <c r="H419" s="5" t="inlineStr">
        <is>
          <t>band width matches label</t>
        </is>
      </c>
      <c r="I419" s="5" t="n">
        <v>189</v>
      </c>
      <c r="J419" s="5" t="n">
        <v>40</v>
      </c>
      <c r="K419" s="9">
        <f>IF(AND(ISNUMBER(I419),ISNUMBER(J419),J419&gt;0),I419/J419,"")</f>
        <v/>
      </c>
      <c r="L419" s="5" t="n">
        <v>0.756</v>
      </c>
      <c r="M419" s="5" t="n">
        <v>1.89</v>
      </c>
      <c r="N419" s="5" t="n">
        <v>169.3</v>
      </c>
      <c r="O419" s="5" t="inlineStr">
        <is>
          <t>parallel line pair</t>
        </is>
      </c>
      <c r="P419" s="5" t="inlineStr">
        <is>
          <t>two parallel lines at the width written in the LG label, empty inside</t>
        </is>
      </c>
      <c r="Q419" s="5">
        <f>IF(OR(D419="column",D419="wall"),IF(I419&lt;='P vs V'!$B$3*J419,"column","wall"),"")</f>
        <v/>
      </c>
      <c r="R419" s="5" t="inlineStr"/>
      <c r="S419" s="5" t="inlineStr"/>
      <c r="T419" s="5" t="n"/>
      <c r="U419" s="5" t="inlineStr">
        <is>
          <t>no</t>
        </is>
      </c>
      <c r="V419" s="5" t="inlineStr">
        <is>
          <t>no</t>
        </is>
      </c>
      <c r="W419" s="5" t="inlineStr">
        <is>
          <t>no</t>
        </is>
      </c>
      <c r="X419" s="5" t="inlineStr">
        <is>
          <t>no</t>
        </is>
      </c>
      <c r="Y419" s="5" t="inlineStr">
        <is>
          <t>no</t>
        </is>
      </c>
      <c r="Z419" s="5" t="inlineStr">
        <is>
          <t>yes</t>
        </is>
      </c>
      <c r="AA419" s="5" t="n">
        <v>0.19</v>
      </c>
      <c r="AB419" s="5" t="n"/>
      <c r="AC419" s="5" t="n"/>
      <c r="AD419" s="5" t="n"/>
      <c r="AE419" s="5" t="n">
        <v>3902.5</v>
      </c>
      <c r="AF419" s="5" t="n">
        <v>2931.3</v>
      </c>
      <c r="AG419" s="5" t="n">
        <v>3959.5</v>
      </c>
      <c r="AH419" s="5" t="n">
        <v>2953.2</v>
      </c>
      <c r="AI419" s="5" t="inlineStr">
        <is>
          <t>n/a</t>
        </is>
      </c>
      <c r="AJ419" s="5" t="inlineStr"/>
      <c r="AK419" s="5" t="inlineStr"/>
      <c r="AL419" s="5" t="inlineStr"/>
      <c r="AM419" s="5" t="inlineStr"/>
    </row>
    <row r="420">
      <c r="A420" s="5" t="n">
        <v>419</v>
      </c>
      <c r="B420" s="5" t="inlineStr">
        <is>
          <t>124</t>
        </is>
      </c>
      <c r="C420" s="5" t="inlineStr">
        <is>
          <t>nearest labels (100% agree)</t>
        </is>
      </c>
      <c r="D420" s="5" t="inlineStr">
        <is>
          <t>grade_beam</t>
        </is>
      </c>
      <c r="E420" s="5" t="inlineStr">
        <is>
          <t>grade_beam</t>
        </is>
      </c>
      <c r="F420" s="5" t="inlineStr">
        <is>
          <t>LG40x15</t>
        </is>
      </c>
      <c r="G420" s="5" t="inlineStr"/>
      <c r="H420" s="5" t="inlineStr">
        <is>
          <t>band width matches label</t>
        </is>
      </c>
      <c r="I420" s="5" t="n">
        <v>323</v>
      </c>
      <c r="J420" s="5" t="n">
        <v>40</v>
      </c>
      <c r="K420" s="9">
        <f>IF(AND(ISNUMBER(I420),ISNUMBER(J420),J420&gt;0),I420/J420,"")</f>
        <v/>
      </c>
      <c r="L420" s="5" t="n">
        <v>1.293</v>
      </c>
      <c r="M420" s="5" t="n">
        <v>3.23</v>
      </c>
      <c r="N420" s="5" t="n">
        <v>169.3</v>
      </c>
      <c r="O420" s="5" t="inlineStr">
        <is>
          <t>parallel line pair</t>
        </is>
      </c>
      <c r="P420" s="5" t="inlineStr">
        <is>
          <t>two parallel lines at the width written in the LG label, empty inside</t>
        </is>
      </c>
      <c r="Q420" s="5">
        <f>IF(OR(D420="column",D420="wall"),IF(I420&lt;='P vs V'!$B$3*J420,"column","wall"),"")</f>
        <v/>
      </c>
      <c r="R420" s="5" t="inlineStr"/>
      <c r="S420" s="5" t="inlineStr"/>
      <c r="T420" s="5" t="n"/>
      <c r="U420" s="5" t="inlineStr">
        <is>
          <t>no</t>
        </is>
      </c>
      <c r="V420" s="5" t="inlineStr">
        <is>
          <t>no</t>
        </is>
      </c>
      <c r="W420" s="5" t="inlineStr">
        <is>
          <t>no</t>
        </is>
      </c>
      <c r="X420" s="5" t="inlineStr">
        <is>
          <t>no</t>
        </is>
      </c>
      <c r="Y420" s="5" t="inlineStr">
        <is>
          <t>no</t>
        </is>
      </c>
      <c r="Z420" s="5" t="inlineStr">
        <is>
          <t>yes</t>
        </is>
      </c>
      <c r="AA420" s="5" t="n">
        <v>0.71</v>
      </c>
      <c r="AB420" s="5" t="n"/>
      <c r="AC420" s="5" t="n"/>
      <c r="AD420" s="5" t="n"/>
      <c r="AE420" s="5" t="n">
        <v>3791.3</v>
      </c>
      <c r="AF420" s="5" t="n">
        <v>2944.9</v>
      </c>
      <c r="AG420" s="5" t="n">
        <v>3887.3</v>
      </c>
      <c r="AH420" s="5" t="n">
        <v>2974.2</v>
      </c>
      <c r="AI420" s="5" t="inlineStr">
        <is>
          <t>n/a</t>
        </is>
      </c>
      <c r="AJ420" s="5" t="inlineStr"/>
      <c r="AK420" s="5" t="inlineStr"/>
      <c r="AL420" s="5" t="inlineStr"/>
      <c r="AM420" s="5" t="inlineStr"/>
    </row>
    <row r="421">
      <c r="A421" s="5" t="n">
        <v>420</v>
      </c>
      <c r="B421" s="5" t="inlineStr">
        <is>
          <t>124</t>
        </is>
      </c>
      <c r="C421" s="5" t="inlineStr">
        <is>
          <t>nearest labels (100% agree)</t>
        </is>
      </c>
      <c r="D421" s="5" t="inlineStr">
        <is>
          <t>grade_beam</t>
        </is>
      </c>
      <c r="E421" s="5" t="inlineStr">
        <is>
          <t>grade_beam</t>
        </is>
      </c>
      <c r="F421" s="5" t="inlineStr">
        <is>
          <t>LG40x15</t>
        </is>
      </c>
      <c r="G421" s="5" t="inlineStr"/>
      <c r="H421" s="5" t="inlineStr">
        <is>
          <t>band width matches label</t>
        </is>
      </c>
      <c r="I421" s="5" t="n">
        <v>569</v>
      </c>
      <c r="J421" s="5" t="n">
        <v>40</v>
      </c>
      <c r="K421" s="9">
        <f>IF(AND(ISNUMBER(I421),ISNUMBER(J421),J421&gt;0),I421/J421,"")</f>
        <v/>
      </c>
      <c r="L421" s="5" t="n">
        <v>2.274</v>
      </c>
      <c r="M421" s="5" t="n">
        <v>5.69</v>
      </c>
      <c r="N421" s="5" t="n">
        <v>169.4</v>
      </c>
      <c r="O421" s="5" t="inlineStr">
        <is>
          <t>parallel line pair</t>
        </is>
      </c>
      <c r="P421" s="5" t="inlineStr">
        <is>
          <t>two parallel lines at the width written in the LG label, empty inside</t>
        </is>
      </c>
      <c r="Q421" s="5">
        <f>IF(OR(D421="column",D421="wall"),IF(I421&lt;='P vs V'!$B$3*J421,"column","wall"),"")</f>
        <v/>
      </c>
      <c r="R421" s="5" t="inlineStr"/>
      <c r="S421" s="5" t="inlineStr"/>
      <c r="T421" s="5" t="n"/>
      <c r="U421" s="5" t="inlineStr">
        <is>
          <t>no</t>
        </is>
      </c>
      <c r="V421" s="5" t="inlineStr">
        <is>
          <t>no</t>
        </is>
      </c>
      <c r="W421" s="5" t="inlineStr">
        <is>
          <t>yes</t>
        </is>
      </c>
      <c r="X421" s="5" t="inlineStr">
        <is>
          <t>no</t>
        </is>
      </c>
      <c r="Y421" s="5" t="inlineStr">
        <is>
          <t>no</t>
        </is>
      </c>
      <c r="Z421" s="5" t="inlineStr">
        <is>
          <t>no</t>
        </is>
      </c>
      <c r="AA421" s="5" t="n">
        <v>0.34</v>
      </c>
      <c r="AB421" s="5" t="n"/>
      <c r="AC421" s="5" t="n"/>
      <c r="AD421" s="5" t="n"/>
      <c r="AE421" s="5" t="n">
        <v>3887.7</v>
      </c>
      <c r="AF421" s="5" t="n">
        <v>3578.1</v>
      </c>
      <c r="AG421" s="5" t="n">
        <v>4054.9</v>
      </c>
      <c r="AH421" s="5" t="n">
        <v>3620.6</v>
      </c>
      <c r="AI421" s="5" t="inlineStr">
        <is>
          <t>n/a</t>
        </is>
      </c>
      <c r="AJ421" s="5" t="inlineStr"/>
      <c r="AK421" s="5" t="inlineStr"/>
      <c r="AL421" s="5" t="inlineStr"/>
      <c r="AM421" s="5" t="inlineStr"/>
    </row>
    <row r="422">
      <c r="A422" s="5" t="n">
        <v>421</v>
      </c>
      <c r="B422" s="5" t="inlineStr">
        <is>
          <t>124</t>
        </is>
      </c>
      <c r="C422" s="5" t="inlineStr">
        <is>
          <t>nearest labels (80% agree)</t>
        </is>
      </c>
      <c r="D422" s="5" t="inlineStr">
        <is>
          <t>grade_beam</t>
        </is>
      </c>
      <c r="E422" s="5" t="inlineStr">
        <is>
          <t>grade_beam</t>
        </is>
      </c>
      <c r="F422" s="5" t="inlineStr">
        <is>
          <t>LG40x15</t>
        </is>
      </c>
      <c r="G422" s="5" t="inlineStr"/>
      <c r="H422" s="5" t="inlineStr">
        <is>
          <t>band width matches label</t>
        </is>
      </c>
      <c r="I422" s="5" t="n">
        <v>238</v>
      </c>
      <c r="J422" s="5" t="n">
        <v>40</v>
      </c>
      <c r="K422" s="9">
        <f>IF(AND(ISNUMBER(I422),ISNUMBER(J422),J422&gt;0),I422/J422,"")</f>
        <v/>
      </c>
      <c r="L422" s="5" t="n">
        <v>0.953</v>
      </c>
      <c r="M422" s="5" t="n">
        <v>2.38</v>
      </c>
      <c r="N422" s="5" t="n">
        <v>169.4</v>
      </c>
      <c r="O422" s="5" t="inlineStr">
        <is>
          <t>parallel line pair</t>
        </is>
      </c>
      <c r="P422" s="5" t="inlineStr">
        <is>
          <t>two parallel lines at the width written in the LG label, empty inside</t>
        </is>
      </c>
      <c r="Q422" s="5">
        <f>IF(OR(D422="column",D422="wall"),IF(I422&lt;='P vs V'!$B$3*J422,"column","wall"),"")</f>
        <v/>
      </c>
      <c r="R422" s="5" t="inlineStr"/>
      <c r="S422" s="5" t="inlineStr"/>
      <c r="T422" s="5" t="n"/>
      <c r="U422" s="5" t="inlineStr">
        <is>
          <t>no</t>
        </is>
      </c>
      <c r="V422" s="5" t="inlineStr">
        <is>
          <t>no</t>
        </is>
      </c>
      <c r="W422" s="5" t="inlineStr">
        <is>
          <t>no</t>
        </is>
      </c>
      <c r="X422" s="5" t="inlineStr">
        <is>
          <t>no</t>
        </is>
      </c>
      <c r="Y422" s="5" t="inlineStr">
        <is>
          <t>no</t>
        </is>
      </c>
      <c r="Z422" s="5" t="inlineStr">
        <is>
          <t>no</t>
        </is>
      </c>
      <c r="AA422" s="5" t="n">
        <v>3.19</v>
      </c>
      <c r="AB422" s="5" t="n"/>
      <c r="AC422" s="5" t="n"/>
      <c r="AD422" s="5" t="n"/>
      <c r="AE422" s="5" t="n">
        <v>3702.4</v>
      </c>
      <c r="AF422" s="5" t="n">
        <v>3630.7</v>
      </c>
      <c r="AG422" s="5" t="n">
        <v>3773.7</v>
      </c>
      <c r="AH422" s="5" t="n">
        <v>3655.2</v>
      </c>
      <c r="AI422" s="5" t="inlineStr">
        <is>
          <t>n/a</t>
        </is>
      </c>
      <c r="AJ422" s="5" t="inlineStr"/>
      <c r="AK422" s="5" t="inlineStr"/>
      <c r="AL422" s="5" t="inlineStr"/>
      <c r="AM422" s="5" t="inlineStr"/>
    </row>
    <row r="423">
      <c r="A423" s="5" t="n">
        <v>422</v>
      </c>
      <c r="B423" s="5" t="inlineStr">
        <is>
          <t>124</t>
        </is>
      </c>
      <c r="C423" s="5" t="inlineStr">
        <is>
          <t>nearest labels (100% agree)</t>
        </is>
      </c>
      <c r="D423" s="5" t="inlineStr">
        <is>
          <t>grade_beam</t>
        </is>
      </c>
      <c r="E423" s="5" t="inlineStr">
        <is>
          <t>grade_beam</t>
        </is>
      </c>
      <c r="F423" s="5" t="inlineStr">
        <is>
          <t>LG40x15</t>
        </is>
      </c>
      <c r="G423" s="5" t="inlineStr"/>
      <c r="H423" s="5" t="inlineStr">
        <is>
          <t>band width matches label</t>
        </is>
      </c>
      <c r="I423" s="5" t="n">
        <v>528</v>
      </c>
      <c r="J423" s="5" t="n">
        <v>40</v>
      </c>
      <c r="K423" s="9">
        <f>IF(AND(ISNUMBER(I423),ISNUMBER(J423),J423&gt;0),I423/J423,"")</f>
        <v/>
      </c>
      <c r="L423" s="5" t="n">
        <v>2.111</v>
      </c>
      <c r="M423" s="5" t="n">
        <v>5.28</v>
      </c>
      <c r="N423" s="5" t="n">
        <v>79.40000000000001</v>
      </c>
      <c r="O423" s="5" t="inlineStr">
        <is>
          <t>parallel line pair</t>
        </is>
      </c>
      <c r="P423" s="5" t="inlineStr">
        <is>
          <t>two parallel lines at the width written in the LG label, empty inside</t>
        </is>
      </c>
      <c r="Q423" s="5">
        <f>IF(OR(D423="column",D423="wall"),IF(I423&lt;='P vs V'!$B$3*J423,"column","wall"),"")</f>
        <v/>
      </c>
      <c r="R423" s="5" t="inlineStr"/>
      <c r="S423" s="5" t="inlineStr"/>
      <c r="T423" s="5" t="n"/>
      <c r="U423" s="5" t="inlineStr">
        <is>
          <t>no</t>
        </is>
      </c>
      <c r="V423" s="5" t="inlineStr">
        <is>
          <t>no</t>
        </is>
      </c>
      <c r="W423" s="5" t="inlineStr">
        <is>
          <t>no</t>
        </is>
      </c>
      <c r="X423" s="5" t="inlineStr">
        <is>
          <t>no</t>
        </is>
      </c>
      <c r="Y423" s="5" t="inlineStr">
        <is>
          <t>no</t>
        </is>
      </c>
      <c r="Z423" s="5" t="inlineStr">
        <is>
          <t>yes</t>
        </is>
      </c>
      <c r="AA423" s="5" t="n">
        <v>1.21</v>
      </c>
      <c r="AB423" s="5" t="n"/>
      <c r="AC423" s="5" t="n"/>
      <c r="AD423" s="5" t="n"/>
      <c r="AE423" s="5" t="n">
        <v>3891.1</v>
      </c>
      <c r="AF423" s="5" t="n">
        <v>2956.4</v>
      </c>
      <c r="AG423" s="5" t="n">
        <v>3931.4</v>
      </c>
      <c r="AH423" s="5" t="n">
        <v>3111.8</v>
      </c>
      <c r="AI423" s="5" t="inlineStr">
        <is>
          <t>n/a</t>
        </is>
      </c>
      <c r="AJ423" s="5" t="inlineStr"/>
      <c r="AK423" s="5" t="inlineStr"/>
      <c r="AL423" s="5" t="inlineStr"/>
      <c r="AM423" s="5" t="inlineStr"/>
    </row>
    <row r="424">
      <c r="A424" s="5" t="n">
        <v>423</v>
      </c>
      <c r="B424" s="5" t="inlineStr">
        <is>
          <t>124</t>
        </is>
      </c>
      <c r="C424" s="5" t="inlineStr">
        <is>
          <t>nearest labels (100% agree)</t>
        </is>
      </c>
      <c r="D424" s="5" t="inlineStr">
        <is>
          <t>grade_beam</t>
        </is>
      </c>
      <c r="E424" s="5" t="inlineStr">
        <is>
          <t>grade_beam</t>
        </is>
      </c>
      <c r="F424" s="5" t="inlineStr">
        <is>
          <t>LG40x15</t>
        </is>
      </c>
      <c r="G424" s="5" t="inlineStr"/>
      <c r="H424" s="5" t="inlineStr">
        <is>
          <t>band width matches label</t>
        </is>
      </c>
      <c r="I424" s="5" t="n">
        <v>171</v>
      </c>
      <c r="J424" s="5" t="n">
        <v>40</v>
      </c>
      <c r="K424" s="9">
        <f>IF(AND(ISNUMBER(I424),ISNUMBER(J424),J424&gt;0),I424/J424,"")</f>
        <v/>
      </c>
      <c r="L424" s="5" t="n">
        <v>0.6850000000000001</v>
      </c>
      <c r="M424" s="5" t="n">
        <v>1.71</v>
      </c>
      <c r="N424" s="5" t="n">
        <v>79.40000000000001</v>
      </c>
      <c r="O424" s="5" t="inlineStr">
        <is>
          <t>parallel line pair</t>
        </is>
      </c>
      <c r="P424" s="5" t="inlineStr">
        <is>
          <t>two parallel lines at the width written in the LG label, empty inside</t>
        </is>
      </c>
      <c r="Q424" s="5">
        <f>IF(OR(D424="column",D424="wall"),IF(I424&lt;='P vs V'!$B$3*J424,"column","wall"),"")</f>
        <v/>
      </c>
      <c r="R424" s="5" t="inlineStr"/>
      <c r="S424" s="5" t="inlineStr"/>
      <c r="T424" s="5" t="n"/>
      <c r="U424" s="5" t="inlineStr">
        <is>
          <t>no</t>
        </is>
      </c>
      <c r="V424" s="5" t="inlineStr">
        <is>
          <t>no</t>
        </is>
      </c>
      <c r="W424" s="5" t="inlineStr">
        <is>
          <t>no</t>
        </is>
      </c>
      <c r="X424" s="5" t="inlineStr">
        <is>
          <t>no</t>
        </is>
      </c>
      <c r="Y424" s="5" t="inlineStr">
        <is>
          <t>no</t>
        </is>
      </c>
      <c r="Z424" s="5" t="inlineStr">
        <is>
          <t>yes</t>
        </is>
      </c>
      <c r="AA424" s="5" t="n">
        <v>1.2</v>
      </c>
      <c r="AB424" s="5" t="n"/>
      <c r="AC424" s="5" t="n"/>
      <c r="AD424" s="5" t="n"/>
      <c r="AE424" s="5" t="n">
        <v>3952.3</v>
      </c>
      <c r="AF424" s="5" t="n">
        <v>3283.7</v>
      </c>
      <c r="AG424" s="5" t="n">
        <v>3973.2</v>
      </c>
      <c r="AH424" s="5" t="n">
        <v>3335.6</v>
      </c>
      <c r="AI424" s="5" t="inlineStr">
        <is>
          <t>n/a</t>
        </is>
      </c>
      <c r="AJ424" s="5" t="inlineStr"/>
      <c r="AK424" s="5" t="inlineStr"/>
      <c r="AL424" s="5" t="inlineStr"/>
      <c r="AM424" s="5" t="inlineStr"/>
    </row>
    <row r="425">
      <c r="A425" s="5" t="n">
        <v>424</v>
      </c>
      <c r="B425" s="5" t="inlineStr">
        <is>
          <t>124</t>
        </is>
      </c>
      <c r="C425" s="5" t="inlineStr">
        <is>
          <t>nearest labels (100% agree)</t>
        </is>
      </c>
      <c r="D425" s="5" t="inlineStr">
        <is>
          <t>grade_beam</t>
        </is>
      </c>
      <c r="E425" s="5" t="inlineStr">
        <is>
          <t>grade_beam</t>
        </is>
      </c>
      <c r="F425" s="5" t="inlineStr">
        <is>
          <t>LG40x15</t>
        </is>
      </c>
      <c r="G425" s="5" t="inlineStr"/>
      <c r="H425" s="5" t="inlineStr">
        <is>
          <t>band width matches label</t>
        </is>
      </c>
      <c r="I425" s="5" t="n">
        <v>206</v>
      </c>
      <c r="J425" s="5" t="n">
        <v>40</v>
      </c>
      <c r="K425" s="9">
        <f>IF(AND(ISNUMBER(I425),ISNUMBER(J425),J425&gt;0),I425/J425,"")</f>
        <v/>
      </c>
      <c r="L425" s="5" t="n">
        <v>0.822</v>
      </c>
      <c r="M425" s="5" t="n">
        <v>2.06</v>
      </c>
      <c r="N425" s="5" t="n">
        <v>169.4</v>
      </c>
      <c r="O425" s="5" t="inlineStr">
        <is>
          <t>parallel line pair</t>
        </is>
      </c>
      <c r="P425" s="5" t="inlineStr">
        <is>
          <t>two parallel lines at the width written in the LG label, empty inside</t>
        </is>
      </c>
      <c r="Q425" s="5">
        <f>IF(OR(D425="column",D425="wall"),IF(I425&lt;='P vs V'!$B$3*J425,"column","wall"),"")</f>
        <v/>
      </c>
      <c r="R425" s="5" t="inlineStr"/>
      <c r="S425" s="5" t="inlineStr"/>
      <c r="T425" s="5" t="n"/>
      <c r="U425" s="5" t="inlineStr">
        <is>
          <t>no</t>
        </is>
      </c>
      <c r="V425" s="5" t="inlineStr">
        <is>
          <t>no</t>
        </is>
      </c>
      <c r="W425" s="5" t="inlineStr">
        <is>
          <t>no</t>
        </is>
      </c>
      <c r="X425" s="5" t="inlineStr">
        <is>
          <t>no</t>
        </is>
      </c>
      <c r="Y425" s="5" t="inlineStr">
        <is>
          <t>no</t>
        </is>
      </c>
      <c r="Z425" s="5" t="inlineStr">
        <is>
          <t>no</t>
        </is>
      </c>
      <c r="AA425" s="5" t="n">
        <v>1.41</v>
      </c>
      <c r="AB425" s="5" t="n"/>
      <c r="AC425" s="5" t="n"/>
      <c r="AD425" s="5" t="n"/>
      <c r="AE425" s="5" t="n">
        <v>3816.6</v>
      </c>
      <c r="AF425" s="5" t="n">
        <v>3184.7</v>
      </c>
      <c r="AG425" s="5" t="n">
        <v>3878.4</v>
      </c>
      <c r="AH425" s="5" t="n">
        <v>3207.5</v>
      </c>
      <c r="AI425" s="5" t="inlineStr">
        <is>
          <t>n/a</t>
        </is>
      </c>
      <c r="AJ425" s="5" t="inlineStr"/>
      <c r="AK425" s="5" t="inlineStr"/>
      <c r="AL425" s="5" t="inlineStr"/>
      <c r="AM425" s="5" t="inlineStr"/>
    </row>
    <row r="426">
      <c r="A426" s="5" t="n">
        <v>425</v>
      </c>
      <c r="B426" s="5" t="inlineStr">
        <is>
          <t>124</t>
        </is>
      </c>
      <c r="C426" s="5" t="inlineStr">
        <is>
          <t>nearest labels (80% agree)</t>
        </is>
      </c>
      <c r="D426" s="5" t="inlineStr">
        <is>
          <t>grade_beam</t>
        </is>
      </c>
      <c r="E426" s="5" t="inlineStr">
        <is>
          <t>grade_beam</t>
        </is>
      </c>
      <c r="F426" s="5" t="inlineStr">
        <is>
          <t>LG40x15</t>
        </is>
      </c>
      <c r="G426" s="5" t="inlineStr"/>
      <c r="H426" s="5" t="inlineStr">
        <is>
          <t>band width matches label</t>
        </is>
      </c>
      <c r="I426" s="5" t="n">
        <v>153</v>
      </c>
      <c r="J426" s="5" t="n">
        <v>40</v>
      </c>
      <c r="K426" s="9">
        <f>IF(AND(ISNUMBER(I426),ISNUMBER(J426),J426&gt;0),I426/J426,"")</f>
        <v/>
      </c>
      <c r="L426" s="5" t="n">
        <v>0.613</v>
      </c>
      <c r="M426" s="5" t="n">
        <v>1.53</v>
      </c>
      <c r="N426" s="5" t="n">
        <v>169.4</v>
      </c>
      <c r="O426" s="5" t="inlineStr">
        <is>
          <t>parallel line pair</t>
        </is>
      </c>
      <c r="P426" s="5" t="inlineStr">
        <is>
          <t>two parallel lines at the width written in the LG label, empty inside</t>
        </is>
      </c>
      <c r="Q426" s="5">
        <f>IF(OR(D426="column",D426="wall"),IF(I426&lt;='P vs V'!$B$3*J426,"column","wall"),"")</f>
        <v/>
      </c>
      <c r="R426" s="5" t="inlineStr"/>
      <c r="S426" s="5" t="inlineStr"/>
      <c r="T426" s="5" t="n"/>
      <c r="U426" s="5" t="inlineStr">
        <is>
          <t>no</t>
        </is>
      </c>
      <c r="V426" s="5" t="inlineStr">
        <is>
          <t>no</t>
        </is>
      </c>
      <c r="W426" s="5" t="inlineStr">
        <is>
          <t>no</t>
        </is>
      </c>
      <c r="X426" s="5" t="inlineStr">
        <is>
          <t>no</t>
        </is>
      </c>
      <c r="Y426" s="5" t="inlineStr">
        <is>
          <t>no</t>
        </is>
      </c>
      <c r="Z426" s="5" t="inlineStr">
        <is>
          <t>no</t>
        </is>
      </c>
      <c r="AA426" s="5" t="n">
        <v>3.04</v>
      </c>
      <c r="AB426" s="5" t="n"/>
      <c r="AC426" s="5" t="n"/>
      <c r="AD426" s="5" t="n"/>
      <c r="AE426" s="5" t="n">
        <v>3641.6</v>
      </c>
      <c r="AF426" s="5" t="n">
        <v>3220.3</v>
      </c>
      <c r="AG426" s="5" t="n">
        <v>3688.2</v>
      </c>
      <c r="AH426" s="5" t="n">
        <v>3240.2</v>
      </c>
      <c r="AI426" s="5" t="inlineStr">
        <is>
          <t>n/a</t>
        </is>
      </c>
      <c r="AJ426" s="5" t="inlineStr"/>
      <c r="AK426" s="5" t="inlineStr"/>
      <c r="AL426" s="5" t="inlineStr"/>
      <c r="AM426" s="5" t="inlineStr"/>
    </row>
    <row r="427">
      <c r="A427" s="5" t="n">
        <v>426</v>
      </c>
      <c r="B427" s="5" t="inlineStr">
        <is>
          <t>124</t>
        </is>
      </c>
      <c r="C427" s="5" t="inlineStr">
        <is>
          <t>nearest labels (80% agree)</t>
        </is>
      </c>
      <c r="D427" s="5" t="inlineStr">
        <is>
          <t>grade_beam</t>
        </is>
      </c>
      <c r="E427" s="5" t="inlineStr">
        <is>
          <t>grade_beam</t>
        </is>
      </c>
      <c r="F427" s="5" t="inlineStr">
        <is>
          <t>LG40x15</t>
        </is>
      </c>
      <c r="G427" s="5" t="inlineStr"/>
      <c r="H427" s="5" t="inlineStr">
        <is>
          <t>band width matches label</t>
        </is>
      </c>
      <c r="I427" s="5" t="n">
        <v>261</v>
      </c>
      <c r="J427" s="5" t="n">
        <v>40</v>
      </c>
      <c r="K427" s="9">
        <f>IF(AND(ISNUMBER(I427),ISNUMBER(J427),J427&gt;0),I427/J427,"")</f>
        <v/>
      </c>
      <c r="L427" s="5" t="n">
        <v>1.042</v>
      </c>
      <c r="M427" s="5" t="n">
        <v>2.61</v>
      </c>
      <c r="N427" s="5" t="n">
        <v>169.3</v>
      </c>
      <c r="O427" s="5" t="inlineStr">
        <is>
          <t>parallel line pair</t>
        </is>
      </c>
      <c r="P427" s="5" t="inlineStr">
        <is>
          <t>two parallel lines at the width written in the LG label, empty inside</t>
        </is>
      </c>
      <c r="Q427" s="5">
        <f>IF(OR(D427="column",D427="wall"),IF(I427&lt;='P vs V'!$B$3*J427,"column","wall"),"")</f>
        <v/>
      </c>
      <c r="R427" s="5" t="inlineStr"/>
      <c r="S427" s="5" t="inlineStr"/>
      <c r="T427" s="5" t="n"/>
      <c r="U427" s="5" t="inlineStr">
        <is>
          <t>no</t>
        </is>
      </c>
      <c r="V427" s="5" t="inlineStr">
        <is>
          <t>no</t>
        </is>
      </c>
      <c r="W427" s="5" t="inlineStr">
        <is>
          <t>no</t>
        </is>
      </c>
      <c r="X427" s="5" t="inlineStr">
        <is>
          <t>no</t>
        </is>
      </c>
      <c r="Y427" s="5" t="inlineStr">
        <is>
          <t>no</t>
        </is>
      </c>
      <c r="Z427" s="5" t="inlineStr">
        <is>
          <t>no</t>
        </is>
      </c>
      <c r="AA427" s="5" t="n">
        <v>0.38</v>
      </c>
      <c r="AB427" s="5" t="n"/>
      <c r="AC427" s="5" t="n"/>
      <c r="AD427" s="5" t="n"/>
      <c r="AE427" s="5" t="n">
        <v>4120.9</v>
      </c>
      <c r="AF427" s="5" t="n">
        <v>3177.1</v>
      </c>
      <c r="AG427" s="5" t="n">
        <v>4198.7</v>
      </c>
      <c r="AH427" s="5" t="n">
        <v>3203</v>
      </c>
      <c r="AI427" s="5" t="inlineStr">
        <is>
          <t>n/a</t>
        </is>
      </c>
      <c r="AJ427" s="5" t="inlineStr"/>
      <c r="AK427" s="5" t="inlineStr"/>
      <c r="AL427" s="5" t="inlineStr"/>
      <c r="AM427" s="5" t="inlineStr"/>
    </row>
    <row r="428">
      <c r="A428" s="5" t="n">
        <v>427</v>
      </c>
      <c r="B428" s="5" t="inlineStr">
        <is>
          <t>124</t>
        </is>
      </c>
      <c r="C428" s="5" t="inlineStr">
        <is>
          <t>nearest labels (100% agree)</t>
        </is>
      </c>
      <c r="D428" s="5" t="inlineStr">
        <is>
          <t>grade_beam</t>
        </is>
      </c>
      <c r="E428" s="5" t="inlineStr">
        <is>
          <t>grade_beam</t>
        </is>
      </c>
      <c r="F428" s="5" t="inlineStr">
        <is>
          <t>LG40x15</t>
        </is>
      </c>
      <c r="G428" s="5" t="inlineStr"/>
      <c r="H428" s="5" t="inlineStr">
        <is>
          <t>band width matches label</t>
        </is>
      </c>
      <c r="I428" s="5" t="n">
        <v>40</v>
      </c>
      <c r="J428" s="5" t="n">
        <v>40</v>
      </c>
      <c r="K428" s="9">
        <f>IF(AND(ISNUMBER(I428),ISNUMBER(J428),J428&gt;0),I428/J428,"")</f>
        <v/>
      </c>
      <c r="L428" s="5" t="n">
        <v>0.16</v>
      </c>
      <c r="M428" s="5" t="n">
        <v>0.4</v>
      </c>
      <c r="N428" s="5" t="n">
        <v>79.3</v>
      </c>
      <c r="O428" s="5" t="inlineStr">
        <is>
          <t>parallel line pair</t>
        </is>
      </c>
      <c r="P428" s="5" t="inlineStr">
        <is>
          <t>two parallel lines at the width written in the LG label, empty inside</t>
        </is>
      </c>
      <c r="Q428" s="5">
        <f>IF(OR(D428="column",D428="wall"),IF(I428&lt;='P vs V'!$B$3*J428,"column","wall"),"")</f>
        <v/>
      </c>
      <c r="R428" s="5" t="inlineStr"/>
      <c r="S428" s="5" t="inlineStr"/>
      <c r="T428" s="5" t="n"/>
      <c r="U428" s="5" t="inlineStr">
        <is>
          <t>no</t>
        </is>
      </c>
      <c r="V428" s="5" t="inlineStr">
        <is>
          <t>no</t>
        </is>
      </c>
      <c r="W428" s="5" t="inlineStr">
        <is>
          <t>no</t>
        </is>
      </c>
      <c r="X428" s="5" t="inlineStr">
        <is>
          <t>no</t>
        </is>
      </c>
      <c r="Y428" s="5" t="inlineStr">
        <is>
          <t>no</t>
        </is>
      </c>
      <c r="Z428" s="5" t="inlineStr">
        <is>
          <t>no</t>
        </is>
      </c>
      <c r="AA428" s="5" t="n">
        <v>0.59</v>
      </c>
      <c r="AB428" s="5" t="n"/>
      <c r="AC428" s="5" t="n"/>
      <c r="AD428" s="5" t="n"/>
      <c r="AE428" s="5" t="n">
        <v>4016.5</v>
      </c>
      <c r="AF428" s="5" t="n">
        <v>3208.9</v>
      </c>
      <c r="AG428" s="5" t="n">
        <v>4030.2</v>
      </c>
      <c r="AH428" s="5" t="n">
        <v>3222.7</v>
      </c>
      <c r="AI428" s="5" t="inlineStr">
        <is>
          <t>n/a</t>
        </is>
      </c>
      <c r="AJ428" s="5" t="inlineStr"/>
      <c r="AK428" s="5" t="inlineStr"/>
      <c r="AL428" s="5" t="inlineStr"/>
      <c r="AM428" s="5" t="inlineStr"/>
    </row>
    <row r="429">
      <c r="A429" s="5" t="n">
        <v>428</v>
      </c>
      <c r="B429" s="5" t="inlineStr">
        <is>
          <t>124</t>
        </is>
      </c>
      <c r="C429" s="5" t="inlineStr">
        <is>
          <t>nearest labels (100% agree)</t>
        </is>
      </c>
      <c r="D429" s="5" t="inlineStr">
        <is>
          <t>grade_beam</t>
        </is>
      </c>
      <c r="E429" s="5" t="inlineStr">
        <is>
          <t>grade_beam</t>
        </is>
      </c>
      <c r="F429" s="5" t="inlineStr">
        <is>
          <t>LG40x15</t>
        </is>
      </c>
      <c r="G429" s="5" t="inlineStr"/>
      <c r="H429" s="5" t="inlineStr">
        <is>
          <t>band width matches label</t>
        </is>
      </c>
      <c r="I429" s="5" t="n">
        <v>748</v>
      </c>
      <c r="J429" s="5" t="n">
        <v>40</v>
      </c>
      <c r="K429" s="9">
        <f>IF(AND(ISNUMBER(I429),ISNUMBER(J429),J429&gt;0),I429/J429,"")</f>
        <v/>
      </c>
      <c r="L429" s="5" t="n">
        <v>2.992</v>
      </c>
      <c r="M429" s="5" t="n">
        <v>7.48</v>
      </c>
      <c r="N429" s="5" t="n">
        <v>169.3</v>
      </c>
      <c r="O429" s="5" t="inlineStr">
        <is>
          <t>parallel line pair</t>
        </is>
      </c>
      <c r="P429" s="5" t="inlineStr">
        <is>
          <t>two parallel lines at the width written in the LG label, empty inside</t>
        </is>
      </c>
      <c r="Q429" s="5">
        <f>IF(OR(D429="column",D429="wall"),IF(I429&lt;='P vs V'!$B$3*J429,"column","wall"),"")</f>
        <v/>
      </c>
      <c r="R429" s="5" t="inlineStr"/>
      <c r="S429" s="5" t="inlineStr"/>
      <c r="T429" s="5" t="n"/>
      <c r="U429" s="5" t="inlineStr">
        <is>
          <t>no</t>
        </is>
      </c>
      <c r="V429" s="5" t="inlineStr">
        <is>
          <t>no</t>
        </is>
      </c>
      <c r="W429" s="5" t="inlineStr">
        <is>
          <t>yes</t>
        </is>
      </c>
      <c r="X429" s="5" t="inlineStr">
        <is>
          <t>no</t>
        </is>
      </c>
      <c r="Y429" s="5" t="inlineStr">
        <is>
          <t>no</t>
        </is>
      </c>
      <c r="Z429" s="5" t="inlineStr">
        <is>
          <t>yes</t>
        </is>
      </c>
      <c r="AA429" s="5" t="n">
        <v>1.28</v>
      </c>
      <c r="AB429" s="5" t="n"/>
      <c r="AC429" s="5" t="n"/>
      <c r="AD429" s="5" t="n"/>
      <c r="AE429" s="5" t="n">
        <v>3787.1</v>
      </c>
      <c r="AF429" s="5" t="n">
        <v>3327.6</v>
      </c>
      <c r="AG429" s="5" t="n">
        <v>4006.3</v>
      </c>
      <c r="AH429" s="5" t="n">
        <v>3380.1</v>
      </c>
      <c r="AI429" s="5" t="inlineStr">
        <is>
          <t>n/a</t>
        </is>
      </c>
      <c r="AJ429" s="5" t="inlineStr"/>
      <c r="AK429" s="5" t="inlineStr"/>
      <c r="AL429" s="5" t="inlineStr"/>
      <c r="AM429" s="5" t="inlineStr"/>
    </row>
    <row r="430">
      <c r="A430" s="5" t="n">
        <v>429</v>
      </c>
      <c r="B430" s="5" t="inlineStr">
        <is>
          <t>124</t>
        </is>
      </c>
      <c r="C430" s="5" t="inlineStr">
        <is>
          <t>nearest labels (80% agree)</t>
        </is>
      </c>
      <c r="D430" s="5" t="inlineStr">
        <is>
          <t>grade_beam</t>
        </is>
      </c>
      <c r="E430" s="5" t="inlineStr">
        <is>
          <t>grade_beam</t>
        </is>
      </c>
      <c r="F430" s="5" t="inlineStr">
        <is>
          <t>LG40x15</t>
        </is>
      </c>
      <c r="G430" s="5" t="inlineStr"/>
      <c r="H430" s="5" t="inlineStr">
        <is>
          <t>band width matches label</t>
        </is>
      </c>
      <c r="I430" s="5" t="n">
        <v>598</v>
      </c>
      <c r="J430" s="5" t="n">
        <v>40</v>
      </c>
      <c r="K430" s="9">
        <f>IF(AND(ISNUMBER(I430),ISNUMBER(J430),J430&gt;0),I430/J430,"")</f>
        <v/>
      </c>
      <c r="L430" s="5" t="n">
        <v>2.392</v>
      </c>
      <c r="M430" s="5" t="n">
        <v>5.98</v>
      </c>
      <c r="N430" s="5" t="n">
        <v>169.3</v>
      </c>
      <c r="O430" s="5" t="inlineStr">
        <is>
          <t>parallel line pair</t>
        </is>
      </c>
      <c r="P430" s="5" t="inlineStr">
        <is>
          <t>two parallel lines at the width written in the LG label, empty inside</t>
        </is>
      </c>
      <c r="Q430" s="5">
        <f>IF(OR(D430="column",D430="wall"),IF(I430&lt;='P vs V'!$B$3*J430,"column","wall"),"")</f>
        <v/>
      </c>
      <c r="R430" s="5" t="inlineStr"/>
      <c r="S430" s="5" t="inlineStr"/>
      <c r="T430" s="5" t="n"/>
      <c r="U430" s="5" t="inlineStr">
        <is>
          <t>no</t>
        </is>
      </c>
      <c r="V430" s="5" t="inlineStr">
        <is>
          <t>no</t>
        </is>
      </c>
      <c r="W430" s="5" t="inlineStr">
        <is>
          <t>no</t>
        </is>
      </c>
      <c r="X430" s="5" t="inlineStr">
        <is>
          <t>no</t>
        </is>
      </c>
      <c r="Y430" s="5" t="inlineStr">
        <is>
          <t>no</t>
        </is>
      </c>
      <c r="Z430" s="5" t="inlineStr">
        <is>
          <t>yes</t>
        </is>
      </c>
      <c r="AA430" s="5" t="n">
        <v>2.14</v>
      </c>
      <c r="AB430" s="5" t="n"/>
      <c r="AC430" s="5" t="n"/>
      <c r="AD430" s="5" t="n"/>
      <c r="AE430" s="5" t="n">
        <v>3557.4</v>
      </c>
      <c r="AF430" s="5" t="n">
        <v>2961.1</v>
      </c>
      <c r="AG430" s="5" t="n">
        <v>3733.1</v>
      </c>
      <c r="AH430" s="5" t="n">
        <v>3005.4</v>
      </c>
      <c r="AI430" s="5" t="inlineStr">
        <is>
          <t>n/a</t>
        </is>
      </c>
      <c r="AJ430" s="5" t="inlineStr"/>
      <c r="AK430" s="5" t="inlineStr"/>
      <c r="AL430" s="5" t="inlineStr"/>
      <c r="AM430" s="5" t="inlineStr"/>
    </row>
    <row r="431">
      <c r="A431" s="5" t="n">
        <v>430</v>
      </c>
      <c r="B431" s="5" t="inlineStr">
        <is>
          <t>124</t>
        </is>
      </c>
      <c r="C431" s="5" t="inlineStr">
        <is>
          <t>nearest labels (80% agree)</t>
        </is>
      </c>
      <c r="D431" s="5" t="inlineStr">
        <is>
          <t>grade_beam</t>
        </is>
      </c>
      <c r="E431" s="5" t="inlineStr">
        <is>
          <t>grade_beam</t>
        </is>
      </c>
      <c r="F431" s="5" t="inlineStr">
        <is>
          <t>LG40x15</t>
        </is>
      </c>
      <c r="G431" s="5" t="inlineStr"/>
      <c r="H431" s="5" t="inlineStr">
        <is>
          <t>band width matches label</t>
        </is>
      </c>
      <c r="I431" s="5" t="n">
        <v>150</v>
      </c>
      <c r="J431" s="5" t="n">
        <v>40</v>
      </c>
      <c r="K431" s="9">
        <f>IF(AND(ISNUMBER(I431),ISNUMBER(J431),J431&gt;0),I431/J431,"")</f>
        <v/>
      </c>
      <c r="L431" s="5" t="n">
        <v>0.598</v>
      </c>
      <c r="M431" s="5" t="n">
        <v>1.5</v>
      </c>
      <c r="N431" s="5" t="n">
        <v>169.4</v>
      </c>
      <c r="O431" s="5" t="inlineStr">
        <is>
          <t>parallel line pair</t>
        </is>
      </c>
      <c r="P431" s="5" t="inlineStr">
        <is>
          <t>two parallel lines at the width written in the LG label, empty inside</t>
        </is>
      </c>
      <c r="Q431" s="5">
        <f>IF(OR(D431="column",D431="wall"),IF(I431&lt;='P vs V'!$B$3*J431,"column","wall"),"")</f>
        <v/>
      </c>
      <c r="R431" s="5" t="inlineStr"/>
      <c r="S431" s="5" t="inlineStr"/>
      <c r="T431" s="5" t="n"/>
      <c r="U431" s="5" t="inlineStr">
        <is>
          <t>no</t>
        </is>
      </c>
      <c r="V431" s="5" t="inlineStr">
        <is>
          <t>no</t>
        </is>
      </c>
      <c r="W431" s="5" t="inlineStr">
        <is>
          <t>no</t>
        </is>
      </c>
      <c r="X431" s="5" t="inlineStr">
        <is>
          <t>no</t>
        </is>
      </c>
      <c r="Y431" s="5" t="inlineStr">
        <is>
          <t>no</t>
        </is>
      </c>
      <c r="Z431" s="5" t="inlineStr">
        <is>
          <t>no</t>
        </is>
      </c>
      <c r="AA431" s="5" t="n">
        <v>3.66</v>
      </c>
      <c r="AB431" s="5" t="n"/>
      <c r="AC431" s="5" t="n"/>
      <c r="AD431" s="5" t="n"/>
      <c r="AE431" s="5" t="n">
        <v>3665</v>
      </c>
      <c r="AF431" s="5" t="n">
        <v>3441</v>
      </c>
      <c r="AG431" s="5" t="n">
        <v>3710.6</v>
      </c>
      <c r="AH431" s="5" t="n">
        <v>3460.7</v>
      </c>
      <c r="AI431" s="5" t="inlineStr">
        <is>
          <t>n/a</t>
        </is>
      </c>
      <c r="AJ431" s="5" t="inlineStr"/>
      <c r="AK431" s="5" t="inlineStr"/>
      <c r="AL431" s="5" t="inlineStr"/>
      <c r="AM431" s="5" t="inlineStr"/>
    </row>
    <row r="432">
      <c r="A432" s="5" t="n">
        <v>431</v>
      </c>
      <c r="B432" s="5" t="inlineStr">
        <is>
          <t>124</t>
        </is>
      </c>
      <c r="C432" s="5" t="inlineStr">
        <is>
          <t>nearest labels (100% agree)</t>
        </is>
      </c>
      <c r="D432" s="5" t="inlineStr">
        <is>
          <t>grade_beam</t>
        </is>
      </c>
      <c r="E432" s="5" t="inlineStr">
        <is>
          <t>grade_beam</t>
        </is>
      </c>
      <c r="F432" s="5" t="inlineStr">
        <is>
          <t>LG40x15</t>
        </is>
      </c>
      <c r="G432" s="5" t="inlineStr"/>
      <c r="H432" s="5" t="inlineStr">
        <is>
          <t>band width matches label</t>
        </is>
      </c>
      <c r="I432" s="5" t="n">
        <v>350</v>
      </c>
      <c r="J432" s="5" t="n">
        <v>40</v>
      </c>
      <c r="K432" s="9">
        <f>IF(AND(ISNUMBER(I432),ISNUMBER(J432),J432&gt;0),I432/J432,"")</f>
        <v/>
      </c>
      <c r="L432" s="5" t="n">
        <v>1.401</v>
      </c>
      <c r="M432" s="5" t="n">
        <v>3.5</v>
      </c>
      <c r="N432" s="5" t="n">
        <v>79.2</v>
      </c>
      <c r="O432" s="5" t="inlineStr">
        <is>
          <t>parallel line pair</t>
        </is>
      </c>
      <c r="P432" s="5" t="inlineStr">
        <is>
          <t>two parallel lines at the width written in the LG label, empty inside</t>
        </is>
      </c>
      <c r="Q432" s="5">
        <f>IF(OR(D432="column",D432="wall"),IF(I432&lt;='P vs V'!$B$3*J432,"column","wall"),"")</f>
        <v/>
      </c>
      <c r="R432" s="5" t="inlineStr"/>
      <c r="S432" s="5" t="inlineStr"/>
      <c r="T432" s="5" t="n"/>
      <c r="U432" s="5" t="inlineStr">
        <is>
          <t>no</t>
        </is>
      </c>
      <c r="V432" s="5" t="inlineStr">
        <is>
          <t>no</t>
        </is>
      </c>
      <c r="W432" s="5" t="inlineStr">
        <is>
          <t>yes</t>
        </is>
      </c>
      <c r="X432" s="5" t="inlineStr">
        <is>
          <t>no</t>
        </is>
      </c>
      <c r="Y432" s="5" t="inlineStr">
        <is>
          <t>no</t>
        </is>
      </c>
      <c r="Z432" s="5" t="inlineStr">
        <is>
          <t>yes</t>
        </is>
      </c>
      <c r="AA432" s="5" t="n">
        <v>0</v>
      </c>
      <c r="AB432" s="5" t="n"/>
      <c r="AC432" s="5" t="n"/>
      <c r="AD432" s="5" t="n"/>
      <c r="AE432" s="5" t="n">
        <v>3952.8</v>
      </c>
      <c r="AF432" s="5" t="n">
        <v>2779.2</v>
      </c>
      <c r="AG432" s="5" t="n">
        <v>3983.8</v>
      </c>
      <c r="AH432" s="5" t="n">
        <v>2883</v>
      </c>
      <c r="AI432" s="5" t="inlineStr">
        <is>
          <t>n/a</t>
        </is>
      </c>
      <c r="AJ432" s="5" t="inlineStr"/>
      <c r="AK432" s="5" t="inlineStr"/>
      <c r="AL432" s="5" t="inlineStr"/>
      <c r="AM432" s="5" t="inlineStr"/>
    </row>
    <row r="433">
      <c r="A433" s="5" t="n">
        <v>432</v>
      </c>
      <c r="B433" s="5" t="inlineStr">
        <is>
          <t>124</t>
        </is>
      </c>
      <c r="C433" s="5" t="inlineStr">
        <is>
          <t>nearest labels (100% agree)</t>
        </is>
      </c>
      <c r="D433" s="5" t="inlineStr">
        <is>
          <t>grade_beam</t>
        </is>
      </c>
      <c r="E433" s="5" t="inlineStr">
        <is>
          <t>grade_beam</t>
        </is>
      </c>
      <c r="F433" s="5" t="inlineStr">
        <is>
          <t>LG40x15</t>
        </is>
      </c>
      <c r="G433" s="5" t="inlineStr"/>
      <c r="H433" s="5" t="inlineStr">
        <is>
          <t>band width matches label</t>
        </is>
      </c>
      <c r="I433" s="5" t="n">
        <v>151</v>
      </c>
      <c r="J433" s="5" t="n">
        <v>40</v>
      </c>
      <c r="K433" s="9">
        <f>IF(AND(ISNUMBER(I433),ISNUMBER(J433),J433&gt;0),I433/J433,"")</f>
        <v/>
      </c>
      <c r="L433" s="5" t="n">
        <v>0.605</v>
      </c>
      <c r="M433" s="5" t="n">
        <v>1.51</v>
      </c>
      <c r="N433" s="5" t="n">
        <v>79.40000000000001</v>
      </c>
      <c r="O433" s="5" t="inlineStr">
        <is>
          <t>parallel line pair</t>
        </is>
      </c>
      <c r="P433" s="5" t="inlineStr">
        <is>
          <t>two parallel lines at the width written in the LG label, empty inside</t>
        </is>
      </c>
      <c r="Q433" s="5">
        <f>IF(OR(D433="column",D433="wall"),IF(I433&lt;='P vs V'!$B$3*J433,"column","wall"),"")</f>
        <v/>
      </c>
      <c r="R433" s="5" t="inlineStr"/>
      <c r="S433" s="5" t="inlineStr"/>
      <c r="T433" s="5" t="n"/>
      <c r="U433" s="5" t="inlineStr">
        <is>
          <t>no</t>
        </is>
      </c>
      <c r="V433" s="5" t="inlineStr">
        <is>
          <t>no</t>
        </is>
      </c>
      <c r="W433" s="5" t="inlineStr">
        <is>
          <t>yes</t>
        </is>
      </c>
      <c r="X433" s="5" t="inlineStr">
        <is>
          <t>no</t>
        </is>
      </c>
      <c r="Y433" s="5" t="inlineStr">
        <is>
          <t>no</t>
        </is>
      </c>
      <c r="Z433" s="5" t="inlineStr">
        <is>
          <t>no</t>
        </is>
      </c>
      <c r="AA433" s="5" t="n">
        <v>0.03</v>
      </c>
      <c r="AB433" s="5" t="n"/>
      <c r="AC433" s="5" t="n"/>
      <c r="AD433" s="5" t="n"/>
      <c r="AE433" s="5" t="n">
        <v>4078.8</v>
      </c>
      <c r="AF433" s="5" t="n">
        <v>3259.9</v>
      </c>
      <c r="AG433" s="5" t="n">
        <v>4098.6</v>
      </c>
      <c r="AH433" s="5" t="n">
        <v>3306</v>
      </c>
      <c r="AI433" s="5" t="inlineStr">
        <is>
          <t>n/a</t>
        </is>
      </c>
      <c r="AJ433" s="5" t="inlineStr"/>
      <c r="AK433" s="5" t="inlineStr"/>
      <c r="AL433" s="5" t="inlineStr"/>
      <c r="AM433" s="5" t="inlineStr"/>
    </row>
    <row r="434">
      <c r="A434" s="5" t="n">
        <v>433</v>
      </c>
      <c r="B434" s="5" t="inlineStr">
        <is>
          <t>124</t>
        </is>
      </c>
      <c r="C434" s="5" t="inlineStr">
        <is>
          <t>nearest labels (100% agree)</t>
        </is>
      </c>
      <c r="D434" s="5" t="inlineStr">
        <is>
          <t>grade_beam</t>
        </is>
      </c>
      <c r="E434" s="5" t="inlineStr">
        <is>
          <t>grade_beam</t>
        </is>
      </c>
      <c r="F434" s="5" t="inlineStr">
        <is>
          <t>LG40x15</t>
        </is>
      </c>
      <c r="G434" s="5" t="inlineStr"/>
      <c r="H434" s="5" t="inlineStr">
        <is>
          <t>band width matches label</t>
        </is>
      </c>
      <c r="I434" s="5" t="n">
        <v>150</v>
      </c>
      <c r="J434" s="5" t="n">
        <v>40</v>
      </c>
      <c r="K434" s="9">
        <f>IF(AND(ISNUMBER(I434),ISNUMBER(J434),J434&gt;0),I434/J434,"")</f>
        <v/>
      </c>
      <c r="L434" s="5" t="n">
        <v>0.6</v>
      </c>
      <c r="M434" s="5" t="n">
        <v>1.5</v>
      </c>
      <c r="N434" s="5" t="n">
        <v>79.40000000000001</v>
      </c>
      <c r="O434" s="5" t="inlineStr">
        <is>
          <t>parallel line pair</t>
        </is>
      </c>
      <c r="P434" s="5" t="inlineStr">
        <is>
          <t>two parallel lines at the width written in the LG label, empty inside</t>
        </is>
      </c>
      <c r="Q434" s="5">
        <f>IF(OR(D434="column",D434="wall"),IF(I434&lt;='P vs V'!$B$3*J434,"column","wall"),"")</f>
        <v/>
      </c>
      <c r="R434" s="5" t="inlineStr"/>
      <c r="S434" s="5" t="inlineStr"/>
      <c r="T434" s="5" t="n"/>
      <c r="U434" s="5" t="inlineStr">
        <is>
          <t>no</t>
        </is>
      </c>
      <c r="V434" s="5" t="inlineStr">
        <is>
          <t>no</t>
        </is>
      </c>
      <c r="W434" s="5" t="inlineStr">
        <is>
          <t>yes</t>
        </is>
      </c>
      <c r="X434" s="5" t="inlineStr">
        <is>
          <t>no</t>
        </is>
      </c>
      <c r="Y434" s="5" t="inlineStr">
        <is>
          <t>no</t>
        </is>
      </c>
      <c r="Z434" s="5" t="inlineStr">
        <is>
          <t>no</t>
        </is>
      </c>
      <c r="AA434" s="5" t="n">
        <v>0.02</v>
      </c>
      <c r="AB434" s="5" t="n"/>
      <c r="AC434" s="5" t="n"/>
      <c r="AD434" s="5" t="n"/>
      <c r="AE434" s="5" t="n">
        <v>3994.7</v>
      </c>
      <c r="AF434" s="5" t="n">
        <v>3275.7</v>
      </c>
      <c r="AG434" s="5" t="n">
        <v>4014.5</v>
      </c>
      <c r="AH434" s="5" t="n">
        <v>3321.5</v>
      </c>
      <c r="AI434" s="5" t="inlineStr">
        <is>
          <t>n/a</t>
        </is>
      </c>
      <c r="AJ434" s="5" t="inlineStr"/>
      <c r="AK434" s="5" t="inlineStr"/>
      <c r="AL434" s="5" t="inlineStr"/>
      <c r="AM434" s="5" t="inlineStr"/>
    </row>
    <row r="435">
      <c r="A435" s="5" t="n">
        <v>434</v>
      </c>
      <c r="B435" s="5" t="inlineStr">
        <is>
          <t>124</t>
        </is>
      </c>
      <c r="C435" s="5" t="inlineStr">
        <is>
          <t>nearest labels (80% agree)</t>
        </is>
      </c>
      <c r="D435" s="5" t="inlineStr">
        <is>
          <t>strip_footing</t>
        </is>
      </c>
      <c r="E435" s="5" t="inlineStr">
        <is>
          <t>strip_footing</t>
        </is>
      </c>
      <c r="F435" s="5" t="inlineStr">
        <is>
          <t>SF1</t>
        </is>
      </c>
      <c r="G435" s="5" t="inlineStr"/>
      <c r="H435" s="5" t="inlineStr">
        <is>
          <t>band width matches label</t>
        </is>
      </c>
      <c r="I435" s="5" t="n">
        <v>3705</v>
      </c>
      <c r="J435" s="5" t="n">
        <v>80</v>
      </c>
      <c r="K435" s="9">
        <f>IF(AND(ISNUMBER(I435),ISNUMBER(J435),J435&gt;0),I435/J435,"")</f>
        <v/>
      </c>
      <c r="L435" s="5" t="n">
        <v>29.636</v>
      </c>
      <c r="M435" s="5" t="n">
        <v>37.05</v>
      </c>
      <c r="N435" s="5" t="n">
        <v>169.4</v>
      </c>
      <c r="O435" s="5" t="inlineStr">
        <is>
          <t>parallel line pair</t>
        </is>
      </c>
      <c r="P435" s="5" t="inlineStr">
        <is>
          <t>two parallel lines at the width written in the SF label, a wall inside</t>
        </is>
      </c>
      <c r="Q435" s="5">
        <f>IF(OR(D435="column",D435="wall"),IF(I435&lt;='P vs V'!$B$3*J435,"column","wall"),"")</f>
        <v/>
      </c>
      <c r="R435" s="5" t="inlineStr"/>
      <c r="S435" s="5" t="inlineStr"/>
      <c r="T435" s="5" t="n"/>
      <c r="U435" s="5" t="inlineStr">
        <is>
          <t>no</t>
        </is>
      </c>
      <c r="V435" s="5" t="inlineStr">
        <is>
          <t>no</t>
        </is>
      </c>
      <c r="W435" s="5" t="inlineStr">
        <is>
          <t>yes</t>
        </is>
      </c>
      <c r="X435" s="5" t="inlineStr">
        <is>
          <t>yes</t>
        </is>
      </c>
      <c r="Y435" s="5" t="inlineStr">
        <is>
          <t>yes</t>
        </is>
      </c>
      <c r="Z435" s="5" t="inlineStr">
        <is>
          <t>yes</t>
        </is>
      </c>
      <c r="AA435" s="5" t="n">
        <v>2.29</v>
      </c>
      <c r="AB435" s="5" t="n"/>
      <c r="AC435" s="5" t="n"/>
      <c r="AD435" s="5" t="n"/>
      <c r="AE435" s="5" t="n">
        <v>3074.1</v>
      </c>
      <c r="AF435" s="5" t="n">
        <v>2728.4</v>
      </c>
      <c r="AG435" s="5" t="n">
        <v>4153.5</v>
      </c>
      <c r="AH435" s="5" t="n">
        <v>2952.8</v>
      </c>
      <c r="AI435" s="5" t="inlineStr">
        <is>
          <t>n/a</t>
        </is>
      </c>
      <c r="AJ435" s="5" t="inlineStr"/>
      <c r="AK435" s="5" t="inlineStr"/>
      <c r="AL435" s="5" t="inlineStr"/>
      <c r="AM435" s="5" t="inlineStr"/>
    </row>
    <row r="436">
      <c r="A436" s="5" t="n">
        <v>435</v>
      </c>
      <c r="B436" s="5" t="inlineStr">
        <is>
          <t>124</t>
        </is>
      </c>
      <c r="C436" s="5" t="inlineStr">
        <is>
          <t>nearest labels (80% agree)</t>
        </is>
      </c>
      <c r="D436" s="5" t="inlineStr">
        <is>
          <t>strip_footing</t>
        </is>
      </c>
      <c r="E436" s="5" t="inlineStr">
        <is>
          <t>strip_footing</t>
        </is>
      </c>
      <c r="F436" s="5" t="inlineStr">
        <is>
          <t>SF1</t>
        </is>
      </c>
      <c r="G436" s="5" t="inlineStr"/>
      <c r="H436" s="5" t="inlineStr">
        <is>
          <t>band width matches label</t>
        </is>
      </c>
      <c r="I436" s="5" t="n">
        <v>476</v>
      </c>
      <c r="J436" s="5" t="n">
        <v>80</v>
      </c>
      <c r="K436" s="9">
        <f>IF(AND(ISNUMBER(I436),ISNUMBER(J436),J436&gt;0),I436/J436,"")</f>
        <v/>
      </c>
      <c r="L436" s="5" t="n">
        <v>3.809</v>
      </c>
      <c r="M436" s="5" t="n">
        <v>4.76</v>
      </c>
      <c r="N436" s="5" t="n">
        <v>169.3</v>
      </c>
      <c r="O436" s="5" t="inlineStr">
        <is>
          <t>parallel line pair</t>
        </is>
      </c>
      <c r="P436" s="5" t="inlineStr">
        <is>
          <t>two parallel lines at the width written in the SF label, a wall inside</t>
        </is>
      </c>
      <c r="Q436" s="5">
        <f>IF(OR(D436="column",D436="wall"),IF(I436&lt;='P vs V'!$B$3*J436,"column","wall"),"")</f>
        <v/>
      </c>
      <c r="R436" s="5" t="inlineStr"/>
      <c r="S436" s="5" t="inlineStr"/>
      <c r="T436" s="5" t="n"/>
      <c r="U436" s="5" t="inlineStr">
        <is>
          <t>no</t>
        </is>
      </c>
      <c r="V436" s="5" t="inlineStr">
        <is>
          <t>no</t>
        </is>
      </c>
      <c r="W436" s="5" t="inlineStr">
        <is>
          <t>yes</t>
        </is>
      </c>
      <c r="X436" s="5" t="inlineStr">
        <is>
          <t>yes</t>
        </is>
      </c>
      <c r="Y436" s="5" t="inlineStr">
        <is>
          <t>yes</t>
        </is>
      </c>
      <c r="Z436" s="5" t="inlineStr">
        <is>
          <t>no</t>
        </is>
      </c>
      <c r="AA436" s="5" t="n">
        <v>1.3</v>
      </c>
      <c r="AB436" s="5" t="n"/>
      <c r="AC436" s="5" t="n"/>
      <c r="AD436" s="5" t="n"/>
      <c r="AE436" s="5" t="n">
        <v>3881.2</v>
      </c>
      <c r="AF436" s="5" t="n">
        <v>3628.9</v>
      </c>
      <c r="AG436" s="5" t="n">
        <v>4023.8</v>
      </c>
      <c r="AH436" s="5" t="n">
        <v>3678.1</v>
      </c>
      <c r="AI436" s="5" t="inlineStr">
        <is>
          <t>n/a</t>
        </is>
      </c>
      <c r="AJ436" s="5" t="inlineStr"/>
      <c r="AK436" s="5" t="inlineStr"/>
      <c r="AL436" s="5" t="inlineStr"/>
      <c r="AM436" s="5" t="inlineStr"/>
    </row>
    <row r="437">
      <c r="A437" s="5" t="n">
        <v>436</v>
      </c>
      <c r="B437" s="5" t="inlineStr">
        <is>
          <t>124</t>
        </is>
      </c>
      <c r="C437" s="5" t="inlineStr">
        <is>
          <t>nearest labels (80% agree)</t>
        </is>
      </c>
      <c r="D437" s="5" t="inlineStr">
        <is>
          <t>strip_footing</t>
        </is>
      </c>
      <c r="E437" s="5" t="inlineStr">
        <is>
          <t>strip_footing</t>
        </is>
      </c>
      <c r="F437" s="5" t="inlineStr">
        <is>
          <t>SF1</t>
        </is>
      </c>
      <c r="G437" s="5" t="inlineStr"/>
      <c r="H437" s="5" t="inlineStr">
        <is>
          <t>band width matches label</t>
        </is>
      </c>
      <c r="I437" s="5" t="n">
        <v>283</v>
      </c>
      <c r="J437" s="5" t="n">
        <v>80</v>
      </c>
      <c r="K437" s="9">
        <f>IF(AND(ISNUMBER(I437),ISNUMBER(J437),J437&gt;0),I437/J437,"")</f>
        <v/>
      </c>
      <c r="L437" s="5" t="n">
        <v>2.262</v>
      </c>
      <c r="M437" s="5" t="n">
        <v>2.83</v>
      </c>
      <c r="N437" s="5" t="n">
        <v>169.3</v>
      </c>
      <c r="O437" s="5" t="inlineStr">
        <is>
          <t>parallel line pair</t>
        </is>
      </c>
      <c r="P437" s="5" t="inlineStr">
        <is>
          <t>two parallel lines at the width written in the SF label, a wall inside</t>
        </is>
      </c>
      <c r="Q437" s="5">
        <f>IF(OR(D437="column",D437="wall"),IF(I437&lt;='P vs V'!$B$3*J437,"column","wall"),"")</f>
        <v/>
      </c>
      <c r="R437" s="5" t="inlineStr"/>
      <c r="S437" s="5" t="inlineStr"/>
      <c r="T437" s="5" t="n"/>
      <c r="U437" s="5" t="inlineStr">
        <is>
          <t>no</t>
        </is>
      </c>
      <c r="V437" s="5" t="inlineStr">
        <is>
          <t>no</t>
        </is>
      </c>
      <c r="W437" s="5" t="inlineStr">
        <is>
          <t>yes</t>
        </is>
      </c>
      <c r="X437" s="5" t="inlineStr">
        <is>
          <t>yes</t>
        </is>
      </c>
      <c r="Y437" s="5" t="inlineStr">
        <is>
          <t>yes</t>
        </is>
      </c>
      <c r="Z437" s="5" t="inlineStr">
        <is>
          <t>no</t>
        </is>
      </c>
      <c r="AA437" s="5" t="n">
        <v>2.91</v>
      </c>
      <c r="AB437" s="5" t="n"/>
      <c r="AC437" s="5" t="n"/>
      <c r="AD437" s="5" t="n"/>
      <c r="AE437" s="5" t="n">
        <v>3712.2</v>
      </c>
      <c r="AF437" s="5" t="n">
        <v>3671.2</v>
      </c>
      <c r="AG437" s="5" t="n">
        <v>3798.6</v>
      </c>
      <c r="AH437" s="5" t="n">
        <v>3709.9</v>
      </c>
      <c r="AI437" s="5" t="inlineStr">
        <is>
          <t>n/a</t>
        </is>
      </c>
      <c r="AJ437" s="5" t="inlineStr"/>
      <c r="AK437" s="5" t="inlineStr"/>
      <c r="AL437" s="5" t="inlineStr"/>
      <c r="AM437" s="5" t="inlineStr"/>
    </row>
    <row r="438">
      <c r="A438" s="5" t="n">
        <v>437</v>
      </c>
      <c r="B438" s="5" t="inlineStr">
        <is>
          <t>124</t>
        </is>
      </c>
      <c r="C438" s="5" t="inlineStr">
        <is>
          <t>nearest labels (60% agree)</t>
        </is>
      </c>
      <c r="D438" s="5" t="inlineStr">
        <is>
          <t>strip_footing</t>
        </is>
      </c>
      <c r="E438" s="5" t="inlineStr">
        <is>
          <t>strip_footing</t>
        </is>
      </c>
      <c r="F438" s="5" t="inlineStr">
        <is>
          <t>SF1</t>
        </is>
      </c>
      <c r="G438" s="5" t="inlineStr"/>
      <c r="H438" s="5" t="inlineStr">
        <is>
          <t>band width matches label</t>
        </is>
      </c>
      <c r="I438" s="5" t="n">
        <v>253</v>
      </c>
      <c r="J438" s="5" t="n">
        <v>80</v>
      </c>
      <c r="K438" s="9">
        <f>IF(AND(ISNUMBER(I438),ISNUMBER(J438),J438&gt;0),I438/J438,"")</f>
        <v/>
      </c>
      <c r="L438" s="5" t="n">
        <v>2.027</v>
      </c>
      <c r="M438" s="5" t="n">
        <v>2.53</v>
      </c>
      <c r="N438" s="5" t="n">
        <v>79.3</v>
      </c>
      <c r="O438" s="5" t="inlineStr">
        <is>
          <t>parallel line pair</t>
        </is>
      </c>
      <c r="P438" s="5" t="inlineStr">
        <is>
          <t>two parallel lines at the width written in the SF label, a wall inside</t>
        </is>
      </c>
      <c r="Q438" s="5">
        <f>IF(OR(D438="column",D438="wall"),IF(I438&lt;='P vs V'!$B$3*J438,"column","wall"),"")</f>
        <v/>
      </c>
      <c r="R438" s="5" t="inlineStr"/>
      <c r="S438" s="5" t="inlineStr"/>
      <c r="T438" s="5" t="n"/>
      <c r="U438" s="5" t="inlineStr">
        <is>
          <t>no</t>
        </is>
      </c>
      <c r="V438" s="5" t="inlineStr">
        <is>
          <t>no</t>
        </is>
      </c>
      <c r="W438" s="5" t="inlineStr">
        <is>
          <t>yes</t>
        </is>
      </c>
      <c r="X438" s="5" t="inlineStr">
        <is>
          <t>yes</t>
        </is>
      </c>
      <c r="Y438" s="5" t="inlineStr">
        <is>
          <t>no</t>
        </is>
      </c>
      <c r="Z438" s="5" t="inlineStr">
        <is>
          <t>no</t>
        </is>
      </c>
      <c r="AA438" s="5" t="n">
        <v>5.11</v>
      </c>
      <c r="AB438" s="5" t="n"/>
      <c r="AC438" s="5" t="n"/>
      <c r="AD438" s="5" t="n"/>
      <c r="AE438" s="5" t="n">
        <v>3623.9</v>
      </c>
      <c r="AF438" s="5" t="n">
        <v>3537.3</v>
      </c>
      <c r="AG438" s="5" t="n">
        <v>3661</v>
      </c>
      <c r="AH438" s="5" t="n">
        <v>3615.2</v>
      </c>
      <c r="AI438" s="5" t="inlineStr">
        <is>
          <t>n/a</t>
        </is>
      </c>
      <c r="AJ438" s="5" t="inlineStr"/>
      <c r="AK438" s="5" t="inlineStr"/>
      <c r="AL438" s="5" t="inlineStr"/>
      <c r="AM438" s="5" t="inlineStr"/>
    </row>
    <row r="439">
      <c r="A439" s="5" t="n">
        <v>438</v>
      </c>
      <c r="B439" s="5" t="inlineStr">
        <is>
          <t>124</t>
        </is>
      </c>
      <c r="C439" s="5" t="inlineStr">
        <is>
          <t>nearest labels (60% agree)</t>
        </is>
      </c>
      <c r="D439" s="5" t="inlineStr">
        <is>
          <t>strip_footing</t>
        </is>
      </c>
      <c r="E439" s="5" t="inlineStr">
        <is>
          <t>strip_footing</t>
        </is>
      </c>
      <c r="F439" s="5" t="inlineStr">
        <is>
          <t>SF1</t>
        </is>
      </c>
      <c r="G439" s="5" t="inlineStr"/>
      <c r="H439" s="5" t="inlineStr">
        <is>
          <t>band width matches label</t>
        </is>
      </c>
      <c r="I439" s="5" t="n">
        <v>125</v>
      </c>
      <c r="J439" s="5" t="n">
        <v>80</v>
      </c>
      <c r="K439" s="9">
        <f>IF(AND(ISNUMBER(I439),ISNUMBER(J439),J439&gt;0),I439/J439,"")</f>
        <v/>
      </c>
      <c r="L439" s="5" t="n">
        <v>1.001</v>
      </c>
      <c r="M439" s="5" t="n">
        <v>1.25</v>
      </c>
      <c r="N439" s="5" t="n">
        <v>79.3</v>
      </c>
      <c r="O439" s="5" t="inlineStr">
        <is>
          <t>parallel line pair</t>
        </is>
      </c>
      <c r="P439" s="5" t="inlineStr">
        <is>
          <t>two parallel lines at the width written in the SF label, a wall inside</t>
        </is>
      </c>
      <c r="Q439" s="5">
        <f>IF(OR(D439="column",D439="wall"),IF(I439&lt;='P vs V'!$B$3*J439,"column","wall"),"")</f>
        <v/>
      </c>
      <c r="R439" s="5" t="inlineStr">
        <is>
          <t>SC3</t>
        </is>
      </c>
      <c r="S439" s="5" t="inlineStr"/>
      <c r="T439" s="5" t="n"/>
      <c r="U439" s="5" t="inlineStr">
        <is>
          <t>no</t>
        </is>
      </c>
      <c r="V439" s="5" t="inlineStr">
        <is>
          <t>no</t>
        </is>
      </c>
      <c r="W439" s="5" t="inlineStr">
        <is>
          <t>yes</t>
        </is>
      </c>
      <c r="X439" s="5" t="inlineStr">
        <is>
          <t>yes</t>
        </is>
      </c>
      <c r="Y439" s="5" t="inlineStr">
        <is>
          <t>yes</t>
        </is>
      </c>
      <c r="Z439" s="5" t="inlineStr">
        <is>
          <t>yes</t>
        </is>
      </c>
      <c r="AA439" s="5" t="n">
        <v>4.91</v>
      </c>
      <c r="AB439" s="5" t="n"/>
      <c r="AC439" s="5" t="n"/>
      <c r="AD439" s="5" t="n"/>
      <c r="AE439" s="5" t="n">
        <v>3557.3</v>
      </c>
      <c r="AF439" s="5" t="n">
        <v>3215.9</v>
      </c>
      <c r="AG439" s="5" t="n">
        <v>3587.3</v>
      </c>
      <c r="AH439" s="5" t="n">
        <v>3256.5</v>
      </c>
      <c r="AI439" s="5" t="inlineStr">
        <is>
          <t>n/a</t>
        </is>
      </c>
      <c r="AJ439" s="5" t="inlineStr"/>
      <c r="AK439" s="5" t="inlineStr"/>
      <c r="AL439" s="5" t="inlineStr"/>
      <c r="AM439" s="5" t="inlineStr"/>
    </row>
    <row r="440">
      <c r="A440" s="5" t="n">
        <v>439</v>
      </c>
      <c r="B440" s="5" t="inlineStr">
        <is>
          <t>124</t>
        </is>
      </c>
      <c r="C440" s="5" t="inlineStr">
        <is>
          <t>nearest labels (60% agree)</t>
        </is>
      </c>
      <c r="D440" s="5" t="inlineStr">
        <is>
          <t>strip_footing</t>
        </is>
      </c>
      <c r="E440" s="5" t="inlineStr">
        <is>
          <t>strip_footing</t>
        </is>
      </c>
      <c r="F440" s="5" t="inlineStr">
        <is>
          <t>SF1</t>
        </is>
      </c>
      <c r="G440" s="5" t="inlineStr"/>
      <c r="H440" s="5" t="inlineStr">
        <is>
          <t>band width matches label</t>
        </is>
      </c>
      <c r="I440" s="5" t="n">
        <v>125</v>
      </c>
      <c r="J440" s="5" t="n">
        <v>80</v>
      </c>
      <c r="K440" s="9">
        <f>IF(AND(ISNUMBER(I440),ISNUMBER(J440),J440&gt;0),I440/J440,"")</f>
        <v/>
      </c>
      <c r="L440" s="5" t="n">
        <v>0.999</v>
      </c>
      <c r="M440" s="5" t="n">
        <v>1.25</v>
      </c>
      <c r="N440" s="5" t="n">
        <v>79.3</v>
      </c>
      <c r="O440" s="5" t="inlineStr">
        <is>
          <t>parallel line pair</t>
        </is>
      </c>
      <c r="P440" s="5" t="inlineStr">
        <is>
          <t>two parallel lines at the width written in the SF label, a wall inside</t>
        </is>
      </c>
      <c r="Q440" s="5">
        <f>IF(OR(D440="column",D440="wall"),IF(I440&lt;='P vs V'!$B$3*J440,"column","wall"),"")</f>
        <v/>
      </c>
      <c r="R440" s="5" t="inlineStr">
        <is>
          <t>SC3</t>
        </is>
      </c>
      <c r="S440" s="5" t="inlineStr"/>
      <c r="T440" s="5" t="n"/>
      <c r="U440" s="5" t="inlineStr">
        <is>
          <t>no</t>
        </is>
      </c>
      <c r="V440" s="5" t="inlineStr">
        <is>
          <t>no</t>
        </is>
      </c>
      <c r="W440" s="5" t="inlineStr">
        <is>
          <t>yes</t>
        </is>
      </c>
      <c r="X440" s="5" t="inlineStr">
        <is>
          <t>yes</t>
        </is>
      </c>
      <c r="Y440" s="5" t="inlineStr">
        <is>
          <t>yes</t>
        </is>
      </c>
      <c r="Z440" s="5" t="inlineStr">
        <is>
          <t>yes</t>
        </is>
      </c>
      <c r="AA440" s="5" t="n">
        <v>5.01</v>
      </c>
      <c r="AB440" s="5" t="n"/>
      <c r="AC440" s="5" t="n"/>
      <c r="AD440" s="5" t="n"/>
      <c r="AE440" s="5" t="n">
        <v>3560.2</v>
      </c>
      <c r="AF440" s="5" t="n">
        <v>3215.4</v>
      </c>
      <c r="AG440" s="5" t="n">
        <v>3590.2</v>
      </c>
      <c r="AH440" s="5" t="n">
        <v>3256</v>
      </c>
      <c r="AI440" s="5" t="inlineStr">
        <is>
          <t>n/a</t>
        </is>
      </c>
      <c r="AJ440" s="5" t="inlineStr"/>
      <c r="AK440" s="5" t="inlineStr"/>
      <c r="AL440" s="5" t="inlineStr"/>
      <c r="AM440" s="5" t="inlineStr"/>
    </row>
    <row r="441">
      <c r="A441" s="5" t="n">
        <v>440</v>
      </c>
      <c r="B441" s="5" t="inlineStr">
        <is>
          <t>124</t>
        </is>
      </c>
      <c r="C441" s="5" t="inlineStr">
        <is>
          <t>nearest labels (60% agree)</t>
        </is>
      </c>
      <c r="D441" s="5" t="inlineStr">
        <is>
          <t>strip_footing</t>
        </is>
      </c>
      <c r="E441" s="5" t="inlineStr">
        <is>
          <t>strip_footing</t>
        </is>
      </c>
      <c r="F441" s="5" t="inlineStr">
        <is>
          <t>SF1</t>
        </is>
      </c>
      <c r="G441" s="5" t="inlineStr"/>
      <c r="H441" s="5" t="inlineStr">
        <is>
          <t>band width matches label</t>
        </is>
      </c>
      <c r="I441" s="5" t="n">
        <v>122</v>
      </c>
      <c r="J441" s="5" t="n">
        <v>80</v>
      </c>
      <c r="K441" s="9">
        <f>IF(AND(ISNUMBER(I441),ISNUMBER(J441),J441&gt;0),I441/J441,"")</f>
        <v/>
      </c>
      <c r="L441" s="5" t="n">
        <v>0.975</v>
      </c>
      <c r="M441" s="5" t="n">
        <v>1.22</v>
      </c>
      <c r="N441" s="5" t="n">
        <v>79.3</v>
      </c>
      <c r="O441" s="5" t="inlineStr">
        <is>
          <t>parallel line pair</t>
        </is>
      </c>
      <c r="P441" s="5" t="inlineStr">
        <is>
          <t>two parallel lines at the width written in the SF label, a wall inside</t>
        </is>
      </c>
      <c r="Q441" s="5">
        <f>IF(OR(D441="column",D441="wall"),IF(I441&lt;='P vs V'!$B$3*J441,"column","wall"),"")</f>
        <v/>
      </c>
      <c r="R441" s="5" t="inlineStr">
        <is>
          <t>SC3</t>
        </is>
      </c>
      <c r="S441" s="5" t="inlineStr"/>
      <c r="T441" s="5" t="n"/>
      <c r="U441" s="5" t="inlineStr">
        <is>
          <t>no</t>
        </is>
      </c>
      <c r="V441" s="5" t="inlineStr">
        <is>
          <t>no</t>
        </is>
      </c>
      <c r="W441" s="5" t="inlineStr">
        <is>
          <t>yes</t>
        </is>
      </c>
      <c r="X441" s="5" t="inlineStr">
        <is>
          <t>yes</t>
        </is>
      </c>
      <c r="Y441" s="5" t="inlineStr">
        <is>
          <t>yes</t>
        </is>
      </c>
      <c r="Z441" s="5" t="inlineStr">
        <is>
          <t>yes</t>
        </is>
      </c>
      <c r="AA441" s="5" t="n">
        <v>2.86</v>
      </c>
      <c r="AB441" s="5" t="n"/>
      <c r="AC441" s="5" t="n"/>
      <c r="AD441" s="5" t="n"/>
      <c r="AE441" s="5" t="n">
        <v>4250.2</v>
      </c>
      <c r="AF441" s="5" t="n">
        <v>3106.4</v>
      </c>
      <c r="AG441" s="5" t="n">
        <v>4280.1</v>
      </c>
      <c r="AH441" s="5" t="n">
        <v>3146.1</v>
      </c>
      <c r="AI441" s="5" t="inlineStr">
        <is>
          <t>n/a</t>
        </is>
      </c>
      <c r="AJ441" s="5" t="inlineStr"/>
      <c r="AK441" s="5" t="inlineStr"/>
      <c r="AL441" s="5" t="inlineStr"/>
      <c r="AM441" s="5" t="inlineStr"/>
    </row>
    <row r="442">
      <c r="A442" s="5" t="n">
        <v>441</v>
      </c>
      <c r="B442" s="5" t="inlineStr">
        <is>
          <t>124</t>
        </is>
      </c>
      <c r="C442" s="5" t="inlineStr">
        <is>
          <t>nearest labels (100% agree)</t>
        </is>
      </c>
      <c r="D442" s="5" t="inlineStr">
        <is>
          <t>raft</t>
        </is>
      </c>
      <c r="E442" s="5" t="inlineStr">
        <is>
          <t>raft</t>
        </is>
      </c>
      <c r="F442" s="5" t="inlineStr">
        <is>
          <t>Radier 100</t>
        </is>
      </c>
      <c r="G442" s="5" t="inlineStr">
        <is>
          <t>Radier</t>
        </is>
      </c>
      <c r="H442" s="5" t="inlineStr">
        <is>
          <t>printed</t>
        </is>
      </c>
      <c r="I442" s="5" t="n">
        <v>1200</v>
      </c>
      <c r="J442" s="5" t="n">
        <v>600</v>
      </c>
      <c r="K442" s="9">
        <f>IF(AND(ISNUMBER(I442),ISNUMBER(J442),J442&gt;0),I442/J442,"")</f>
        <v/>
      </c>
      <c r="L442" s="5" t="n">
        <v>72.006</v>
      </c>
      <c r="M442" s="5" t="n"/>
      <c r="N442" s="5" t="n">
        <v>79.40000000000001</v>
      </c>
      <c r="O442" s="5" t="inlineStr">
        <is>
          <t>stamp + corner diagonals</t>
        </is>
      </c>
      <c r="P442" s="5" t="inlineStr">
        <is>
          <t>'Radier' stamp; extent from the corner diagonals that stop at the stamp</t>
        </is>
      </c>
      <c r="Q442" s="5">
        <f>IF(OR(D442="column",D442="wall"),IF(I442&lt;='P vs V'!$B$3*J442,"column","wall"),"")</f>
        <v/>
      </c>
      <c r="R442" s="5" t="inlineStr"/>
      <c r="S442" s="5" t="inlineStr"/>
      <c r="T442" s="5" t="n"/>
      <c r="U442" s="5" t="inlineStr">
        <is>
          <t>no</t>
        </is>
      </c>
      <c r="V442" s="5" t="inlineStr">
        <is>
          <t>yes</t>
        </is>
      </c>
      <c r="W442" s="5" t="inlineStr">
        <is>
          <t>yes</t>
        </is>
      </c>
      <c r="X442" s="5" t="inlineStr">
        <is>
          <t>no</t>
        </is>
      </c>
      <c r="Y442" s="5" t="inlineStr">
        <is>
          <t>yes</t>
        </is>
      </c>
      <c r="Z442" s="5" t="inlineStr">
        <is>
          <t>yes</t>
        </is>
      </c>
      <c r="AA442" s="5" t="n">
        <v>0.3</v>
      </c>
      <c r="AB442" s="5" t="n"/>
      <c r="AC442" s="5" t="n"/>
      <c r="AD442" s="5" t="n">
        <v>100</v>
      </c>
      <c r="AE442" s="5" t="n">
        <v>3960.8</v>
      </c>
      <c r="AF442" s="5" t="n">
        <v>3282.4</v>
      </c>
      <c r="AG442" s="5" t="n">
        <v>4200</v>
      </c>
      <c r="AH442" s="5" t="n">
        <v>3663.2</v>
      </c>
      <c r="AI442" s="5" t="inlineStr">
        <is>
          <t>n/a</t>
        </is>
      </c>
      <c r="AJ442" s="5" t="inlineStr"/>
      <c r="AK442" s="5" t="inlineStr"/>
      <c r="AL442" s="5" t="inlineStr"/>
      <c r="AM442" s="5" t="inlineStr"/>
    </row>
    <row r="443">
      <c r="A443" s="5" t="n">
        <v>442</v>
      </c>
      <c r="B443" s="5" t="inlineStr">
        <is>
          <t>125</t>
        </is>
      </c>
      <c r="C443" s="5" t="inlineStr">
        <is>
          <t>own label</t>
        </is>
      </c>
      <c r="D443" s="5" t="inlineStr">
        <is>
          <t>column</t>
        </is>
      </c>
      <c r="E443" s="5" t="inlineStr">
        <is>
          <t>column</t>
        </is>
      </c>
      <c r="F443" s="5" t="inlineStr">
        <is>
          <t>P1/125</t>
        </is>
      </c>
      <c r="G443" s="5" t="inlineStr">
        <is>
          <t>P1/125/125</t>
        </is>
      </c>
      <c r="H443" s="5" t="inlineStr">
        <is>
          <t>printed</t>
        </is>
      </c>
      <c r="I443" s="5" t="n">
        <v>80</v>
      </c>
      <c r="J443" s="5" t="n">
        <v>30</v>
      </c>
      <c r="K443" s="9">
        <f>IF(AND(ISNUMBER(I443),ISNUMBER(J443),J443&gt;0),I443/J443,"")</f>
        <v/>
      </c>
      <c r="L443" s="5" t="n">
        <v>0.24</v>
      </c>
      <c r="M443" s="5" t="n"/>
      <c r="N443" s="5" t="n">
        <v>79.40000000000001</v>
      </c>
      <c r="O443" s="5" t="inlineStr">
        <is>
          <t>solid fill</t>
        </is>
      </c>
      <c r="P443" s="5" t="inlineStr">
        <is>
          <t>solid fill, rectangle, L &lt;= 4 W (EN 1992-1-1 5.3.1(7))</t>
        </is>
      </c>
      <c r="Q443" s="5">
        <f>IF(OR(D443="column",D443="wall"),IF(I443&lt;='P vs V'!$B$3*J443,"column","wall"),"")</f>
        <v/>
      </c>
      <c r="R443" s="5" t="inlineStr"/>
      <c r="S443" s="5" t="inlineStr"/>
      <c r="T443" s="5" t="n"/>
      <c r="U443" s="5" t="inlineStr">
        <is>
          <t>yes</t>
        </is>
      </c>
      <c r="V443" s="5" t="inlineStr">
        <is>
          <t>yes</t>
        </is>
      </c>
      <c r="W443" s="5" t="inlineStr">
        <is>
          <t>no</t>
        </is>
      </c>
      <c r="X443" s="5" t="inlineStr">
        <is>
          <t>no</t>
        </is>
      </c>
      <c r="Y443" s="5" t="inlineStr">
        <is>
          <t>no</t>
        </is>
      </c>
      <c r="Z443" s="5" t="inlineStr">
        <is>
          <t>no</t>
        </is>
      </c>
      <c r="AA443" s="5" t="n">
        <v>0.02</v>
      </c>
      <c r="AB443" s="5" t="n"/>
      <c r="AC443" s="5" t="n"/>
      <c r="AD443" s="5" t="n"/>
      <c r="AE443" s="5" t="n">
        <v>3226.5</v>
      </c>
      <c r="AF443" s="5" t="n">
        <v>3425.2</v>
      </c>
      <c r="AG443" s="5" t="n">
        <v>3239.6</v>
      </c>
      <c r="AH443" s="5" t="n">
        <v>3450.1</v>
      </c>
      <c r="AI443" s="5" t="inlineStr">
        <is>
          <t>yes</t>
        </is>
      </c>
      <c r="AJ443" s="5" t="inlineStr">
        <is>
          <t>column</t>
        </is>
      </c>
      <c r="AK443" s="5" t="inlineStr"/>
      <c r="AL443" s="5" t="inlineStr">
        <is>
          <t>(0.0, 0.0, 1.0)</t>
        </is>
      </c>
      <c r="AM443" s="5" t="inlineStr">
        <is>
          <t>DM-Poteaux</t>
        </is>
      </c>
    </row>
    <row r="444">
      <c r="A444" s="5" t="n">
        <v>443</v>
      </c>
      <c r="B444" s="5" t="inlineStr">
        <is>
          <t>125</t>
        </is>
      </c>
      <c r="C444" s="5" t="inlineStr">
        <is>
          <t>own label</t>
        </is>
      </c>
      <c r="D444" s="5" t="inlineStr">
        <is>
          <t>column</t>
        </is>
      </c>
      <c r="E444" s="5" t="inlineStr">
        <is>
          <t>column</t>
        </is>
      </c>
      <c r="F444" s="5" t="inlineStr">
        <is>
          <t>P1/125</t>
        </is>
      </c>
      <c r="G444" s="5" t="inlineStr">
        <is>
          <t>P1/125/125</t>
        </is>
      </c>
      <c r="H444" s="5" t="inlineStr">
        <is>
          <t>printed</t>
        </is>
      </c>
      <c r="I444" s="5" t="n">
        <v>80</v>
      </c>
      <c r="J444" s="5" t="n">
        <v>30</v>
      </c>
      <c r="K444" s="9">
        <f>IF(AND(ISNUMBER(I444),ISNUMBER(J444),J444&gt;0),I444/J444,"")</f>
        <v/>
      </c>
      <c r="L444" s="5" t="n">
        <v>0.24</v>
      </c>
      <c r="M444" s="5" t="n"/>
      <c r="N444" s="5" t="n">
        <v>79.5</v>
      </c>
      <c r="O444" s="5" t="inlineStr">
        <is>
          <t>solid fill</t>
        </is>
      </c>
      <c r="P444" s="5" t="inlineStr">
        <is>
          <t>solid fill, rectangle, L &lt;= 4 W (EN 1992-1-1 5.3.1(7))</t>
        </is>
      </c>
      <c r="Q444" s="5">
        <f>IF(OR(D444="column",D444="wall"),IF(I444&lt;='P vs V'!$B$3*J444,"column","wall"),"")</f>
        <v/>
      </c>
      <c r="R444" s="5" t="inlineStr"/>
      <c r="S444" s="5" t="inlineStr"/>
      <c r="T444" s="5" t="n"/>
      <c r="U444" s="5" t="inlineStr">
        <is>
          <t>yes</t>
        </is>
      </c>
      <c r="V444" s="5" t="inlineStr">
        <is>
          <t>yes</t>
        </is>
      </c>
      <c r="W444" s="5" t="inlineStr">
        <is>
          <t>no</t>
        </is>
      </c>
      <c r="X444" s="5" t="inlineStr">
        <is>
          <t>no</t>
        </is>
      </c>
      <c r="Y444" s="5" t="inlineStr">
        <is>
          <t>no</t>
        </is>
      </c>
      <c r="Z444" s="5" t="inlineStr">
        <is>
          <t>no</t>
        </is>
      </c>
      <c r="AA444" s="5" t="n">
        <v>0.02</v>
      </c>
      <c r="AB444" s="5" t="n"/>
      <c r="AC444" s="5" t="n"/>
      <c r="AD444" s="5" t="n"/>
      <c r="AE444" s="5" t="n">
        <v>3159.7</v>
      </c>
      <c r="AF444" s="5" t="n">
        <v>3437.7</v>
      </c>
      <c r="AG444" s="5" t="n">
        <v>3172.8</v>
      </c>
      <c r="AH444" s="5" t="n">
        <v>3462.5</v>
      </c>
      <c r="AI444" s="5" t="inlineStr">
        <is>
          <t>yes</t>
        </is>
      </c>
      <c r="AJ444" s="5" t="inlineStr">
        <is>
          <t>column</t>
        </is>
      </c>
      <c r="AK444" s="5" t="inlineStr"/>
      <c r="AL444" s="5" t="inlineStr">
        <is>
          <t>(0.0, 0.0, 1.0)</t>
        </is>
      </c>
      <c r="AM444" s="5" t="inlineStr">
        <is>
          <t>DM-Poteaux</t>
        </is>
      </c>
    </row>
    <row r="445">
      <c r="A445" s="5" t="n">
        <v>444</v>
      </c>
      <c r="B445" s="5" t="inlineStr">
        <is>
          <t>125</t>
        </is>
      </c>
      <c r="C445" s="5" t="inlineStr">
        <is>
          <t>nearest labels (100% agree)</t>
        </is>
      </c>
      <c r="D445" s="5" t="inlineStr">
        <is>
          <t>wall</t>
        </is>
      </c>
      <c r="E445" s="5" t="inlineStr">
        <is>
          <t>core_wall_solid</t>
        </is>
      </c>
      <c r="F445" s="5" t="inlineStr">
        <is>
          <t>(none)</t>
        </is>
      </c>
      <c r="G445" s="5" t="inlineStr"/>
      <c r="H445" s="5" t="inlineStr">
        <is>
          <t>none</t>
        </is>
      </c>
      <c r="I445" s="5" t="n">
        <v>235</v>
      </c>
      <c r="J445" s="5" t="n">
        <v>25</v>
      </c>
      <c r="K445" s="9">
        <f>IF(AND(ISNUMBER(I445),ISNUMBER(J445),J445&gt;0),I445/J445,"")</f>
        <v/>
      </c>
      <c r="L445" s="5" t="n">
        <v>0.589</v>
      </c>
      <c r="M445" s="5" t="n"/>
      <c r="N445" s="5" t="n">
        <v>79.3</v>
      </c>
      <c r="O445" s="5" t="inlineStr">
        <is>
          <t>solid fill</t>
        </is>
      </c>
      <c r="P445" s="5" t="inlineStr">
        <is>
          <t>solid fill, rectangle, L &gt; 4 W (EN 1992-1-1 5.3.1(7))</t>
        </is>
      </c>
      <c r="Q445" s="5">
        <f>IF(OR(D445="column",D445="wall"),IF(I445&lt;='P vs V'!$B$3*J445,"column","wall"),"")</f>
        <v/>
      </c>
      <c r="R445" s="5" t="inlineStr"/>
      <c r="S445" s="5" t="inlineStr"/>
      <c r="T445" s="5" t="n"/>
      <c r="U445" s="5" t="inlineStr">
        <is>
          <t>yes</t>
        </is>
      </c>
      <c r="V445" s="5" t="inlineStr">
        <is>
          <t>no</t>
        </is>
      </c>
      <c r="W445" s="5" t="inlineStr">
        <is>
          <t>yes</t>
        </is>
      </c>
      <c r="X445" s="5" t="inlineStr">
        <is>
          <t>no</t>
        </is>
      </c>
      <c r="Y445" s="5" t="inlineStr">
        <is>
          <t>no</t>
        </is>
      </c>
      <c r="Z445" s="5" t="inlineStr">
        <is>
          <t>no</t>
        </is>
      </c>
      <c r="AA445" s="5" t="n">
        <v>0.02</v>
      </c>
      <c r="AB445" s="5" t="n"/>
      <c r="AC445" s="5" t="n"/>
      <c r="AD445" s="5" t="n"/>
      <c r="AE445" s="5" t="n">
        <v>3281.3</v>
      </c>
      <c r="AF445" s="5" t="n">
        <v>3711</v>
      </c>
      <c r="AG445" s="5" t="n">
        <v>3301.4</v>
      </c>
      <c r="AH445" s="5" t="n">
        <v>3780.7</v>
      </c>
      <c r="AI445" s="5" t="inlineStr">
        <is>
          <t>new</t>
        </is>
      </c>
      <c r="AJ445" s="5" t="inlineStr"/>
      <c r="AK445" s="5" t="inlineStr">
        <is>
          <t>piece of a wall network the colour pipeline left unsplit</t>
        </is>
      </c>
      <c r="AL445" s="5" t="inlineStr">
        <is>
          <t>(0.87, 0.0, 0.87)</t>
        </is>
      </c>
      <c r="AM445" s="5" t="inlineStr">
        <is>
          <t>DM-VOILE</t>
        </is>
      </c>
    </row>
    <row r="446">
      <c r="A446" s="5" t="n">
        <v>445</v>
      </c>
      <c r="B446" s="5" t="inlineStr">
        <is>
          <t>125</t>
        </is>
      </c>
      <c r="C446" s="5" t="inlineStr">
        <is>
          <t>nearest labels (100% agree)</t>
        </is>
      </c>
      <c r="D446" s="5" t="inlineStr">
        <is>
          <t>wall</t>
        </is>
      </c>
      <c r="E446" s="5" t="inlineStr">
        <is>
          <t>core_wall_solid</t>
        </is>
      </c>
      <c r="F446" s="5" t="inlineStr">
        <is>
          <t>(none)</t>
        </is>
      </c>
      <c r="G446" s="5" t="inlineStr"/>
      <c r="H446" s="5" t="inlineStr">
        <is>
          <t>none</t>
        </is>
      </c>
      <c r="I446" s="5" t="n">
        <v>154</v>
      </c>
      <c r="J446" s="5" t="n">
        <v>25</v>
      </c>
      <c r="K446" s="9">
        <f>IF(AND(ISNUMBER(I446),ISNUMBER(J446),J446&gt;0),I446/J446,"")</f>
        <v/>
      </c>
      <c r="L446" s="5" t="n">
        <v>0.386</v>
      </c>
      <c r="M446" s="5" t="n"/>
      <c r="N446" s="5" t="n">
        <v>79.3</v>
      </c>
      <c r="O446" s="5" t="inlineStr">
        <is>
          <t>solid fill</t>
        </is>
      </c>
      <c r="P446" s="5" t="inlineStr">
        <is>
          <t>solid fill, rectangle, L &gt; 4 W (EN 1992-1-1 5.3.1(7))</t>
        </is>
      </c>
      <c r="Q446" s="5">
        <f>IF(OR(D446="column",D446="wall"),IF(I446&lt;='P vs V'!$B$3*J446,"column","wall"),"")</f>
        <v/>
      </c>
      <c r="R446" s="5" t="inlineStr"/>
      <c r="S446" s="5" t="inlineStr"/>
      <c r="T446" s="5" t="n"/>
      <c r="U446" s="5" t="inlineStr">
        <is>
          <t>yes</t>
        </is>
      </c>
      <c r="V446" s="5" t="inlineStr">
        <is>
          <t>yes</t>
        </is>
      </c>
      <c r="W446" s="5" t="inlineStr">
        <is>
          <t>yes</t>
        </is>
      </c>
      <c r="X446" s="5" t="inlineStr">
        <is>
          <t>no</t>
        </is>
      </c>
      <c r="Y446" s="5" t="inlineStr">
        <is>
          <t>no</t>
        </is>
      </c>
      <c r="Z446" s="5" t="inlineStr">
        <is>
          <t>no</t>
        </is>
      </c>
      <c r="AA446" s="5" t="n">
        <v>0.02</v>
      </c>
      <c r="AB446" s="5" t="n"/>
      <c r="AC446" s="5" t="n"/>
      <c r="AD446" s="5" t="n"/>
      <c r="AE446" s="5" t="n">
        <v>3266.7</v>
      </c>
      <c r="AF446" s="5" t="n">
        <v>3634.2</v>
      </c>
      <c r="AG446" s="5" t="n">
        <v>3282.5</v>
      </c>
      <c r="AH446" s="5" t="n">
        <v>3680.4</v>
      </c>
      <c r="AI446" s="5" t="inlineStr">
        <is>
          <t>new</t>
        </is>
      </c>
      <c r="AJ446" s="5" t="inlineStr"/>
      <c r="AK446" s="5" t="inlineStr">
        <is>
          <t>piece of a wall network the colour pipeline left unsplit</t>
        </is>
      </c>
      <c r="AL446" s="5" t="inlineStr">
        <is>
          <t>(0.87, 0.0, 0.87)</t>
        </is>
      </c>
      <c r="AM446" s="5" t="inlineStr">
        <is>
          <t>DM-VOILE</t>
        </is>
      </c>
    </row>
    <row r="447">
      <c r="A447" s="5" t="n">
        <v>446</v>
      </c>
      <c r="B447" s="5" t="inlineStr">
        <is>
          <t>125</t>
        </is>
      </c>
      <c r="C447" s="5" t="inlineStr">
        <is>
          <t>nearest labels (100% agree)</t>
        </is>
      </c>
      <c r="D447" s="5" t="inlineStr">
        <is>
          <t>wall</t>
        </is>
      </c>
      <c r="E447" s="5" t="inlineStr">
        <is>
          <t>core_wall_solid</t>
        </is>
      </c>
      <c r="F447" s="5" t="inlineStr">
        <is>
          <t>(none)</t>
        </is>
      </c>
      <c r="G447" s="5" t="inlineStr"/>
      <c r="H447" s="5" t="inlineStr">
        <is>
          <t>none</t>
        </is>
      </c>
      <c r="I447" s="5" t="n">
        <v>111</v>
      </c>
      <c r="J447" s="5" t="n">
        <v>25</v>
      </c>
      <c r="K447" s="9">
        <f>IF(AND(ISNUMBER(I447),ISNUMBER(J447),J447&gt;0),I447/J447,"")</f>
        <v/>
      </c>
      <c r="L447" s="5" t="n">
        <v>0.277</v>
      </c>
      <c r="M447" s="5" t="n"/>
      <c r="N447" s="5" t="n">
        <v>79.40000000000001</v>
      </c>
      <c r="O447" s="5" t="inlineStr">
        <is>
          <t>solid fill</t>
        </is>
      </c>
      <c r="P447" s="5" t="inlineStr">
        <is>
          <t>solid fill, rectangle, L &gt; 4 W (EN 1992-1-1 5.3.1(7))</t>
        </is>
      </c>
      <c r="Q447" s="5">
        <f>IF(OR(D447="column",D447="wall"),IF(I447&lt;='P vs V'!$B$3*J447,"column","wall"),"")</f>
        <v/>
      </c>
      <c r="R447" s="5" t="inlineStr"/>
      <c r="S447" s="5" t="inlineStr"/>
      <c r="T447" s="5" t="n"/>
      <c r="U447" s="5" t="inlineStr">
        <is>
          <t>yes</t>
        </is>
      </c>
      <c r="V447" s="5" t="inlineStr">
        <is>
          <t>no</t>
        </is>
      </c>
      <c r="W447" s="5" t="inlineStr">
        <is>
          <t>yes</t>
        </is>
      </c>
      <c r="X447" s="5" t="inlineStr">
        <is>
          <t>no</t>
        </is>
      </c>
      <c r="Y447" s="5" t="inlineStr">
        <is>
          <t>no</t>
        </is>
      </c>
      <c r="Z447" s="5" t="inlineStr">
        <is>
          <t>no</t>
        </is>
      </c>
      <c r="AA447" s="5" t="n">
        <v>0.02</v>
      </c>
      <c r="AB447" s="5" t="n"/>
      <c r="AC447" s="5" t="n"/>
      <c r="AD447" s="5" t="n"/>
      <c r="AE447" s="5" t="n">
        <v>3275.2</v>
      </c>
      <c r="AF447" s="5" t="n">
        <v>3679</v>
      </c>
      <c r="AG447" s="5" t="n">
        <v>3288.5</v>
      </c>
      <c r="AH447" s="5" t="n">
        <v>3712.4</v>
      </c>
      <c r="AI447" s="5" t="inlineStr">
        <is>
          <t>new</t>
        </is>
      </c>
      <c r="AJ447" s="5" t="inlineStr"/>
      <c r="AK447" s="5" t="inlineStr">
        <is>
          <t>piece of a wall network the colour pipeline left unsplit</t>
        </is>
      </c>
      <c r="AL447" s="5" t="inlineStr">
        <is>
          <t>(0.87, 0.0, 0.87)</t>
        </is>
      </c>
      <c r="AM447" s="5" t="inlineStr">
        <is>
          <t>DM-VOILE</t>
        </is>
      </c>
    </row>
    <row r="448">
      <c r="A448" s="5" t="n">
        <v>447</v>
      </c>
      <c r="B448" s="5" t="inlineStr">
        <is>
          <t>125</t>
        </is>
      </c>
      <c r="C448" s="5" t="inlineStr">
        <is>
          <t>nearest labels (100% agree)</t>
        </is>
      </c>
      <c r="D448" s="5" t="inlineStr">
        <is>
          <t>wall</t>
        </is>
      </c>
      <c r="E448" s="5" t="inlineStr">
        <is>
          <t>core_wall_solid</t>
        </is>
      </c>
      <c r="F448" s="5" t="inlineStr">
        <is>
          <t>(none)</t>
        </is>
      </c>
      <c r="G448" s="5" t="inlineStr"/>
      <c r="H448" s="5" t="inlineStr">
        <is>
          <t>none</t>
        </is>
      </c>
      <c r="I448" s="5" t="n">
        <v>121</v>
      </c>
      <c r="J448" s="5" t="n">
        <v>20</v>
      </c>
      <c r="K448" s="9">
        <f>IF(AND(ISNUMBER(I448),ISNUMBER(J448),J448&gt;0),I448/J448,"")</f>
        <v/>
      </c>
      <c r="L448" s="5" t="n">
        <v>0.24</v>
      </c>
      <c r="M448" s="5" t="n"/>
      <c r="N448" s="5" t="n">
        <v>169.5</v>
      </c>
      <c r="O448" s="5" t="inlineStr">
        <is>
          <t>solid fill</t>
        </is>
      </c>
      <c r="P448" s="5" t="inlineStr">
        <is>
          <t>solid fill, rectangle, L &gt; 4 W (EN 1992-1-1 5.3.1(7))</t>
        </is>
      </c>
      <c r="Q448" s="5">
        <f>IF(OR(D448="column",D448="wall"),IF(I448&lt;='P vs V'!$B$3*J448,"column","wall"),"")</f>
        <v/>
      </c>
      <c r="R448" s="5" t="inlineStr"/>
      <c r="S448" s="5" t="inlineStr"/>
      <c r="T448" s="5" t="n"/>
      <c r="U448" s="5" t="inlineStr">
        <is>
          <t>yes</t>
        </is>
      </c>
      <c r="V448" s="5" t="inlineStr">
        <is>
          <t>yes</t>
        </is>
      </c>
      <c r="W448" s="5" t="inlineStr">
        <is>
          <t>yes</t>
        </is>
      </c>
      <c r="X448" s="5" t="inlineStr">
        <is>
          <t>no</t>
        </is>
      </c>
      <c r="Y448" s="5" t="inlineStr">
        <is>
          <t>no</t>
        </is>
      </c>
      <c r="Z448" s="5" t="inlineStr">
        <is>
          <t>no</t>
        </is>
      </c>
      <c r="AA448" s="5" t="n">
        <v>0.75</v>
      </c>
      <c r="AB448" s="5" t="n"/>
      <c r="AC448" s="5" t="n"/>
      <c r="AD448" s="5" t="n"/>
      <c r="AE448" s="5" t="n">
        <v>3274.1</v>
      </c>
      <c r="AF448" s="5" t="n">
        <v>3627.7</v>
      </c>
      <c r="AG448" s="5" t="n">
        <v>3310.3</v>
      </c>
      <c r="AH448" s="5" t="n">
        <v>3640</v>
      </c>
      <c r="AI448" s="5" t="inlineStr">
        <is>
          <t>new</t>
        </is>
      </c>
      <c r="AJ448" s="5" t="inlineStr"/>
      <c r="AK448" s="5" t="inlineStr">
        <is>
          <t>piece of a wall network the colour pipeline left unsplit</t>
        </is>
      </c>
      <c r="AL448" s="5" t="inlineStr">
        <is>
          <t>(0.87, 0.0, 0.87)</t>
        </is>
      </c>
      <c r="AM448" s="5" t="inlineStr">
        <is>
          <t>DM-VOILE</t>
        </is>
      </c>
    </row>
    <row r="449">
      <c r="A449" s="5" t="n">
        <v>448</v>
      </c>
      <c r="B449" s="5" t="inlineStr">
        <is>
          <t>125</t>
        </is>
      </c>
      <c r="C449" s="5" t="inlineStr">
        <is>
          <t>nearest labels (100% agree)</t>
        </is>
      </c>
      <c r="D449" s="5" t="inlineStr">
        <is>
          <t>wall</t>
        </is>
      </c>
      <c r="E449" s="5" t="inlineStr">
        <is>
          <t>core_wall_solid</t>
        </is>
      </c>
      <c r="F449" s="5" t="inlineStr">
        <is>
          <t>(none)</t>
        </is>
      </c>
      <c r="G449" s="5" t="inlineStr"/>
      <c r="H449" s="5" t="inlineStr">
        <is>
          <t>none</t>
        </is>
      </c>
      <c r="I449" s="5" t="n">
        <v>141</v>
      </c>
      <c r="J449" s="5" t="n">
        <v>20</v>
      </c>
      <c r="K449" s="9">
        <f>IF(AND(ISNUMBER(I449),ISNUMBER(J449),J449&gt;0),I449/J449,"")</f>
        <v/>
      </c>
      <c r="L449" s="5" t="n">
        <v>0.282</v>
      </c>
      <c r="M449" s="5" t="n"/>
      <c r="N449" s="5" t="n">
        <v>79.3</v>
      </c>
      <c r="O449" s="5" t="inlineStr">
        <is>
          <t>solid fill</t>
        </is>
      </c>
      <c r="P449" s="5" t="inlineStr">
        <is>
          <t>straight stretch of a thin filled outline with bends (pair of parallel faces)</t>
        </is>
      </c>
      <c r="Q449" s="5">
        <f>IF(OR(D449="column",D449="wall"),IF(I449&lt;='P vs V'!$B$3*J449,"column","wall"),"")</f>
        <v/>
      </c>
      <c r="R449" s="5" t="inlineStr"/>
      <c r="S449" s="5" t="inlineStr"/>
      <c r="T449" s="5" t="n"/>
      <c r="U449" s="5" t="inlineStr">
        <is>
          <t>yes</t>
        </is>
      </c>
      <c r="V449" s="5" t="inlineStr">
        <is>
          <t>no</t>
        </is>
      </c>
      <c r="W449" s="5" t="inlineStr">
        <is>
          <t>no</t>
        </is>
      </c>
      <c r="X449" s="5" t="inlineStr">
        <is>
          <t>no</t>
        </is>
      </c>
      <c r="Y449" s="5" t="inlineStr">
        <is>
          <t>no</t>
        </is>
      </c>
      <c r="Z449" s="5" t="inlineStr">
        <is>
          <t>no</t>
        </is>
      </c>
      <c r="AA449" s="5" t="n">
        <v>1.75</v>
      </c>
      <c r="AB449" s="5" t="n"/>
      <c r="AC449" s="5" t="n"/>
      <c r="AD449" s="5" t="n"/>
      <c r="AE449" s="5" t="n">
        <v>3132.7</v>
      </c>
      <c r="AF449" s="5" t="n">
        <v>3570.5</v>
      </c>
      <c r="AG449" s="5" t="n">
        <v>3146.2</v>
      </c>
      <c r="AH449" s="5" t="n">
        <v>3612.5</v>
      </c>
      <c r="AI449" s="5" t="inlineStr">
        <is>
          <t>new</t>
        </is>
      </c>
      <c r="AJ449" s="5" t="inlineStr"/>
      <c r="AK449" s="5" t="inlineStr">
        <is>
          <t>piece of a wall network the colour pipeline left unsplit</t>
        </is>
      </c>
      <c r="AL449" s="5" t="inlineStr"/>
      <c r="AM449" s="5" t="inlineStr"/>
    </row>
    <row r="450">
      <c r="A450" s="5" t="n">
        <v>449</v>
      </c>
      <c r="B450" s="5" t="inlineStr">
        <is>
          <t>125</t>
        </is>
      </c>
      <c r="C450" s="5" t="inlineStr">
        <is>
          <t>nearest labels (100% agree)</t>
        </is>
      </c>
      <c r="D450" s="5" t="inlineStr">
        <is>
          <t>wall</t>
        </is>
      </c>
      <c r="E450" s="5" t="inlineStr">
        <is>
          <t>core_wall_solid</t>
        </is>
      </c>
      <c r="F450" s="5" t="inlineStr">
        <is>
          <t>(none)</t>
        </is>
      </c>
      <c r="G450" s="5" t="inlineStr"/>
      <c r="H450" s="5" t="inlineStr">
        <is>
          <t>none</t>
        </is>
      </c>
      <c r="I450" s="5" t="n">
        <v>39</v>
      </c>
      <c r="J450" s="5" t="n">
        <v>20</v>
      </c>
      <c r="K450" s="9">
        <f>IF(AND(ISNUMBER(I450),ISNUMBER(J450),J450&gt;0),I450/J450,"")</f>
        <v/>
      </c>
      <c r="L450" s="5" t="n">
        <v>0.079</v>
      </c>
      <c r="M450" s="5" t="n"/>
      <c r="N450" s="5" t="n">
        <v>169.6</v>
      </c>
      <c r="O450" s="5" t="inlineStr">
        <is>
          <t>solid fill</t>
        </is>
      </c>
      <c r="P450" s="5" t="inlineStr">
        <is>
          <t>straight stretch of a thin filled outline with bends (pair of parallel faces)</t>
        </is>
      </c>
      <c r="Q450" s="5">
        <f>IF(OR(D450="column",D450="wall"),IF(I450&lt;='P vs V'!$B$3*J450,"column","wall"),"")</f>
        <v/>
      </c>
      <c r="R450" s="5" t="inlineStr"/>
      <c r="S450" s="5" t="inlineStr"/>
      <c r="T450" s="5" t="n"/>
      <c r="U450" s="5" t="inlineStr">
        <is>
          <t>yes</t>
        </is>
      </c>
      <c r="V450" s="5" t="inlineStr">
        <is>
          <t>no</t>
        </is>
      </c>
      <c r="W450" s="5" t="inlineStr">
        <is>
          <t>yes</t>
        </is>
      </c>
      <c r="X450" s="5" t="inlineStr">
        <is>
          <t>no</t>
        </is>
      </c>
      <c r="Y450" s="5" t="inlineStr">
        <is>
          <t>no</t>
        </is>
      </c>
      <c r="Z450" s="5" t="inlineStr">
        <is>
          <t>no</t>
        </is>
      </c>
      <c r="AA450" s="5" t="n">
        <v>1.2</v>
      </c>
      <c r="AB450" s="5" t="n"/>
      <c r="AC450" s="5" t="n"/>
      <c r="AD450" s="5" t="n"/>
      <c r="AE450" s="5" t="n">
        <v>3154.7</v>
      </c>
      <c r="AF450" s="5" t="n">
        <v>3612.2</v>
      </c>
      <c r="AG450" s="5" t="n">
        <v>3167.1</v>
      </c>
      <c r="AH450" s="5" t="n">
        <v>3620.2</v>
      </c>
      <c r="AI450" s="5" t="inlineStr">
        <is>
          <t>new</t>
        </is>
      </c>
      <c r="AJ450" s="5" t="inlineStr"/>
      <c r="AK450" s="5" t="inlineStr">
        <is>
          <t>piece of a wall network the colour pipeline left unsplit</t>
        </is>
      </c>
      <c r="AL450" s="5" t="inlineStr"/>
      <c r="AM450" s="5" t="inlineStr"/>
    </row>
    <row r="451">
      <c r="A451" s="5" t="n">
        <v>450</v>
      </c>
      <c r="B451" s="5" t="inlineStr">
        <is>
          <t>125</t>
        </is>
      </c>
      <c r="C451" s="5" t="inlineStr">
        <is>
          <t>nearest labels (100% agree)</t>
        </is>
      </c>
      <c r="D451" s="5" t="inlineStr">
        <is>
          <t>wall</t>
        </is>
      </c>
      <c r="E451" s="5" t="inlineStr">
        <is>
          <t>core_wall_solid</t>
        </is>
      </c>
      <c r="F451" s="5" t="inlineStr">
        <is>
          <t>(none)</t>
        </is>
      </c>
      <c r="G451" s="5" t="inlineStr"/>
      <c r="H451" s="5" t="inlineStr">
        <is>
          <t>none</t>
        </is>
      </c>
      <c r="I451" s="5" t="n">
        <v>457</v>
      </c>
      <c r="J451" s="5" t="n">
        <v>20</v>
      </c>
      <c r="K451" s="9">
        <f>IF(AND(ISNUMBER(I451),ISNUMBER(J451),J451&gt;0),I451/J451,"")</f>
        <v/>
      </c>
      <c r="L451" s="5" t="n">
        <v>0.911</v>
      </c>
      <c r="M451" s="5" t="n"/>
      <c r="N451" s="5" t="n">
        <v>79.3</v>
      </c>
      <c r="O451" s="5" t="inlineStr">
        <is>
          <t>solid fill</t>
        </is>
      </c>
      <c r="P451" s="5" t="inlineStr">
        <is>
          <t>straight stretch of a thin filled outline with bends (pair of parallel faces)</t>
        </is>
      </c>
      <c r="Q451" s="5">
        <f>IF(OR(D451="column",D451="wall"),IF(I451&lt;='P vs V'!$B$3*J451,"column","wall"),"")</f>
        <v/>
      </c>
      <c r="R451" s="5" t="inlineStr"/>
      <c r="S451" s="5" t="inlineStr"/>
      <c r="T451" s="5" t="n"/>
      <c r="U451" s="5" t="inlineStr">
        <is>
          <t>yes</t>
        </is>
      </c>
      <c r="V451" s="5" t="inlineStr">
        <is>
          <t>yes</t>
        </is>
      </c>
      <c r="W451" s="5" t="inlineStr">
        <is>
          <t>yes</t>
        </is>
      </c>
      <c r="X451" s="5" t="inlineStr">
        <is>
          <t>no</t>
        </is>
      </c>
      <c r="Y451" s="5" t="inlineStr">
        <is>
          <t>no</t>
        </is>
      </c>
      <c r="Z451" s="5" t="inlineStr">
        <is>
          <t>no</t>
        </is>
      </c>
      <c r="AA451" s="5" t="n">
        <v>0.04</v>
      </c>
      <c r="AB451" s="5" t="n"/>
      <c r="AC451" s="5" t="n"/>
      <c r="AD451" s="5" t="n"/>
      <c r="AE451" s="5" t="n">
        <v>3269</v>
      </c>
      <c r="AF451" s="5" t="n">
        <v>3640.1</v>
      </c>
      <c r="AG451" s="5" t="n">
        <v>3299.8</v>
      </c>
      <c r="AH451" s="5" t="n">
        <v>3773.8</v>
      </c>
      <c r="AI451" s="5" t="inlineStr">
        <is>
          <t>new</t>
        </is>
      </c>
      <c r="AJ451" s="5" t="inlineStr"/>
      <c r="AK451" s="5" t="inlineStr">
        <is>
          <t>piece of a wall network the colour pipeline left unsplit</t>
        </is>
      </c>
      <c r="AL451" s="5" t="inlineStr"/>
      <c r="AM451" s="5" t="inlineStr"/>
    </row>
    <row r="452">
      <c r="A452" s="5" t="n">
        <v>451</v>
      </c>
      <c r="B452" s="5" t="inlineStr">
        <is>
          <t>125</t>
        </is>
      </c>
      <c r="C452" s="5" t="inlineStr">
        <is>
          <t>nearest labels (100% agree)</t>
        </is>
      </c>
      <c r="D452" s="5" t="inlineStr">
        <is>
          <t>wall</t>
        </is>
      </c>
      <c r="E452" s="5" t="inlineStr">
        <is>
          <t>core_wall_solid</t>
        </is>
      </c>
      <c r="F452" s="5" t="inlineStr">
        <is>
          <t>(none)</t>
        </is>
      </c>
      <c r="G452" s="5" t="inlineStr"/>
      <c r="H452" s="5" t="inlineStr">
        <is>
          <t>none</t>
        </is>
      </c>
      <c r="I452" s="5" t="n">
        <v>532</v>
      </c>
      <c r="J452" s="5" t="n">
        <v>20</v>
      </c>
      <c r="K452" s="9">
        <f>IF(AND(ISNUMBER(I452),ISNUMBER(J452),J452&gt;0),I452/J452,"")</f>
        <v/>
      </c>
      <c r="L452" s="5" t="n">
        <v>1.068</v>
      </c>
      <c r="M452" s="5" t="n"/>
      <c r="N452" s="5" t="n">
        <v>79.40000000000001</v>
      </c>
      <c r="O452" s="5" t="inlineStr">
        <is>
          <t>solid fill</t>
        </is>
      </c>
      <c r="P452" s="5" t="inlineStr">
        <is>
          <t>straight stretch of a thin filled outline with bends (pair of parallel faces)</t>
        </is>
      </c>
      <c r="Q452" s="5">
        <f>IF(OR(D452="column",D452="wall"),IF(I452&lt;='P vs V'!$B$3*J452,"column","wall"),"")</f>
        <v/>
      </c>
      <c r="R452" s="5" t="inlineStr"/>
      <c r="S452" s="5" t="inlineStr"/>
      <c r="T452" s="5" t="n"/>
      <c r="U452" s="5" t="inlineStr">
        <is>
          <t>yes</t>
        </is>
      </c>
      <c r="V452" s="5" t="inlineStr">
        <is>
          <t>no</t>
        </is>
      </c>
      <c r="W452" s="5" t="inlineStr">
        <is>
          <t>yes</t>
        </is>
      </c>
      <c r="X452" s="5" t="inlineStr">
        <is>
          <t>no</t>
        </is>
      </c>
      <c r="Y452" s="5" t="inlineStr">
        <is>
          <t>no</t>
        </is>
      </c>
      <c r="Z452" s="5" t="inlineStr">
        <is>
          <t>no</t>
        </is>
      </c>
      <c r="AA452" s="5" t="n">
        <v>0.64</v>
      </c>
      <c r="AB452" s="5" t="n"/>
      <c r="AC452" s="5" t="n"/>
      <c r="AD452" s="5" t="n"/>
      <c r="AE452" s="5" t="n">
        <v>3178.3</v>
      </c>
      <c r="AF452" s="5" t="n">
        <v>3634.4</v>
      </c>
      <c r="AG452" s="5" t="n">
        <v>3213</v>
      </c>
      <c r="AH452" s="5" t="n">
        <v>3789.9</v>
      </c>
      <c r="AI452" s="5" t="inlineStr">
        <is>
          <t>new</t>
        </is>
      </c>
      <c r="AJ452" s="5" t="inlineStr"/>
      <c r="AK452" s="5" t="inlineStr">
        <is>
          <t>piece of a wall network the colour pipeline left unsplit</t>
        </is>
      </c>
      <c r="AL452" s="5" t="inlineStr"/>
      <c r="AM452" s="5" t="inlineStr"/>
    </row>
    <row r="453">
      <c r="A453" s="5" t="n">
        <v>452</v>
      </c>
      <c r="B453" s="5" t="inlineStr">
        <is>
          <t>125</t>
        </is>
      </c>
      <c r="C453" s="5" t="inlineStr">
        <is>
          <t>nearest labels (100% agree)</t>
        </is>
      </c>
      <c r="D453" s="5" t="inlineStr">
        <is>
          <t>wall</t>
        </is>
      </c>
      <c r="E453" s="5" t="inlineStr">
        <is>
          <t>core_wall_solid</t>
        </is>
      </c>
      <c r="F453" s="5" t="inlineStr">
        <is>
          <t>(none)</t>
        </is>
      </c>
      <c r="G453" s="5" t="inlineStr"/>
      <c r="H453" s="5" t="inlineStr">
        <is>
          <t>none</t>
        </is>
      </c>
      <c r="I453" s="5" t="n">
        <v>273</v>
      </c>
      <c r="J453" s="5" t="n">
        <v>20</v>
      </c>
      <c r="K453" s="9">
        <f>IF(AND(ISNUMBER(I453),ISNUMBER(J453),J453&gt;0),I453/J453,"")</f>
        <v/>
      </c>
      <c r="L453" s="5" t="n">
        <v>0.551</v>
      </c>
      <c r="M453" s="5" t="n"/>
      <c r="N453" s="5" t="n">
        <v>169.5</v>
      </c>
      <c r="O453" s="5" t="inlineStr">
        <is>
          <t>solid fill</t>
        </is>
      </c>
      <c r="P453" s="5" t="inlineStr">
        <is>
          <t>straight stretch of a thin filled outline with bends (pair of parallel faces)</t>
        </is>
      </c>
      <c r="Q453" s="5">
        <f>IF(OR(D453="column",D453="wall"),IF(I453&lt;='P vs V'!$B$3*J453,"column","wall"),"")</f>
        <v/>
      </c>
      <c r="R453" s="5" t="inlineStr"/>
      <c r="S453" s="5" t="inlineStr"/>
      <c r="T453" s="5" t="n"/>
      <c r="U453" s="5" t="inlineStr">
        <is>
          <t>yes</t>
        </is>
      </c>
      <c r="V453" s="5" t="inlineStr">
        <is>
          <t>no</t>
        </is>
      </c>
      <c r="W453" s="5" t="inlineStr">
        <is>
          <t>yes</t>
        </is>
      </c>
      <c r="X453" s="5" t="inlineStr">
        <is>
          <t>no</t>
        </is>
      </c>
      <c r="Y453" s="5" t="inlineStr">
        <is>
          <t>no</t>
        </is>
      </c>
      <c r="Z453" s="5" t="inlineStr">
        <is>
          <t>no</t>
        </is>
      </c>
      <c r="AA453" s="5" t="n">
        <v>0.82</v>
      </c>
      <c r="AB453" s="5" t="n"/>
      <c r="AC453" s="5" t="n"/>
      <c r="AD453" s="5" t="n"/>
      <c r="AE453" s="5" t="n">
        <v>3213</v>
      </c>
      <c r="AF453" s="5" t="n">
        <v>3774.1</v>
      </c>
      <c r="AG453" s="5" t="n">
        <v>3293.3</v>
      </c>
      <c r="AH453" s="5" t="n">
        <v>3794.7</v>
      </c>
      <c r="AI453" s="5" t="inlineStr">
        <is>
          <t>new</t>
        </is>
      </c>
      <c r="AJ453" s="5" t="inlineStr"/>
      <c r="AK453" s="5" t="inlineStr">
        <is>
          <t>piece of a wall network the colour pipeline left unsplit</t>
        </is>
      </c>
      <c r="AL453" s="5" t="inlineStr"/>
      <c r="AM453" s="5" t="inlineStr"/>
    </row>
    <row r="454">
      <c r="A454" s="5" t="n">
        <v>453</v>
      </c>
      <c r="B454" s="5" t="inlineStr">
        <is>
          <t>125</t>
        </is>
      </c>
      <c r="C454" s="5" t="inlineStr">
        <is>
          <t>nearest labels (100% agree)</t>
        </is>
      </c>
      <c r="D454" s="5" t="inlineStr">
        <is>
          <t>wall</t>
        </is>
      </c>
      <c r="E454" s="5" t="inlineStr">
        <is>
          <t>core_wall_solid</t>
        </is>
      </c>
      <c r="F454" s="5" t="inlineStr">
        <is>
          <t>(none)</t>
        </is>
      </c>
      <c r="G454" s="5" t="inlineStr"/>
      <c r="H454" s="5" t="inlineStr">
        <is>
          <t>none</t>
        </is>
      </c>
      <c r="I454" s="5" t="n">
        <v>175</v>
      </c>
      <c r="J454" s="5" t="n">
        <v>25</v>
      </c>
      <c r="K454" s="9">
        <f>IF(AND(ISNUMBER(I454),ISNUMBER(J454),J454&gt;0),I454/J454,"")</f>
        <v/>
      </c>
      <c r="L454" s="5" t="n">
        <v>0.442</v>
      </c>
      <c r="M454" s="5" t="n"/>
      <c r="N454" s="5" t="n">
        <v>169.3</v>
      </c>
      <c r="O454" s="5" t="inlineStr">
        <is>
          <t>solid fill</t>
        </is>
      </c>
      <c r="P454" s="5" t="inlineStr">
        <is>
          <t>straight stretch of a thin filled outline with bends (pair of parallel faces)</t>
        </is>
      </c>
      <c r="Q454" s="5">
        <f>IF(OR(D454="column",D454="wall"),IF(I454&lt;='P vs V'!$B$3*J454,"column","wall"),"")</f>
        <v/>
      </c>
      <c r="R454" s="5" t="inlineStr"/>
      <c r="S454" s="5" t="inlineStr"/>
      <c r="T454" s="5" t="n"/>
      <c r="U454" s="5" t="inlineStr">
        <is>
          <t>yes</t>
        </is>
      </c>
      <c r="V454" s="5" t="inlineStr">
        <is>
          <t>no</t>
        </is>
      </c>
      <c r="W454" s="5" t="inlineStr">
        <is>
          <t>yes</t>
        </is>
      </c>
      <c r="X454" s="5" t="inlineStr">
        <is>
          <t>no</t>
        </is>
      </c>
      <c r="Y454" s="5" t="inlineStr">
        <is>
          <t>no</t>
        </is>
      </c>
      <c r="Z454" s="5" t="inlineStr">
        <is>
          <t>no</t>
        </is>
      </c>
      <c r="AA454" s="5" t="n">
        <v>0.77</v>
      </c>
      <c r="AB454" s="5" t="n"/>
      <c r="AC454" s="5" t="n"/>
      <c r="AD454" s="5" t="n"/>
      <c r="AE454" s="5" t="n">
        <v>3127.3</v>
      </c>
      <c r="AF454" s="5" t="n">
        <v>3499.7</v>
      </c>
      <c r="AG454" s="5" t="n">
        <v>3179.4</v>
      </c>
      <c r="AH454" s="5" t="n">
        <v>3516.6</v>
      </c>
      <c r="AI454" s="5" t="inlineStr">
        <is>
          <t>new</t>
        </is>
      </c>
      <c r="AJ454" s="5" t="inlineStr"/>
      <c r="AK454" s="5" t="inlineStr">
        <is>
          <t>piece of a wall network the colour pipeline left unsplit</t>
        </is>
      </c>
      <c r="AL454" s="5" t="inlineStr"/>
      <c r="AM454" s="5" t="inlineStr"/>
    </row>
    <row r="455">
      <c r="A455" s="5" t="n">
        <v>454</v>
      </c>
      <c r="B455" s="5" t="inlineStr">
        <is>
          <t>125</t>
        </is>
      </c>
      <c r="C455" s="5" t="inlineStr">
        <is>
          <t>nearest labels (100% agree)</t>
        </is>
      </c>
      <c r="D455" s="5" t="inlineStr">
        <is>
          <t>wall</t>
        </is>
      </c>
      <c r="E455" s="5" t="inlineStr">
        <is>
          <t>core_wall_solid</t>
        </is>
      </c>
      <c r="F455" s="5" t="inlineStr">
        <is>
          <t>(none)</t>
        </is>
      </c>
      <c r="G455" s="5" t="inlineStr"/>
      <c r="H455" s="5" t="inlineStr">
        <is>
          <t>none</t>
        </is>
      </c>
      <c r="I455" s="5" t="n">
        <v>157</v>
      </c>
      <c r="J455" s="5" t="n">
        <v>25</v>
      </c>
      <c r="K455" s="9">
        <f>IF(AND(ISNUMBER(I455),ISNUMBER(J455),J455&gt;0),I455/J455,"")</f>
        <v/>
      </c>
      <c r="L455" s="5" t="n">
        <v>0.393</v>
      </c>
      <c r="M455" s="5" t="n"/>
      <c r="N455" s="5" t="n">
        <v>79.40000000000001</v>
      </c>
      <c r="O455" s="5" t="inlineStr">
        <is>
          <t>solid fill</t>
        </is>
      </c>
      <c r="P455" s="5" t="inlineStr">
        <is>
          <t>straight stretch of a thin filled outline with bends (pair of parallel faces)</t>
        </is>
      </c>
      <c r="Q455" s="5">
        <f>IF(OR(D455="column",D455="wall"),IF(I455&lt;='P vs V'!$B$3*J455,"column","wall"),"")</f>
        <v/>
      </c>
      <c r="R455" s="5" t="inlineStr"/>
      <c r="S455" s="5" t="inlineStr"/>
      <c r="T455" s="5" t="n"/>
      <c r="U455" s="5" t="inlineStr">
        <is>
          <t>yes</t>
        </is>
      </c>
      <c r="V455" s="5" t="inlineStr">
        <is>
          <t>no</t>
        </is>
      </c>
      <c r="W455" s="5" t="inlineStr">
        <is>
          <t>yes</t>
        </is>
      </c>
      <c r="X455" s="5" t="inlineStr">
        <is>
          <t>no</t>
        </is>
      </c>
      <c r="Y455" s="5" t="inlineStr">
        <is>
          <t>no</t>
        </is>
      </c>
      <c r="Z455" s="5" t="inlineStr">
        <is>
          <t>no</t>
        </is>
      </c>
      <c r="AA455" s="5" t="n">
        <v>1.77</v>
      </c>
      <c r="AB455" s="5" t="n"/>
      <c r="AC455" s="5" t="n"/>
      <c r="AD455" s="5" t="n"/>
      <c r="AE455" s="5" t="n">
        <v>3121.4</v>
      </c>
      <c r="AF455" s="5" t="n">
        <v>3516.6</v>
      </c>
      <c r="AG455" s="5" t="n">
        <v>3137.3</v>
      </c>
      <c r="AH455" s="5" t="n">
        <v>3563.5</v>
      </c>
      <c r="AI455" s="5" t="inlineStr">
        <is>
          <t>new</t>
        </is>
      </c>
      <c r="AJ455" s="5" t="inlineStr"/>
      <c r="AK455" s="5" t="inlineStr">
        <is>
          <t>piece of a wall network the colour pipeline left unsplit</t>
        </is>
      </c>
      <c r="AL455" s="5" t="inlineStr"/>
      <c r="AM455" s="5" t="inlineStr"/>
    </row>
    <row r="456">
      <c r="A456" s="5" t="n">
        <v>455</v>
      </c>
      <c r="B456" s="5" t="inlineStr">
        <is>
          <t>125</t>
        </is>
      </c>
      <c r="C456" s="5" t="inlineStr">
        <is>
          <t>nearest labels (100% agree)</t>
        </is>
      </c>
      <c r="D456" s="5" t="inlineStr">
        <is>
          <t>wall</t>
        </is>
      </c>
      <c r="E456" s="5" t="inlineStr">
        <is>
          <t>core_wall_solid</t>
        </is>
      </c>
      <c r="F456" s="5" t="inlineStr">
        <is>
          <t>(none)</t>
        </is>
      </c>
      <c r="G456" s="5" t="inlineStr"/>
      <c r="H456" s="5" t="inlineStr">
        <is>
          <t>none</t>
        </is>
      </c>
      <c r="I456" s="5" t="n">
        <v>142</v>
      </c>
      <c r="J456" s="5" t="n">
        <v>25</v>
      </c>
      <c r="K456" s="9">
        <f>IF(AND(ISNUMBER(I456),ISNUMBER(J456),J456&gt;0),I456/J456,"")</f>
        <v/>
      </c>
      <c r="L456" s="5" t="n">
        <v>0.355</v>
      </c>
      <c r="M456" s="5" t="n"/>
      <c r="N456" s="5" t="n">
        <v>169.3</v>
      </c>
      <c r="O456" s="5" t="inlineStr">
        <is>
          <t>solid fill</t>
        </is>
      </c>
      <c r="P456" s="5" t="inlineStr">
        <is>
          <t>straight stretch of a thin filled outline with bends (pair of parallel faces)</t>
        </is>
      </c>
      <c r="Q456" s="5">
        <f>IF(OR(D456="column",D456="wall"),IF(I456&lt;='P vs V'!$B$3*J456,"column","wall"),"")</f>
        <v/>
      </c>
      <c r="R456" s="5" t="inlineStr"/>
      <c r="S456" s="5" t="inlineStr"/>
      <c r="T456" s="5" t="n"/>
      <c r="U456" s="5" t="inlineStr">
        <is>
          <t>yes</t>
        </is>
      </c>
      <c r="V456" s="5" t="inlineStr">
        <is>
          <t>no</t>
        </is>
      </c>
      <c r="W456" s="5" t="inlineStr">
        <is>
          <t>yes</t>
        </is>
      </c>
      <c r="X456" s="5" t="inlineStr">
        <is>
          <t>no</t>
        </is>
      </c>
      <c r="Y456" s="5" t="inlineStr">
        <is>
          <t>no</t>
        </is>
      </c>
      <c r="Z456" s="5" t="inlineStr">
        <is>
          <t>no</t>
        </is>
      </c>
      <c r="AA456" s="5" t="n">
        <v>0.93</v>
      </c>
      <c r="AB456" s="5" t="n"/>
      <c r="AC456" s="5" t="n"/>
      <c r="AD456" s="5" t="n"/>
      <c r="AE456" s="5" t="n">
        <v>3147.2</v>
      </c>
      <c r="AF456" s="5" t="n">
        <v>3606.8</v>
      </c>
      <c r="AG456" s="5" t="n">
        <v>3189.8</v>
      </c>
      <c r="AH456" s="5" t="n">
        <v>3621.8</v>
      </c>
      <c r="AI456" s="5" t="inlineStr">
        <is>
          <t>new</t>
        </is>
      </c>
      <c r="AJ456" s="5" t="inlineStr"/>
      <c r="AK456" s="5" t="inlineStr">
        <is>
          <t>piece of a wall network the colour pipeline left unsplit</t>
        </is>
      </c>
      <c r="AL456" s="5" t="inlineStr"/>
      <c r="AM456" s="5" t="inlineStr"/>
    </row>
    <row r="457">
      <c r="A457" s="5" t="n">
        <v>456</v>
      </c>
      <c r="B457" s="5" t="inlineStr">
        <is>
          <t>125</t>
        </is>
      </c>
      <c r="C457" s="5" t="inlineStr">
        <is>
          <t>nearest labels (100% agree)</t>
        </is>
      </c>
      <c r="D457" s="5" t="inlineStr">
        <is>
          <t>wall</t>
        </is>
      </c>
      <c r="E457" s="5" t="inlineStr">
        <is>
          <t>core_wall_solid</t>
        </is>
      </c>
      <c r="F457" s="5" t="inlineStr">
        <is>
          <t>(none)</t>
        </is>
      </c>
      <c r="G457" s="5" t="inlineStr"/>
      <c r="H457" s="5" t="inlineStr">
        <is>
          <t>none</t>
        </is>
      </c>
      <c r="I457" s="5" t="n">
        <v>475</v>
      </c>
      <c r="J457" s="5" t="n">
        <v>25</v>
      </c>
      <c r="K457" s="9">
        <f>IF(AND(ISNUMBER(I457),ISNUMBER(J457),J457&gt;0),I457/J457,"")</f>
        <v/>
      </c>
      <c r="L457" s="5" t="n">
        <v>1.188</v>
      </c>
      <c r="M457" s="5" t="n"/>
      <c r="N457" s="5" t="n">
        <v>79.40000000000001</v>
      </c>
      <c r="O457" s="5" t="inlineStr">
        <is>
          <t>solid fill</t>
        </is>
      </c>
      <c r="P457" s="5" t="inlineStr">
        <is>
          <t>straight stretch of a thin filled outline with bends (pair of parallel faces)</t>
        </is>
      </c>
      <c r="Q457" s="5">
        <f>IF(OR(D457="column",D457="wall"),IF(I457&lt;='P vs V'!$B$3*J457,"column","wall"),"")</f>
        <v/>
      </c>
      <c r="R457" s="5" t="inlineStr"/>
      <c r="S457" s="5" t="inlineStr"/>
      <c r="T457" s="5" t="n"/>
      <c r="U457" s="5" t="inlineStr">
        <is>
          <t>yes</t>
        </is>
      </c>
      <c r="V457" s="5" t="inlineStr">
        <is>
          <t>yes</t>
        </is>
      </c>
      <c r="W457" s="5" t="inlineStr">
        <is>
          <t>yes</t>
        </is>
      </c>
      <c r="X457" s="5" t="inlineStr">
        <is>
          <t>no</t>
        </is>
      </c>
      <c r="Y457" s="5" t="inlineStr">
        <is>
          <t>no</t>
        </is>
      </c>
      <c r="Z457" s="5" t="inlineStr">
        <is>
          <t>no</t>
        </is>
      </c>
      <c r="AA457" s="5" t="n">
        <v>0.02</v>
      </c>
      <c r="AB457" s="5" t="n"/>
      <c r="AC457" s="5" t="n"/>
      <c r="AD457" s="5" t="n"/>
      <c r="AE457" s="5" t="n">
        <v>3266.9</v>
      </c>
      <c r="AF457" s="5" t="n">
        <v>3634.2</v>
      </c>
      <c r="AG457" s="5" t="n">
        <v>3299.9</v>
      </c>
      <c r="AH457" s="5" t="n">
        <v>3773.5</v>
      </c>
      <c r="AI457" s="5" t="inlineStr">
        <is>
          <t>new</t>
        </is>
      </c>
      <c r="AJ457" s="5" t="inlineStr"/>
      <c r="AK457" s="5" t="inlineStr">
        <is>
          <t>piece of a wall network the colour pipeline left unsplit</t>
        </is>
      </c>
      <c r="AL457" s="5" t="inlineStr"/>
      <c r="AM457" s="5" t="inlineStr"/>
    </row>
    <row r="458">
      <c r="A458" s="5" t="n">
        <v>457</v>
      </c>
      <c r="B458" s="5" t="inlineStr">
        <is>
          <t>125</t>
        </is>
      </c>
      <c r="C458" s="5" t="inlineStr">
        <is>
          <t>nearest labels (100% agree)</t>
        </is>
      </c>
      <c r="D458" s="5" t="inlineStr">
        <is>
          <t>wall</t>
        </is>
      </c>
      <c r="E458" s="5" t="inlineStr">
        <is>
          <t>core_wall_solid</t>
        </is>
      </c>
      <c r="F458" s="5" t="inlineStr">
        <is>
          <t>(none)</t>
        </is>
      </c>
      <c r="G458" s="5" t="inlineStr"/>
      <c r="H458" s="5" t="inlineStr">
        <is>
          <t>none</t>
        </is>
      </c>
      <c r="I458" s="5" t="n">
        <v>241</v>
      </c>
      <c r="J458" s="5" t="n">
        <v>25</v>
      </c>
      <c r="K458" s="9">
        <f>IF(AND(ISNUMBER(I458),ISNUMBER(J458),J458&gt;0),I458/J458,"")</f>
        <v/>
      </c>
      <c r="L458" s="5" t="n">
        <v>0.612</v>
      </c>
      <c r="M458" s="5" t="n"/>
      <c r="N458" s="5" t="n">
        <v>169.5</v>
      </c>
      <c r="O458" s="5" t="inlineStr">
        <is>
          <t>solid fill</t>
        </is>
      </c>
      <c r="P458" s="5" t="inlineStr">
        <is>
          <t>straight stretch of a thin filled outline with bends (pair of parallel faces)</t>
        </is>
      </c>
      <c r="Q458" s="5">
        <f>IF(OR(D458="column",D458="wall"),IF(I458&lt;='P vs V'!$B$3*J458,"column","wall"),"")</f>
        <v/>
      </c>
      <c r="R458" s="5" t="inlineStr"/>
      <c r="S458" s="5" t="inlineStr"/>
      <c r="T458" s="5" t="n"/>
      <c r="U458" s="5" t="inlineStr">
        <is>
          <t>yes</t>
        </is>
      </c>
      <c r="V458" s="5" t="inlineStr">
        <is>
          <t>no</t>
        </is>
      </c>
      <c r="W458" s="5" t="inlineStr">
        <is>
          <t>yes</t>
        </is>
      </c>
      <c r="X458" s="5" t="inlineStr">
        <is>
          <t>no</t>
        </is>
      </c>
      <c r="Y458" s="5" t="inlineStr">
        <is>
          <t>no</t>
        </is>
      </c>
      <c r="Z458" s="5" t="inlineStr">
        <is>
          <t>no</t>
        </is>
      </c>
      <c r="AA458" s="5" t="n">
        <v>1</v>
      </c>
      <c r="AB458" s="5" t="n"/>
      <c r="AC458" s="5" t="n"/>
      <c r="AD458" s="5" t="n"/>
      <c r="AE458" s="5" t="n">
        <v>3222.7</v>
      </c>
      <c r="AF458" s="5" t="n">
        <v>3773.5</v>
      </c>
      <c r="AG458" s="5" t="n">
        <v>3294.1</v>
      </c>
      <c r="AH458" s="5" t="n">
        <v>3793.8</v>
      </c>
      <c r="AI458" s="5" t="inlineStr">
        <is>
          <t>new</t>
        </is>
      </c>
      <c r="AJ458" s="5" t="inlineStr"/>
      <c r="AK458" s="5" t="inlineStr">
        <is>
          <t>piece of a wall network the colour pipeline left unsplit</t>
        </is>
      </c>
      <c r="AL458" s="5" t="inlineStr"/>
      <c r="AM458" s="5" t="inlineStr"/>
    </row>
    <row r="459">
      <c r="A459" s="5" t="n">
        <v>458</v>
      </c>
      <c r="B459" s="5" t="inlineStr">
        <is>
          <t>125</t>
        </is>
      </c>
      <c r="C459" s="5" t="inlineStr">
        <is>
          <t>nearest labels (100% agree)</t>
        </is>
      </c>
      <c r="D459" s="5" t="inlineStr">
        <is>
          <t>wall</t>
        </is>
      </c>
      <c r="E459" s="5" t="inlineStr">
        <is>
          <t>retaining_wall</t>
        </is>
      </c>
      <c r="F459" s="5" t="inlineStr">
        <is>
          <t>VP20</t>
        </is>
      </c>
      <c r="G459" s="5" t="inlineStr"/>
      <c r="H459" s="5" t="inlineStr">
        <is>
          <t>thickness matches a VP type</t>
        </is>
      </c>
      <c r="I459" s="5" t="n">
        <v>1114</v>
      </c>
      <c r="J459" s="5" t="n">
        <v>20</v>
      </c>
      <c r="K459" s="9">
        <f>IF(AND(ISNUMBER(I459),ISNUMBER(J459),J459&gt;0),I459/J459,"")</f>
        <v/>
      </c>
      <c r="L459" s="5" t="n">
        <v>2.236</v>
      </c>
      <c r="M459" s="5" t="n"/>
      <c r="N459" s="5" t="n">
        <v>169.4</v>
      </c>
      <c r="O459" s="5" t="inlineStr">
        <is>
          <t>solid fill</t>
        </is>
      </c>
      <c r="P459" s="5" t="inlineStr">
        <is>
          <t>straight stretch of a thin filled outline with bends (pair of parallel faces)</t>
        </is>
      </c>
      <c r="Q459" s="5">
        <f>IF(OR(D459="column",D459="wall"),IF(I459&lt;='P vs V'!$B$3*J459,"column","wall"),"")</f>
        <v/>
      </c>
      <c r="R459" s="5" t="inlineStr"/>
      <c r="S459" s="5" t="inlineStr"/>
      <c r="T459" s="5" t="n"/>
      <c r="U459" s="5" t="inlineStr">
        <is>
          <t>no</t>
        </is>
      </c>
      <c r="V459" s="5" t="inlineStr">
        <is>
          <t>yes</t>
        </is>
      </c>
      <c r="W459" s="5" t="inlineStr">
        <is>
          <t>yes</t>
        </is>
      </c>
      <c r="X459" s="5" t="inlineStr">
        <is>
          <t>no</t>
        </is>
      </c>
      <c r="Y459" s="5" t="inlineStr">
        <is>
          <t>yes</t>
        </is>
      </c>
      <c r="Z459" s="5" t="inlineStr">
        <is>
          <t>no</t>
        </is>
      </c>
      <c r="AA459" s="5" t="n">
        <v>0.73</v>
      </c>
      <c r="AB459" s="5" t="n"/>
      <c r="AC459" s="5" t="n"/>
      <c r="AD459" s="5" t="n"/>
      <c r="AE459" s="5" t="n">
        <v>3289.9</v>
      </c>
      <c r="AF459" s="5" t="n">
        <v>3463.2</v>
      </c>
      <c r="AG459" s="5" t="n">
        <v>3614.3</v>
      </c>
      <c r="AH459" s="5" t="n">
        <v>3529.4</v>
      </c>
      <c r="AI459" s="5" t="inlineStr">
        <is>
          <t>new</t>
        </is>
      </c>
      <c r="AJ459" s="5" t="inlineStr"/>
      <c r="AK459" s="5" t="inlineStr">
        <is>
          <t>piece of a wall network the colour pipeline left unsplit</t>
        </is>
      </c>
      <c r="AL459" s="5" t="inlineStr"/>
      <c r="AM459" s="5" t="inlineStr"/>
    </row>
    <row r="460">
      <c r="A460" s="5" t="n">
        <v>459</v>
      </c>
      <c r="B460" s="5" t="inlineStr">
        <is>
          <t>125</t>
        </is>
      </c>
      <c r="C460" s="5" t="inlineStr">
        <is>
          <t>nearest labels (100% agree)</t>
        </is>
      </c>
      <c r="D460" s="5" t="inlineStr">
        <is>
          <t>wall</t>
        </is>
      </c>
      <c r="E460" s="5" t="inlineStr">
        <is>
          <t>retaining_wall</t>
        </is>
      </c>
      <c r="F460" s="5" t="inlineStr">
        <is>
          <t>VP20</t>
        </is>
      </c>
      <c r="G460" s="5" t="inlineStr"/>
      <c r="H460" s="5" t="inlineStr">
        <is>
          <t>thickness matches a VP type</t>
        </is>
      </c>
      <c r="I460" s="5" t="n">
        <v>338</v>
      </c>
      <c r="J460" s="5" t="n">
        <v>20</v>
      </c>
      <c r="K460" s="9">
        <f>IF(AND(ISNUMBER(I460),ISNUMBER(J460),J460&gt;0),I460/J460,"")</f>
        <v/>
      </c>
      <c r="L460" s="5" t="n">
        <v>0.6820000000000001</v>
      </c>
      <c r="M460" s="5" t="n"/>
      <c r="N460" s="5" t="n">
        <v>79.40000000000001</v>
      </c>
      <c r="O460" s="5" t="inlineStr">
        <is>
          <t>solid fill</t>
        </is>
      </c>
      <c r="P460" s="5" t="inlineStr">
        <is>
          <t>straight stretch of a thin filled outline with bends (pair of parallel faces)</t>
        </is>
      </c>
      <c r="Q460" s="5">
        <f>IF(OR(D460="column",D460="wall"),IF(I460&lt;='P vs V'!$B$3*J460,"column","wall"),"")</f>
        <v/>
      </c>
      <c r="R460" s="5" t="inlineStr"/>
      <c r="S460" s="5" t="inlineStr"/>
      <c r="T460" s="5" t="n"/>
      <c r="U460" s="5" t="inlineStr">
        <is>
          <t>yes</t>
        </is>
      </c>
      <c r="V460" s="5" t="inlineStr">
        <is>
          <t>yes</t>
        </is>
      </c>
      <c r="W460" s="5" t="inlineStr">
        <is>
          <t>yes</t>
        </is>
      </c>
      <c r="X460" s="5" t="inlineStr">
        <is>
          <t>yes</t>
        </is>
      </c>
      <c r="Y460" s="5" t="inlineStr">
        <is>
          <t>no</t>
        </is>
      </c>
      <c r="Z460" s="5" t="inlineStr">
        <is>
          <t>no</t>
        </is>
      </c>
      <c r="AA460" s="5" t="n">
        <v>1.26</v>
      </c>
      <c r="AB460" s="5" t="n"/>
      <c r="AC460" s="5" t="n"/>
      <c r="AD460" s="5" t="n"/>
      <c r="AE460" s="5" t="n">
        <v>3285.1</v>
      </c>
      <c r="AF460" s="5" t="n">
        <v>3529.4</v>
      </c>
      <c r="AG460" s="5" t="n">
        <v>3309.3</v>
      </c>
      <c r="AH460" s="5" t="n">
        <v>3628.7</v>
      </c>
      <c r="AI460" s="5" t="inlineStr">
        <is>
          <t>new</t>
        </is>
      </c>
      <c r="AJ460" s="5" t="inlineStr"/>
      <c r="AK460" s="5" t="inlineStr">
        <is>
          <t>piece of a wall network the colour pipeline left unsplit</t>
        </is>
      </c>
      <c r="AL460" s="5" t="inlineStr"/>
      <c r="AM460" s="5" t="inlineStr"/>
    </row>
    <row r="461">
      <c r="A461" s="5" t="n">
        <v>460</v>
      </c>
      <c r="B461" s="5" t="inlineStr">
        <is>
          <t>125</t>
        </is>
      </c>
      <c r="C461" s="5" t="inlineStr">
        <is>
          <t>nearest labels (100% agree)</t>
        </is>
      </c>
      <c r="D461" s="5" t="inlineStr">
        <is>
          <t>wall</t>
        </is>
      </c>
      <c r="E461" s="5" t="inlineStr">
        <is>
          <t>retaining_wall</t>
        </is>
      </c>
      <c r="F461" s="5" t="inlineStr">
        <is>
          <t>VP20</t>
        </is>
      </c>
      <c r="G461" s="5" t="inlineStr"/>
      <c r="H461" s="5" t="inlineStr">
        <is>
          <t>thickness matches a VP type</t>
        </is>
      </c>
      <c r="I461" s="5" t="n">
        <v>34</v>
      </c>
      <c r="J461" s="5" t="n">
        <v>20</v>
      </c>
      <c r="K461" s="9">
        <f>IF(AND(ISNUMBER(I461),ISNUMBER(J461),J461&gt;0),I461/J461,"")</f>
        <v/>
      </c>
      <c r="L461" s="5" t="n">
        <v>0.06900000000000001</v>
      </c>
      <c r="M461" s="5" t="n"/>
      <c r="N461" s="5" t="n">
        <v>79</v>
      </c>
      <c r="O461" s="5" t="inlineStr">
        <is>
          <t>solid fill</t>
        </is>
      </c>
      <c r="P461" s="5" t="inlineStr">
        <is>
          <t>straight stretch of a thin filled outline with bends (pair of parallel faces)</t>
        </is>
      </c>
      <c r="Q461" s="5">
        <f>IF(OR(D461="column",D461="wall"),IF(I461&lt;='P vs V'!$B$3*J461,"column","wall"),"")</f>
        <v/>
      </c>
      <c r="R461" s="5" t="inlineStr"/>
      <c r="S461" s="5" t="inlineStr"/>
      <c r="T461" s="5" t="n"/>
      <c r="U461" s="5" t="inlineStr">
        <is>
          <t>yes</t>
        </is>
      </c>
      <c r="V461" s="5" t="inlineStr">
        <is>
          <t>no</t>
        </is>
      </c>
      <c r="W461" s="5" t="inlineStr">
        <is>
          <t>no</t>
        </is>
      </c>
      <c r="X461" s="5" t="inlineStr">
        <is>
          <t>yes</t>
        </is>
      </c>
      <c r="Y461" s="5" t="inlineStr">
        <is>
          <t>no</t>
        </is>
      </c>
      <c r="Z461" s="5" t="inlineStr">
        <is>
          <t>no</t>
        </is>
      </c>
      <c r="AA461" s="5" t="n">
        <v>0.64</v>
      </c>
      <c r="AB461" s="5" t="n"/>
      <c r="AC461" s="5" t="n"/>
      <c r="AD461" s="5" t="n"/>
      <c r="AE461" s="5" t="n">
        <v>3175.6</v>
      </c>
      <c r="AF461" s="5" t="n">
        <v>3619.9</v>
      </c>
      <c r="AG461" s="5" t="n">
        <v>3183.3</v>
      </c>
      <c r="AH461" s="5" t="n">
        <v>3631</v>
      </c>
      <c r="AI461" s="5" t="inlineStr">
        <is>
          <t>new</t>
        </is>
      </c>
      <c r="AJ461" s="5" t="inlineStr"/>
      <c r="AK461" s="5" t="inlineStr">
        <is>
          <t>piece of a wall network the colour pipeline left unsplit</t>
        </is>
      </c>
      <c r="AL461" s="5" t="inlineStr"/>
      <c r="AM461" s="5" t="inlineStr"/>
    </row>
    <row r="462">
      <c r="A462" s="5" t="n">
        <v>461</v>
      </c>
      <c r="B462" s="5" t="inlineStr">
        <is>
          <t>125</t>
        </is>
      </c>
      <c r="C462" s="5" t="inlineStr">
        <is>
          <t>nearest labels (60% agree)</t>
        </is>
      </c>
      <c r="D462" s="5" t="inlineStr">
        <is>
          <t>wall</t>
        </is>
      </c>
      <c r="E462" s="5" t="inlineStr">
        <is>
          <t>retaining_wall</t>
        </is>
      </c>
      <c r="F462" s="5" t="inlineStr">
        <is>
          <t>VP20</t>
        </is>
      </c>
      <c r="G462" s="5" t="inlineStr"/>
      <c r="H462" s="5" t="inlineStr">
        <is>
          <t>thickness matches a VP type</t>
        </is>
      </c>
      <c r="I462" s="5" t="n">
        <v>541</v>
      </c>
      <c r="J462" s="5" t="n">
        <v>20</v>
      </c>
      <c r="K462" s="9">
        <f>IF(AND(ISNUMBER(I462),ISNUMBER(J462),J462&gt;0),I462/J462,"")</f>
        <v/>
      </c>
      <c r="L462" s="5" t="n">
        <v>1.083</v>
      </c>
      <c r="M462" s="5" t="n"/>
      <c r="N462" s="5" t="n">
        <v>26.6</v>
      </c>
      <c r="O462" s="5" t="inlineStr">
        <is>
          <t>solid fill</t>
        </is>
      </c>
      <c r="P462" s="5" t="inlineStr">
        <is>
          <t>straight stretch of a thin filled outline with bends (pair of parallel faces)</t>
        </is>
      </c>
      <c r="Q462" s="5">
        <f>IF(OR(D462="column",D462="wall"),IF(I462&lt;='P vs V'!$B$3*J462,"column","wall"),"")</f>
        <v/>
      </c>
      <c r="R462" s="5" t="inlineStr"/>
      <c r="S462" s="5" t="inlineStr"/>
      <c r="T462" s="5" t="n"/>
      <c r="U462" s="5" t="inlineStr">
        <is>
          <t>no</t>
        </is>
      </c>
      <c r="V462" s="5" t="inlineStr">
        <is>
          <t>no</t>
        </is>
      </c>
      <c r="W462" s="5" t="inlineStr">
        <is>
          <t>yes</t>
        </is>
      </c>
      <c r="X462" s="5" t="inlineStr">
        <is>
          <t>no</t>
        </is>
      </c>
      <c r="Y462" s="5" t="inlineStr">
        <is>
          <t>no</t>
        </is>
      </c>
      <c r="Z462" s="5" t="inlineStr">
        <is>
          <t>no</t>
        </is>
      </c>
      <c r="AA462" s="5" t="n">
        <v>3.09</v>
      </c>
      <c r="AB462" s="5" t="n"/>
      <c r="AC462" s="5" t="n"/>
      <c r="AD462" s="5" t="n"/>
      <c r="AE462" s="5" t="n">
        <v>2849.8</v>
      </c>
      <c r="AF462" s="5" t="n">
        <v>3513.1</v>
      </c>
      <c r="AG462" s="5" t="n">
        <v>2995.2</v>
      </c>
      <c r="AH462" s="5" t="n">
        <v>3590</v>
      </c>
      <c r="AI462" s="5" t="inlineStr">
        <is>
          <t>new</t>
        </is>
      </c>
      <c r="AJ462" s="5" t="inlineStr"/>
      <c r="AK462" s="5" t="inlineStr">
        <is>
          <t>piece of a wall network the colour pipeline left unsplit</t>
        </is>
      </c>
      <c r="AL462" s="5" t="inlineStr"/>
      <c r="AM462" s="5" t="inlineStr"/>
    </row>
    <row r="463">
      <c r="A463" s="5" t="n">
        <v>462</v>
      </c>
      <c r="B463" s="5" t="inlineStr">
        <is>
          <t>125</t>
        </is>
      </c>
      <c r="C463" s="5" t="inlineStr">
        <is>
          <t>nearest labels (80% agree)</t>
        </is>
      </c>
      <c r="D463" s="5" t="inlineStr">
        <is>
          <t>wall</t>
        </is>
      </c>
      <c r="E463" s="5" t="inlineStr">
        <is>
          <t>retaining_wall</t>
        </is>
      </c>
      <c r="F463" s="5" t="inlineStr">
        <is>
          <t>VP20</t>
        </is>
      </c>
      <c r="G463" s="5" t="inlineStr"/>
      <c r="H463" s="5" t="inlineStr">
        <is>
          <t>thickness matches a VP type</t>
        </is>
      </c>
      <c r="I463" s="5" t="n">
        <v>431</v>
      </c>
      <c r="J463" s="5" t="n">
        <v>20</v>
      </c>
      <c r="K463" s="9">
        <f>IF(AND(ISNUMBER(I463),ISNUMBER(J463),J463&gt;0),I463/J463,"")</f>
        <v/>
      </c>
      <c r="L463" s="5" t="n">
        <v>0.868</v>
      </c>
      <c r="M463" s="5" t="n"/>
      <c r="N463" s="5" t="n">
        <v>169.4</v>
      </c>
      <c r="O463" s="5" t="inlineStr">
        <is>
          <t>solid fill</t>
        </is>
      </c>
      <c r="P463" s="5" t="inlineStr">
        <is>
          <t>straight stretch of a thin filled outline with bends (pair of parallel faces)</t>
        </is>
      </c>
      <c r="Q463" s="5">
        <f>IF(OR(D463="column",D463="wall"),IF(I463&lt;='P vs V'!$B$3*J463,"column","wall"),"")</f>
        <v/>
      </c>
      <c r="R463" s="5" t="inlineStr"/>
      <c r="S463" s="5" t="inlineStr"/>
      <c r="T463" s="5" t="n"/>
      <c r="U463" s="5" t="inlineStr">
        <is>
          <t>no</t>
        </is>
      </c>
      <c r="V463" s="5" t="inlineStr">
        <is>
          <t>no</t>
        </is>
      </c>
      <c r="W463" s="5" t="inlineStr">
        <is>
          <t>yes</t>
        </is>
      </c>
      <c r="X463" s="5" t="inlineStr">
        <is>
          <t>no</t>
        </is>
      </c>
      <c r="Y463" s="5" t="inlineStr">
        <is>
          <t>no</t>
        </is>
      </c>
      <c r="Z463" s="5" t="inlineStr">
        <is>
          <t>no</t>
        </is>
      </c>
      <c r="AA463" s="5" t="n">
        <v>4.36</v>
      </c>
      <c r="AB463" s="5" t="n"/>
      <c r="AC463" s="5" t="n"/>
      <c r="AD463" s="5" t="n"/>
      <c r="AE463" s="5" t="n">
        <v>2995.2</v>
      </c>
      <c r="AF463" s="5" t="n">
        <v>3561.3</v>
      </c>
      <c r="AG463" s="5" t="n">
        <v>3121.3</v>
      </c>
      <c r="AH463" s="5" t="n">
        <v>3590.5</v>
      </c>
      <c r="AI463" s="5" t="inlineStr">
        <is>
          <t>new</t>
        </is>
      </c>
      <c r="AJ463" s="5" t="inlineStr"/>
      <c r="AK463" s="5" t="inlineStr">
        <is>
          <t>piece of a wall network the colour pipeline left unsplit</t>
        </is>
      </c>
      <c r="AL463" s="5" t="inlineStr"/>
      <c r="AM463" s="5" t="inlineStr"/>
    </row>
    <row r="464">
      <c r="A464" s="5" t="n">
        <v>463</v>
      </c>
      <c r="B464" s="5" t="inlineStr">
        <is>
          <t>125</t>
        </is>
      </c>
      <c r="C464" s="5" t="inlineStr">
        <is>
          <t>nearest labels (80% agree)</t>
        </is>
      </c>
      <c r="D464" s="5" t="inlineStr">
        <is>
          <t>wall</t>
        </is>
      </c>
      <c r="E464" s="5" t="inlineStr">
        <is>
          <t>retaining_wall</t>
        </is>
      </c>
      <c r="F464" s="5" t="inlineStr">
        <is>
          <t>VP20</t>
        </is>
      </c>
      <c r="G464" s="5" t="inlineStr"/>
      <c r="H464" s="5" t="inlineStr">
        <is>
          <t>thickness matches a VP type</t>
        </is>
      </c>
      <c r="I464" s="5" t="n">
        <v>1477</v>
      </c>
      <c r="J464" s="5" t="n">
        <v>20</v>
      </c>
      <c r="K464" s="9">
        <f>IF(AND(ISNUMBER(I464),ISNUMBER(J464),J464&gt;0),I464/J464,"")</f>
        <v/>
      </c>
      <c r="L464" s="5" t="n">
        <v>3.028</v>
      </c>
      <c r="M464" s="5" t="n"/>
      <c r="N464" s="5" t="n">
        <v>169.4</v>
      </c>
      <c r="O464" s="5" t="inlineStr">
        <is>
          <t>solid fill</t>
        </is>
      </c>
      <c r="P464" s="5" t="inlineStr">
        <is>
          <t>straight stretch of a thin filled outline with bends (pair of parallel faces)</t>
        </is>
      </c>
      <c r="Q464" s="5">
        <f>IF(OR(D464="column",D464="wall"),IF(I464&lt;='P vs V'!$B$3*J464,"column","wall"),"")</f>
        <v/>
      </c>
      <c r="R464" s="5" t="inlineStr"/>
      <c r="S464" s="5" t="inlineStr"/>
      <c r="T464" s="5" t="n"/>
      <c r="U464" s="5" t="inlineStr">
        <is>
          <t>no</t>
        </is>
      </c>
      <c r="V464" s="5" t="inlineStr">
        <is>
          <t>no</t>
        </is>
      </c>
      <c r="W464" s="5" t="inlineStr">
        <is>
          <t>yes</t>
        </is>
      </c>
      <c r="X464" s="5" t="inlineStr">
        <is>
          <t>yes</t>
        </is>
      </c>
      <c r="Y464" s="5" t="inlineStr">
        <is>
          <t>yes</t>
        </is>
      </c>
      <c r="Z464" s="5" t="inlineStr">
        <is>
          <t>yes</t>
        </is>
      </c>
      <c r="AA464" s="5" t="n">
        <v>0.55</v>
      </c>
      <c r="AB464" s="5" t="n"/>
      <c r="AC464" s="5" t="n"/>
      <c r="AD464" s="5" t="n"/>
      <c r="AE464" s="5" t="n">
        <v>3072.4</v>
      </c>
      <c r="AF464" s="5" t="n">
        <v>2858.3</v>
      </c>
      <c r="AG464" s="5" t="n">
        <v>3502.2</v>
      </c>
      <c r="AH464" s="5" t="n">
        <v>2944.8</v>
      </c>
      <c r="AI464" s="5" t="inlineStr">
        <is>
          <t>new</t>
        </is>
      </c>
      <c r="AJ464" s="5" t="inlineStr"/>
      <c r="AK464" s="5" t="inlineStr">
        <is>
          <t>piece of a wall network the colour pipeline left unsplit</t>
        </is>
      </c>
      <c r="AL464" s="5" t="inlineStr"/>
      <c r="AM464" s="5" t="inlineStr"/>
    </row>
    <row r="465">
      <c r="A465" s="5" t="n">
        <v>464</v>
      </c>
      <c r="B465" s="5" t="inlineStr">
        <is>
          <t>125</t>
        </is>
      </c>
      <c r="C465" s="5" t="inlineStr">
        <is>
          <t>own label</t>
        </is>
      </c>
      <c r="D465" s="5" t="inlineStr">
        <is>
          <t>wall</t>
        </is>
      </c>
      <c r="E465" s="5" t="inlineStr">
        <is>
          <t>shear_wall</t>
        </is>
      </c>
      <c r="F465" s="5" t="inlineStr">
        <is>
          <t>V1/125</t>
        </is>
      </c>
      <c r="G465" s="5" t="inlineStr">
        <is>
          <t>V1/125/125</t>
        </is>
      </c>
      <c r="H465" s="5" t="inlineStr">
        <is>
          <t>printed</t>
        </is>
      </c>
      <c r="I465" s="5" t="n">
        <v>125</v>
      </c>
      <c r="J465" s="5" t="n">
        <v>30</v>
      </c>
      <c r="K465" s="9">
        <f>IF(AND(ISNUMBER(I465),ISNUMBER(J465),J465&gt;0),I465/J465,"")</f>
        <v/>
      </c>
      <c r="L465" s="5" t="n">
        <v>0.375</v>
      </c>
      <c r="M465" s="5" t="n"/>
      <c r="N465" s="5" t="n">
        <v>79.3</v>
      </c>
      <c r="O465" s="5" t="inlineStr">
        <is>
          <t>solid fill</t>
        </is>
      </c>
      <c r="P465" s="5" t="inlineStr">
        <is>
          <t>solid fill, rectangle, L &gt; 4 W (EN 1992-1-1 5.3.1(7))</t>
        </is>
      </c>
      <c r="Q465" s="5">
        <f>IF(OR(D465="column",D465="wall"),IF(I465&lt;='P vs V'!$B$3*J465,"column","wall"),"")</f>
        <v/>
      </c>
      <c r="R465" s="5" t="inlineStr">
        <is>
          <t>SC1</t>
        </is>
      </c>
      <c r="S465" s="5" t="inlineStr"/>
      <c r="T465" s="5" t="n"/>
      <c r="U465" s="5" t="inlineStr">
        <is>
          <t>no</t>
        </is>
      </c>
      <c r="V465" s="5" t="inlineStr">
        <is>
          <t>no</t>
        </is>
      </c>
      <c r="W465" s="5" t="inlineStr">
        <is>
          <t>yes</t>
        </is>
      </c>
      <c r="X465" s="5" t="inlineStr">
        <is>
          <t>no</t>
        </is>
      </c>
      <c r="Y465" s="5" t="inlineStr">
        <is>
          <t>yes</t>
        </is>
      </c>
      <c r="Z465" s="5" t="inlineStr">
        <is>
          <t>yes</t>
        </is>
      </c>
      <c r="AA465" s="5" t="n">
        <v>4.76</v>
      </c>
      <c r="AB465" s="5" t="n"/>
      <c r="AC465" s="5" t="n"/>
      <c r="AD465" s="5" t="n"/>
      <c r="AE465" s="5" t="n">
        <v>3605.8</v>
      </c>
      <c r="AF465" s="5" t="n">
        <v>3460.4</v>
      </c>
      <c r="AG465" s="5" t="n">
        <v>3621.4</v>
      </c>
      <c r="AH465" s="5" t="n">
        <v>3498.3</v>
      </c>
      <c r="AI465" s="5" t="inlineStr">
        <is>
          <t>new</t>
        </is>
      </c>
      <c r="AJ465" s="5" t="inlineStr"/>
      <c r="AK465" s="5" t="inlineStr">
        <is>
          <t>piece of a wall network the colour pipeline left unsplit</t>
        </is>
      </c>
      <c r="AL465" s="5" t="inlineStr">
        <is>
          <t>(0.87, 0.0, 0.87)</t>
        </is>
      </c>
      <c r="AM465" s="5" t="inlineStr">
        <is>
          <t>DM-VOILE</t>
        </is>
      </c>
    </row>
    <row r="466">
      <c r="A466" s="5" t="n">
        <v>465</v>
      </c>
      <c r="B466" s="5" t="inlineStr">
        <is>
          <t>125</t>
        </is>
      </c>
      <c r="C466" s="5" t="inlineStr">
        <is>
          <t>own label</t>
        </is>
      </c>
      <c r="D466" s="5" t="inlineStr">
        <is>
          <t>wall</t>
        </is>
      </c>
      <c r="E466" s="5" t="inlineStr">
        <is>
          <t>shear_wall</t>
        </is>
      </c>
      <c r="F466" s="5" t="inlineStr">
        <is>
          <t>V1/125</t>
        </is>
      </c>
      <c r="G466" s="5" t="inlineStr">
        <is>
          <t>V1/125/125</t>
        </is>
      </c>
      <c r="H466" s="5" t="inlineStr">
        <is>
          <t>printed</t>
        </is>
      </c>
      <c r="I466" s="5" t="n">
        <v>125</v>
      </c>
      <c r="J466" s="5" t="n">
        <v>30</v>
      </c>
      <c r="K466" s="9">
        <f>IF(AND(ISNUMBER(I466),ISNUMBER(J466),J466&gt;0),I466/J466,"")</f>
        <v/>
      </c>
      <c r="L466" s="5" t="n">
        <v>0.375</v>
      </c>
      <c r="M466" s="5" t="n"/>
      <c r="N466" s="5" t="n">
        <v>79.3</v>
      </c>
      <c r="O466" s="5" t="inlineStr">
        <is>
          <t>solid fill</t>
        </is>
      </c>
      <c r="P466" s="5" t="inlineStr">
        <is>
          <t>solid fill, rectangle, L &gt; 4 W (EN 1992-1-1 5.3.1(7))</t>
        </is>
      </c>
      <c r="Q466" s="5">
        <f>IF(OR(D466="column",D466="wall"),IF(I466&lt;='P vs V'!$B$3*J466,"column","wall"),"")</f>
        <v/>
      </c>
      <c r="R466" s="5" t="inlineStr">
        <is>
          <t>SC5</t>
        </is>
      </c>
      <c r="S466" s="5" t="inlineStr"/>
      <c r="T466" s="5" t="n"/>
      <c r="U466" s="5" t="inlineStr">
        <is>
          <t>no</t>
        </is>
      </c>
      <c r="V466" s="5" t="inlineStr">
        <is>
          <t>no</t>
        </is>
      </c>
      <c r="W466" s="5" t="inlineStr">
        <is>
          <t>no</t>
        </is>
      </c>
      <c r="X466" s="5" t="inlineStr">
        <is>
          <t>no</t>
        </is>
      </c>
      <c r="Y466" s="5" t="inlineStr">
        <is>
          <t>no</t>
        </is>
      </c>
      <c r="Z466" s="5" t="inlineStr">
        <is>
          <t>no</t>
        </is>
      </c>
      <c r="AA466" s="5" t="n">
        <v>4.75</v>
      </c>
      <c r="AB466" s="5" t="n"/>
      <c r="AC466" s="5" t="n"/>
      <c r="AD466" s="5" t="n"/>
      <c r="AE466" s="5" t="n">
        <v>3646.2</v>
      </c>
      <c r="AF466" s="5" t="n">
        <v>3675</v>
      </c>
      <c r="AG466" s="5" t="n">
        <v>3661.8</v>
      </c>
      <c r="AH466" s="5" t="n">
        <v>3712.9</v>
      </c>
      <c r="AI466" s="5" t="inlineStr">
        <is>
          <t>yes</t>
        </is>
      </c>
      <c r="AJ466" s="5" t="inlineStr">
        <is>
          <t>shear_wall</t>
        </is>
      </c>
      <c r="AK466" s="5" t="inlineStr"/>
      <c r="AL466" s="5" t="inlineStr">
        <is>
          <t>(0.87, 0.0, 0.87)</t>
        </is>
      </c>
      <c r="AM466" s="5" t="inlineStr">
        <is>
          <t>DM-VOILE</t>
        </is>
      </c>
    </row>
    <row r="467">
      <c r="A467" s="5" t="n">
        <v>466</v>
      </c>
      <c r="B467" s="5" t="inlineStr">
        <is>
          <t>125</t>
        </is>
      </c>
      <c r="C467" s="5" t="inlineStr">
        <is>
          <t>own label</t>
        </is>
      </c>
      <c r="D467" s="5" t="inlineStr">
        <is>
          <t>wall</t>
        </is>
      </c>
      <c r="E467" s="5" t="inlineStr">
        <is>
          <t>shear_wall</t>
        </is>
      </c>
      <c r="F467" s="5" t="inlineStr">
        <is>
          <t>V1/125</t>
        </is>
      </c>
      <c r="G467" s="5" t="inlineStr">
        <is>
          <t>V1/125/125</t>
        </is>
      </c>
      <c r="H467" s="5" t="inlineStr">
        <is>
          <t>printed</t>
        </is>
      </c>
      <c r="I467" s="5" t="n">
        <v>125</v>
      </c>
      <c r="J467" s="5" t="n">
        <v>30</v>
      </c>
      <c r="K467" s="9">
        <f>IF(AND(ISNUMBER(I467),ISNUMBER(J467),J467&gt;0),I467/J467,"")</f>
        <v/>
      </c>
      <c r="L467" s="5" t="n">
        <v>0.374</v>
      </c>
      <c r="M467" s="5" t="n"/>
      <c r="N467" s="5" t="n">
        <v>79.40000000000001</v>
      </c>
      <c r="O467" s="5" t="inlineStr">
        <is>
          <t>solid fill</t>
        </is>
      </c>
      <c r="P467" s="5" t="inlineStr">
        <is>
          <t>solid fill, rectangle, L &gt; 4 W (EN 1992-1-1 5.3.1(7))</t>
        </is>
      </c>
      <c r="Q467" s="5">
        <f>IF(OR(D467="column",D467="wall"),IF(I467&lt;='P vs V'!$B$3*J467,"column","wall"),"")</f>
        <v/>
      </c>
      <c r="R467" s="5" t="inlineStr">
        <is>
          <t>SC3</t>
        </is>
      </c>
      <c r="S467" s="5" t="inlineStr"/>
      <c r="T467" s="5" t="n"/>
      <c r="U467" s="5" t="inlineStr">
        <is>
          <t>no</t>
        </is>
      </c>
      <c r="V467" s="5" t="inlineStr">
        <is>
          <t>no</t>
        </is>
      </c>
      <c r="W467" s="5" t="inlineStr">
        <is>
          <t>no</t>
        </is>
      </c>
      <c r="X467" s="5" t="inlineStr">
        <is>
          <t>yes</t>
        </is>
      </c>
      <c r="Y467" s="5" t="inlineStr">
        <is>
          <t>yes</t>
        </is>
      </c>
      <c r="Z467" s="5" t="inlineStr">
        <is>
          <t>yes</t>
        </is>
      </c>
      <c r="AA467" s="5" t="n">
        <v>4.76</v>
      </c>
      <c r="AB467" s="5" t="n"/>
      <c r="AC467" s="5" t="n"/>
      <c r="AD467" s="5" t="n"/>
      <c r="AE467" s="5" t="n">
        <v>3560.2</v>
      </c>
      <c r="AF467" s="5" t="n">
        <v>3218</v>
      </c>
      <c r="AG467" s="5" t="n">
        <v>3575.7</v>
      </c>
      <c r="AH467" s="5" t="n">
        <v>3256</v>
      </c>
      <c r="AI467" s="5" t="inlineStr">
        <is>
          <t>yes</t>
        </is>
      </c>
      <c r="AJ467" s="5" t="inlineStr">
        <is>
          <t>shear_wall</t>
        </is>
      </c>
      <c r="AK467" s="5" t="inlineStr"/>
      <c r="AL467" s="5" t="inlineStr">
        <is>
          <t>(0.87, 0.0, 0.87)</t>
        </is>
      </c>
      <c r="AM467" s="5" t="inlineStr">
        <is>
          <t>DM-VOILE</t>
        </is>
      </c>
    </row>
    <row r="468">
      <c r="A468" s="5" t="n">
        <v>467</v>
      </c>
      <c r="B468" s="5" t="inlineStr">
        <is>
          <t>125</t>
        </is>
      </c>
      <c r="C468" s="5" t="inlineStr">
        <is>
          <t>own label</t>
        </is>
      </c>
      <c r="D468" s="5" t="inlineStr">
        <is>
          <t>wall</t>
        </is>
      </c>
      <c r="E468" s="5" t="inlineStr">
        <is>
          <t>shear_wall</t>
        </is>
      </c>
      <c r="F468" s="5" t="inlineStr">
        <is>
          <t>V3/125</t>
        </is>
      </c>
      <c r="G468" s="5" t="inlineStr">
        <is>
          <t>V3/125/125</t>
        </is>
      </c>
      <c r="H468" s="5" t="inlineStr">
        <is>
          <t>printed</t>
        </is>
      </c>
      <c r="I468" s="5" t="n">
        <v>200</v>
      </c>
      <c r="J468" s="5" t="n">
        <v>30</v>
      </c>
      <c r="K468" s="9">
        <f>IF(AND(ISNUMBER(I468),ISNUMBER(J468),J468&gt;0),I468/J468,"")</f>
        <v/>
      </c>
      <c r="L468" s="5" t="n">
        <v>0.6</v>
      </c>
      <c r="M468" s="5" t="n"/>
      <c r="N468" s="5" t="n">
        <v>79.5</v>
      </c>
      <c r="O468" s="5" t="inlineStr">
        <is>
          <t>solid fill</t>
        </is>
      </c>
      <c r="P468" s="5" t="inlineStr">
        <is>
          <t>solid fill, rectangle, L &gt; 4 W (EN 1992-1-1 5.3.1(7))</t>
        </is>
      </c>
      <c r="Q468" s="5">
        <f>IF(OR(D468="column",D468="wall"),IF(I468&lt;='P vs V'!$B$3*J468,"column","wall"),"")</f>
        <v/>
      </c>
      <c r="R468" s="5" t="inlineStr">
        <is>
          <t>S11</t>
        </is>
      </c>
      <c r="S468" s="5" t="inlineStr"/>
      <c r="T468" s="5" t="n"/>
      <c r="U468" s="5" t="inlineStr">
        <is>
          <t>no</t>
        </is>
      </c>
      <c r="V468" s="5" t="inlineStr">
        <is>
          <t>no</t>
        </is>
      </c>
      <c r="W468" s="5" t="inlineStr">
        <is>
          <t>no</t>
        </is>
      </c>
      <c r="X468" s="5" t="inlineStr">
        <is>
          <t>no</t>
        </is>
      </c>
      <c r="Y468" s="5" t="inlineStr">
        <is>
          <t>yes</t>
        </is>
      </c>
      <c r="Z468" s="5" t="inlineStr">
        <is>
          <t>yes</t>
        </is>
      </c>
      <c r="AA468" s="5" t="n">
        <v>1.48</v>
      </c>
      <c r="AB468" s="5" t="n"/>
      <c r="AC468" s="5" t="n"/>
      <c r="AD468" s="5" t="n"/>
      <c r="AE468" s="5" t="n">
        <v>3380.6</v>
      </c>
      <c r="AF468" s="5" t="n">
        <v>3259.4</v>
      </c>
      <c r="AG468" s="5" t="n">
        <v>3400.1</v>
      </c>
      <c r="AH468" s="5" t="n">
        <v>3319</v>
      </c>
      <c r="AI468" s="5" t="inlineStr">
        <is>
          <t>yes</t>
        </is>
      </c>
      <c r="AJ468" s="5" t="inlineStr">
        <is>
          <t>shear_wall</t>
        </is>
      </c>
      <c r="AK468" s="5" t="inlineStr"/>
      <c r="AL468" s="5" t="inlineStr">
        <is>
          <t>(0.87, 0.0, 0.87)</t>
        </is>
      </c>
      <c r="AM468" s="5" t="inlineStr">
        <is>
          <t>DM-VOILE</t>
        </is>
      </c>
    </row>
    <row r="469">
      <c r="A469" s="5" t="n">
        <v>468</v>
      </c>
      <c r="B469" s="5" t="inlineStr">
        <is>
          <t>125</t>
        </is>
      </c>
      <c r="C469" s="5" t="inlineStr">
        <is>
          <t>own label</t>
        </is>
      </c>
      <c r="D469" s="5" t="inlineStr">
        <is>
          <t>wall</t>
        </is>
      </c>
      <c r="E469" s="5" t="inlineStr">
        <is>
          <t>shear_wall</t>
        </is>
      </c>
      <c r="F469" s="5" t="inlineStr">
        <is>
          <t>V4/125</t>
        </is>
      </c>
      <c r="G469" s="5" t="inlineStr">
        <is>
          <t>V4/125/125</t>
        </is>
      </c>
      <c r="H469" s="5" t="inlineStr">
        <is>
          <t>printed</t>
        </is>
      </c>
      <c r="I469" s="5" t="n">
        <v>200</v>
      </c>
      <c r="J469" s="5" t="n">
        <v>30</v>
      </c>
      <c r="K469" s="9">
        <f>IF(AND(ISNUMBER(I469),ISNUMBER(J469),J469&gt;0),I469/J469,"")</f>
        <v/>
      </c>
      <c r="L469" s="5" t="n">
        <v>0.599</v>
      </c>
      <c r="M469" s="5" t="n"/>
      <c r="N469" s="5" t="n">
        <v>79.40000000000001</v>
      </c>
      <c r="O469" s="5" t="inlineStr">
        <is>
          <t>solid fill</t>
        </is>
      </c>
      <c r="P469" s="5" t="inlineStr">
        <is>
          <t>solid fill, rectangle, L &gt; 4 W (EN 1992-1-1 5.3.1(7))</t>
        </is>
      </c>
      <c r="Q469" s="5">
        <f>IF(OR(D469="column",D469="wall"),IF(I469&lt;='P vs V'!$B$3*J469,"column","wall"),"")</f>
        <v/>
      </c>
      <c r="R469" s="5" t="inlineStr">
        <is>
          <t>S10</t>
        </is>
      </c>
      <c r="S469" s="5" t="inlineStr"/>
      <c r="T469" s="5" t="n"/>
      <c r="U469" s="5" t="inlineStr">
        <is>
          <t>no</t>
        </is>
      </c>
      <c r="V469" s="5" t="inlineStr">
        <is>
          <t>no</t>
        </is>
      </c>
      <c r="W469" s="5" t="inlineStr">
        <is>
          <t>no</t>
        </is>
      </c>
      <c r="X469" s="5" t="inlineStr">
        <is>
          <t>no</t>
        </is>
      </c>
      <c r="Y469" s="5" t="inlineStr">
        <is>
          <t>yes</t>
        </is>
      </c>
      <c r="Z469" s="5" t="inlineStr">
        <is>
          <t>yes</t>
        </is>
      </c>
      <c r="AA469" s="5" t="n">
        <v>0</v>
      </c>
      <c r="AB469" s="5" t="n"/>
      <c r="AC469" s="5" t="n"/>
      <c r="AD469" s="5" t="n"/>
      <c r="AE469" s="5" t="n">
        <v>3199.8</v>
      </c>
      <c r="AF469" s="5" t="n">
        <v>3286</v>
      </c>
      <c r="AG469" s="5" t="n">
        <v>3219.3</v>
      </c>
      <c r="AH469" s="5" t="n">
        <v>3345.7</v>
      </c>
      <c r="AI469" s="5" t="inlineStr">
        <is>
          <t>yes</t>
        </is>
      </c>
      <c r="AJ469" s="5" t="inlineStr">
        <is>
          <t>shear_wall</t>
        </is>
      </c>
      <c r="AK469" s="5" t="inlineStr"/>
      <c r="AL469" s="5" t="inlineStr">
        <is>
          <t>(0.87, 0.0, 0.87)</t>
        </is>
      </c>
      <c r="AM469" s="5" t="inlineStr">
        <is>
          <t>DM-VOILE</t>
        </is>
      </c>
    </row>
    <row r="470">
      <c r="A470" s="5" t="n">
        <v>469</v>
      </c>
      <c r="B470" s="5" t="inlineStr">
        <is>
          <t>125</t>
        </is>
      </c>
      <c r="C470" s="5" t="inlineStr">
        <is>
          <t>own label</t>
        </is>
      </c>
      <c r="D470" s="5" t="inlineStr">
        <is>
          <t>wall</t>
        </is>
      </c>
      <c r="E470" s="5" t="inlineStr">
        <is>
          <t>shear_wall</t>
        </is>
      </c>
      <c r="F470" s="5" t="inlineStr">
        <is>
          <t>V4/125</t>
        </is>
      </c>
      <c r="G470" s="5" t="inlineStr">
        <is>
          <t>V4/125/125</t>
        </is>
      </c>
      <c r="H470" s="5" t="inlineStr">
        <is>
          <t>printed</t>
        </is>
      </c>
      <c r="I470" s="5" t="n">
        <v>200</v>
      </c>
      <c r="J470" s="5" t="n">
        <v>30</v>
      </c>
      <c r="K470" s="9">
        <f>IF(AND(ISNUMBER(I470),ISNUMBER(J470),J470&gt;0),I470/J470,"")</f>
        <v/>
      </c>
      <c r="L470" s="5" t="n">
        <v>0.599</v>
      </c>
      <c r="M470" s="5" t="n"/>
      <c r="N470" s="5" t="n">
        <v>98</v>
      </c>
      <c r="O470" s="5" t="inlineStr">
        <is>
          <t>solid fill</t>
        </is>
      </c>
      <c r="P470" s="5" t="inlineStr">
        <is>
          <t>solid fill, rectangle, L &gt; 4 W (EN 1992-1-1 5.3.1(7))</t>
        </is>
      </c>
      <c r="Q470" s="5">
        <f>IF(OR(D470="column",D470="wall"),IF(I470&lt;='P vs V'!$B$3*J470,"column","wall"),"")</f>
        <v/>
      </c>
      <c r="R470" s="5" t="inlineStr">
        <is>
          <t>S10</t>
        </is>
      </c>
      <c r="S470" s="5" t="inlineStr"/>
      <c r="T470" s="5" t="n"/>
      <c r="U470" s="5" t="inlineStr">
        <is>
          <t>no</t>
        </is>
      </c>
      <c r="V470" s="5" t="inlineStr">
        <is>
          <t>no</t>
        </is>
      </c>
      <c r="W470" s="5" t="inlineStr">
        <is>
          <t>no</t>
        </is>
      </c>
      <c r="X470" s="5" t="inlineStr">
        <is>
          <t>no</t>
        </is>
      </c>
      <c r="Y470" s="5" t="inlineStr">
        <is>
          <t>yes</t>
        </is>
      </c>
      <c r="Z470" s="5" t="inlineStr">
        <is>
          <t>yes</t>
        </is>
      </c>
      <c r="AA470" s="5" t="n">
        <v>3.64</v>
      </c>
      <c r="AB470" s="5" t="n"/>
      <c r="AC470" s="5" t="n"/>
      <c r="AD470" s="5" t="n"/>
      <c r="AE470" s="5" t="n">
        <v>3010.5</v>
      </c>
      <c r="AF470" s="5" t="n">
        <v>3320.8</v>
      </c>
      <c r="AG470" s="5" t="n">
        <v>3027.5</v>
      </c>
      <c r="AH470" s="5" t="n">
        <v>3380.5</v>
      </c>
      <c r="AI470" s="5" t="inlineStr">
        <is>
          <t>yes</t>
        </is>
      </c>
      <c r="AJ470" s="5" t="inlineStr">
        <is>
          <t>shear_wall</t>
        </is>
      </c>
      <c r="AK470" s="5" t="inlineStr"/>
      <c r="AL470" s="5" t="inlineStr">
        <is>
          <t>(0.87, 0.0, 0.87)</t>
        </is>
      </c>
      <c r="AM470" s="5" t="inlineStr">
        <is>
          <t>DM-VOILE</t>
        </is>
      </c>
    </row>
    <row r="471">
      <c r="A471" s="5" t="n">
        <v>470</v>
      </c>
      <c r="B471" s="5" t="inlineStr">
        <is>
          <t>125</t>
        </is>
      </c>
      <c r="C471" s="5" t="inlineStr">
        <is>
          <t>own label</t>
        </is>
      </c>
      <c r="D471" s="5" t="inlineStr">
        <is>
          <t>wall</t>
        </is>
      </c>
      <c r="E471" s="5" t="inlineStr">
        <is>
          <t>shear_wall</t>
        </is>
      </c>
      <c r="F471" s="5" t="inlineStr">
        <is>
          <t>V4/125</t>
        </is>
      </c>
      <c r="G471" s="5" t="inlineStr">
        <is>
          <t>V4/125/125</t>
        </is>
      </c>
      <c r="H471" s="5" t="inlineStr">
        <is>
          <t>printed</t>
        </is>
      </c>
      <c r="I471" s="5" t="n">
        <v>200</v>
      </c>
      <c r="J471" s="5" t="n">
        <v>30</v>
      </c>
      <c r="K471" s="9">
        <f>IF(AND(ISNUMBER(I471),ISNUMBER(J471),J471&gt;0),I471/J471,"")</f>
        <v/>
      </c>
      <c r="L471" s="5" t="n">
        <v>0.599</v>
      </c>
      <c r="M471" s="5" t="n"/>
      <c r="N471" s="5" t="n">
        <v>98</v>
      </c>
      <c r="O471" s="5" t="inlineStr">
        <is>
          <t>solid fill</t>
        </is>
      </c>
      <c r="P471" s="5" t="inlineStr">
        <is>
          <t>solid fill, rectangle, L &gt; 4 W (EN 1992-1-1 5.3.1(7))</t>
        </is>
      </c>
      <c r="Q471" s="5">
        <f>IF(OR(D471="column",D471="wall"),IF(I471&lt;='P vs V'!$B$3*J471,"column","wall"),"")</f>
        <v/>
      </c>
      <c r="R471" s="5" t="inlineStr">
        <is>
          <t>S7</t>
        </is>
      </c>
      <c r="S471" s="5" t="inlineStr"/>
      <c r="T471" s="5" t="n"/>
      <c r="U471" s="5" t="inlineStr">
        <is>
          <t>no</t>
        </is>
      </c>
      <c r="V471" s="5" t="inlineStr">
        <is>
          <t>no</t>
        </is>
      </c>
      <c r="W471" s="5" t="inlineStr">
        <is>
          <t>no</t>
        </is>
      </c>
      <c r="X471" s="5" t="inlineStr">
        <is>
          <t>no</t>
        </is>
      </c>
      <c r="Y471" s="5" t="inlineStr">
        <is>
          <t>yes</t>
        </is>
      </c>
      <c r="Z471" s="5" t="inlineStr">
        <is>
          <t>yes</t>
        </is>
      </c>
      <c r="AA471" s="5" t="n">
        <v>4.53</v>
      </c>
      <c r="AB471" s="5" t="n"/>
      <c r="AC471" s="5" t="n"/>
      <c r="AD471" s="5" t="n"/>
      <c r="AE471" s="5" t="n">
        <v>2986</v>
      </c>
      <c r="AF471" s="5" t="n">
        <v>3494.5</v>
      </c>
      <c r="AG471" s="5" t="n">
        <v>3003</v>
      </c>
      <c r="AH471" s="5" t="n">
        <v>3554.2</v>
      </c>
      <c r="AI471" s="5" t="inlineStr">
        <is>
          <t>yes</t>
        </is>
      </c>
      <c r="AJ471" s="5" t="inlineStr">
        <is>
          <t>shear_wall</t>
        </is>
      </c>
      <c r="AK471" s="5" t="inlineStr"/>
      <c r="AL471" s="5" t="inlineStr">
        <is>
          <t>(0.87, 0.0, 0.87)</t>
        </is>
      </c>
      <c r="AM471" s="5" t="inlineStr">
        <is>
          <t>DM-VOILE</t>
        </is>
      </c>
    </row>
    <row r="472">
      <c r="A472" s="5" t="n">
        <v>471</v>
      </c>
      <c r="B472" s="5" t="inlineStr">
        <is>
          <t>125</t>
        </is>
      </c>
      <c r="C472" s="5" t="inlineStr">
        <is>
          <t>own label</t>
        </is>
      </c>
      <c r="D472" s="5" t="inlineStr">
        <is>
          <t>wall</t>
        </is>
      </c>
      <c r="E472" s="5" t="inlineStr">
        <is>
          <t>shear_wall</t>
        </is>
      </c>
      <c r="F472" s="5" t="inlineStr">
        <is>
          <t>V5/125</t>
        </is>
      </c>
      <c r="G472" s="5" t="inlineStr">
        <is>
          <t>V5/125/125</t>
        </is>
      </c>
      <c r="H472" s="5" t="inlineStr">
        <is>
          <t>printed</t>
        </is>
      </c>
      <c r="I472" s="5" t="n">
        <v>250</v>
      </c>
      <c r="J472" s="5" t="n">
        <v>30</v>
      </c>
      <c r="K472" s="9">
        <f>IF(AND(ISNUMBER(I472),ISNUMBER(J472),J472&gt;0),I472/J472,"")</f>
        <v/>
      </c>
      <c r="L472" s="5" t="n">
        <v>0.752</v>
      </c>
      <c r="M472" s="5" t="n"/>
      <c r="N472" s="5" t="n">
        <v>169.5</v>
      </c>
      <c r="O472" s="5" t="inlineStr">
        <is>
          <t>solid fill</t>
        </is>
      </c>
      <c r="P472" s="5" t="inlineStr">
        <is>
          <t>solid fill, rectangle, L &gt; 4 W (EN 1992-1-1 5.3.1(7))</t>
        </is>
      </c>
      <c r="Q472" s="5">
        <f>IF(OR(D472="column",D472="wall"),IF(I472&lt;='P vs V'!$B$3*J472,"column","wall"),"")</f>
        <v/>
      </c>
      <c r="R472" s="5" t="inlineStr">
        <is>
          <t>S7</t>
        </is>
      </c>
      <c r="S472" s="5" t="inlineStr"/>
      <c r="T472" s="5" t="n"/>
      <c r="U472" s="5" t="inlineStr">
        <is>
          <t>no</t>
        </is>
      </c>
      <c r="V472" s="5" t="inlineStr">
        <is>
          <t>no</t>
        </is>
      </c>
      <c r="W472" s="5" t="inlineStr">
        <is>
          <t>yes</t>
        </is>
      </c>
      <c r="X472" s="5" t="inlineStr">
        <is>
          <t>no</t>
        </is>
      </c>
      <c r="Y472" s="5" t="inlineStr">
        <is>
          <t>no</t>
        </is>
      </c>
      <c r="Z472" s="5" t="inlineStr">
        <is>
          <t>no</t>
        </is>
      </c>
      <c r="AA472" s="5" t="n">
        <v>0</v>
      </c>
      <c r="AB472" s="5" t="n"/>
      <c r="AC472" s="5" t="n"/>
      <c r="AD472" s="5" t="n"/>
      <c r="AE472" s="5" t="n">
        <v>3435.8</v>
      </c>
      <c r="AF472" s="5" t="n">
        <v>3479.7</v>
      </c>
      <c r="AG472" s="5" t="n">
        <v>3510</v>
      </c>
      <c r="AH472" s="5" t="n">
        <v>3502</v>
      </c>
      <c r="AI472" s="5" t="inlineStr">
        <is>
          <t>new</t>
        </is>
      </c>
      <c r="AJ472" s="5" t="inlineStr"/>
      <c r="AK472" s="5" t="inlineStr">
        <is>
          <t>piece of a wall network the colour pipeline left unsplit</t>
        </is>
      </c>
      <c r="AL472" s="5" t="inlineStr">
        <is>
          <t>(0.87, 0.0, 0.87)</t>
        </is>
      </c>
      <c r="AM472" s="5" t="inlineStr">
        <is>
          <t>DM-VOILE</t>
        </is>
      </c>
    </row>
    <row r="473">
      <c r="A473" s="5" t="n">
        <v>472</v>
      </c>
      <c r="B473" s="5" t="inlineStr">
        <is>
          <t>125</t>
        </is>
      </c>
      <c r="C473" s="5" t="inlineStr">
        <is>
          <t>own label</t>
        </is>
      </c>
      <c r="D473" s="5" t="inlineStr">
        <is>
          <t>wall</t>
        </is>
      </c>
      <c r="E473" s="5" t="inlineStr">
        <is>
          <t>shear_wall</t>
        </is>
      </c>
      <c r="F473" s="5" t="inlineStr">
        <is>
          <t>V8/125</t>
        </is>
      </c>
      <c r="G473" s="5" t="inlineStr">
        <is>
          <t>V8/125/125</t>
        </is>
      </c>
      <c r="H473" s="5" t="inlineStr">
        <is>
          <t>printed</t>
        </is>
      </c>
      <c r="I473" s="5" t="n">
        <v>125</v>
      </c>
      <c r="J473" s="5" t="n">
        <v>25</v>
      </c>
      <c r="K473" s="9">
        <f>IF(AND(ISNUMBER(I473),ISNUMBER(J473),J473&gt;0),I473/J473,"")</f>
        <v/>
      </c>
      <c r="L473" s="5" t="n">
        <v>0.313</v>
      </c>
      <c r="M473" s="5" t="n"/>
      <c r="N473" s="5" t="n">
        <v>79.40000000000001</v>
      </c>
      <c r="O473" s="5" t="inlineStr">
        <is>
          <t>solid fill</t>
        </is>
      </c>
      <c r="P473" s="5" t="inlineStr">
        <is>
          <t>solid fill, rectangle, L &gt; 4 W (EN 1992-1-1 5.3.1(7))</t>
        </is>
      </c>
      <c r="Q473" s="5">
        <f>IF(OR(D473="column",D473="wall"),IF(I473&lt;='P vs V'!$B$3*J473,"column","wall"),"")</f>
        <v/>
      </c>
      <c r="R473" s="5" t="inlineStr">
        <is>
          <t>SC2</t>
        </is>
      </c>
      <c r="S473" s="5" t="inlineStr"/>
      <c r="T473" s="5" t="n"/>
      <c r="U473" s="5" t="inlineStr">
        <is>
          <t>no</t>
        </is>
      </c>
      <c r="V473" s="5" t="inlineStr">
        <is>
          <t>no</t>
        </is>
      </c>
      <c r="W473" s="5" t="inlineStr">
        <is>
          <t>no</t>
        </is>
      </c>
      <c r="X473" s="5" t="inlineStr">
        <is>
          <t>no</t>
        </is>
      </c>
      <c r="Y473" s="5" t="inlineStr">
        <is>
          <t>yes</t>
        </is>
      </c>
      <c r="Z473" s="5" t="inlineStr">
        <is>
          <t>yes</t>
        </is>
      </c>
      <c r="AA473" s="5" t="n">
        <v>4.78</v>
      </c>
      <c r="AB473" s="5" t="n"/>
      <c r="AC473" s="5" t="n"/>
      <c r="AD473" s="5" t="n"/>
      <c r="AE473" s="5" t="n">
        <v>3515.7</v>
      </c>
      <c r="AF473" s="5" t="n">
        <v>2974.7</v>
      </c>
      <c r="AG473" s="5" t="n">
        <v>3529.9</v>
      </c>
      <c r="AH473" s="5" t="n">
        <v>3012.4</v>
      </c>
      <c r="AI473" s="5" t="inlineStr">
        <is>
          <t>yes</t>
        </is>
      </c>
      <c r="AJ473" s="5" t="inlineStr">
        <is>
          <t>shear_wall</t>
        </is>
      </c>
      <c r="AK473" s="5" t="inlineStr"/>
      <c r="AL473" s="5" t="inlineStr">
        <is>
          <t>(0.87, 0.0, 0.87)</t>
        </is>
      </c>
      <c r="AM473" s="5" t="inlineStr">
        <is>
          <t>DM-VOILE</t>
        </is>
      </c>
    </row>
    <row r="474">
      <c r="A474" s="5" t="n">
        <v>473</v>
      </c>
      <c r="B474" s="5" t="inlineStr">
        <is>
          <t>125</t>
        </is>
      </c>
      <c r="C474" s="5" t="inlineStr">
        <is>
          <t>own label</t>
        </is>
      </c>
      <c r="D474" s="5" t="inlineStr">
        <is>
          <t>wall</t>
        </is>
      </c>
      <c r="E474" s="5" t="inlineStr">
        <is>
          <t>shear_wall</t>
        </is>
      </c>
      <c r="F474" s="5" t="inlineStr">
        <is>
          <t>V8/125</t>
        </is>
      </c>
      <c r="G474" s="5" t="inlineStr">
        <is>
          <t>V8/125/125</t>
        </is>
      </c>
      <c r="H474" s="5" t="inlineStr">
        <is>
          <t>printed</t>
        </is>
      </c>
      <c r="I474" s="5" t="n">
        <v>125</v>
      </c>
      <c r="J474" s="5" t="n">
        <v>25</v>
      </c>
      <c r="K474" s="9">
        <f>IF(AND(ISNUMBER(I474),ISNUMBER(J474),J474&gt;0),I474/J474,"")</f>
        <v/>
      </c>
      <c r="L474" s="5" t="n">
        <v>0.313</v>
      </c>
      <c r="M474" s="5" t="n"/>
      <c r="N474" s="5" t="n">
        <v>79.3</v>
      </c>
      <c r="O474" s="5" t="inlineStr">
        <is>
          <t>solid fill</t>
        </is>
      </c>
      <c r="P474" s="5" t="inlineStr">
        <is>
          <t>solid fill, rectangle, L &gt; 4 W (EN 1992-1-1 5.3.1(7))</t>
        </is>
      </c>
      <c r="Q474" s="5">
        <f>IF(OR(D474="column",D474="wall"),IF(I474&lt;='P vs V'!$B$3*J474,"column","wall"),"")</f>
        <v/>
      </c>
      <c r="R474" s="5" t="inlineStr">
        <is>
          <t>S2</t>
        </is>
      </c>
      <c r="S474" s="5" t="inlineStr"/>
      <c r="T474" s="5" t="n"/>
      <c r="U474" s="5" t="inlineStr">
        <is>
          <t>no</t>
        </is>
      </c>
      <c r="V474" s="5" t="inlineStr">
        <is>
          <t>no</t>
        </is>
      </c>
      <c r="W474" s="5" t="inlineStr">
        <is>
          <t>no</t>
        </is>
      </c>
      <c r="X474" s="5" t="inlineStr">
        <is>
          <t>no</t>
        </is>
      </c>
      <c r="Y474" s="5" t="inlineStr">
        <is>
          <t>yes</t>
        </is>
      </c>
      <c r="Z474" s="5" t="inlineStr">
        <is>
          <t>yes</t>
        </is>
      </c>
      <c r="AA474" s="5" t="n">
        <v>0</v>
      </c>
      <c r="AB474" s="5" t="n"/>
      <c r="AC474" s="5" t="n"/>
      <c r="AD474" s="5" t="n"/>
      <c r="AE474" s="5" t="n">
        <v>3291.1</v>
      </c>
      <c r="AF474" s="5" t="n">
        <v>3027.7</v>
      </c>
      <c r="AG474" s="5" t="n">
        <v>3305.3</v>
      </c>
      <c r="AH474" s="5" t="n">
        <v>3065.4</v>
      </c>
      <c r="AI474" s="5" t="inlineStr">
        <is>
          <t>yes</t>
        </is>
      </c>
      <c r="AJ474" s="5" t="inlineStr">
        <is>
          <t>shear_wall</t>
        </is>
      </c>
      <c r="AK474" s="5" t="inlineStr"/>
      <c r="AL474" s="5" t="inlineStr">
        <is>
          <t>(0.87, 0.0, 0.87)</t>
        </is>
      </c>
      <c r="AM474" s="5" t="inlineStr">
        <is>
          <t>DM-VOILE</t>
        </is>
      </c>
    </row>
    <row r="475">
      <c r="A475" s="5" t="n">
        <v>474</v>
      </c>
      <c r="B475" s="5" t="inlineStr">
        <is>
          <t>125</t>
        </is>
      </c>
      <c r="C475" s="5" t="inlineStr">
        <is>
          <t>own label</t>
        </is>
      </c>
      <c r="D475" s="5" t="inlineStr">
        <is>
          <t>wall</t>
        </is>
      </c>
      <c r="E475" s="5" t="inlineStr">
        <is>
          <t>shear_wall</t>
        </is>
      </c>
      <c r="F475" s="5" t="inlineStr">
        <is>
          <t>V8/125</t>
        </is>
      </c>
      <c r="G475" s="5" t="inlineStr">
        <is>
          <t>V8/125/125</t>
        </is>
      </c>
      <c r="H475" s="5" t="inlineStr">
        <is>
          <t>printed</t>
        </is>
      </c>
      <c r="I475" s="5" t="n">
        <v>125</v>
      </c>
      <c r="J475" s="5" t="n">
        <v>25</v>
      </c>
      <c r="K475" s="9">
        <f>IF(AND(ISNUMBER(I475),ISNUMBER(J475),J475&gt;0),I475/J475,"")</f>
        <v/>
      </c>
      <c r="L475" s="5" t="n">
        <v>0.312</v>
      </c>
      <c r="M475" s="5" t="n"/>
      <c r="N475" s="5" t="n">
        <v>98.09999999999999</v>
      </c>
      <c r="O475" s="5" t="inlineStr">
        <is>
          <t>solid fill</t>
        </is>
      </c>
      <c r="P475" s="5" t="inlineStr">
        <is>
          <t>solid fill, rectangle, L &gt; 4 W (EN 1992-1-1 5.3.1(7))</t>
        </is>
      </c>
      <c r="Q475" s="5">
        <f>IF(OR(D475="column",D475="wall"),IF(I475&lt;='P vs V'!$B$3*J475,"column","wall"),"")</f>
        <v/>
      </c>
      <c r="R475" s="5" t="inlineStr">
        <is>
          <t>S2</t>
        </is>
      </c>
      <c r="S475" s="5" t="inlineStr"/>
      <c r="T475" s="5" t="n"/>
      <c r="U475" s="5" t="inlineStr">
        <is>
          <t>no</t>
        </is>
      </c>
      <c r="V475" s="5" t="inlineStr">
        <is>
          <t>no</t>
        </is>
      </c>
      <c r="W475" s="5" t="inlineStr">
        <is>
          <t>no</t>
        </is>
      </c>
      <c r="X475" s="5" t="inlineStr">
        <is>
          <t>no</t>
        </is>
      </c>
      <c r="Y475" s="5" t="inlineStr">
        <is>
          <t>yes</t>
        </is>
      </c>
      <c r="Z475" s="5" t="inlineStr">
        <is>
          <t>yes</t>
        </is>
      </c>
      <c r="AA475" s="5" t="n">
        <v>1.3</v>
      </c>
      <c r="AB475" s="5" t="n"/>
      <c r="AC475" s="5" t="n"/>
      <c r="AD475" s="5" t="n"/>
      <c r="AE475" s="5" t="n">
        <v>3049.9</v>
      </c>
      <c r="AF475" s="5" t="n">
        <v>3058.9</v>
      </c>
      <c r="AG475" s="5" t="n">
        <v>3062.4</v>
      </c>
      <c r="AH475" s="5" t="n">
        <v>3096.5</v>
      </c>
      <c r="AI475" s="5" t="inlineStr">
        <is>
          <t>yes</t>
        </is>
      </c>
      <c r="AJ475" s="5" t="inlineStr">
        <is>
          <t>shear_wall</t>
        </is>
      </c>
      <c r="AK475" s="5" t="inlineStr"/>
      <c r="AL475" s="5" t="inlineStr">
        <is>
          <t>(0.87, 0.0, 0.87)</t>
        </is>
      </c>
      <c r="AM475" s="5" t="inlineStr">
        <is>
          <t>DM-VOILE</t>
        </is>
      </c>
    </row>
    <row r="476">
      <c r="A476" s="5" t="n">
        <v>475</v>
      </c>
      <c r="B476" s="5" t="inlineStr">
        <is>
          <t>125</t>
        </is>
      </c>
      <c r="C476" s="5" t="inlineStr">
        <is>
          <t>nearest labels (100% agree)</t>
        </is>
      </c>
      <c r="D476" s="5" t="inlineStr">
        <is>
          <t>wall</t>
        </is>
      </c>
      <c r="E476" s="5" t="inlineStr">
        <is>
          <t>core_wall_hatched</t>
        </is>
      </c>
      <c r="F476" s="5" t="inlineStr">
        <is>
          <t>(none)</t>
        </is>
      </c>
      <c r="G476" s="5" t="inlineStr"/>
      <c r="H476" s="5" t="inlineStr">
        <is>
          <t>none</t>
        </is>
      </c>
      <c r="I476" s="5" t="n">
        <v>137</v>
      </c>
      <c r="J476" s="5" t="n">
        <v>20</v>
      </c>
      <c r="K476" s="9">
        <f>IF(AND(ISNUMBER(I476),ISNUMBER(J476),J476&gt;0),I476/J476,"")</f>
        <v/>
      </c>
      <c r="L476" s="5" t="n">
        <v>0.277</v>
      </c>
      <c r="M476" s="5" t="n">
        <v>1.37</v>
      </c>
      <c r="N476" s="5" t="n">
        <v>169.4</v>
      </c>
      <c r="O476" s="5" t="inlineStr">
        <is>
          <t>cross-hatch</t>
        </is>
      </c>
      <c r="P476" s="5" t="inlineStr">
        <is>
          <t>cross-hatch of short strokes in two perpendicular families</t>
        </is>
      </c>
      <c r="Q476" s="5">
        <f>IF(OR(D476="column",D476="wall"),IF(I476&lt;='P vs V'!$B$3*J476,"column","wall"),"")</f>
        <v/>
      </c>
      <c r="R476" s="5" t="inlineStr"/>
      <c r="S476" s="5" t="inlineStr"/>
      <c r="T476" s="5" t="n"/>
      <c r="U476" s="5" t="inlineStr">
        <is>
          <t>yes</t>
        </is>
      </c>
      <c r="V476" s="5" t="inlineStr">
        <is>
          <t>no</t>
        </is>
      </c>
      <c r="W476" s="5" t="inlineStr">
        <is>
          <t>yes</t>
        </is>
      </c>
      <c r="X476" s="5" t="inlineStr">
        <is>
          <t>no</t>
        </is>
      </c>
      <c r="Y476" s="5" t="inlineStr">
        <is>
          <t>no</t>
        </is>
      </c>
      <c r="Z476" s="5" t="inlineStr">
        <is>
          <t>no</t>
        </is>
      </c>
      <c r="AA476" s="5" t="n">
        <v>1.11</v>
      </c>
      <c r="AB476" s="5" t="n">
        <v>0.28</v>
      </c>
      <c r="AC476" s="5" t="n"/>
      <c r="AD476" s="5" t="n"/>
      <c r="AE476" s="5" t="n">
        <v>3169.1</v>
      </c>
      <c r="AF476" s="5" t="n">
        <v>3427.6</v>
      </c>
      <c r="AG476" s="5" t="n">
        <v>3228.5</v>
      </c>
      <c r="AH476" s="5" t="n">
        <v>3442.7</v>
      </c>
      <c r="AI476" s="5" t="inlineStr">
        <is>
          <t>n/a</t>
        </is>
      </c>
      <c r="AJ476" s="5" t="inlineStr"/>
      <c r="AK476" s="5" t="inlineStr"/>
      <c r="AL476" s="5" t="inlineStr"/>
      <c r="AM476" s="5" t="inlineStr"/>
    </row>
    <row r="477">
      <c r="A477" s="5" t="n">
        <v>476</v>
      </c>
      <c r="B477" s="5" t="inlineStr">
        <is>
          <t>125</t>
        </is>
      </c>
      <c r="C477" s="5" t="inlineStr">
        <is>
          <t>nearest labels (100% agree)</t>
        </is>
      </c>
      <c r="D477" s="5" t="inlineStr">
        <is>
          <t>wall</t>
        </is>
      </c>
      <c r="E477" s="5" t="inlineStr">
        <is>
          <t>core_wall_hatched</t>
        </is>
      </c>
      <c r="F477" s="5" t="inlineStr">
        <is>
          <t>(none)</t>
        </is>
      </c>
      <c r="G477" s="5" t="inlineStr"/>
      <c r="H477" s="5" t="inlineStr">
        <is>
          <t>none</t>
        </is>
      </c>
      <c r="I477" s="5" t="n">
        <v>451</v>
      </c>
      <c r="J477" s="5" t="n">
        <v>20</v>
      </c>
      <c r="K477" s="9">
        <f>IF(AND(ISNUMBER(I477),ISNUMBER(J477),J477&gt;0),I477/J477,"")</f>
        <v/>
      </c>
      <c r="L477" s="5" t="n">
        <v>0.91</v>
      </c>
      <c r="M477" s="5" t="n">
        <v>4.51</v>
      </c>
      <c r="N477" s="5" t="n">
        <v>79.40000000000001</v>
      </c>
      <c r="O477" s="5" t="inlineStr">
        <is>
          <t>cross-hatch</t>
        </is>
      </c>
      <c r="P477" s="5" t="inlineStr">
        <is>
          <t>cross-hatch of short strokes in two perpendicular families</t>
        </is>
      </c>
      <c r="Q477" s="5">
        <f>IF(OR(D477="column",D477="wall"),IF(I477&lt;='P vs V'!$B$3*J477,"column","wall"),"")</f>
        <v/>
      </c>
      <c r="R477" s="5" t="inlineStr"/>
      <c r="S477" s="5" t="inlineStr"/>
      <c r="T477" s="5" t="n"/>
      <c r="U477" s="5" t="inlineStr">
        <is>
          <t>yes</t>
        </is>
      </c>
      <c r="V477" s="5" t="inlineStr">
        <is>
          <t>no</t>
        </is>
      </c>
      <c r="W477" s="5" t="inlineStr">
        <is>
          <t>yes</t>
        </is>
      </c>
      <c r="X477" s="5" t="inlineStr">
        <is>
          <t>yes</t>
        </is>
      </c>
      <c r="Y477" s="5" t="inlineStr">
        <is>
          <t>no</t>
        </is>
      </c>
      <c r="Z477" s="5" t="inlineStr">
        <is>
          <t>no</t>
        </is>
      </c>
      <c r="AA477" s="5" t="n">
        <v>0.15</v>
      </c>
      <c r="AB477" s="5" t="n">
        <v>0.28</v>
      </c>
      <c r="AC477" s="5" t="n"/>
      <c r="AD477" s="5" t="n"/>
      <c r="AE477" s="5" t="n">
        <v>3234.4</v>
      </c>
      <c r="AF477" s="5" t="n">
        <v>3450.9</v>
      </c>
      <c r="AG477" s="5" t="n">
        <v>3290.9</v>
      </c>
      <c r="AH477" s="5" t="n">
        <v>3592.9</v>
      </c>
      <c r="AI477" s="5" t="inlineStr">
        <is>
          <t>n/a</t>
        </is>
      </c>
      <c r="AJ477" s="5" t="inlineStr"/>
      <c r="AK477" s="5" t="inlineStr"/>
      <c r="AL477" s="5" t="inlineStr"/>
      <c r="AM477" s="5" t="inlineStr"/>
    </row>
    <row r="478">
      <c r="A478" s="5" t="n">
        <v>477</v>
      </c>
      <c r="B478" s="5" t="inlineStr">
        <is>
          <t>125</t>
        </is>
      </c>
      <c r="C478" s="5" t="inlineStr">
        <is>
          <t>nearest labels (100% agree)</t>
        </is>
      </c>
      <c r="D478" s="5" t="inlineStr">
        <is>
          <t>wall</t>
        </is>
      </c>
      <c r="E478" s="5" t="inlineStr">
        <is>
          <t>core_wall_hatched</t>
        </is>
      </c>
      <c r="F478" s="5" t="inlineStr">
        <is>
          <t>(none)</t>
        </is>
      </c>
      <c r="G478" s="5" t="inlineStr"/>
      <c r="H478" s="5" t="inlineStr">
        <is>
          <t>none</t>
        </is>
      </c>
      <c r="I478" s="5" t="n">
        <v>132</v>
      </c>
      <c r="J478" s="5" t="n">
        <v>20</v>
      </c>
      <c r="K478" s="9">
        <f>IF(AND(ISNUMBER(I478),ISNUMBER(J478),J478&gt;0),I478/J478,"")</f>
        <v/>
      </c>
      <c r="L478" s="5" t="n">
        <v>0.266</v>
      </c>
      <c r="M478" s="5" t="n">
        <v>1.32</v>
      </c>
      <c r="N478" s="5" t="n">
        <v>169.4</v>
      </c>
      <c r="O478" s="5" t="inlineStr">
        <is>
          <t>cross-hatch</t>
        </is>
      </c>
      <c r="P478" s="5" t="inlineStr">
        <is>
          <t>cross-hatch of short strokes in two perpendicular families</t>
        </is>
      </c>
      <c r="Q478" s="5">
        <f>IF(OR(D478="column",D478="wall"),IF(I478&lt;='P vs V'!$B$3*J478,"column","wall"),"")</f>
        <v/>
      </c>
      <c r="R478" s="5" t="inlineStr"/>
      <c r="S478" s="5" t="inlineStr"/>
      <c r="T478" s="5" t="n"/>
      <c r="U478" s="5" t="inlineStr">
        <is>
          <t>yes</t>
        </is>
      </c>
      <c r="V478" s="5" t="inlineStr">
        <is>
          <t>no</t>
        </is>
      </c>
      <c r="W478" s="5" t="inlineStr">
        <is>
          <t>yes</t>
        </is>
      </c>
      <c r="X478" s="5" t="inlineStr">
        <is>
          <t>no</t>
        </is>
      </c>
      <c r="Y478" s="5" t="inlineStr">
        <is>
          <t>no</t>
        </is>
      </c>
      <c r="Z478" s="5" t="inlineStr">
        <is>
          <t>no</t>
        </is>
      </c>
      <c r="AA478" s="5" t="n">
        <v>0.73</v>
      </c>
      <c r="AB478" s="5" t="n">
        <v>0.25</v>
      </c>
      <c r="AC478" s="5" t="n"/>
      <c r="AD478" s="5" t="n"/>
      <c r="AE478" s="5" t="n">
        <v>3223.4</v>
      </c>
      <c r="AF478" s="5" t="n">
        <v>3634.2</v>
      </c>
      <c r="AG478" s="5" t="n">
        <v>3277.4</v>
      </c>
      <c r="AH478" s="5" t="n">
        <v>3648.7</v>
      </c>
      <c r="AI478" s="5" t="inlineStr">
        <is>
          <t>n/a</t>
        </is>
      </c>
      <c r="AJ478" s="5" t="inlineStr"/>
      <c r="AK478" s="5" t="inlineStr"/>
      <c r="AL478" s="5" t="inlineStr"/>
      <c r="AM478" s="5" t="inlineStr"/>
    </row>
    <row r="479">
      <c r="A479" s="5" t="n">
        <v>478</v>
      </c>
      <c r="B479" s="5" t="inlineStr">
        <is>
          <t>125</t>
        </is>
      </c>
      <c r="C479" s="5" t="inlineStr">
        <is>
          <t>nearest labels (60% agree)</t>
        </is>
      </c>
      <c r="D479" s="5" t="inlineStr">
        <is>
          <t>footing</t>
        </is>
      </c>
      <c r="E479" s="5" t="inlineStr">
        <is>
          <t>combined_footing</t>
        </is>
      </c>
      <c r="F479" s="5" t="inlineStr">
        <is>
          <t>SC1</t>
        </is>
      </c>
      <c r="G479" s="5" t="inlineStr">
        <is>
          <t>SC1-</t>
        </is>
      </c>
      <c r="H479" s="5" t="inlineStr">
        <is>
          <t>printed</t>
        </is>
      </c>
      <c r="I479" s="5" t="n">
        <v>500</v>
      </c>
      <c r="J479" s="5" t="n">
        <v>350</v>
      </c>
      <c r="K479" s="9">
        <f>IF(AND(ISNUMBER(I479),ISNUMBER(J479),J479&gt;0),I479/J479,"")</f>
        <v/>
      </c>
      <c r="L479" s="5" t="n">
        <v>17.505</v>
      </c>
      <c r="M479" s="5" t="n"/>
      <c r="N479" s="5" t="n">
        <v>79.3</v>
      </c>
      <c r="O479" s="5" t="inlineStr">
        <is>
          <t>closed outline</t>
        </is>
      </c>
      <c r="P479" s="5" t="inlineStr">
        <is>
          <t>closed rectangular outline around a column/wall or next to an S/SC label</t>
        </is>
      </c>
      <c r="Q479" s="5">
        <f>IF(OR(D479="column",D479="wall"),IF(I479&lt;='P vs V'!$B$3*J479,"column","wall"),"")</f>
        <v/>
      </c>
      <c r="R479" s="5" t="inlineStr"/>
      <c r="S479" s="5" t="inlineStr">
        <is>
          <t>wall+wall</t>
        </is>
      </c>
      <c r="T479" s="5" t="n">
        <v>36</v>
      </c>
      <c r="U479" s="5" t="inlineStr">
        <is>
          <t>no</t>
        </is>
      </c>
      <c r="V479" s="5" t="inlineStr">
        <is>
          <t>no</t>
        </is>
      </c>
      <c r="W479" s="5" t="inlineStr">
        <is>
          <t>yes</t>
        </is>
      </c>
      <c r="X479" s="5" t="inlineStr">
        <is>
          <t>no</t>
        </is>
      </c>
      <c r="Y479" s="5" t="inlineStr">
        <is>
          <t>yes</t>
        </is>
      </c>
      <c r="Z479" s="5" t="inlineStr">
        <is>
          <t>yes</t>
        </is>
      </c>
      <c r="AA479" s="5" t="n">
        <v>4.91</v>
      </c>
      <c r="AB479" s="5" t="n"/>
      <c r="AC479" s="5" t="n"/>
      <c r="AD479" s="5" t="n"/>
      <c r="AE479" s="5" t="n">
        <v>3551.6</v>
      </c>
      <c r="AF479" s="5" t="n">
        <v>3385.9</v>
      </c>
      <c r="AG479" s="5" t="n">
        <v>3680.5</v>
      </c>
      <c r="AH479" s="5" t="n">
        <v>3550.2</v>
      </c>
      <c r="AI479" s="5" t="inlineStr">
        <is>
          <t>yes</t>
        </is>
      </c>
      <c r="AJ479" s="5" t="inlineStr">
        <is>
          <t>combined_footing</t>
        </is>
      </c>
      <c r="AK479" s="5" t="inlineStr"/>
      <c r="AL479" s="5" t="inlineStr">
        <is>
          <t>(0.72, 0.72, 0.0)</t>
        </is>
      </c>
      <c r="AM479" s="5" t="inlineStr">
        <is>
          <t>DM-SEMELLES</t>
        </is>
      </c>
    </row>
    <row r="480">
      <c r="A480" s="5" t="n">
        <v>479</v>
      </c>
      <c r="B480" s="5" t="inlineStr">
        <is>
          <t>125</t>
        </is>
      </c>
      <c r="C480" s="5" t="inlineStr">
        <is>
          <t>own label</t>
        </is>
      </c>
      <c r="D480" s="5" t="inlineStr">
        <is>
          <t>footing</t>
        </is>
      </c>
      <c r="E480" s="5" t="inlineStr">
        <is>
          <t>isolated_footing</t>
        </is>
      </c>
      <c r="F480" s="5" t="inlineStr">
        <is>
          <t>S10</t>
        </is>
      </c>
      <c r="G480" s="5" t="inlineStr">
        <is>
          <t>S10-125125</t>
        </is>
      </c>
      <c r="H480" s="5" t="inlineStr">
        <is>
          <t>printed</t>
        </is>
      </c>
      <c r="I480" s="5" t="n">
        <v>450</v>
      </c>
      <c r="J480" s="5" t="n">
        <v>300</v>
      </c>
      <c r="K480" s="9">
        <f>IF(AND(ISNUMBER(I480),ISNUMBER(J480),J480&gt;0),I480/J480,"")</f>
        <v/>
      </c>
      <c r="L480" s="5" t="n">
        <v>13.499</v>
      </c>
      <c r="M480" s="5" t="n"/>
      <c r="N480" s="5" t="n">
        <v>79.59999999999999</v>
      </c>
      <c r="O480" s="5" t="inlineStr">
        <is>
          <t>closed outline</t>
        </is>
      </c>
      <c r="P480" s="5" t="inlineStr">
        <is>
          <t>closed rectangular outline around a column/wall or next to an S/SC label</t>
        </is>
      </c>
      <c r="Q480" s="5">
        <f>IF(OR(D480="column",D480="wall"),IF(I480&lt;='P vs V'!$B$3*J480,"column","wall"),"")</f>
        <v/>
      </c>
      <c r="R480" s="5" t="inlineStr"/>
      <c r="S480" s="5" t="inlineStr">
        <is>
          <t>wall</t>
        </is>
      </c>
      <c r="T480" s="5" t="n">
        <v>4</v>
      </c>
      <c r="U480" s="5" t="inlineStr">
        <is>
          <t>no</t>
        </is>
      </c>
      <c r="V480" s="5" t="inlineStr">
        <is>
          <t>no</t>
        </is>
      </c>
      <c r="W480" s="5" t="inlineStr">
        <is>
          <t>yes</t>
        </is>
      </c>
      <c r="X480" s="5" t="inlineStr">
        <is>
          <t>no</t>
        </is>
      </c>
      <c r="Y480" s="5" t="inlineStr">
        <is>
          <t>yes</t>
        </is>
      </c>
      <c r="Z480" s="5" t="inlineStr">
        <is>
          <t>yes</t>
        </is>
      </c>
      <c r="AA480" s="5" t="n">
        <v>0.04</v>
      </c>
      <c r="AB480" s="5" t="n"/>
      <c r="AC480" s="5" t="n"/>
      <c r="AD480" s="5" t="n"/>
      <c r="AE480" s="5" t="n">
        <v>3152.8</v>
      </c>
      <c r="AF480" s="5" t="n">
        <v>3242.6</v>
      </c>
      <c r="AG480" s="5" t="n">
        <v>3263.9</v>
      </c>
      <c r="AH480" s="5" t="n">
        <v>3389.2</v>
      </c>
      <c r="AI480" s="5" t="inlineStr">
        <is>
          <t>yes</t>
        </is>
      </c>
      <c r="AJ480" s="5" t="inlineStr">
        <is>
          <t>isolated_footing</t>
        </is>
      </c>
      <c r="AK480" s="5" t="inlineStr"/>
      <c r="AL480" s="5" t="inlineStr">
        <is>
          <t>(0.72, 0.72, 0.0)</t>
        </is>
      </c>
      <c r="AM480" s="5" t="inlineStr">
        <is>
          <t>DM-SEMELLES</t>
        </is>
      </c>
    </row>
    <row r="481">
      <c r="A481" s="5" t="n">
        <v>480</v>
      </c>
      <c r="B481" s="5" t="inlineStr">
        <is>
          <t>125</t>
        </is>
      </c>
      <c r="C481" s="5" t="inlineStr">
        <is>
          <t>own label</t>
        </is>
      </c>
      <c r="D481" s="5" t="inlineStr">
        <is>
          <t>footing</t>
        </is>
      </c>
      <c r="E481" s="5" t="inlineStr">
        <is>
          <t>isolated_footing</t>
        </is>
      </c>
      <c r="F481" s="5" t="inlineStr">
        <is>
          <t>S11</t>
        </is>
      </c>
      <c r="G481" s="5" t="inlineStr">
        <is>
          <t>S11-125125</t>
        </is>
      </c>
      <c r="H481" s="5" t="inlineStr">
        <is>
          <t>printed</t>
        </is>
      </c>
      <c r="I481" s="5" t="n">
        <v>500</v>
      </c>
      <c r="J481" s="5" t="n">
        <v>400</v>
      </c>
      <c r="K481" s="9">
        <f>IF(AND(ISNUMBER(I481),ISNUMBER(J481),J481&gt;0),I481/J481,"")</f>
        <v/>
      </c>
      <c r="L481" s="5" t="n">
        <v>19.998</v>
      </c>
      <c r="M481" s="5" t="n"/>
      <c r="N481" s="5" t="n">
        <v>79.3</v>
      </c>
      <c r="O481" s="5" t="inlineStr">
        <is>
          <t>closed outline</t>
        </is>
      </c>
      <c r="P481" s="5" t="inlineStr">
        <is>
          <t>closed rectangular outline around a column/wall or next to an S/SC label</t>
        </is>
      </c>
      <c r="Q481" s="5">
        <f>IF(OR(D481="column",D481="wall"),IF(I481&lt;='P vs V'!$B$3*J481,"column","wall"),"")</f>
        <v/>
      </c>
      <c r="R481" s="5" t="inlineStr"/>
      <c r="S481" s="5" t="inlineStr">
        <is>
          <t>wall</t>
        </is>
      </c>
      <c r="T481" s="5" t="n">
        <v>0</v>
      </c>
      <c r="U481" s="5" t="inlineStr">
        <is>
          <t>no</t>
        </is>
      </c>
      <c r="V481" s="5" t="inlineStr">
        <is>
          <t>no</t>
        </is>
      </c>
      <c r="W481" s="5" t="inlineStr">
        <is>
          <t>yes</t>
        </is>
      </c>
      <c r="X481" s="5" t="inlineStr">
        <is>
          <t>no</t>
        </is>
      </c>
      <c r="Y481" s="5" t="inlineStr">
        <is>
          <t>yes</t>
        </is>
      </c>
      <c r="Z481" s="5" t="inlineStr">
        <is>
          <t>yes</t>
        </is>
      </c>
      <c r="AA481" s="5" t="n">
        <v>1.48</v>
      </c>
      <c r="AB481" s="5" t="n"/>
      <c r="AC481" s="5" t="n"/>
      <c r="AD481" s="5" t="n"/>
      <c r="AE481" s="5" t="n">
        <v>3318.7</v>
      </c>
      <c r="AF481" s="5" t="n">
        <v>3205.7</v>
      </c>
      <c r="AG481" s="5" t="n">
        <v>3462.1</v>
      </c>
      <c r="AH481" s="5" t="n">
        <v>3372.7</v>
      </c>
      <c r="AI481" s="5" t="inlineStr">
        <is>
          <t>yes</t>
        </is>
      </c>
      <c r="AJ481" s="5" t="inlineStr">
        <is>
          <t>isolated_footing</t>
        </is>
      </c>
      <c r="AK481" s="5" t="inlineStr"/>
      <c r="AL481" s="5" t="inlineStr">
        <is>
          <t>(0.72, 0.72, 0.0)</t>
        </is>
      </c>
      <c r="AM481" s="5" t="inlineStr">
        <is>
          <t>DM-SEMELLES</t>
        </is>
      </c>
    </row>
    <row r="482">
      <c r="A482" s="5" t="n">
        <v>481</v>
      </c>
      <c r="B482" s="5" t="inlineStr">
        <is>
          <t>125</t>
        </is>
      </c>
      <c r="C482" s="5" t="inlineStr">
        <is>
          <t>nearest labels (60% agree)</t>
        </is>
      </c>
      <c r="D482" s="5" t="inlineStr">
        <is>
          <t>footing</t>
        </is>
      </c>
      <c r="E482" s="5" t="inlineStr">
        <is>
          <t>isolated_footing</t>
        </is>
      </c>
      <c r="F482" s="5" t="inlineStr">
        <is>
          <t>S2</t>
        </is>
      </c>
      <c r="G482" s="5" t="inlineStr">
        <is>
          <t>S2-</t>
        </is>
      </c>
      <c r="H482" s="5" t="inlineStr">
        <is>
          <t>printed</t>
        </is>
      </c>
      <c r="I482" s="5" t="n">
        <v>350</v>
      </c>
      <c r="J482" s="5" t="n">
        <v>200</v>
      </c>
      <c r="K482" s="9">
        <f>IF(AND(ISNUMBER(I482),ISNUMBER(J482),J482&gt;0),I482/J482,"")</f>
        <v/>
      </c>
      <c r="L482" s="5" t="n">
        <v>7.002</v>
      </c>
      <c r="M482" s="5" t="n"/>
      <c r="N482" s="5" t="n">
        <v>98</v>
      </c>
      <c r="O482" s="5" t="inlineStr">
        <is>
          <t>closed outline</t>
        </is>
      </c>
      <c r="P482" s="5" t="inlineStr">
        <is>
          <t>closed rectangular outline around a column/wall or next to an S/SC label</t>
        </is>
      </c>
      <c r="Q482" s="5">
        <f>IF(OR(D482="column",D482="wall"),IF(I482&lt;='P vs V'!$B$3*J482,"column","wall"),"")</f>
        <v/>
      </c>
      <c r="R482" s="5" t="inlineStr"/>
      <c r="S482" s="5" t="inlineStr">
        <is>
          <t>wall</t>
        </is>
      </c>
      <c r="T482" s="5" t="n">
        <v>4</v>
      </c>
      <c r="U482" s="5" t="inlineStr">
        <is>
          <t>no</t>
        </is>
      </c>
      <c r="V482" s="5" t="inlineStr">
        <is>
          <t>no</t>
        </is>
      </c>
      <c r="W482" s="5" t="inlineStr">
        <is>
          <t>yes</t>
        </is>
      </c>
      <c r="X482" s="5" t="inlineStr">
        <is>
          <t>no</t>
        </is>
      </c>
      <c r="Y482" s="5" t="inlineStr">
        <is>
          <t>yes</t>
        </is>
      </c>
      <c r="Z482" s="5" t="inlineStr">
        <is>
          <t>yes</t>
        </is>
      </c>
      <c r="AA482" s="5" t="n">
        <v>1.29</v>
      </c>
      <c r="AB482" s="5" t="n"/>
      <c r="AC482" s="5" t="n"/>
      <c r="AD482" s="5" t="n"/>
      <c r="AE482" s="5" t="n">
        <v>3019.9</v>
      </c>
      <c r="AF482" s="5" t="n">
        <v>3021.2</v>
      </c>
      <c r="AG482" s="5" t="n">
        <v>3092.8</v>
      </c>
      <c r="AH482" s="5" t="n">
        <v>3131.7</v>
      </c>
      <c r="AI482" s="5" t="inlineStr">
        <is>
          <t>yes</t>
        </is>
      </c>
      <c r="AJ482" s="5" t="inlineStr">
        <is>
          <t>isolated_footing</t>
        </is>
      </c>
      <c r="AK482" s="5" t="inlineStr"/>
      <c r="AL482" s="5" t="inlineStr">
        <is>
          <t>(0.72, 0.72, 0.0)</t>
        </is>
      </c>
      <c r="AM482" s="5" t="inlineStr">
        <is>
          <t>DM-SEMELLES</t>
        </is>
      </c>
    </row>
    <row r="483">
      <c r="A483" s="5" t="n">
        <v>482</v>
      </c>
      <c r="B483" s="5" t="inlineStr">
        <is>
          <t>125</t>
        </is>
      </c>
      <c r="C483" s="5" t="inlineStr">
        <is>
          <t>own label</t>
        </is>
      </c>
      <c r="D483" s="5" t="inlineStr">
        <is>
          <t>footing</t>
        </is>
      </c>
      <c r="E483" s="5" t="inlineStr">
        <is>
          <t>isolated_footing</t>
        </is>
      </c>
      <c r="F483" s="5" t="inlineStr">
        <is>
          <t>S2</t>
        </is>
      </c>
      <c r="G483" s="5" t="inlineStr">
        <is>
          <t>S2-125125</t>
        </is>
      </c>
      <c r="H483" s="5" t="inlineStr">
        <is>
          <t>printed</t>
        </is>
      </c>
      <c r="I483" s="5" t="n">
        <v>350</v>
      </c>
      <c r="J483" s="5" t="n">
        <v>200</v>
      </c>
      <c r="K483" s="9">
        <f>IF(AND(ISNUMBER(I483),ISNUMBER(J483),J483&gt;0),I483/J483,"")</f>
        <v/>
      </c>
      <c r="L483" s="5" t="n">
        <v>6.997</v>
      </c>
      <c r="M483" s="5" t="n"/>
      <c r="N483" s="5" t="n">
        <v>79.3</v>
      </c>
      <c r="O483" s="5" t="inlineStr">
        <is>
          <t>closed outline</t>
        </is>
      </c>
      <c r="P483" s="5" t="inlineStr">
        <is>
          <t>closed rectangular outline around a column/wall or next to an S/SC label</t>
        </is>
      </c>
      <c r="Q483" s="5">
        <f>IF(OR(D483="column",D483="wall"),IF(I483&lt;='P vs V'!$B$3*J483,"column","wall"),"")</f>
        <v/>
      </c>
      <c r="R483" s="5" t="inlineStr"/>
      <c r="S483" s="5" t="inlineStr">
        <is>
          <t>wall</t>
        </is>
      </c>
      <c r="T483" s="5" t="n">
        <v>0</v>
      </c>
      <c r="U483" s="5" t="inlineStr">
        <is>
          <t>no</t>
        </is>
      </c>
      <c r="V483" s="5" t="inlineStr">
        <is>
          <t>no</t>
        </is>
      </c>
      <c r="W483" s="5" t="inlineStr">
        <is>
          <t>yes</t>
        </is>
      </c>
      <c r="X483" s="5" t="inlineStr">
        <is>
          <t>no</t>
        </is>
      </c>
      <c r="Y483" s="5" t="inlineStr">
        <is>
          <t>yes</t>
        </is>
      </c>
      <c r="Z483" s="5" t="inlineStr">
        <is>
          <t>yes</t>
        </is>
      </c>
      <c r="AA483" s="5" t="n">
        <v>0</v>
      </c>
      <c r="AB483" s="5" t="n"/>
      <c r="AC483" s="5" t="n"/>
      <c r="AD483" s="5" t="n"/>
      <c r="AE483" s="5" t="n">
        <v>3259.6</v>
      </c>
      <c r="AF483" s="5" t="n">
        <v>2990.3</v>
      </c>
      <c r="AG483" s="5" t="n">
        <v>3336.8</v>
      </c>
      <c r="AH483" s="5" t="n">
        <v>3102.8</v>
      </c>
      <c r="AI483" s="5" t="inlineStr">
        <is>
          <t>yes</t>
        </is>
      </c>
      <c r="AJ483" s="5" t="inlineStr">
        <is>
          <t>isolated_footing</t>
        </is>
      </c>
      <c r="AK483" s="5" t="inlineStr"/>
      <c r="AL483" s="5" t="inlineStr">
        <is>
          <t>(0.72, 0.72, 0.0)</t>
        </is>
      </c>
      <c r="AM483" s="5" t="inlineStr">
        <is>
          <t>DM-SEMELLES</t>
        </is>
      </c>
    </row>
    <row r="484">
      <c r="A484" s="5" t="n">
        <v>483</v>
      </c>
      <c r="B484" s="5" t="inlineStr">
        <is>
          <t>125</t>
        </is>
      </c>
      <c r="C484" s="5" t="inlineStr">
        <is>
          <t>own label</t>
        </is>
      </c>
      <c r="D484" s="5" t="inlineStr">
        <is>
          <t>footing</t>
        </is>
      </c>
      <c r="E484" s="5" t="inlineStr">
        <is>
          <t>isolated_footing</t>
        </is>
      </c>
      <c r="F484" s="5" t="inlineStr">
        <is>
          <t>S7</t>
        </is>
      </c>
      <c r="G484" s="5" t="inlineStr">
        <is>
          <t>S7-125125</t>
        </is>
      </c>
      <c r="H484" s="5" t="inlineStr">
        <is>
          <t>printed</t>
        </is>
      </c>
      <c r="I484" s="5" t="n">
        <v>450</v>
      </c>
      <c r="J484" s="5" t="n">
        <v>350</v>
      </c>
      <c r="K484" s="9">
        <f>IF(AND(ISNUMBER(I484),ISNUMBER(J484),J484&gt;0),I484/J484,"")</f>
        <v/>
      </c>
      <c r="L484" s="5" t="n">
        <v>15.75</v>
      </c>
      <c r="M484" s="5" t="n"/>
      <c r="N484" s="5" t="n">
        <v>169.4</v>
      </c>
      <c r="O484" s="5" t="inlineStr">
        <is>
          <t>closed outline</t>
        </is>
      </c>
      <c r="P484" s="5" t="inlineStr">
        <is>
          <t>closed rectangular outline around a column/wall or next to an S/SC label</t>
        </is>
      </c>
      <c r="Q484" s="5">
        <f>IF(OR(D484="column",D484="wall"),IF(I484&lt;='P vs V'!$B$3*J484,"column","wall"),"")</f>
        <v/>
      </c>
      <c r="R484" s="5" t="inlineStr"/>
      <c r="S484" s="5" t="inlineStr">
        <is>
          <t>wall</t>
        </is>
      </c>
      <c r="T484" s="5" t="n">
        <v>3</v>
      </c>
      <c r="U484" s="5" t="inlineStr">
        <is>
          <t>no</t>
        </is>
      </c>
      <c r="V484" s="5" t="inlineStr">
        <is>
          <t>no</t>
        </is>
      </c>
      <c r="W484" s="5" t="inlineStr">
        <is>
          <t>yes</t>
        </is>
      </c>
      <c r="X484" s="5" t="inlineStr">
        <is>
          <t>no</t>
        </is>
      </c>
      <c r="Y484" s="5" t="inlineStr">
        <is>
          <t>yes</t>
        </is>
      </c>
      <c r="Z484" s="5" t="inlineStr">
        <is>
          <t>no</t>
        </is>
      </c>
      <c r="AA484" s="5" t="n">
        <v>0</v>
      </c>
      <c r="AB484" s="5" t="n"/>
      <c r="AC484" s="5" t="n"/>
      <c r="AD484" s="5" t="n"/>
      <c r="AE484" s="5" t="n">
        <v>3398.2</v>
      </c>
      <c r="AF484" s="5" t="n">
        <v>3428.6</v>
      </c>
      <c r="AG484" s="5" t="n">
        <v>3547.8</v>
      </c>
      <c r="AH484" s="5" t="n">
        <v>3554.6</v>
      </c>
      <c r="AI484" s="5" t="inlineStr">
        <is>
          <t>yes</t>
        </is>
      </c>
      <c r="AJ484" s="5" t="inlineStr">
        <is>
          <t>isolated_footing</t>
        </is>
      </c>
      <c r="AK484" s="5" t="inlineStr"/>
      <c r="AL484" s="5" t="inlineStr">
        <is>
          <t>(0.72, 0.72, 0.0)</t>
        </is>
      </c>
      <c r="AM484" s="5" t="inlineStr">
        <is>
          <t>DM-SEMELLES</t>
        </is>
      </c>
    </row>
    <row r="485">
      <c r="A485" s="5" t="n">
        <v>484</v>
      </c>
      <c r="B485" s="5" t="inlineStr">
        <is>
          <t>125</t>
        </is>
      </c>
      <c r="C485" s="5" t="inlineStr">
        <is>
          <t>nearest labels (60% agree)</t>
        </is>
      </c>
      <c r="D485" s="5" t="inlineStr">
        <is>
          <t>footing</t>
        </is>
      </c>
      <c r="E485" s="5" t="inlineStr">
        <is>
          <t>isolated_footing</t>
        </is>
      </c>
      <c r="F485" s="5" t="inlineStr">
        <is>
          <t>S7</t>
        </is>
      </c>
      <c r="G485" s="5" t="inlineStr">
        <is>
          <t>S7-</t>
        </is>
      </c>
      <c r="H485" s="5" t="inlineStr">
        <is>
          <t>printed</t>
        </is>
      </c>
      <c r="I485" s="5" t="n">
        <v>450</v>
      </c>
      <c r="J485" s="5" t="n">
        <v>350</v>
      </c>
      <c r="K485" s="9">
        <f>IF(AND(ISNUMBER(I485),ISNUMBER(J485),J485&gt;0),I485/J485,"")</f>
        <v/>
      </c>
      <c r="L485" s="5" t="n">
        <v>15.746</v>
      </c>
      <c r="M485" s="5" t="n"/>
      <c r="N485" s="5" t="n">
        <v>96.7</v>
      </c>
      <c r="O485" s="5" t="inlineStr">
        <is>
          <t>closed outline</t>
        </is>
      </c>
      <c r="P485" s="5" t="inlineStr">
        <is>
          <t>closed rectangular outline around a column/wall or next to an S/SC label</t>
        </is>
      </c>
      <c r="Q485" s="5">
        <f>IF(OR(D485="column",D485="wall"),IF(I485&lt;='P vs V'!$B$3*J485,"column","wall"),"")</f>
        <v/>
      </c>
      <c r="R485" s="5" t="inlineStr"/>
      <c r="S485" s="5" t="inlineStr">
        <is>
          <t>wall</t>
        </is>
      </c>
      <c r="T485" s="5" t="n">
        <v>13</v>
      </c>
      <c r="U485" s="5" t="inlineStr">
        <is>
          <t>no</t>
        </is>
      </c>
      <c r="V485" s="5" t="inlineStr">
        <is>
          <t>no</t>
        </is>
      </c>
      <c r="W485" s="5" t="inlineStr">
        <is>
          <t>yes</t>
        </is>
      </c>
      <c r="X485" s="5" t="inlineStr">
        <is>
          <t>no</t>
        </is>
      </c>
      <c r="Y485" s="5" t="inlineStr">
        <is>
          <t>yes</t>
        </is>
      </c>
      <c r="Z485" s="5" t="inlineStr">
        <is>
          <t>yes</t>
        </is>
      </c>
      <c r="AA485" s="5" t="n">
        <v>4.65</v>
      </c>
      <c r="AB485" s="5" t="n"/>
      <c r="AC485" s="5" t="n"/>
      <c r="AD485" s="5" t="n"/>
      <c r="AE485" s="5" t="n">
        <v>2939.1</v>
      </c>
      <c r="AF485" s="5" t="n">
        <v>3452.9</v>
      </c>
      <c r="AG485" s="5" t="n">
        <v>3057.2</v>
      </c>
      <c r="AH485" s="5" t="n">
        <v>3596.9</v>
      </c>
      <c r="AI485" s="5" t="inlineStr">
        <is>
          <t>yes</t>
        </is>
      </c>
      <c r="AJ485" s="5" t="inlineStr">
        <is>
          <t>isolated_footing</t>
        </is>
      </c>
      <c r="AK485" s="5" t="inlineStr"/>
      <c r="AL485" s="5" t="inlineStr">
        <is>
          <t>(0.72, 0.72, 0.0)</t>
        </is>
      </c>
      <c r="AM485" s="5" t="inlineStr">
        <is>
          <t>DM-SEMELLES</t>
        </is>
      </c>
    </row>
    <row r="486">
      <c r="A486" s="5" t="n">
        <v>485</v>
      </c>
      <c r="B486" s="5" t="inlineStr">
        <is>
          <t>125</t>
        </is>
      </c>
      <c r="C486" s="5" t="inlineStr">
        <is>
          <t>nearest labels (60% agree)</t>
        </is>
      </c>
      <c r="D486" s="5" t="inlineStr">
        <is>
          <t>grade_beam</t>
        </is>
      </c>
      <c r="E486" s="5" t="inlineStr">
        <is>
          <t>grade_beam</t>
        </is>
      </c>
      <c r="F486" s="5" t="inlineStr">
        <is>
          <t>LG40x15</t>
        </is>
      </c>
      <c r="G486" s="5" t="inlineStr"/>
      <c r="H486" s="5" t="inlineStr">
        <is>
          <t>band width matches label</t>
        </is>
      </c>
      <c r="I486" s="5" t="n">
        <v>275</v>
      </c>
      <c r="J486" s="5" t="n">
        <v>40</v>
      </c>
      <c r="K486" s="9">
        <f>IF(AND(ISNUMBER(I486),ISNUMBER(J486),J486&gt;0),I486/J486,"")</f>
        <v/>
      </c>
      <c r="L486" s="5" t="n">
        <v>1.1</v>
      </c>
      <c r="M486" s="5" t="n">
        <v>2.75</v>
      </c>
      <c r="N486" s="5" t="n">
        <v>97.7</v>
      </c>
      <c r="O486" s="5" t="inlineStr">
        <is>
          <t>parallel line pair</t>
        </is>
      </c>
      <c r="P486" s="5" t="inlineStr">
        <is>
          <t>two parallel lines at the width written in the LG label, empty inside</t>
        </is>
      </c>
      <c r="Q486" s="5">
        <f>IF(OR(D486="column",D486="wall"),IF(I486&lt;='P vs V'!$B$3*J486,"column","wall"),"")</f>
        <v/>
      </c>
      <c r="R486" s="5" t="inlineStr"/>
      <c r="S486" s="5" t="inlineStr"/>
      <c r="T486" s="5" t="n"/>
      <c r="U486" s="5" t="inlineStr">
        <is>
          <t>no</t>
        </is>
      </c>
      <c r="V486" s="5" t="inlineStr">
        <is>
          <t>no</t>
        </is>
      </c>
      <c r="W486" s="5" t="inlineStr">
        <is>
          <t>yes</t>
        </is>
      </c>
      <c r="X486" s="5" t="inlineStr">
        <is>
          <t>no</t>
        </is>
      </c>
      <c r="Y486" s="5" t="inlineStr">
        <is>
          <t>no</t>
        </is>
      </c>
      <c r="Z486" s="5" t="inlineStr">
        <is>
          <t>no</t>
        </is>
      </c>
      <c r="AA486" s="5" t="n">
        <v>0.32</v>
      </c>
      <c r="AB486" s="5" t="n"/>
      <c r="AC486" s="5" t="n"/>
      <c r="AD486" s="5" t="n"/>
      <c r="AE486" s="5" t="n">
        <v>3056.8</v>
      </c>
      <c r="AF486" s="5" t="n">
        <v>2943.9</v>
      </c>
      <c r="AG486" s="5" t="n">
        <v>3079.5</v>
      </c>
      <c r="AH486" s="5" t="n">
        <v>3026</v>
      </c>
      <c r="AI486" s="5" t="inlineStr">
        <is>
          <t>n/a</t>
        </is>
      </c>
      <c r="AJ486" s="5" t="inlineStr"/>
      <c r="AK486" s="5" t="inlineStr"/>
      <c r="AL486" s="5" t="inlineStr"/>
      <c r="AM486" s="5" t="inlineStr"/>
    </row>
    <row r="487">
      <c r="A487" s="5" t="n">
        <v>486</v>
      </c>
      <c r="B487" s="5" t="inlineStr">
        <is>
          <t>125</t>
        </is>
      </c>
      <c r="C487" s="5" t="inlineStr">
        <is>
          <t>nearest labels (60% agree)</t>
        </is>
      </c>
      <c r="D487" s="5" t="inlineStr">
        <is>
          <t>grade_beam</t>
        </is>
      </c>
      <c r="E487" s="5" t="inlineStr">
        <is>
          <t>grade_beam</t>
        </is>
      </c>
      <c r="F487" s="5" t="inlineStr">
        <is>
          <t>LG40x15</t>
        </is>
      </c>
      <c r="G487" s="5" t="inlineStr"/>
      <c r="H487" s="5" t="inlineStr">
        <is>
          <t>band width matches label</t>
        </is>
      </c>
      <c r="I487" s="5" t="n">
        <v>537</v>
      </c>
      <c r="J487" s="5" t="n">
        <v>40</v>
      </c>
      <c r="K487" s="9">
        <f>IF(AND(ISNUMBER(I487),ISNUMBER(J487),J487&gt;0),I487/J487,"")</f>
        <v/>
      </c>
      <c r="L487" s="5" t="n">
        <v>2.147</v>
      </c>
      <c r="M487" s="5" t="n">
        <v>5.37</v>
      </c>
      <c r="N487" s="5" t="n">
        <v>97.7</v>
      </c>
      <c r="O487" s="5" t="inlineStr">
        <is>
          <t>parallel line pair</t>
        </is>
      </c>
      <c r="P487" s="5" t="inlineStr">
        <is>
          <t>two parallel lines at the width written in the LG label, empty inside</t>
        </is>
      </c>
      <c r="Q487" s="5">
        <f>IF(OR(D487="column",D487="wall"),IF(I487&lt;='P vs V'!$B$3*J487,"column","wall"),"")</f>
        <v/>
      </c>
      <c r="R487" s="5" t="inlineStr"/>
      <c r="S487" s="5" t="inlineStr"/>
      <c r="T487" s="5" t="n"/>
      <c r="U487" s="5" t="inlineStr">
        <is>
          <t>no</t>
        </is>
      </c>
      <c r="V487" s="5" t="inlineStr">
        <is>
          <t>no</t>
        </is>
      </c>
      <c r="W487" s="5" t="inlineStr">
        <is>
          <t>no</t>
        </is>
      </c>
      <c r="X487" s="5" t="inlineStr">
        <is>
          <t>no</t>
        </is>
      </c>
      <c r="Y487" s="5" t="inlineStr">
        <is>
          <t>no</t>
        </is>
      </c>
      <c r="Z487" s="5" t="inlineStr">
        <is>
          <t>no</t>
        </is>
      </c>
      <c r="AA487" s="5" t="n">
        <v>2.71</v>
      </c>
      <c r="AB487" s="5" t="n"/>
      <c r="AC487" s="5" t="n"/>
      <c r="AD487" s="5" t="n"/>
      <c r="AE487" s="5" t="n">
        <v>3021.6</v>
      </c>
      <c r="AF487" s="5" t="n">
        <v>3126.8</v>
      </c>
      <c r="AG487" s="5" t="n">
        <v>3054.6</v>
      </c>
      <c r="AH487" s="5" t="n">
        <v>3285.4</v>
      </c>
      <c r="AI487" s="5" t="inlineStr">
        <is>
          <t>n/a</t>
        </is>
      </c>
      <c r="AJ487" s="5" t="inlineStr"/>
      <c r="AK487" s="5" t="inlineStr"/>
      <c r="AL487" s="5" t="inlineStr"/>
      <c r="AM487" s="5" t="inlineStr"/>
    </row>
    <row r="488">
      <c r="A488" s="5" t="n">
        <v>487</v>
      </c>
      <c r="B488" s="5" t="inlineStr">
        <is>
          <t>125</t>
        </is>
      </c>
      <c r="C488" s="5" t="inlineStr">
        <is>
          <t>nearest labels (60% agree)</t>
        </is>
      </c>
      <c r="D488" s="5" t="inlineStr">
        <is>
          <t>grade_beam</t>
        </is>
      </c>
      <c r="E488" s="5" t="inlineStr">
        <is>
          <t>grade_beam</t>
        </is>
      </c>
      <c r="F488" s="5" t="inlineStr">
        <is>
          <t>LG40x15</t>
        </is>
      </c>
      <c r="G488" s="5" t="inlineStr"/>
      <c r="H488" s="5" t="inlineStr">
        <is>
          <t>band width matches label</t>
        </is>
      </c>
      <c r="I488" s="5" t="n">
        <v>145</v>
      </c>
      <c r="J488" s="5" t="n">
        <v>40</v>
      </c>
      <c r="K488" s="9">
        <f>IF(AND(ISNUMBER(I488),ISNUMBER(J488),J488&gt;0),I488/J488,"")</f>
        <v/>
      </c>
      <c r="L488" s="5" t="n">
        <v>0.58</v>
      </c>
      <c r="M488" s="5" t="n">
        <v>1.45</v>
      </c>
      <c r="N488" s="5" t="n">
        <v>97.7</v>
      </c>
      <c r="O488" s="5" t="inlineStr">
        <is>
          <t>parallel line pair</t>
        </is>
      </c>
      <c r="P488" s="5" t="inlineStr">
        <is>
          <t>two parallel lines at the width written in the LG label, empty inside</t>
        </is>
      </c>
      <c r="Q488" s="5">
        <f>IF(OR(D488="column",D488="wall"),IF(I488&lt;='P vs V'!$B$3*J488,"column","wall"),"")</f>
        <v/>
      </c>
      <c r="R488" s="5" t="inlineStr"/>
      <c r="S488" s="5" t="inlineStr"/>
      <c r="T488" s="5" t="n"/>
      <c r="U488" s="5" t="inlineStr">
        <is>
          <t>no</t>
        </is>
      </c>
      <c r="V488" s="5" t="inlineStr">
        <is>
          <t>no</t>
        </is>
      </c>
      <c r="W488" s="5" t="inlineStr">
        <is>
          <t>no</t>
        </is>
      </c>
      <c r="X488" s="5" t="inlineStr">
        <is>
          <t>no</t>
        </is>
      </c>
      <c r="Y488" s="5" t="inlineStr">
        <is>
          <t>no</t>
        </is>
      </c>
      <c r="Z488" s="5" t="inlineStr">
        <is>
          <t>no</t>
        </is>
      </c>
      <c r="AA488" s="5" t="n">
        <v>4.58</v>
      </c>
      <c r="AB488" s="5" t="n"/>
      <c r="AC488" s="5" t="n"/>
      <c r="AD488" s="5" t="n"/>
      <c r="AE488" s="5" t="n">
        <v>2997.9</v>
      </c>
      <c r="AF488" s="5" t="n">
        <v>3415.4</v>
      </c>
      <c r="AG488" s="5" t="n">
        <v>3015.3</v>
      </c>
      <c r="AH488" s="5" t="n">
        <v>3459.4</v>
      </c>
      <c r="AI488" s="5" t="inlineStr">
        <is>
          <t>n/a</t>
        </is>
      </c>
      <c r="AJ488" s="5" t="inlineStr"/>
      <c r="AK488" s="5" t="inlineStr"/>
      <c r="AL488" s="5" t="inlineStr"/>
      <c r="AM488" s="5" t="inlineStr"/>
    </row>
    <row r="489">
      <c r="A489" s="5" t="n">
        <v>488</v>
      </c>
      <c r="B489" s="5" t="inlineStr">
        <is>
          <t>125</t>
        </is>
      </c>
      <c r="C489" s="5" t="inlineStr">
        <is>
          <t>nearest labels (60% agree)</t>
        </is>
      </c>
      <c r="D489" s="5" t="inlineStr">
        <is>
          <t>grade_beam</t>
        </is>
      </c>
      <c r="E489" s="5" t="inlineStr">
        <is>
          <t>grade_beam</t>
        </is>
      </c>
      <c r="F489" s="5" t="inlineStr">
        <is>
          <t>LG40x15</t>
        </is>
      </c>
      <c r="G489" s="5" t="inlineStr"/>
      <c r="H489" s="5" t="inlineStr">
        <is>
          <t>band width matches label</t>
        </is>
      </c>
      <c r="I489" s="5" t="n">
        <v>263</v>
      </c>
      <c r="J489" s="5" t="n">
        <v>40</v>
      </c>
      <c r="K489" s="9">
        <f>IF(AND(ISNUMBER(I489),ISNUMBER(J489),J489&gt;0),I489/J489,"")</f>
        <v/>
      </c>
      <c r="L489" s="5" t="n">
        <v>1.053</v>
      </c>
      <c r="M489" s="5" t="n">
        <v>2.63</v>
      </c>
      <c r="N489" s="5" t="n">
        <v>79.3</v>
      </c>
      <c r="O489" s="5" t="inlineStr">
        <is>
          <t>parallel line pair</t>
        </is>
      </c>
      <c r="P489" s="5" t="inlineStr">
        <is>
          <t>two parallel lines at the width written in the LG label, empty inside</t>
        </is>
      </c>
      <c r="Q489" s="5">
        <f>IF(OR(D489="column",D489="wall"),IF(I489&lt;='P vs V'!$B$3*J489,"column","wall"),"")</f>
        <v/>
      </c>
      <c r="R489" s="5" t="inlineStr"/>
      <c r="S489" s="5" t="inlineStr"/>
      <c r="T489" s="5" t="n"/>
      <c r="U489" s="5" t="inlineStr">
        <is>
          <t>no</t>
        </is>
      </c>
      <c r="V489" s="5" t="inlineStr">
        <is>
          <t>no</t>
        </is>
      </c>
      <c r="W489" s="5" t="inlineStr">
        <is>
          <t>yes</t>
        </is>
      </c>
      <c r="X489" s="5" t="inlineStr">
        <is>
          <t>no</t>
        </is>
      </c>
      <c r="Y489" s="5" t="inlineStr">
        <is>
          <t>no</t>
        </is>
      </c>
      <c r="Z489" s="5" t="inlineStr">
        <is>
          <t>yes</t>
        </is>
      </c>
      <c r="AA489" s="5" t="n">
        <v>5.21</v>
      </c>
      <c r="AB489" s="5" t="n"/>
      <c r="AC489" s="5" t="n"/>
      <c r="AD489" s="5" t="n"/>
      <c r="AE489" s="5" t="n">
        <v>3505.5</v>
      </c>
      <c r="AF489" s="5" t="n">
        <v>2862.9</v>
      </c>
      <c r="AG489" s="5" t="n">
        <v>3531.5</v>
      </c>
      <c r="AH489" s="5" t="n">
        <v>2941.5</v>
      </c>
      <c r="AI489" s="5" t="inlineStr">
        <is>
          <t>n/a</t>
        </is>
      </c>
      <c r="AJ489" s="5" t="inlineStr"/>
      <c r="AK489" s="5" t="inlineStr"/>
      <c r="AL489" s="5" t="inlineStr"/>
      <c r="AM489" s="5" t="inlineStr"/>
    </row>
    <row r="490">
      <c r="A490" s="5" t="n">
        <v>489</v>
      </c>
      <c r="B490" s="5" t="inlineStr">
        <is>
          <t>125</t>
        </is>
      </c>
      <c r="C490" s="5" t="inlineStr">
        <is>
          <t>nearest labels (60% agree)</t>
        </is>
      </c>
      <c r="D490" s="5" t="inlineStr">
        <is>
          <t>grade_beam</t>
        </is>
      </c>
      <c r="E490" s="5" t="inlineStr">
        <is>
          <t>grade_beam</t>
        </is>
      </c>
      <c r="F490" s="5" t="inlineStr">
        <is>
          <t>LG40x15</t>
        </is>
      </c>
      <c r="G490" s="5" t="inlineStr"/>
      <c r="H490" s="5" t="inlineStr">
        <is>
          <t>band width matches label</t>
        </is>
      </c>
      <c r="I490" s="5" t="n">
        <v>267</v>
      </c>
      <c r="J490" s="5" t="n">
        <v>40</v>
      </c>
      <c r="K490" s="9">
        <f>IF(AND(ISNUMBER(I490),ISNUMBER(J490),J490&gt;0),I490/J490,"")</f>
        <v/>
      </c>
      <c r="L490" s="5" t="n">
        <v>1.07</v>
      </c>
      <c r="M490" s="5" t="n">
        <v>2.67</v>
      </c>
      <c r="N490" s="5" t="n">
        <v>79.3</v>
      </c>
      <c r="O490" s="5" t="inlineStr">
        <is>
          <t>parallel line pair</t>
        </is>
      </c>
      <c r="P490" s="5" t="inlineStr">
        <is>
          <t>two parallel lines at the width written in the LG label, empty inside</t>
        </is>
      </c>
      <c r="Q490" s="5">
        <f>IF(OR(D490="column",D490="wall"),IF(I490&lt;='P vs V'!$B$3*J490,"column","wall"),"")</f>
        <v/>
      </c>
      <c r="R490" s="5" t="inlineStr"/>
      <c r="S490" s="5" t="inlineStr"/>
      <c r="T490" s="5" t="n"/>
      <c r="U490" s="5" t="inlineStr">
        <is>
          <t>no</t>
        </is>
      </c>
      <c r="V490" s="5" t="inlineStr">
        <is>
          <t>no</t>
        </is>
      </c>
      <c r="W490" s="5" t="inlineStr">
        <is>
          <t>yes</t>
        </is>
      </c>
      <c r="X490" s="5" t="inlineStr">
        <is>
          <t>no</t>
        </is>
      </c>
      <c r="Y490" s="5" t="inlineStr">
        <is>
          <t>no</t>
        </is>
      </c>
      <c r="Z490" s="5" t="inlineStr">
        <is>
          <t>yes</t>
        </is>
      </c>
      <c r="AA490" s="5" t="n">
        <v>4.71</v>
      </c>
      <c r="AB490" s="5" t="n"/>
      <c r="AC490" s="5" t="n"/>
      <c r="AD490" s="5" t="n"/>
      <c r="AE490" s="5" t="n">
        <v>3490.6</v>
      </c>
      <c r="AF490" s="5" t="n">
        <v>2864.5</v>
      </c>
      <c r="AG490" s="5" t="n">
        <v>3516.9</v>
      </c>
      <c r="AH490" s="5" t="n">
        <v>2944.3</v>
      </c>
      <c r="AI490" s="5" t="inlineStr">
        <is>
          <t>n/a</t>
        </is>
      </c>
      <c r="AJ490" s="5" t="inlineStr"/>
      <c r="AK490" s="5" t="inlineStr"/>
      <c r="AL490" s="5" t="inlineStr"/>
      <c r="AM490" s="5" t="inlineStr"/>
    </row>
    <row r="491">
      <c r="A491" s="5" t="n">
        <v>490</v>
      </c>
      <c r="B491" s="5" t="inlineStr">
        <is>
          <t>125</t>
        </is>
      </c>
      <c r="C491" s="5" t="inlineStr">
        <is>
          <t>nearest labels (60% agree)</t>
        </is>
      </c>
      <c r="D491" s="5" t="inlineStr">
        <is>
          <t>grade_beam</t>
        </is>
      </c>
      <c r="E491" s="5" t="inlineStr">
        <is>
          <t>grade_beam</t>
        </is>
      </c>
      <c r="F491" s="5" t="inlineStr">
        <is>
          <t>LG40x15</t>
        </is>
      </c>
      <c r="G491" s="5" t="inlineStr"/>
      <c r="H491" s="5" t="inlineStr">
        <is>
          <t>band width matches label</t>
        </is>
      </c>
      <c r="I491" s="5" t="n">
        <v>285</v>
      </c>
      <c r="J491" s="5" t="n">
        <v>40</v>
      </c>
      <c r="K491" s="9">
        <f>IF(AND(ISNUMBER(I491),ISNUMBER(J491),J491&gt;0),I491/J491,"")</f>
        <v/>
      </c>
      <c r="L491" s="5" t="n">
        <v>1.139</v>
      </c>
      <c r="M491" s="5" t="n">
        <v>2.85</v>
      </c>
      <c r="N491" s="5" t="n">
        <v>79.3</v>
      </c>
      <c r="O491" s="5" t="inlineStr">
        <is>
          <t>parallel line pair</t>
        </is>
      </c>
      <c r="P491" s="5" t="inlineStr">
        <is>
          <t>two parallel lines at the width written in the LG label, empty inside</t>
        </is>
      </c>
      <c r="Q491" s="5">
        <f>IF(OR(D491="column",D491="wall"),IF(I491&lt;='P vs V'!$B$3*J491,"column","wall"),"")</f>
        <v/>
      </c>
      <c r="R491" s="5" t="inlineStr"/>
      <c r="S491" s="5" t="inlineStr"/>
      <c r="T491" s="5" t="n"/>
      <c r="U491" s="5" t="inlineStr">
        <is>
          <t>no</t>
        </is>
      </c>
      <c r="V491" s="5" t="inlineStr">
        <is>
          <t>no</t>
        </is>
      </c>
      <c r="W491" s="5" t="inlineStr">
        <is>
          <t>no</t>
        </is>
      </c>
      <c r="X491" s="5" t="inlineStr">
        <is>
          <t>no</t>
        </is>
      </c>
      <c r="Y491" s="5" t="inlineStr">
        <is>
          <t>no</t>
        </is>
      </c>
      <c r="Z491" s="5" t="inlineStr">
        <is>
          <t>no</t>
        </is>
      </c>
      <c r="AA491" s="5" t="n">
        <v>4.71</v>
      </c>
      <c r="AB491" s="5" t="n"/>
      <c r="AC491" s="5" t="n"/>
      <c r="AD491" s="5" t="n"/>
      <c r="AE491" s="5" t="n">
        <v>3575.2</v>
      </c>
      <c r="AF491" s="5" t="n">
        <v>3312.9</v>
      </c>
      <c r="AG491" s="5" t="n">
        <v>3602.3</v>
      </c>
      <c r="AH491" s="5" t="n">
        <v>3397.7</v>
      </c>
      <c r="AI491" s="5" t="inlineStr">
        <is>
          <t>n/a</t>
        </is>
      </c>
      <c r="AJ491" s="5" t="inlineStr"/>
      <c r="AK491" s="5" t="inlineStr"/>
      <c r="AL491" s="5" t="inlineStr"/>
      <c r="AM491" s="5" t="inlineStr"/>
    </row>
    <row r="492">
      <c r="A492" s="5" t="n">
        <v>491</v>
      </c>
      <c r="B492" s="5" t="inlineStr">
        <is>
          <t>125</t>
        </is>
      </c>
      <c r="C492" s="5" t="inlineStr">
        <is>
          <t>nearest labels (80% agree)</t>
        </is>
      </c>
      <c r="D492" s="5" t="inlineStr">
        <is>
          <t>grade_beam</t>
        </is>
      </c>
      <c r="E492" s="5" t="inlineStr">
        <is>
          <t>grade_beam</t>
        </is>
      </c>
      <c r="F492" s="5" t="inlineStr">
        <is>
          <t>LG40x15</t>
        </is>
      </c>
      <c r="G492" s="5" t="inlineStr"/>
      <c r="H492" s="5" t="inlineStr">
        <is>
          <t>band width matches label</t>
        </is>
      </c>
      <c r="I492" s="5" t="n">
        <v>224</v>
      </c>
      <c r="J492" s="5" t="n">
        <v>40</v>
      </c>
      <c r="K492" s="9">
        <f>IF(AND(ISNUMBER(I492),ISNUMBER(J492),J492&gt;0),I492/J492,"")</f>
        <v/>
      </c>
      <c r="L492" s="5" t="n">
        <v>0.894</v>
      </c>
      <c r="M492" s="5" t="n">
        <v>2.24</v>
      </c>
      <c r="N492" s="5" t="n">
        <v>169.3</v>
      </c>
      <c r="O492" s="5" t="inlineStr">
        <is>
          <t>parallel line pair</t>
        </is>
      </c>
      <c r="P492" s="5" t="inlineStr">
        <is>
          <t>two parallel lines at the width written in the LG label, empty inside</t>
        </is>
      </c>
      <c r="Q492" s="5">
        <f>IF(OR(D492="column",D492="wall"),IF(I492&lt;='P vs V'!$B$3*J492,"column","wall"),"")</f>
        <v/>
      </c>
      <c r="R492" s="5" t="inlineStr"/>
      <c r="S492" s="5" t="inlineStr"/>
      <c r="T492" s="5" t="n"/>
      <c r="U492" s="5" t="inlineStr">
        <is>
          <t>no</t>
        </is>
      </c>
      <c r="V492" s="5" t="inlineStr">
        <is>
          <t>no</t>
        </is>
      </c>
      <c r="W492" s="5" t="inlineStr">
        <is>
          <t>no</t>
        </is>
      </c>
      <c r="X492" s="5" t="inlineStr">
        <is>
          <t>no</t>
        </is>
      </c>
      <c r="Y492" s="5" t="inlineStr">
        <is>
          <t>no</t>
        </is>
      </c>
      <c r="Z492" s="5" t="inlineStr">
        <is>
          <t>no</t>
        </is>
      </c>
      <c r="AA492" s="5" t="n">
        <v>1.64</v>
      </c>
      <c r="AB492" s="5" t="n"/>
      <c r="AC492" s="5" t="n"/>
      <c r="AD492" s="5" t="n"/>
      <c r="AE492" s="5" t="n">
        <v>3443.3</v>
      </c>
      <c r="AF492" s="5" t="n">
        <v>3238.9</v>
      </c>
      <c r="AG492" s="5" t="n">
        <v>3510.4</v>
      </c>
      <c r="AH492" s="5" t="n">
        <v>3262.7</v>
      </c>
      <c r="AI492" s="5" t="inlineStr">
        <is>
          <t>n/a</t>
        </is>
      </c>
      <c r="AJ492" s="5" t="inlineStr"/>
      <c r="AK492" s="5" t="inlineStr"/>
      <c r="AL492" s="5" t="inlineStr"/>
      <c r="AM492" s="5" t="inlineStr"/>
    </row>
    <row r="493">
      <c r="A493" s="5" t="n">
        <v>492</v>
      </c>
      <c r="B493" s="5" t="inlineStr">
        <is>
          <t>125</t>
        </is>
      </c>
      <c r="C493" s="5" t="inlineStr">
        <is>
          <t>nearest labels (100% agree)</t>
        </is>
      </c>
      <c r="D493" s="5" t="inlineStr">
        <is>
          <t>grade_beam</t>
        </is>
      </c>
      <c r="E493" s="5" t="inlineStr">
        <is>
          <t>grade_beam</t>
        </is>
      </c>
      <c r="F493" s="5" t="inlineStr">
        <is>
          <t>LG40x15</t>
        </is>
      </c>
      <c r="G493" s="5" t="inlineStr"/>
      <c r="H493" s="5" t="inlineStr">
        <is>
          <t>band width matches label</t>
        </is>
      </c>
      <c r="I493" s="5" t="n">
        <v>272</v>
      </c>
      <c r="J493" s="5" t="n">
        <v>40</v>
      </c>
      <c r="K493" s="9">
        <f>IF(AND(ISNUMBER(I493),ISNUMBER(J493),J493&gt;0),I493/J493,"")</f>
        <v/>
      </c>
      <c r="L493" s="5" t="n">
        <v>1.089</v>
      </c>
      <c r="M493" s="5" t="n">
        <v>2.72</v>
      </c>
      <c r="N493" s="5" t="n">
        <v>169.3</v>
      </c>
      <c r="O493" s="5" t="inlineStr">
        <is>
          <t>parallel line pair</t>
        </is>
      </c>
      <c r="P493" s="5" t="inlineStr">
        <is>
          <t>two parallel lines at the width written in the LG label, empty inside</t>
        </is>
      </c>
      <c r="Q493" s="5">
        <f>IF(OR(D493="column",D493="wall"),IF(I493&lt;='P vs V'!$B$3*J493,"column","wall"),"")</f>
        <v/>
      </c>
      <c r="R493" s="5" t="inlineStr"/>
      <c r="S493" s="5" t="inlineStr"/>
      <c r="T493" s="5" t="n"/>
      <c r="U493" s="5" t="inlineStr">
        <is>
          <t>no</t>
        </is>
      </c>
      <c r="V493" s="5" t="inlineStr">
        <is>
          <t>no</t>
        </is>
      </c>
      <c r="W493" s="5" t="inlineStr">
        <is>
          <t>no</t>
        </is>
      </c>
      <c r="X493" s="5" t="inlineStr">
        <is>
          <t>no</t>
        </is>
      </c>
      <c r="Y493" s="5" t="inlineStr">
        <is>
          <t>no</t>
        </is>
      </c>
      <c r="Z493" s="5" t="inlineStr">
        <is>
          <t>no</t>
        </is>
      </c>
      <c r="AA493" s="5" t="n">
        <v>0.08</v>
      </c>
      <c r="AB493" s="5" t="n"/>
      <c r="AC493" s="5" t="n"/>
      <c r="AD493" s="5" t="n"/>
      <c r="AE493" s="5" t="n">
        <v>3248.2</v>
      </c>
      <c r="AF493" s="5" t="n">
        <v>3273</v>
      </c>
      <c r="AG493" s="5" t="n">
        <v>3329.4</v>
      </c>
      <c r="AH493" s="5" t="n">
        <v>3299.5</v>
      </c>
      <c r="AI493" s="5" t="inlineStr">
        <is>
          <t>n/a</t>
        </is>
      </c>
      <c r="AJ493" s="5" t="inlineStr"/>
      <c r="AK493" s="5" t="inlineStr"/>
      <c r="AL493" s="5" t="inlineStr"/>
      <c r="AM493" s="5" t="inlineStr"/>
    </row>
    <row r="494">
      <c r="A494" s="5" t="n">
        <v>493</v>
      </c>
      <c r="B494" s="5" t="inlineStr">
        <is>
          <t>125</t>
        </is>
      </c>
      <c r="C494" s="5" t="inlineStr">
        <is>
          <t>nearest labels (100% agree)</t>
        </is>
      </c>
      <c r="D494" s="5" t="inlineStr">
        <is>
          <t>grade_beam</t>
        </is>
      </c>
      <c r="E494" s="5" t="inlineStr">
        <is>
          <t>grade_beam</t>
        </is>
      </c>
      <c r="F494" s="5" t="inlineStr">
        <is>
          <t>LG40x15</t>
        </is>
      </c>
      <c r="G494" s="5" t="inlineStr"/>
      <c r="H494" s="5" t="inlineStr">
        <is>
          <t>band width matches label</t>
        </is>
      </c>
      <c r="I494" s="5" t="n">
        <v>331</v>
      </c>
      <c r="J494" s="5" t="n">
        <v>40</v>
      </c>
      <c r="K494" s="9">
        <f>IF(AND(ISNUMBER(I494),ISNUMBER(J494),J494&gt;0),I494/J494,"")</f>
        <v/>
      </c>
      <c r="L494" s="5" t="n">
        <v>1.323</v>
      </c>
      <c r="M494" s="5" t="n">
        <v>3.31</v>
      </c>
      <c r="N494" s="5" t="n">
        <v>169.3</v>
      </c>
      <c r="O494" s="5" t="inlineStr">
        <is>
          <t>parallel line pair</t>
        </is>
      </c>
      <c r="P494" s="5" t="inlineStr">
        <is>
          <t>two parallel lines at the width written in the LG label, empty inside</t>
        </is>
      </c>
      <c r="Q494" s="5">
        <f>IF(OR(D494="column",D494="wall"),IF(I494&lt;='P vs V'!$B$3*J494,"column","wall"),"")</f>
        <v/>
      </c>
      <c r="R494" s="5" t="inlineStr"/>
      <c r="S494" s="5" t="inlineStr"/>
      <c r="T494" s="5" t="n"/>
      <c r="U494" s="5" t="inlineStr">
        <is>
          <t>no</t>
        </is>
      </c>
      <c r="V494" s="5" t="inlineStr">
        <is>
          <t>no</t>
        </is>
      </c>
      <c r="W494" s="5" t="inlineStr">
        <is>
          <t>no</t>
        </is>
      </c>
      <c r="X494" s="5" t="inlineStr">
        <is>
          <t>no</t>
        </is>
      </c>
      <c r="Y494" s="5" t="inlineStr">
        <is>
          <t>no</t>
        </is>
      </c>
      <c r="Z494" s="5" t="inlineStr">
        <is>
          <t>no</t>
        </is>
      </c>
      <c r="AA494" s="5" t="n">
        <v>0.88</v>
      </c>
      <c r="AB494" s="5" t="n"/>
      <c r="AC494" s="5" t="n"/>
      <c r="AD494" s="5" t="n"/>
      <c r="AE494" s="5" t="n">
        <v>3065.2</v>
      </c>
      <c r="AF494" s="5" t="n">
        <v>3304.3</v>
      </c>
      <c r="AG494" s="5" t="n">
        <v>3163.4</v>
      </c>
      <c r="AH494" s="5" t="n">
        <v>3334</v>
      </c>
      <c r="AI494" s="5" t="inlineStr">
        <is>
          <t>n/a</t>
        </is>
      </c>
      <c r="AJ494" s="5" t="inlineStr"/>
      <c r="AK494" s="5" t="inlineStr"/>
      <c r="AL494" s="5" t="inlineStr"/>
      <c r="AM494" s="5" t="inlineStr"/>
    </row>
    <row r="495">
      <c r="A495" s="5" t="n">
        <v>494</v>
      </c>
      <c r="B495" s="5" t="inlineStr">
        <is>
          <t>125</t>
        </is>
      </c>
      <c r="C495" s="5" t="inlineStr">
        <is>
          <t>nearest labels (100% agree)</t>
        </is>
      </c>
      <c r="D495" s="5" t="inlineStr">
        <is>
          <t>grade_beam</t>
        </is>
      </c>
      <c r="E495" s="5" t="inlineStr">
        <is>
          <t>grade_beam</t>
        </is>
      </c>
      <c r="F495" s="5" t="inlineStr">
        <is>
          <t>LG40x15</t>
        </is>
      </c>
      <c r="G495" s="5" t="inlineStr"/>
      <c r="H495" s="5" t="inlineStr">
        <is>
          <t>band width matches label</t>
        </is>
      </c>
      <c r="I495" s="5" t="n">
        <v>619</v>
      </c>
      <c r="J495" s="5" t="n">
        <v>40</v>
      </c>
      <c r="K495" s="9">
        <f>IF(AND(ISNUMBER(I495),ISNUMBER(J495),J495&gt;0),I495/J495,"")</f>
        <v/>
      </c>
      <c r="L495" s="5" t="n">
        <v>2.478</v>
      </c>
      <c r="M495" s="5" t="n">
        <v>6.19</v>
      </c>
      <c r="N495" s="5" t="n">
        <v>79.40000000000001</v>
      </c>
      <c r="O495" s="5" t="inlineStr">
        <is>
          <t>parallel line pair</t>
        </is>
      </c>
      <c r="P495" s="5" t="inlineStr">
        <is>
          <t>two parallel lines at the width written in the LG label, empty inside</t>
        </is>
      </c>
      <c r="Q495" s="5">
        <f>IF(OR(D495="column",D495="wall"),IF(I495&lt;='P vs V'!$B$3*J495,"column","wall"),"")</f>
        <v/>
      </c>
      <c r="R495" s="5" t="inlineStr"/>
      <c r="S495" s="5" t="inlineStr"/>
      <c r="T495" s="5" t="n"/>
      <c r="U495" s="5" t="inlineStr">
        <is>
          <t>no</t>
        </is>
      </c>
      <c r="V495" s="5" t="inlineStr">
        <is>
          <t>no</t>
        </is>
      </c>
      <c r="W495" s="5" t="inlineStr">
        <is>
          <t>no</t>
        </is>
      </c>
      <c r="X495" s="5" t="inlineStr">
        <is>
          <t>no</t>
        </is>
      </c>
      <c r="Y495" s="5" t="inlineStr">
        <is>
          <t>no</t>
        </is>
      </c>
      <c r="Z495" s="5" t="inlineStr">
        <is>
          <t>yes</t>
        </is>
      </c>
      <c r="AA495" s="5" t="n">
        <v>1.48</v>
      </c>
      <c r="AB495" s="5" t="n"/>
      <c r="AC495" s="5" t="n"/>
      <c r="AD495" s="5" t="n"/>
      <c r="AE495" s="5" t="n">
        <v>3337.1</v>
      </c>
      <c r="AF495" s="5" t="n">
        <v>3035.9</v>
      </c>
      <c r="AG495" s="5" t="n">
        <v>3382.3</v>
      </c>
      <c r="AH495" s="5" t="n">
        <v>3217.8</v>
      </c>
      <c r="AI495" s="5" t="inlineStr">
        <is>
          <t>n/a</t>
        </is>
      </c>
      <c r="AJ495" s="5" t="inlineStr"/>
      <c r="AK495" s="5" t="inlineStr"/>
      <c r="AL495" s="5" t="inlineStr"/>
      <c r="AM495" s="5" t="inlineStr"/>
    </row>
    <row r="496">
      <c r="A496" s="5" t="n">
        <v>495</v>
      </c>
      <c r="B496" s="5" t="inlineStr">
        <is>
          <t>125</t>
        </is>
      </c>
      <c r="C496" s="5" t="inlineStr">
        <is>
          <t>nearest labels (100% agree)</t>
        </is>
      </c>
      <c r="D496" s="5" t="inlineStr">
        <is>
          <t>grade_beam</t>
        </is>
      </c>
      <c r="E496" s="5" t="inlineStr">
        <is>
          <t>grade_beam</t>
        </is>
      </c>
      <c r="F496" s="5" t="inlineStr">
        <is>
          <t>LG40x15</t>
        </is>
      </c>
      <c r="G496" s="5" t="inlineStr"/>
      <c r="H496" s="5" t="inlineStr">
        <is>
          <t>band width matches label</t>
        </is>
      </c>
      <c r="I496" s="5" t="n">
        <v>300</v>
      </c>
      <c r="J496" s="5" t="n">
        <v>40</v>
      </c>
      <c r="K496" s="9">
        <f>IF(AND(ISNUMBER(I496),ISNUMBER(J496),J496&gt;0),I496/J496,"")</f>
        <v/>
      </c>
      <c r="L496" s="5" t="n">
        <v>1.201</v>
      </c>
      <c r="M496" s="5" t="n">
        <v>3</v>
      </c>
      <c r="N496" s="5" t="n">
        <v>79.40000000000001</v>
      </c>
      <c r="O496" s="5" t="inlineStr">
        <is>
          <t>parallel line pair</t>
        </is>
      </c>
      <c r="P496" s="5" t="inlineStr">
        <is>
          <t>two parallel lines at the width written in the LG label, empty inside</t>
        </is>
      </c>
      <c r="Q496" s="5">
        <f>IF(OR(D496="column",D496="wall"),IF(I496&lt;='P vs V'!$B$3*J496,"column","wall"),"")</f>
        <v/>
      </c>
      <c r="R496" s="5" t="inlineStr"/>
      <c r="S496" s="5" t="inlineStr"/>
      <c r="T496" s="5" t="n"/>
      <c r="U496" s="5" t="inlineStr">
        <is>
          <t>no</t>
        </is>
      </c>
      <c r="V496" s="5" t="inlineStr">
        <is>
          <t>no</t>
        </is>
      </c>
      <c r="W496" s="5" t="inlineStr">
        <is>
          <t>no</t>
        </is>
      </c>
      <c r="X496" s="5" t="inlineStr">
        <is>
          <t>no</t>
        </is>
      </c>
      <c r="Y496" s="5" t="inlineStr">
        <is>
          <t>no</t>
        </is>
      </c>
      <c r="Z496" s="5" t="inlineStr">
        <is>
          <t>no</t>
        </is>
      </c>
      <c r="AA496" s="5" t="n">
        <v>1.5</v>
      </c>
      <c r="AB496" s="5" t="n"/>
      <c r="AC496" s="5" t="n"/>
      <c r="AD496" s="5" t="n"/>
      <c r="AE496" s="5" t="n">
        <v>3397.8</v>
      </c>
      <c r="AF496" s="5" t="n">
        <v>3360.7</v>
      </c>
      <c r="AG496" s="5" t="n">
        <v>3425.7</v>
      </c>
      <c r="AH496" s="5" t="n">
        <v>3450</v>
      </c>
      <c r="AI496" s="5" t="inlineStr">
        <is>
          <t>n/a</t>
        </is>
      </c>
      <c r="AJ496" s="5" t="inlineStr"/>
      <c r="AK496" s="5" t="inlineStr"/>
      <c r="AL496" s="5" t="inlineStr"/>
      <c r="AM496" s="5" t="inlineStr"/>
    </row>
    <row r="497">
      <c r="A497" s="5" t="n">
        <v>496</v>
      </c>
      <c r="B497" s="5" t="inlineStr">
        <is>
          <t>125</t>
        </is>
      </c>
      <c r="C497" s="5" t="inlineStr">
        <is>
          <t>nearest labels (100% agree)</t>
        </is>
      </c>
      <c r="D497" s="5" t="inlineStr">
        <is>
          <t>grade_beam</t>
        </is>
      </c>
      <c r="E497" s="5" t="inlineStr">
        <is>
          <t>grade_beam</t>
        </is>
      </c>
      <c r="F497" s="5" t="inlineStr">
        <is>
          <t>LG40x15</t>
        </is>
      </c>
      <c r="G497" s="5" t="inlineStr"/>
      <c r="H497" s="5" t="inlineStr">
        <is>
          <t>band width matches label</t>
        </is>
      </c>
      <c r="I497" s="5" t="n">
        <v>630</v>
      </c>
      <c r="J497" s="5" t="n">
        <v>40</v>
      </c>
      <c r="K497" s="9">
        <f>IF(AND(ISNUMBER(I497),ISNUMBER(J497),J497&gt;0),I497/J497,"")</f>
        <v/>
      </c>
      <c r="L497" s="5" t="n">
        <v>2.521</v>
      </c>
      <c r="M497" s="5" t="n">
        <v>6.3</v>
      </c>
      <c r="N497" s="5" t="n">
        <v>168.7</v>
      </c>
      <c r="O497" s="5" t="inlineStr">
        <is>
          <t>parallel line pair</t>
        </is>
      </c>
      <c r="P497" s="5" t="inlineStr">
        <is>
          <t>two parallel lines at the width written in the LG label, empty inside</t>
        </is>
      </c>
      <c r="Q497" s="5">
        <f>IF(OR(D497="column",D497="wall"),IF(I497&lt;='P vs V'!$B$3*J497,"column","wall"),"")</f>
        <v/>
      </c>
      <c r="R497" s="5" t="inlineStr"/>
      <c r="S497" s="5" t="inlineStr"/>
      <c r="T497" s="5" t="n"/>
      <c r="U497" s="5" t="inlineStr">
        <is>
          <t>no</t>
        </is>
      </c>
      <c r="V497" s="5" t="inlineStr">
        <is>
          <t>no</t>
        </is>
      </c>
      <c r="W497" s="5" t="inlineStr">
        <is>
          <t>no</t>
        </is>
      </c>
      <c r="X497" s="5" t="inlineStr">
        <is>
          <t>no</t>
        </is>
      </c>
      <c r="Y497" s="5" t="inlineStr">
        <is>
          <t>no</t>
        </is>
      </c>
      <c r="Z497" s="5" t="inlineStr">
        <is>
          <t>yes</t>
        </is>
      </c>
      <c r="AA497" s="5" t="n">
        <v>0.49</v>
      </c>
      <c r="AB497" s="5" t="n"/>
      <c r="AC497" s="5" t="n"/>
      <c r="AD497" s="5" t="n"/>
      <c r="AE497" s="5" t="n">
        <v>3084.3</v>
      </c>
      <c r="AF497" s="5" t="n">
        <v>3039.6</v>
      </c>
      <c r="AG497" s="5" t="n">
        <v>3269.1</v>
      </c>
      <c r="AH497" s="5" t="n">
        <v>3087.6</v>
      </c>
      <c r="AI497" s="5" t="inlineStr">
        <is>
          <t>n/a</t>
        </is>
      </c>
      <c r="AJ497" s="5" t="inlineStr"/>
      <c r="AK497" s="5" t="inlineStr"/>
      <c r="AL497" s="5" t="inlineStr"/>
      <c r="AM497" s="5" t="inlineStr"/>
    </row>
    <row r="498">
      <c r="A498" s="5" t="n">
        <v>497</v>
      </c>
      <c r="B498" s="5" t="inlineStr">
        <is>
          <t>125</t>
        </is>
      </c>
      <c r="C498" s="5" t="inlineStr">
        <is>
          <t>nearest labels (100% agree)</t>
        </is>
      </c>
      <c r="D498" s="5" t="inlineStr">
        <is>
          <t>grade_beam</t>
        </is>
      </c>
      <c r="E498" s="5" t="inlineStr">
        <is>
          <t>grade_beam</t>
        </is>
      </c>
      <c r="F498" s="5" t="inlineStr">
        <is>
          <t>LG40x15</t>
        </is>
      </c>
      <c r="G498" s="5" t="inlineStr"/>
      <c r="H498" s="5" t="inlineStr">
        <is>
          <t>band width matches label</t>
        </is>
      </c>
      <c r="I498" s="5" t="n">
        <v>614</v>
      </c>
      <c r="J498" s="5" t="n">
        <v>40</v>
      </c>
      <c r="K498" s="9">
        <f>IF(AND(ISNUMBER(I498),ISNUMBER(J498),J498&gt;0),I498/J498,"")</f>
        <v/>
      </c>
      <c r="L498" s="5" t="n">
        <v>2.456</v>
      </c>
      <c r="M498" s="5" t="n">
        <v>6.14</v>
      </c>
      <c r="N498" s="5" t="n">
        <v>81.09999999999999</v>
      </c>
      <c r="O498" s="5" t="inlineStr">
        <is>
          <t>parallel line pair</t>
        </is>
      </c>
      <c r="P498" s="5" t="inlineStr">
        <is>
          <t>two parallel lines at the width written in the LG label, empty inside</t>
        </is>
      </c>
      <c r="Q498" s="5">
        <f>IF(OR(D498="column",D498="wall"),IF(I498&lt;='P vs V'!$B$3*J498,"column","wall"),"")</f>
        <v/>
      </c>
      <c r="R498" s="5" t="inlineStr"/>
      <c r="S498" s="5" t="inlineStr"/>
      <c r="T498" s="5" t="n"/>
      <c r="U498" s="5" t="inlineStr">
        <is>
          <t>no</t>
        </is>
      </c>
      <c r="V498" s="5" t="inlineStr">
        <is>
          <t>no</t>
        </is>
      </c>
      <c r="W498" s="5" t="inlineStr">
        <is>
          <t>no</t>
        </is>
      </c>
      <c r="X498" s="5" t="inlineStr">
        <is>
          <t>no</t>
        </is>
      </c>
      <c r="Y498" s="5" t="inlineStr">
        <is>
          <t>no</t>
        </is>
      </c>
      <c r="Z498" s="5" t="inlineStr">
        <is>
          <t>yes</t>
        </is>
      </c>
      <c r="AA498" s="5" t="n">
        <v>0.09</v>
      </c>
      <c r="AB498" s="5" t="n"/>
      <c r="AC498" s="5" t="n"/>
      <c r="AD498" s="5" t="n"/>
      <c r="AE498" s="5" t="n">
        <v>3163.1</v>
      </c>
      <c r="AF498" s="5" t="n">
        <v>3070.5</v>
      </c>
      <c r="AG498" s="5" t="n">
        <v>3202.8</v>
      </c>
      <c r="AH498" s="5" t="n">
        <v>3251.4</v>
      </c>
      <c r="AI498" s="5" t="inlineStr">
        <is>
          <t>n/a</t>
        </is>
      </c>
      <c r="AJ498" s="5" t="inlineStr"/>
      <c r="AK498" s="5" t="inlineStr"/>
      <c r="AL498" s="5" t="inlineStr"/>
      <c r="AM498" s="5" t="inlineStr"/>
    </row>
    <row r="499">
      <c r="A499" s="5" t="n">
        <v>498</v>
      </c>
      <c r="B499" s="5" t="inlineStr">
        <is>
          <t>125</t>
        </is>
      </c>
      <c r="C499" s="5" t="inlineStr">
        <is>
          <t>nearest labels (80% agree)</t>
        </is>
      </c>
      <c r="D499" s="5" t="inlineStr">
        <is>
          <t>grade_beam</t>
        </is>
      </c>
      <c r="E499" s="5" t="inlineStr">
        <is>
          <t>grade_beam</t>
        </is>
      </c>
      <c r="F499" s="5" t="inlineStr">
        <is>
          <t>LG40x15</t>
        </is>
      </c>
      <c r="G499" s="5" t="inlineStr"/>
      <c r="H499" s="5" t="inlineStr">
        <is>
          <t>band width matches label</t>
        </is>
      </c>
      <c r="I499" s="5" t="n">
        <v>596</v>
      </c>
      <c r="J499" s="5" t="n">
        <v>40</v>
      </c>
      <c r="K499" s="9">
        <f>IF(AND(ISNUMBER(I499),ISNUMBER(J499),J499&gt;0),I499/J499,"")</f>
        <v/>
      </c>
      <c r="L499" s="5" t="n">
        <v>2.384</v>
      </c>
      <c r="M499" s="5" t="n">
        <v>5.96</v>
      </c>
      <c r="N499" s="5" t="n">
        <v>169.4</v>
      </c>
      <c r="O499" s="5" t="inlineStr">
        <is>
          <t>parallel line pair</t>
        </is>
      </c>
      <c r="P499" s="5" t="inlineStr">
        <is>
          <t>two parallel lines at the width written in the LG label, empty inside</t>
        </is>
      </c>
      <c r="Q499" s="5">
        <f>IF(OR(D499="column",D499="wall"),IF(I499&lt;='P vs V'!$B$3*J499,"column","wall"),"")</f>
        <v/>
      </c>
      <c r="R499" s="5" t="inlineStr"/>
      <c r="S499" s="5" t="inlineStr"/>
      <c r="T499" s="5" t="n"/>
      <c r="U499" s="5" t="inlineStr">
        <is>
          <t>no</t>
        </is>
      </c>
      <c r="V499" s="5" t="inlineStr">
        <is>
          <t>no</t>
        </is>
      </c>
      <c r="W499" s="5" t="inlineStr">
        <is>
          <t>no</t>
        </is>
      </c>
      <c r="X499" s="5" t="inlineStr">
        <is>
          <t>no</t>
        </is>
      </c>
      <c r="Y499" s="5" t="inlineStr">
        <is>
          <t>no</t>
        </is>
      </c>
      <c r="Z499" s="5" t="inlineStr">
        <is>
          <t>yes</t>
        </is>
      </c>
      <c r="AA499" s="5" t="n">
        <v>0.95</v>
      </c>
      <c r="AB499" s="5" t="n"/>
      <c r="AC499" s="5" t="n"/>
      <c r="AD499" s="5" t="n"/>
      <c r="AE499" s="5" t="n">
        <v>3324.8</v>
      </c>
      <c r="AF499" s="5" t="n">
        <v>2996</v>
      </c>
      <c r="AG499" s="5" t="n">
        <v>3499.9</v>
      </c>
      <c r="AH499" s="5" t="n">
        <v>3039.9</v>
      </c>
      <c r="AI499" s="5" t="inlineStr">
        <is>
          <t>n/a</t>
        </is>
      </c>
      <c r="AJ499" s="5" t="inlineStr"/>
      <c r="AK499" s="5" t="inlineStr"/>
      <c r="AL499" s="5" t="inlineStr"/>
      <c r="AM499" s="5" t="inlineStr"/>
    </row>
    <row r="500">
      <c r="A500" s="5" t="n">
        <v>499</v>
      </c>
      <c r="B500" s="5" t="inlineStr">
        <is>
          <t>125</t>
        </is>
      </c>
      <c r="C500" s="5" t="inlineStr">
        <is>
          <t>nearest labels (100% agree)</t>
        </is>
      </c>
      <c r="D500" s="5" t="inlineStr">
        <is>
          <t>grade_beam</t>
        </is>
      </c>
      <c r="E500" s="5" t="inlineStr">
        <is>
          <t>grade_beam</t>
        </is>
      </c>
      <c r="F500" s="5" t="inlineStr">
        <is>
          <t>LG40x15</t>
        </is>
      </c>
      <c r="G500" s="5" t="inlineStr"/>
      <c r="H500" s="5" t="inlineStr">
        <is>
          <t>band width matches label</t>
        </is>
      </c>
      <c r="I500" s="5" t="n">
        <v>304</v>
      </c>
      <c r="J500" s="5" t="n">
        <v>40</v>
      </c>
      <c r="K500" s="9">
        <f>IF(AND(ISNUMBER(I500),ISNUMBER(J500),J500&gt;0),I500/J500,"")</f>
        <v/>
      </c>
      <c r="L500" s="5" t="n">
        <v>1.216</v>
      </c>
      <c r="M500" s="5" t="n">
        <v>3.04</v>
      </c>
      <c r="N500" s="5" t="n">
        <v>79.40000000000001</v>
      </c>
      <c r="O500" s="5" t="inlineStr">
        <is>
          <t>parallel line pair</t>
        </is>
      </c>
      <c r="P500" s="5" t="inlineStr">
        <is>
          <t>two parallel lines at the width written in the LG label, empty inside</t>
        </is>
      </c>
      <c r="Q500" s="5">
        <f>IF(OR(D500="column",D500="wall"),IF(I500&lt;='P vs V'!$B$3*J500,"column","wall"),"")</f>
        <v/>
      </c>
      <c r="R500" s="5" t="inlineStr"/>
      <c r="S500" s="5" t="inlineStr"/>
      <c r="T500" s="5" t="n"/>
      <c r="U500" s="5" t="inlineStr">
        <is>
          <t>no</t>
        </is>
      </c>
      <c r="V500" s="5" t="inlineStr">
        <is>
          <t>no</t>
        </is>
      </c>
      <c r="W500" s="5" t="inlineStr">
        <is>
          <t>yes</t>
        </is>
      </c>
      <c r="X500" s="5" t="inlineStr">
        <is>
          <t>no</t>
        </is>
      </c>
      <c r="Y500" s="5" t="inlineStr">
        <is>
          <t>no</t>
        </is>
      </c>
      <c r="Z500" s="5" t="inlineStr">
        <is>
          <t>no</t>
        </is>
      </c>
      <c r="AA500" s="5" t="n">
        <v>0.01</v>
      </c>
      <c r="AB500" s="5" t="n"/>
      <c r="AC500" s="5" t="n"/>
      <c r="AD500" s="5" t="n"/>
      <c r="AE500" s="5" t="n">
        <v>3266.4</v>
      </c>
      <c r="AF500" s="5" t="n">
        <v>2906.4</v>
      </c>
      <c r="AG500" s="5" t="n">
        <v>3294.5</v>
      </c>
      <c r="AH500" s="5" t="n">
        <v>2996.8</v>
      </c>
      <c r="AI500" s="5" t="inlineStr">
        <is>
          <t>n/a</t>
        </is>
      </c>
      <c r="AJ500" s="5" t="inlineStr"/>
      <c r="AK500" s="5" t="inlineStr"/>
      <c r="AL500" s="5" t="inlineStr"/>
      <c r="AM500" s="5" t="inlineStr"/>
    </row>
    <row r="501">
      <c r="A501" s="5" t="n">
        <v>500</v>
      </c>
      <c r="B501" s="5" t="inlineStr">
        <is>
          <t>125</t>
        </is>
      </c>
      <c r="C501" s="5" t="inlineStr">
        <is>
          <t>nearest labels (80% agree)</t>
        </is>
      </c>
      <c r="D501" s="5" t="inlineStr">
        <is>
          <t>grade_beam</t>
        </is>
      </c>
      <c r="E501" s="5" t="inlineStr">
        <is>
          <t>grade_beam</t>
        </is>
      </c>
      <c r="F501" s="5" t="inlineStr">
        <is>
          <t>LG40x15</t>
        </is>
      </c>
      <c r="G501" s="5" t="inlineStr"/>
      <c r="H501" s="5" t="inlineStr">
        <is>
          <t>band width matches label</t>
        </is>
      </c>
      <c r="I501" s="5" t="n">
        <v>228</v>
      </c>
      <c r="J501" s="5" t="n">
        <v>40</v>
      </c>
      <c r="K501" s="9">
        <f>IF(AND(ISNUMBER(I501),ISNUMBER(J501),J501&gt;0),I501/J501,"")</f>
        <v/>
      </c>
      <c r="L501" s="5" t="n">
        <v>0.912</v>
      </c>
      <c r="M501" s="5" t="n">
        <v>2.28</v>
      </c>
      <c r="N501" s="5" t="n">
        <v>8.699999999999999</v>
      </c>
      <c r="O501" s="5" t="inlineStr">
        <is>
          <t>parallel line pair</t>
        </is>
      </c>
      <c r="P501" s="5" t="inlineStr">
        <is>
          <t>two parallel lines at the width written in the LG label, empty inside</t>
        </is>
      </c>
      <c r="Q501" s="5">
        <f>IF(OR(D501="column",D501="wall"),IF(I501&lt;='P vs V'!$B$3*J501,"column","wall"),"")</f>
        <v/>
      </c>
      <c r="R501" s="5" t="inlineStr"/>
      <c r="S501" s="5" t="inlineStr"/>
      <c r="T501" s="5" t="n"/>
      <c r="U501" s="5" t="inlineStr">
        <is>
          <t>no</t>
        </is>
      </c>
      <c r="V501" s="5" t="inlineStr">
        <is>
          <t>no</t>
        </is>
      </c>
      <c r="W501" s="5" t="inlineStr">
        <is>
          <t>no</t>
        </is>
      </c>
      <c r="X501" s="5" t="inlineStr">
        <is>
          <t>no</t>
        </is>
      </c>
      <c r="Y501" s="5" t="inlineStr">
        <is>
          <t>no</t>
        </is>
      </c>
      <c r="Z501" s="5" t="inlineStr">
        <is>
          <t>no</t>
        </is>
      </c>
      <c r="AA501" s="5" t="n">
        <v>3.07</v>
      </c>
      <c r="AB501" s="5" t="n"/>
      <c r="AC501" s="5" t="n"/>
      <c r="AD501" s="5" t="n"/>
      <c r="AE501" s="5" t="n">
        <v>3051.2</v>
      </c>
      <c r="AF501" s="5" t="n">
        <v>3503.3</v>
      </c>
      <c r="AG501" s="5" t="n">
        <v>3119.5</v>
      </c>
      <c r="AH501" s="5" t="n">
        <v>3525.1</v>
      </c>
      <c r="AI501" s="5" t="inlineStr">
        <is>
          <t>n/a</t>
        </is>
      </c>
      <c r="AJ501" s="5" t="inlineStr"/>
      <c r="AK501" s="5" t="inlineStr"/>
      <c r="AL501" s="5" t="inlineStr"/>
      <c r="AM501" s="5" t="inlineStr"/>
    </row>
    <row r="502">
      <c r="A502" s="5" t="n">
        <v>501</v>
      </c>
      <c r="B502" s="5" t="inlineStr">
        <is>
          <t>125</t>
        </is>
      </c>
      <c r="C502" s="5" t="inlineStr">
        <is>
          <t>nearest labels (100% agree)</t>
        </is>
      </c>
      <c r="D502" s="5" t="inlineStr">
        <is>
          <t>strip_footing</t>
        </is>
      </c>
      <c r="E502" s="5" t="inlineStr">
        <is>
          <t>strip_footing</t>
        </is>
      </c>
      <c r="F502" s="5" t="inlineStr">
        <is>
          <t>SF1</t>
        </is>
      </c>
      <c r="G502" s="5" t="inlineStr"/>
      <c r="H502" s="5" t="inlineStr">
        <is>
          <t>band width matches label</t>
        </is>
      </c>
      <c r="I502" s="5" t="n">
        <v>337</v>
      </c>
      <c r="J502" s="5" t="n">
        <v>80</v>
      </c>
      <c r="K502" s="9">
        <f>IF(AND(ISNUMBER(I502),ISNUMBER(J502),J502&gt;0),I502/J502,"")</f>
        <v/>
      </c>
      <c r="L502" s="5" t="n">
        <v>2.692</v>
      </c>
      <c r="M502" s="5" t="n">
        <v>3.37</v>
      </c>
      <c r="N502" s="5" t="n">
        <v>169.4</v>
      </c>
      <c r="O502" s="5" t="inlineStr">
        <is>
          <t>parallel line pair</t>
        </is>
      </c>
      <c r="P502" s="5" t="inlineStr">
        <is>
          <t>two parallel lines at the width written in the SF label, a wall inside</t>
        </is>
      </c>
      <c r="Q502" s="5">
        <f>IF(OR(D502="column",D502="wall"),IF(I502&lt;='P vs V'!$B$3*J502,"column","wall"),"")</f>
        <v/>
      </c>
      <c r="R502" s="5" t="inlineStr"/>
      <c r="S502" s="5" t="inlineStr"/>
      <c r="T502" s="5" t="n"/>
      <c r="U502" s="5" t="inlineStr">
        <is>
          <t>no</t>
        </is>
      </c>
      <c r="V502" s="5" t="inlineStr">
        <is>
          <t>no</t>
        </is>
      </c>
      <c r="W502" s="5" t="inlineStr">
        <is>
          <t>yes</t>
        </is>
      </c>
      <c r="X502" s="5" t="inlineStr">
        <is>
          <t>yes</t>
        </is>
      </c>
      <c r="Y502" s="5" t="inlineStr">
        <is>
          <t>no</t>
        </is>
      </c>
      <c r="Z502" s="5" t="inlineStr">
        <is>
          <t>no</t>
        </is>
      </c>
      <c r="AA502" s="5" t="n">
        <v>0.91</v>
      </c>
      <c r="AB502" s="5" t="n"/>
      <c r="AC502" s="5" t="n"/>
      <c r="AD502" s="5" t="n"/>
      <c r="AE502" s="5" t="n">
        <v>3308</v>
      </c>
      <c r="AF502" s="5" t="n">
        <v>3492.9</v>
      </c>
      <c r="AG502" s="5" t="n">
        <v>3410</v>
      </c>
      <c r="AH502" s="5" t="n">
        <v>3534.4</v>
      </c>
      <c r="AI502" s="5" t="inlineStr">
        <is>
          <t>n/a</t>
        </is>
      </c>
      <c r="AJ502" s="5" t="inlineStr"/>
      <c r="AK502" s="5" t="inlineStr"/>
      <c r="AL502" s="5" t="inlineStr"/>
      <c r="AM502" s="5" t="inlineStr"/>
    </row>
    <row r="503">
      <c r="A503" s="5" t="n">
        <v>502</v>
      </c>
      <c r="B503" s="5" t="inlineStr">
        <is>
          <t>125</t>
        </is>
      </c>
      <c r="C503" s="5" t="inlineStr">
        <is>
          <t>nearest labels (100% agree)</t>
        </is>
      </c>
      <c r="D503" s="5" t="inlineStr">
        <is>
          <t>strip_footing</t>
        </is>
      </c>
      <c r="E503" s="5" t="inlineStr">
        <is>
          <t>strip_footing</t>
        </is>
      </c>
      <c r="F503" s="5" t="inlineStr">
        <is>
          <t>SF4</t>
        </is>
      </c>
      <c r="G503" s="5" t="inlineStr"/>
      <c r="H503" s="5" t="inlineStr">
        <is>
          <t>band width matches label</t>
        </is>
      </c>
      <c r="I503" s="5" t="n">
        <v>219</v>
      </c>
      <c r="J503" s="5" t="n">
        <v>120</v>
      </c>
      <c r="K503" s="9">
        <f>IF(AND(ISNUMBER(I503),ISNUMBER(J503),J503&gt;0),I503/J503,"")</f>
        <v/>
      </c>
      <c r="L503" s="5" t="n">
        <v>2.627</v>
      </c>
      <c r="M503" s="5" t="n">
        <v>2.19</v>
      </c>
      <c r="N503" s="5" t="n">
        <v>79.40000000000001</v>
      </c>
      <c r="O503" s="5" t="inlineStr">
        <is>
          <t>parallel line pair</t>
        </is>
      </c>
      <c r="P503" s="5" t="inlineStr">
        <is>
          <t>two parallel lines at the width written in the SF label, a wall inside</t>
        </is>
      </c>
      <c r="Q503" s="5">
        <f>IF(OR(D503="column",D503="wall"),IF(I503&lt;='P vs V'!$B$3*J503,"column","wall"),"")</f>
        <v/>
      </c>
      <c r="R503" s="5" t="inlineStr"/>
      <c r="S503" s="5" t="inlineStr"/>
      <c r="T503" s="5" t="n"/>
      <c r="U503" s="5" t="inlineStr">
        <is>
          <t>yes</t>
        </is>
      </c>
      <c r="V503" s="5" t="inlineStr">
        <is>
          <t>yes</t>
        </is>
      </c>
      <c r="W503" s="5" t="inlineStr">
        <is>
          <t>yes</t>
        </is>
      </c>
      <c r="X503" s="5" t="inlineStr">
        <is>
          <t>yes</t>
        </is>
      </c>
      <c r="Y503" s="5" t="inlineStr">
        <is>
          <t>no</t>
        </is>
      </c>
      <c r="Z503" s="5" t="inlineStr">
        <is>
          <t>no</t>
        </is>
      </c>
      <c r="AA503" s="5" t="n">
        <v>0.5600000000000001</v>
      </c>
      <c r="AB503" s="5" t="n"/>
      <c r="AC503" s="5" t="n"/>
      <c r="AD503" s="5" t="n"/>
      <c r="AE503" s="5" t="n">
        <v>3249.1</v>
      </c>
      <c r="AF503" s="5" t="n">
        <v>3524.6</v>
      </c>
      <c r="AG503" s="5" t="n">
        <v>3295.8</v>
      </c>
      <c r="AH503" s="5" t="n">
        <v>3594.7</v>
      </c>
      <c r="AI503" s="5" t="inlineStr">
        <is>
          <t>n/a</t>
        </is>
      </c>
      <c r="AJ503" s="5" t="inlineStr"/>
      <c r="AK503" s="5" t="inlineStr"/>
      <c r="AL503" s="5" t="inlineStr"/>
      <c r="AM503" s="5" t="inlineStr"/>
    </row>
    <row r="504">
      <c r="A504" s="5" t="n">
        <v>503</v>
      </c>
      <c r="B504" s="5" t="inlineStr">
        <is>
          <t>125</t>
        </is>
      </c>
      <c r="C504" s="5" t="inlineStr">
        <is>
          <t>nearest labels (100% agree)</t>
        </is>
      </c>
      <c r="D504" s="5" t="inlineStr">
        <is>
          <t>strip_footing</t>
        </is>
      </c>
      <c r="E504" s="5" t="inlineStr">
        <is>
          <t>strip_footing</t>
        </is>
      </c>
      <c r="F504" s="5" t="inlineStr">
        <is>
          <t>SF4</t>
        </is>
      </c>
      <c r="G504" s="5" t="inlineStr"/>
      <c r="H504" s="5" t="inlineStr">
        <is>
          <t>band width matches label</t>
        </is>
      </c>
      <c r="I504" s="5" t="n">
        <v>199</v>
      </c>
      <c r="J504" s="5" t="n">
        <v>120</v>
      </c>
      <c r="K504" s="9">
        <f>IF(AND(ISNUMBER(I504),ISNUMBER(J504),J504&gt;0),I504/J504,"")</f>
        <v/>
      </c>
      <c r="L504" s="5" t="n">
        <v>2.387</v>
      </c>
      <c r="M504" s="5" t="n">
        <v>1.99</v>
      </c>
      <c r="N504" s="5" t="n">
        <v>79.40000000000001</v>
      </c>
      <c r="O504" s="5" t="inlineStr">
        <is>
          <t>parallel line pair</t>
        </is>
      </c>
      <c r="P504" s="5" t="inlineStr">
        <is>
          <t>two parallel lines at the width written in the SF label, a wall inside</t>
        </is>
      </c>
      <c r="Q504" s="5">
        <f>IF(OR(D504="column",D504="wall"),IF(I504&lt;='P vs V'!$B$3*J504,"column","wall"),"")</f>
        <v/>
      </c>
      <c r="R504" s="5" t="inlineStr"/>
      <c r="S504" s="5" t="inlineStr"/>
      <c r="T504" s="5" t="n"/>
      <c r="U504" s="5" t="inlineStr">
        <is>
          <t>yes</t>
        </is>
      </c>
      <c r="V504" s="5" t="inlineStr">
        <is>
          <t>yes</t>
        </is>
      </c>
      <c r="W504" s="5" t="inlineStr">
        <is>
          <t>yes</t>
        </is>
      </c>
      <c r="X504" s="5" t="inlineStr">
        <is>
          <t>yes</t>
        </is>
      </c>
      <c r="Y504" s="5" t="inlineStr">
        <is>
          <t>no</t>
        </is>
      </c>
      <c r="Z504" s="5" t="inlineStr">
        <is>
          <t>no</t>
        </is>
      </c>
      <c r="AA504" s="5" t="n">
        <v>0.76</v>
      </c>
      <c r="AB504" s="5" t="n"/>
      <c r="AC504" s="5" t="n"/>
      <c r="AD504" s="5" t="n"/>
      <c r="AE504" s="5" t="n">
        <v>3256</v>
      </c>
      <c r="AF504" s="5" t="n">
        <v>3529.4</v>
      </c>
      <c r="AG504" s="5" t="n">
        <v>3301.6</v>
      </c>
      <c r="AH504" s="5" t="n">
        <v>3593.6</v>
      </c>
      <c r="AI504" s="5" t="inlineStr">
        <is>
          <t>n/a</t>
        </is>
      </c>
      <c r="AJ504" s="5" t="inlineStr"/>
      <c r="AK504" s="5" t="inlineStr"/>
      <c r="AL504" s="5" t="inlineStr"/>
      <c r="AM504" s="5" t="inlineStr"/>
    </row>
    <row r="505">
      <c r="A505" s="5" t="n">
        <v>504</v>
      </c>
      <c r="B505" s="5" t="inlineStr">
        <is>
          <t>125</t>
        </is>
      </c>
      <c r="C505" s="5" t="inlineStr">
        <is>
          <t>nearest labels (100% agree)</t>
        </is>
      </c>
      <c r="D505" s="5" t="inlineStr">
        <is>
          <t>strip_footing</t>
        </is>
      </c>
      <c r="E505" s="5" t="inlineStr">
        <is>
          <t>strip_footing</t>
        </is>
      </c>
      <c r="F505" s="5" t="inlineStr">
        <is>
          <t>SF4</t>
        </is>
      </c>
      <c r="G505" s="5" t="inlineStr"/>
      <c r="H505" s="5" t="inlineStr">
        <is>
          <t>band width matches label</t>
        </is>
      </c>
      <c r="I505" s="5" t="n">
        <v>84</v>
      </c>
      <c r="J505" s="5" t="n">
        <v>120</v>
      </c>
      <c r="K505" s="9">
        <f>IF(AND(ISNUMBER(I505),ISNUMBER(J505),J505&gt;0),I505/J505,"")</f>
        <v/>
      </c>
      <c r="L505" s="5" t="n">
        <v>1.012</v>
      </c>
      <c r="M505" s="5" t="n">
        <v>0.84</v>
      </c>
      <c r="N505" s="5" t="n">
        <v>79.40000000000001</v>
      </c>
      <c r="O505" s="5" t="inlineStr">
        <is>
          <t>parallel line pair</t>
        </is>
      </c>
      <c r="P505" s="5" t="inlineStr">
        <is>
          <t>two parallel lines at the width written in the SF label, a wall inside</t>
        </is>
      </c>
      <c r="Q505" s="5">
        <f>IF(OR(D505="column",D505="wall"),IF(I505&lt;='P vs V'!$B$3*J505,"column","wall"),"")</f>
        <v/>
      </c>
      <c r="R505" s="5" t="inlineStr"/>
      <c r="S505" s="5" t="inlineStr"/>
      <c r="T505" s="5" t="n"/>
      <c r="U505" s="5" t="inlineStr">
        <is>
          <t>yes</t>
        </is>
      </c>
      <c r="V505" s="5" t="inlineStr">
        <is>
          <t>no</t>
        </is>
      </c>
      <c r="W505" s="5" t="inlineStr">
        <is>
          <t>yes</t>
        </is>
      </c>
      <c r="X505" s="5" t="inlineStr">
        <is>
          <t>yes</t>
        </is>
      </c>
      <c r="Y505" s="5" t="inlineStr">
        <is>
          <t>no</t>
        </is>
      </c>
      <c r="Z505" s="5" t="inlineStr">
        <is>
          <t>no</t>
        </is>
      </c>
      <c r="AA505" s="5" t="n">
        <v>0.32</v>
      </c>
      <c r="AB505" s="5" t="n"/>
      <c r="AC505" s="5" t="n"/>
      <c r="AD505" s="5" t="n"/>
      <c r="AE505" s="5" t="n">
        <v>3174.8</v>
      </c>
      <c r="AF505" s="5" t="n">
        <v>3612.2</v>
      </c>
      <c r="AG505" s="5" t="n">
        <v>3205.8</v>
      </c>
      <c r="AH505" s="5" t="n">
        <v>3651.6</v>
      </c>
      <c r="AI505" s="5" t="inlineStr">
        <is>
          <t>n/a</t>
        </is>
      </c>
      <c r="AJ505" s="5" t="inlineStr"/>
      <c r="AK505" s="5" t="inlineStr"/>
      <c r="AL505" s="5" t="inlineStr"/>
      <c r="AM505" s="5" t="inlineStr"/>
    </row>
    <row r="506">
      <c r="A506" s="5" t="n">
        <v>505</v>
      </c>
      <c r="B506" s="5" t="inlineStr">
        <is>
          <t>125</t>
        </is>
      </c>
      <c r="C506" s="5" t="inlineStr">
        <is>
          <t>nearest labels (100% agree)</t>
        </is>
      </c>
      <c r="D506" s="5" t="inlineStr">
        <is>
          <t>raft</t>
        </is>
      </c>
      <c r="E506" s="5" t="inlineStr">
        <is>
          <t>raft</t>
        </is>
      </c>
      <c r="F506" s="5" t="inlineStr">
        <is>
          <t>Radier 90</t>
        </is>
      </c>
      <c r="G506" s="5" t="inlineStr">
        <is>
          <t>Radier</t>
        </is>
      </c>
      <c r="H506" s="5" t="inlineStr">
        <is>
          <t>printed</t>
        </is>
      </c>
      <c r="I506" s="5" t="n">
        <v>1400</v>
      </c>
      <c r="J506" s="5" t="n">
        <v>685</v>
      </c>
      <c r="K506" s="9">
        <f>IF(AND(ISNUMBER(I506),ISNUMBER(J506),J506&gt;0),I506/J506,"")</f>
        <v/>
      </c>
      <c r="L506" s="5" t="n">
        <v>95.907</v>
      </c>
      <c r="M506" s="5" t="n"/>
      <c r="N506" s="5" t="n">
        <v>79.40000000000001</v>
      </c>
      <c r="O506" s="5" t="inlineStr">
        <is>
          <t>stamp + corner diagonals</t>
        </is>
      </c>
      <c r="P506" s="5" t="inlineStr">
        <is>
          <t>'Radier' stamp; extent from the corner diagonals that stop at the stamp</t>
        </is>
      </c>
      <c r="Q506" s="5">
        <f>IF(OR(D506="column",D506="wall"),IF(I506&lt;='P vs V'!$B$3*J506,"column","wall"),"")</f>
        <v/>
      </c>
      <c r="R506" s="5" t="inlineStr"/>
      <c r="S506" s="5" t="inlineStr"/>
      <c r="T506" s="5" t="n"/>
      <c r="U506" s="5" t="inlineStr">
        <is>
          <t>no</t>
        </is>
      </c>
      <c r="V506" s="5" t="inlineStr">
        <is>
          <t>yes</t>
        </is>
      </c>
      <c r="W506" s="5" t="inlineStr">
        <is>
          <t>yes</t>
        </is>
      </c>
      <c r="X506" s="5" t="inlineStr">
        <is>
          <t>no</t>
        </is>
      </c>
      <c r="Y506" s="5" t="inlineStr">
        <is>
          <t>yes</t>
        </is>
      </c>
      <c r="Z506" s="5" t="inlineStr">
        <is>
          <t>no</t>
        </is>
      </c>
      <c r="AA506" s="5" t="n">
        <v>0.93</v>
      </c>
      <c r="AB506" s="5" t="n"/>
      <c r="AC506" s="5" t="n"/>
      <c r="AD506" s="5" t="n">
        <v>90</v>
      </c>
      <c r="AE506" s="5" t="n">
        <v>3086.4</v>
      </c>
      <c r="AF506" s="5" t="n">
        <v>3389.2</v>
      </c>
      <c r="AG506" s="5" t="n">
        <v>3361.1</v>
      </c>
      <c r="AH506" s="5" t="n">
        <v>3832.7</v>
      </c>
      <c r="AI506" s="5" t="inlineStr">
        <is>
          <t>n/a</t>
        </is>
      </c>
      <c r="AJ506" s="5" t="inlineStr"/>
      <c r="AK506" s="5" t="inlineStr"/>
      <c r="AL506" s="5" t="inlineStr"/>
      <c r="AM506" s="5" t="inlineStr"/>
    </row>
    <row r="507">
      <c r="A507" s="5" t="n">
        <v>506</v>
      </c>
      <c r="B507" s="5" t="inlineStr">
        <is>
          <t>126</t>
        </is>
      </c>
      <c r="C507" s="5" t="inlineStr">
        <is>
          <t>own label</t>
        </is>
      </c>
      <c r="D507" s="5" t="inlineStr">
        <is>
          <t>column</t>
        </is>
      </c>
      <c r="E507" s="5" t="inlineStr">
        <is>
          <t>column</t>
        </is>
      </c>
      <c r="F507" s="5" t="inlineStr">
        <is>
          <t>P1/126</t>
        </is>
      </c>
      <c r="G507" s="5" t="inlineStr">
        <is>
          <t>P1/126/126</t>
        </is>
      </c>
      <c r="H507" s="5" t="inlineStr">
        <is>
          <t>printed</t>
        </is>
      </c>
      <c r="I507" s="5" t="n">
        <v>80</v>
      </c>
      <c r="J507" s="5" t="n">
        <v>30</v>
      </c>
      <c r="K507" s="9">
        <f>IF(AND(ISNUMBER(I507),ISNUMBER(J507),J507&gt;0),I507/J507,"")</f>
        <v/>
      </c>
      <c r="L507" s="5" t="n">
        <v>0.24</v>
      </c>
      <c r="M507" s="5" t="n"/>
      <c r="N507" s="5" t="n">
        <v>116.7</v>
      </c>
      <c r="O507" s="5" t="inlineStr">
        <is>
          <t>solid fill</t>
        </is>
      </c>
      <c r="P507" s="5" t="inlineStr">
        <is>
          <t>solid fill, rectangle, L &lt;= 4 W (EN 1992-1-1 5.3.1(7))</t>
        </is>
      </c>
      <c r="Q507" s="5">
        <f>IF(OR(D507="column",D507="wall"),IF(I507&lt;='P vs V'!$B$3*J507,"column","wall"),"")</f>
        <v/>
      </c>
      <c r="R507" s="5" t="inlineStr"/>
      <c r="S507" s="5" t="inlineStr"/>
      <c r="T507" s="5" t="n"/>
      <c r="U507" s="5" t="inlineStr">
        <is>
          <t>yes</t>
        </is>
      </c>
      <c r="V507" s="5" t="inlineStr">
        <is>
          <t>yes</t>
        </is>
      </c>
      <c r="W507" s="5" t="inlineStr">
        <is>
          <t>no</t>
        </is>
      </c>
      <c r="X507" s="5" t="inlineStr">
        <is>
          <t>no</t>
        </is>
      </c>
      <c r="Y507" s="5" t="inlineStr">
        <is>
          <t>no</t>
        </is>
      </c>
      <c r="Z507" s="5" t="inlineStr">
        <is>
          <t>no</t>
        </is>
      </c>
      <c r="AA507" s="5" t="n">
        <v>0.62</v>
      </c>
      <c r="AB507" s="5" t="n"/>
      <c r="AC507" s="5" t="n"/>
      <c r="AD507" s="5" t="n"/>
      <c r="AE507" s="5" t="n">
        <v>2841.2</v>
      </c>
      <c r="AF507" s="5" t="n">
        <v>3393.6</v>
      </c>
      <c r="AG507" s="5" t="n">
        <v>2859.7</v>
      </c>
      <c r="AH507" s="5" t="n">
        <v>3418.7</v>
      </c>
      <c r="AI507" s="5" t="inlineStr">
        <is>
          <t>yes</t>
        </is>
      </c>
      <c r="AJ507" s="5" t="inlineStr">
        <is>
          <t>column</t>
        </is>
      </c>
      <c r="AK507" s="5" t="inlineStr"/>
      <c r="AL507" s="5" t="inlineStr">
        <is>
          <t>(0.0, 0.0, 1.0)</t>
        </is>
      </c>
      <c r="AM507" s="5" t="inlineStr">
        <is>
          <t>DM-Poteaux</t>
        </is>
      </c>
    </row>
    <row r="508">
      <c r="A508" s="5" t="n">
        <v>507</v>
      </c>
      <c r="B508" s="5" t="inlineStr">
        <is>
          <t>126</t>
        </is>
      </c>
      <c r="C508" s="5" t="inlineStr">
        <is>
          <t>own label</t>
        </is>
      </c>
      <c r="D508" s="5" t="inlineStr">
        <is>
          <t>column</t>
        </is>
      </c>
      <c r="E508" s="5" t="inlineStr">
        <is>
          <t>column</t>
        </is>
      </c>
      <c r="F508" s="5" t="inlineStr">
        <is>
          <t>P1/126</t>
        </is>
      </c>
      <c r="G508" s="5" t="inlineStr">
        <is>
          <t>P1/126/126</t>
        </is>
      </c>
      <c r="H508" s="5" t="inlineStr">
        <is>
          <t>printed</t>
        </is>
      </c>
      <c r="I508" s="5" t="n">
        <v>80</v>
      </c>
      <c r="J508" s="5" t="n">
        <v>30</v>
      </c>
      <c r="K508" s="9">
        <f>IF(AND(ISNUMBER(I508),ISNUMBER(J508),J508&gt;0),I508/J508,"")</f>
        <v/>
      </c>
      <c r="L508" s="5" t="n">
        <v>0.24</v>
      </c>
      <c r="M508" s="5" t="n"/>
      <c r="N508" s="5" t="n">
        <v>116.7</v>
      </c>
      <c r="O508" s="5" t="inlineStr">
        <is>
          <t>solid fill</t>
        </is>
      </c>
      <c r="P508" s="5" t="inlineStr">
        <is>
          <t>solid fill, rectangle, L &lt;= 4 W (EN 1992-1-1 5.3.1(7))</t>
        </is>
      </c>
      <c r="Q508" s="5">
        <f>IF(OR(D508="column",D508="wall"),IF(I508&lt;='P vs V'!$B$3*J508,"column","wall"),"")</f>
        <v/>
      </c>
      <c r="R508" s="5" t="inlineStr"/>
      <c r="S508" s="5" t="inlineStr"/>
      <c r="T508" s="5" t="n"/>
      <c r="U508" s="5" t="inlineStr">
        <is>
          <t>yes</t>
        </is>
      </c>
      <c r="V508" s="5" t="inlineStr">
        <is>
          <t>no</t>
        </is>
      </c>
      <c r="W508" s="5" t="inlineStr">
        <is>
          <t>no</t>
        </is>
      </c>
      <c r="X508" s="5" t="inlineStr">
        <is>
          <t>no</t>
        </is>
      </c>
      <c r="Y508" s="5" t="inlineStr">
        <is>
          <t>no</t>
        </is>
      </c>
      <c r="Z508" s="5" t="inlineStr">
        <is>
          <t>no</t>
        </is>
      </c>
      <c r="AA508" s="5" t="n">
        <v>0</v>
      </c>
      <c r="AB508" s="5" t="n"/>
      <c r="AC508" s="5" t="n"/>
      <c r="AD508" s="5" t="n"/>
      <c r="AE508" s="5" t="n">
        <v>2780.5</v>
      </c>
      <c r="AF508" s="5" t="n">
        <v>3363.1</v>
      </c>
      <c r="AG508" s="5" t="n">
        <v>2799</v>
      </c>
      <c r="AH508" s="5" t="n">
        <v>3388.2</v>
      </c>
      <c r="AI508" s="5" t="inlineStr">
        <is>
          <t>yes</t>
        </is>
      </c>
      <c r="AJ508" s="5" t="inlineStr">
        <is>
          <t>column</t>
        </is>
      </c>
      <c r="AK508" s="5" t="inlineStr"/>
      <c r="AL508" s="5" t="inlineStr">
        <is>
          <t>(0.0, 0.0, 1.0)</t>
        </is>
      </c>
      <c r="AM508" s="5" t="inlineStr">
        <is>
          <t>DM-Poteaux</t>
        </is>
      </c>
    </row>
    <row r="509">
      <c r="A509" s="5" t="n">
        <v>508</v>
      </c>
      <c r="B509" s="5" t="inlineStr">
        <is>
          <t>126</t>
        </is>
      </c>
      <c r="C509" s="5" t="inlineStr">
        <is>
          <t>nearest labels (80% agree)</t>
        </is>
      </c>
      <c r="D509" s="5" t="inlineStr">
        <is>
          <t>wall</t>
        </is>
      </c>
      <c r="E509" s="5" t="inlineStr">
        <is>
          <t>core_wall_solid</t>
        </is>
      </c>
      <c r="F509" s="5" t="inlineStr">
        <is>
          <t>(none)</t>
        </is>
      </c>
      <c r="G509" s="5" t="inlineStr"/>
      <c r="H509" s="5" t="inlineStr">
        <is>
          <t>none</t>
        </is>
      </c>
      <c r="I509" s="5" t="n">
        <v>500</v>
      </c>
      <c r="J509" s="5" t="n">
        <v>25</v>
      </c>
      <c r="K509" s="9">
        <f>IF(AND(ISNUMBER(I509),ISNUMBER(J509),J509&gt;0),I509/J509,"")</f>
        <v/>
      </c>
      <c r="L509" s="5" t="n">
        <v>1.254</v>
      </c>
      <c r="M509" s="5" t="n"/>
      <c r="N509" s="5" t="n">
        <v>116.6</v>
      </c>
      <c r="O509" s="5" t="inlineStr">
        <is>
          <t>solid fill</t>
        </is>
      </c>
      <c r="P509" s="5" t="inlineStr">
        <is>
          <t>solid fill, rectangle, L &gt; 4 W (EN 1992-1-1 5.3.1(7))</t>
        </is>
      </c>
      <c r="Q509" s="5">
        <f>IF(OR(D509="column",D509="wall"),IF(I509&lt;='P vs V'!$B$3*J509,"column","wall"),"")</f>
        <v/>
      </c>
      <c r="R509" s="5" t="inlineStr"/>
      <c r="S509" s="5" t="inlineStr"/>
      <c r="T509" s="5" t="n"/>
      <c r="U509" s="5" t="inlineStr">
        <is>
          <t>yes</t>
        </is>
      </c>
      <c r="V509" s="5" t="inlineStr">
        <is>
          <t>yes</t>
        </is>
      </c>
      <c r="W509" s="5" t="inlineStr">
        <is>
          <t>yes</t>
        </is>
      </c>
      <c r="X509" s="5" t="inlineStr">
        <is>
          <t>no</t>
        </is>
      </c>
      <c r="Y509" s="5" t="inlineStr">
        <is>
          <t>no</t>
        </is>
      </c>
      <c r="Z509" s="5" t="inlineStr">
        <is>
          <t>no</t>
        </is>
      </c>
      <c r="AA509" s="5" t="n">
        <v>0.03</v>
      </c>
      <c r="AB509" s="5" t="n"/>
      <c r="AC509" s="5" t="n"/>
      <c r="AD509" s="5" t="n"/>
      <c r="AE509" s="5" t="n">
        <v>2629.6</v>
      </c>
      <c r="AF509" s="5" t="n">
        <v>3553.2</v>
      </c>
      <c r="AG509" s="5" t="n">
        <v>2702.4</v>
      </c>
      <c r="AH509" s="5" t="n">
        <v>3688.4</v>
      </c>
      <c r="AI509" s="5" t="inlineStr">
        <is>
          <t>new</t>
        </is>
      </c>
      <c r="AJ509" s="5" t="inlineStr"/>
      <c r="AK509" s="5" t="inlineStr">
        <is>
          <t>piece of a wall network the colour pipeline left unsplit</t>
        </is>
      </c>
      <c r="AL509" s="5" t="inlineStr">
        <is>
          <t>(0.87, 0.0, 0.87)</t>
        </is>
      </c>
      <c r="AM509" s="5" t="inlineStr">
        <is>
          <t>DM-VOILE</t>
        </is>
      </c>
    </row>
    <row r="510">
      <c r="A510" s="5" t="n">
        <v>509</v>
      </c>
      <c r="B510" s="5" t="inlineStr">
        <is>
          <t>126</t>
        </is>
      </c>
      <c r="C510" s="5" t="inlineStr">
        <is>
          <t>nearest labels (80% agree)</t>
        </is>
      </c>
      <c r="D510" s="5" t="inlineStr">
        <is>
          <t>wall</t>
        </is>
      </c>
      <c r="E510" s="5" t="inlineStr">
        <is>
          <t>core_wall_solid</t>
        </is>
      </c>
      <c r="F510" s="5" t="inlineStr">
        <is>
          <t>(none)</t>
        </is>
      </c>
      <c r="G510" s="5" t="inlineStr"/>
      <c r="H510" s="5" t="inlineStr">
        <is>
          <t>none</t>
        </is>
      </c>
      <c r="I510" s="5" t="n">
        <v>500</v>
      </c>
      <c r="J510" s="5" t="n">
        <v>25</v>
      </c>
      <c r="K510" s="9">
        <f>IF(AND(ISNUMBER(I510),ISNUMBER(J510),J510&gt;0),I510/J510,"")</f>
        <v/>
      </c>
      <c r="L510" s="5" t="n">
        <v>1.245</v>
      </c>
      <c r="M510" s="5" t="n"/>
      <c r="N510" s="5" t="n">
        <v>116.6</v>
      </c>
      <c r="O510" s="5" t="inlineStr">
        <is>
          <t>solid fill</t>
        </is>
      </c>
      <c r="P510" s="5" t="inlineStr">
        <is>
          <t>solid fill, rectangle, L &gt; 4 W (EN 1992-1-1 5.3.1(7))</t>
        </is>
      </c>
      <c r="Q510" s="5">
        <f>IF(OR(D510="column",D510="wall"),IF(I510&lt;='P vs V'!$B$3*J510,"column","wall"),"")</f>
        <v/>
      </c>
      <c r="R510" s="5" t="inlineStr"/>
      <c r="S510" s="5" t="inlineStr"/>
      <c r="T510" s="5" t="n"/>
      <c r="U510" s="5" t="inlineStr">
        <is>
          <t>yes</t>
        </is>
      </c>
      <c r="V510" s="5" t="inlineStr">
        <is>
          <t>no</t>
        </is>
      </c>
      <c r="W510" s="5" t="inlineStr">
        <is>
          <t>yes</t>
        </is>
      </c>
      <c r="X510" s="5" t="inlineStr">
        <is>
          <t>no</t>
        </is>
      </c>
      <c r="Y510" s="5" t="inlineStr">
        <is>
          <t>no</t>
        </is>
      </c>
      <c r="Z510" s="5" t="inlineStr">
        <is>
          <t>no</t>
        </is>
      </c>
      <c r="AA510" s="5" t="n">
        <v>0</v>
      </c>
      <c r="AB510" s="5" t="n"/>
      <c r="AC510" s="5" t="n"/>
      <c r="AD510" s="5" t="n"/>
      <c r="AE510" s="5" t="n">
        <v>2707.4</v>
      </c>
      <c r="AF510" s="5" t="n">
        <v>3592.2</v>
      </c>
      <c r="AG510" s="5" t="n">
        <v>2780.2</v>
      </c>
      <c r="AH510" s="5" t="n">
        <v>3727.5</v>
      </c>
      <c r="AI510" s="5" t="inlineStr">
        <is>
          <t>new</t>
        </is>
      </c>
      <c r="AJ510" s="5" t="inlineStr"/>
      <c r="AK510" s="5" t="inlineStr">
        <is>
          <t>piece of a wall network the colour pipeline left unsplit</t>
        </is>
      </c>
      <c r="AL510" s="5" t="inlineStr">
        <is>
          <t>(0.87, 0.0, 0.87)</t>
        </is>
      </c>
      <c r="AM510" s="5" t="inlineStr">
        <is>
          <t>DM-VOILE</t>
        </is>
      </c>
    </row>
    <row r="511">
      <c r="A511" s="5" t="n">
        <v>510</v>
      </c>
      <c r="B511" s="5" t="inlineStr">
        <is>
          <t>126</t>
        </is>
      </c>
      <c r="C511" s="5" t="inlineStr">
        <is>
          <t>nearest labels (80% agree)</t>
        </is>
      </c>
      <c r="D511" s="5" t="inlineStr">
        <is>
          <t>wall</t>
        </is>
      </c>
      <c r="E511" s="5" t="inlineStr">
        <is>
          <t>core_wall_solid</t>
        </is>
      </c>
      <c r="F511" s="5" t="inlineStr">
        <is>
          <t>(none)</t>
        </is>
      </c>
      <c r="G511" s="5" t="inlineStr"/>
      <c r="H511" s="5" t="inlineStr">
        <is>
          <t>none</t>
        </is>
      </c>
      <c r="I511" s="5" t="n">
        <v>270</v>
      </c>
      <c r="J511" s="5" t="n">
        <v>25</v>
      </c>
      <c r="K511" s="9">
        <f>IF(AND(ISNUMBER(I511),ISNUMBER(J511),J511&gt;0),I511/J511,"")</f>
        <v/>
      </c>
      <c r="L511" s="5" t="n">
        <v>0.672</v>
      </c>
      <c r="M511" s="5" t="n"/>
      <c r="N511" s="5" t="n">
        <v>26.6</v>
      </c>
      <c r="O511" s="5" t="inlineStr">
        <is>
          <t>solid fill</t>
        </is>
      </c>
      <c r="P511" s="5" t="inlineStr">
        <is>
          <t>solid fill, rectangle, L &gt; 4 W (EN 1992-1-1 5.3.1(7))</t>
        </is>
      </c>
      <c r="Q511" s="5">
        <f>IF(OR(D511="column",D511="wall"),IF(I511&lt;='P vs V'!$B$3*J511,"column","wall"),"")</f>
        <v/>
      </c>
      <c r="R511" s="5" t="inlineStr"/>
      <c r="S511" s="5" t="inlineStr"/>
      <c r="T511" s="5" t="n"/>
      <c r="U511" s="5" t="inlineStr">
        <is>
          <t>yes</t>
        </is>
      </c>
      <c r="V511" s="5" t="inlineStr">
        <is>
          <t>no</t>
        </is>
      </c>
      <c r="W511" s="5" t="inlineStr">
        <is>
          <t>yes</t>
        </is>
      </c>
      <c r="X511" s="5" t="inlineStr">
        <is>
          <t>no</t>
        </is>
      </c>
      <c r="Y511" s="5" t="inlineStr">
        <is>
          <t>no</t>
        </is>
      </c>
      <c r="Z511" s="5" t="inlineStr">
        <is>
          <t>no</t>
        </is>
      </c>
      <c r="AA511" s="5" t="n">
        <v>1.44</v>
      </c>
      <c r="AB511" s="5" t="n"/>
      <c r="AC511" s="5" t="n"/>
      <c r="AD511" s="5" t="n"/>
      <c r="AE511" s="5" t="n">
        <v>2636.2</v>
      </c>
      <c r="AF511" s="5" t="n">
        <v>3681.9</v>
      </c>
      <c r="AG511" s="5" t="n">
        <v>2710.7</v>
      </c>
      <c r="AH511" s="5" t="n">
        <v>3724.2</v>
      </c>
      <c r="AI511" s="5" t="inlineStr">
        <is>
          <t>new</t>
        </is>
      </c>
      <c r="AJ511" s="5" t="inlineStr"/>
      <c r="AK511" s="5" t="inlineStr">
        <is>
          <t>piece of a wall network the colour pipeline left unsplit</t>
        </is>
      </c>
      <c r="AL511" s="5" t="inlineStr">
        <is>
          <t>(0.87, 0.0, 0.87)</t>
        </is>
      </c>
      <c r="AM511" s="5" t="inlineStr">
        <is>
          <t>DM-VOILE</t>
        </is>
      </c>
    </row>
    <row r="512">
      <c r="A512" s="5" t="n">
        <v>511</v>
      </c>
      <c r="B512" s="5" t="inlineStr">
        <is>
          <t>126</t>
        </is>
      </c>
      <c r="C512" s="5" t="inlineStr">
        <is>
          <t>nearest labels (60% agree)</t>
        </is>
      </c>
      <c r="D512" s="5" t="inlineStr">
        <is>
          <t>wall</t>
        </is>
      </c>
      <c r="E512" s="5" t="inlineStr">
        <is>
          <t>core_wall_solid</t>
        </is>
      </c>
      <c r="F512" s="5" t="inlineStr">
        <is>
          <t>(none)</t>
        </is>
      </c>
      <c r="G512" s="5" t="inlineStr"/>
      <c r="H512" s="5" t="inlineStr">
        <is>
          <t>none</t>
        </is>
      </c>
      <c r="I512" s="5" t="n">
        <v>200</v>
      </c>
      <c r="J512" s="5" t="n">
        <v>25</v>
      </c>
      <c r="K512" s="9">
        <f>IF(AND(ISNUMBER(I512),ISNUMBER(J512),J512&gt;0),I512/J512,"")</f>
        <v/>
      </c>
      <c r="L512" s="5" t="n">
        <v>0.5</v>
      </c>
      <c r="M512" s="5" t="n"/>
      <c r="N512" s="5" t="n">
        <v>26.7</v>
      </c>
      <c r="O512" s="5" t="inlineStr">
        <is>
          <t>solid fill</t>
        </is>
      </c>
      <c r="P512" s="5" t="inlineStr">
        <is>
          <t>solid fill, rectangle, L &gt; 4 W (EN 1992-1-1 5.3.1(7))</t>
        </is>
      </c>
      <c r="Q512" s="5">
        <f>IF(OR(D512="column",D512="wall"),IF(I512&lt;='P vs V'!$B$3*J512,"column","wall"),"")</f>
        <v/>
      </c>
      <c r="R512" s="5" t="inlineStr"/>
      <c r="S512" s="5" t="inlineStr"/>
      <c r="T512" s="5" t="n"/>
      <c r="U512" s="5" t="inlineStr">
        <is>
          <t>yes</t>
        </is>
      </c>
      <c r="V512" s="5" t="inlineStr">
        <is>
          <t>yes</t>
        </is>
      </c>
      <c r="W512" s="5" t="inlineStr">
        <is>
          <t>yes</t>
        </is>
      </c>
      <c r="X512" s="5" t="inlineStr">
        <is>
          <t>no</t>
        </is>
      </c>
      <c r="Y512" s="5" t="inlineStr">
        <is>
          <t>no</t>
        </is>
      </c>
      <c r="Z512" s="5" t="inlineStr">
        <is>
          <t>no</t>
        </is>
      </c>
      <c r="AA512" s="5" t="n">
        <v>0.02</v>
      </c>
      <c r="AB512" s="5" t="n"/>
      <c r="AC512" s="5" t="n"/>
      <c r="AD512" s="5" t="n"/>
      <c r="AE512" s="5" t="n">
        <v>2773.7</v>
      </c>
      <c r="AF512" s="5" t="n">
        <v>3546</v>
      </c>
      <c r="AG512" s="5" t="n">
        <v>2829.8</v>
      </c>
      <c r="AH512" s="5" t="n">
        <v>3579</v>
      </c>
      <c r="AI512" s="5" t="inlineStr">
        <is>
          <t>new</t>
        </is>
      </c>
      <c r="AJ512" s="5" t="inlineStr"/>
      <c r="AK512" s="5" t="inlineStr">
        <is>
          <t>piece of a wall network the colour pipeline left unsplit</t>
        </is>
      </c>
      <c r="AL512" s="5" t="inlineStr">
        <is>
          <t>(0.87, 0.0, 0.87)</t>
        </is>
      </c>
      <c r="AM512" s="5" t="inlineStr">
        <is>
          <t>DM-VOILE</t>
        </is>
      </c>
    </row>
    <row r="513">
      <c r="A513" s="5" t="n">
        <v>512</v>
      </c>
      <c r="B513" s="5" t="inlineStr">
        <is>
          <t>126</t>
        </is>
      </c>
      <c r="C513" s="5" t="inlineStr">
        <is>
          <t>nearest labels (60% agree)</t>
        </is>
      </c>
      <c r="D513" s="5" t="inlineStr">
        <is>
          <t>wall</t>
        </is>
      </c>
      <c r="E513" s="5" t="inlineStr">
        <is>
          <t>core_wall_solid</t>
        </is>
      </c>
      <c r="F513" s="5" t="inlineStr">
        <is>
          <t>(none)</t>
        </is>
      </c>
      <c r="G513" s="5" t="inlineStr"/>
      <c r="H513" s="5" t="inlineStr">
        <is>
          <t>none</t>
        </is>
      </c>
      <c r="I513" s="5" t="n">
        <v>199</v>
      </c>
      <c r="J513" s="5" t="n">
        <v>20</v>
      </c>
      <c r="K513" s="9">
        <f>IF(AND(ISNUMBER(I513),ISNUMBER(J513),J513&gt;0),I513/J513,"")</f>
        <v/>
      </c>
      <c r="L513" s="5" t="n">
        <v>0.401</v>
      </c>
      <c r="M513" s="5" t="n"/>
      <c r="N513" s="5" t="n">
        <v>116.7</v>
      </c>
      <c r="O513" s="5" t="inlineStr">
        <is>
          <t>solid fill</t>
        </is>
      </c>
      <c r="P513" s="5" t="inlineStr">
        <is>
          <t>straight stretch of a thin filled outline with bends (pair of parallel faces)</t>
        </is>
      </c>
      <c r="Q513" s="5">
        <f>IF(OR(D513="column",D513="wall"),IF(I513&lt;='P vs V'!$B$3*J513,"column","wall"),"")</f>
        <v/>
      </c>
      <c r="R513" s="5" t="inlineStr"/>
      <c r="S513" s="5" t="inlineStr"/>
      <c r="T513" s="5" t="n"/>
      <c r="U513" s="5" t="inlineStr">
        <is>
          <t>yes</t>
        </is>
      </c>
      <c r="V513" s="5" t="inlineStr">
        <is>
          <t>no</t>
        </is>
      </c>
      <c r="W513" s="5" t="inlineStr">
        <is>
          <t>yes</t>
        </is>
      </c>
      <c r="X513" s="5" t="inlineStr">
        <is>
          <t>no</t>
        </is>
      </c>
      <c r="Y513" s="5" t="inlineStr">
        <is>
          <t>no</t>
        </is>
      </c>
      <c r="Z513" s="5" t="inlineStr">
        <is>
          <t>no</t>
        </is>
      </c>
      <c r="AA513" s="5" t="n">
        <v>1.09</v>
      </c>
      <c r="AB513" s="5" t="n"/>
      <c r="AC513" s="5" t="n"/>
      <c r="AD513" s="5" t="n"/>
      <c r="AE513" s="5" t="n">
        <v>2823.4</v>
      </c>
      <c r="AF513" s="5" t="n">
        <v>3518.4</v>
      </c>
      <c r="AG513" s="5" t="n">
        <v>2855.1</v>
      </c>
      <c r="AH513" s="5" t="n">
        <v>3573.5</v>
      </c>
      <c r="AI513" s="5" t="inlineStr">
        <is>
          <t>new</t>
        </is>
      </c>
      <c r="AJ513" s="5" t="inlineStr"/>
      <c r="AK513" s="5" t="inlineStr">
        <is>
          <t>piece of a wall network the colour pipeline left unsplit</t>
        </is>
      </c>
      <c r="AL513" s="5" t="inlineStr"/>
      <c r="AM513" s="5" t="inlineStr"/>
    </row>
    <row r="514">
      <c r="A514" s="5" t="n">
        <v>513</v>
      </c>
      <c r="B514" s="5" t="inlineStr">
        <is>
          <t>126</t>
        </is>
      </c>
      <c r="C514" s="5" t="inlineStr">
        <is>
          <t>nearest labels (60% agree)</t>
        </is>
      </c>
      <c r="D514" s="5" t="inlineStr">
        <is>
          <t>wall</t>
        </is>
      </c>
      <c r="E514" s="5" t="inlineStr">
        <is>
          <t>core_wall_solid</t>
        </is>
      </c>
      <c r="F514" s="5" t="inlineStr">
        <is>
          <t>(none)</t>
        </is>
      </c>
      <c r="G514" s="5" t="inlineStr"/>
      <c r="H514" s="5" t="inlineStr">
        <is>
          <t>none</t>
        </is>
      </c>
      <c r="I514" s="5" t="n">
        <v>337</v>
      </c>
      <c r="J514" s="5" t="n">
        <v>25</v>
      </c>
      <c r="K514" s="9">
        <f>IF(AND(ISNUMBER(I514),ISNUMBER(J514),J514&gt;0),I514/J514,"")</f>
        <v/>
      </c>
      <c r="L514" s="5" t="n">
        <v>0.84</v>
      </c>
      <c r="M514" s="5" t="n"/>
      <c r="N514" s="5" t="n">
        <v>116.6</v>
      </c>
      <c r="O514" s="5" t="inlineStr">
        <is>
          <t>solid fill</t>
        </is>
      </c>
      <c r="P514" s="5" t="inlineStr">
        <is>
          <t>straight stretch of a thin filled outline with bends (pair of parallel faces)</t>
        </is>
      </c>
      <c r="Q514" s="5">
        <f>IF(OR(D514="column",D514="wall"),IF(I514&lt;='P vs V'!$B$3*J514,"column","wall"),"")</f>
        <v/>
      </c>
      <c r="R514" s="5" t="inlineStr"/>
      <c r="S514" s="5" t="inlineStr"/>
      <c r="T514" s="5" t="n"/>
      <c r="U514" s="5" t="inlineStr">
        <is>
          <t>yes</t>
        </is>
      </c>
      <c r="V514" s="5" t="inlineStr">
        <is>
          <t>no</t>
        </is>
      </c>
      <c r="W514" s="5" t="inlineStr">
        <is>
          <t>yes</t>
        </is>
      </c>
      <c r="X514" s="5" t="inlineStr">
        <is>
          <t>no</t>
        </is>
      </c>
      <c r="Y514" s="5" t="inlineStr">
        <is>
          <t>no</t>
        </is>
      </c>
      <c r="Z514" s="5" t="inlineStr">
        <is>
          <t>no</t>
        </is>
      </c>
      <c r="AA514" s="5" t="n">
        <v>1.15</v>
      </c>
      <c r="AB514" s="5" t="n"/>
      <c r="AC514" s="5" t="n"/>
      <c r="AD514" s="5" t="n"/>
      <c r="AE514" s="5" t="n">
        <v>2823.2</v>
      </c>
      <c r="AF514" s="5" t="n">
        <v>3480.1</v>
      </c>
      <c r="AG514" s="5" t="n">
        <v>2874.4</v>
      </c>
      <c r="AH514" s="5" t="n">
        <v>3572.5</v>
      </c>
      <c r="AI514" s="5" t="inlineStr">
        <is>
          <t>new</t>
        </is>
      </c>
      <c r="AJ514" s="5" t="inlineStr"/>
      <c r="AK514" s="5" t="inlineStr">
        <is>
          <t>piece of a wall network the colour pipeline left unsplit</t>
        </is>
      </c>
      <c r="AL514" s="5" t="inlineStr"/>
      <c r="AM514" s="5" t="inlineStr"/>
    </row>
    <row r="515">
      <c r="A515" s="5" t="n">
        <v>514</v>
      </c>
      <c r="B515" s="5" t="inlineStr">
        <is>
          <t>126</t>
        </is>
      </c>
      <c r="C515" s="5" t="inlineStr">
        <is>
          <t>nearest labels (60% agree)</t>
        </is>
      </c>
      <c r="D515" s="5" t="inlineStr">
        <is>
          <t>wall</t>
        </is>
      </c>
      <c r="E515" s="5" t="inlineStr">
        <is>
          <t>core_wall_solid</t>
        </is>
      </c>
      <c r="F515" s="5" t="inlineStr">
        <is>
          <t>(none)</t>
        </is>
      </c>
      <c r="G515" s="5" t="inlineStr"/>
      <c r="H515" s="5" t="inlineStr">
        <is>
          <t>none</t>
        </is>
      </c>
      <c r="I515" s="5" t="n">
        <v>175</v>
      </c>
      <c r="J515" s="5" t="n">
        <v>25</v>
      </c>
      <c r="K515" s="9">
        <f>IF(AND(ISNUMBER(I515),ISNUMBER(J515),J515&gt;0),I515/J515,"")</f>
        <v/>
      </c>
      <c r="L515" s="5" t="n">
        <v>0.439</v>
      </c>
      <c r="M515" s="5" t="n"/>
      <c r="N515" s="5" t="n">
        <v>26.7</v>
      </c>
      <c r="O515" s="5" t="inlineStr">
        <is>
          <t>solid fill</t>
        </is>
      </c>
      <c r="P515" s="5" t="inlineStr">
        <is>
          <t>straight stretch of a thin filled outline with bends (pair of parallel faces)</t>
        </is>
      </c>
      <c r="Q515" s="5">
        <f>IF(OR(D515="column",D515="wall"),IF(I515&lt;='P vs V'!$B$3*J515,"column","wall"),"")</f>
        <v/>
      </c>
      <c r="R515" s="5" t="inlineStr"/>
      <c r="S515" s="5" t="inlineStr"/>
      <c r="T515" s="5" t="n"/>
      <c r="U515" s="5" t="inlineStr">
        <is>
          <t>yes</t>
        </is>
      </c>
      <c r="V515" s="5" t="inlineStr">
        <is>
          <t>yes</t>
        </is>
      </c>
      <c r="W515" s="5" t="inlineStr">
        <is>
          <t>yes</t>
        </is>
      </c>
      <c r="X515" s="5" t="inlineStr">
        <is>
          <t>no</t>
        </is>
      </c>
      <c r="Y515" s="5" t="inlineStr">
        <is>
          <t>no</t>
        </is>
      </c>
      <c r="Z515" s="5" t="inlineStr">
        <is>
          <t>no</t>
        </is>
      </c>
      <c r="AA515" s="5" t="n">
        <v>0.02</v>
      </c>
      <c r="AB515" s="5" t="n"/>
      <c r="AC515" s="5" t="n"/>
      <c r="AD515" s="5" t="n"/>
      <c r="AE515" s="5" t="n">
        <v>2821.7</v>
      </c>
      <c r="AF515" s="5" t="n">
        <v>3450.3</v>
      </c>
      <c r="AG515" s="5" t="n">
        <v>2871.2</v>
      </c>
      <c r="AH515" s="5" t="n">
        <v>3480.1</v>
      </c>
      <c r="AI515" s="5" t="inlineStr">
        <is>
          <t>new</t>
        </is>
      </c>
      <c r="AJ515" s="5" t="inlineStr"/>
      <c r="AK515" s="5" t="inlineStr">
        <is>
          <t>piece of a wall network the colour pipeline left unsplit</t>
        </is>
      </c>
      <c r="AL515" s="5" t="inlineStr"/>
      <c r="AM515" s="5" t="inlineStr"/>
    </row>
    <row r="516">
      <c r="A516" s="5" t="n">
        <v>515</v>
      </c>
      <c r="B516" s="5" t="inlineStr">
        <is>
          <t>126</t>
        </is>
      </c>
      <c r="C516" s="5" t="inlineStr">
        <is>
          <t>nearest labels (100% agree)</t>
        </is>
      </c>
      <c r="D516" s="5" t="inlineStr">
        <is>
          <t>wall</t>
        </is>
      </c>
      <c r="E516" s="5" t="inlineStr">
        <is>
          <t>retaining_wall</t>
        </is>
      </c>
      <c r="F516" s="5" t="inlineStr">
        <is>
          <t>VP20</t>
        </is>
      </c>
      <c r="G516" s="5" t="inlineStr"/>
      <c r="H516" s="5" t="inlineStr">
        <is>
          <t>thickness matches a VP type</t>
        </is>
      </c>
      <c r="I516" s="5" t="n">
        <v>290</v>
      </c>
      <c r="J516" s="5" t="n">
        <v>20</v>
      </c>
      <c r="K516" s="9">
        <f>IF(AND(ISNUMBER(I516),ISNUMBER(J516),J516&gt;0),I516/J516,"")</f>
        <v/>
      </c>
      <c r="L516" s="5" t="n">
        <v>0.581</v>
      </c>
      <c r="M516" s="5" t="n"/>
      <c r="N516" s="5" t="n">
        <v>26.6</v>
      </c>
      <c r="O516" s="5" t="inlineStr">
        <is>
          <t>solid fill</t>
        </is>
      </c>
      <c r="P516" s="5" t="inlineStr">
        <is>
          <t>solid fill, rectangle, L &gt; 4 W (EN 1992-1-1 5.3.1(7))</t>
        </is>
      </c>
      <c r="Q516" s="5">
        <f>IF(OR(D516="column",D516="wall"),IF(I516&lt;='P vs V'!$B$3*J516,"column","wall"),"")</f>
        <v/>
      </c>
      <c r="R516" s="5" t="inlineStr"/>
      <c r="S516" s="5" t="inlineStr"/>
      <c r="T516" s="5" t="n"/>
      <c r="U516" s="5" t="inlineStr">
        <is>
          <t>no</t>
        </is>
      </c>
      <c r="V516" s="5" t="inlineStr">
        <is>
          <t>no</t>
        </is>
      </c>
      <c r="W516" s="5" t="inlineStr">
        <is>
          <t>yes</t>
        </is>
      </c>
      <c r="X516" s="5" t="inlineStr">
        <is>
          <t>no</t>
        </is>
      </c>
      <c r="Y516" s="5" t="inlineStr">
        <is>
          <t>no</t>
        </is>
      </c>
      <c r="Z516" s="5" t="inlineStr">
        <is>
          <t>no</t>
        </is>
      </c>
      <c r="AA516" s="5" t="n">
        <v>1.1</v>
      </c>
      <c r="AB516" s="5" t="n"/>
      <c r="AC516" s="5" t="n"/>
      <c r="AD516" s="5" t="n"/>
      <c r="AE516" s="5" t="n">
        <v>2654.9</v>
      </c>
      <c r="AF516" s="5" t="n">
        <v>3451.3</v>
      </c>
      <c r="AG516" s="5" t="n">
        <v>2734.2</v>
      </c>
      <c r="AH516" s="5" t="n">
        <v>3495</v>
      </c>
      <c r="AI516" s="5" t="inlineStr">
        <is>
          <t>new</t>
        </is>
      </c>
      <c r="AJ516" s="5" t="inlineStr"/>
      <c r="AK516" s="5" t="inlineStr">
        <is>
          <t>piece of a wall network the colour pipeline left unsplit</t>
        </is>
      </c>
      <c r="AL516" s="5" t="inlineStr">
        <is>
          <t>(0.87, 0.0, 0.87)</t>
        </is>
      </c>
      <c r="AM516" s="5" t="inlineStr">
        <is>
          <t>DM-VOILE</t>
        </is>
      </c>
    </row>
    <row r="517">
      <c r="A517" s="5" t="n">
        <v>516</v>
      </c>
      <c r="B517" s="5" t="inlineStr">
        <is>
          <t>126</t>
        </is>
      </c>
      <c r="C517" s="5" t="inlineStr">
        <is>
          <t>nearest labels (80% agree)</t>
        </is>
      </c>
      <c r="D517" s="5" t="inlineStr">
        <is>
          <t>wall</t>
        </is>
      </c>
      <c r="E517" s="5" t="inlineStr">
        <is>
          <t>retaining_wall</t>
        </is>
      </c>
      <c r="F517" s="5" t="inlineStr">
        <is>
          <t>VP20</t>
        </is>
      </c>
      <c r="G517" s="5" t="inlineStr"/>
      <c r="H517" s="5" t="inlineStr">
        <is>
          <t>thickness matches a VP type</t>
        </is>
      </c>
      <c r="I517" s="5" t="n">
        <v>977</v>
      </c>
      <c r="J517" s="5" t="n">
        <v>20</v>
      </c>
      <c r="K517" s="9">
        <f>IF(AND(ISNUMBER(I517),ISNUMBER(J517),J517&gt;0),I517/J517,"")</f>
        <v/>
      </c>
      <c r="L517" s="5" t="n">
        <v>1.951</v>
      </c>
      <c r="M517" s="5" t="n"/>
      <c r="N517" s="5" t="n">
        <v>26.6</v>
      </c>
      <c r="O517" s="5" t="inlineStr">
        <is>
          <t>solid fill</t>
        </is>
      </c>
      <c r="P517" s="5" t="inlineStr">
        <is>
          <t>straight stretch of a thin filled outline with bends (pair of parallel faces)</t>
        </is>
      </c>
      <c r="Q517" s="5">
        <f>IF(OR(D517="column",D517="wall"),IF(I517&lt;='P vs V'!$B$3*J517,"column","wall"),"")</f>
        <v/>
      </c>
      <c r="R517" s="5" t="inlineStr"/>
      <c r="S517" s="5" t="inlineStr"/>
      <c r="T517" s="5" t="n"/>
      <c r="U517" s="5" t="inlineStr">
        <is>
          <t>no</t>
        </is>
      </c>
      <c r="V517" s="5" t="inlineStr">
        <is>
          <t>no</t>
        </is>
      </c>
      <c r="W517" s="5" t="inlineStr">
        <is>
          <t>yes</t>
        </is>
      </c>
      <c r="X517" s="5" t="inlineStr">
        <is>
          <t>no</t>
        </is>
      </c>
      <c r="Y517" s="5" t="inlineStr">
        <is>
          <t>yes</t>
        </is>
      </c>
      <c r="Z517" s="5" t="inlineStr">
        <is>
          <t>yes</t>
        </is>
      </c>
      <c r="AA517" s="5" t="n">
        <v>1.45</v>
      </c>
      <c r="AB517" s="5" t="n"/>
      <c r="AC517" s="5" t="n"/>
      <c r="AD517" s="5" t="n"/>
      <c r="AE517" s="5" t="n">
        <v>2411.3</v>
      </c>
      <c r="AF517" s="5" t="n">
        <v>3293.6</v>
      </c>
      <c r="AG517" s="5" t="n">
        <v>2671.8</v>
      </c>
      <c r="AH517" s="5" t="n">
        <v>3428.2</v>
      </c>
      <c r="AI517" s="5" t="inlineStr">
        <is>
          <t>new</t>
        </is>
      </c>
      <c r="AJ517" s="5" t="inlineStr"/>
      <c r="AK517" s="5" t="inlineStr">
        <is>
          <t>piece of a wall network the colour pipeline left unsplit</t>
        </is>
      </c>
      <c r="AL517" s="5" t="inlineStr"/>
      <c r="AM517" s="5" t="inlineStr"/>
    </row>
    <row r="518">
      <c r="A518" s="5" t="n">
        <v>517</v>
      </c>
      <c r="B518" s="5" t="inlineStr">
        <is>
          <t>126</t>
        </is>
      </c>
      <c r="C518" s="5" t="inlineStr">
        <is>
          <t>nearest labels (60% agree)</t>
        </is>
      </c>
      <c r="D518" s="5" t="inlineStr">
        <is>
          <t>wall</t>
        </is>
      </c>
      <c r="E518" s="5" t="inlineStr">
        <is>
          <t>retaining_wall</t>
        </is>
      </c>
      <c r="F518" s="5" t="inlineStr">
        <is>
          <t>VP20</t>
        </is>
      </c>
      <c r="G518" s="5" t="inlineStr"/>
      <c r="H518" s="5" t="inlineStr">
        <is>
          <t>thickness matches a VP type</t>
        </is>
      </c>
      <c r="I518" s="5" t="n">
        <v>1454</v>
      </c>
      <c r="J518" s="5" t="n">
        <v>20</v>
      </c>
      <c r="K518" s="9">
        <f>IF(AND(ISNUMBER(I518),ISNUMBER(J518),J518&gt;0),I518/J518,"")</f>
        <v/>
      </c>
      <c r="L518" s="5" t="n">
        <v>2.918</v>
      </c>
      <c r="M518" s="5" t="n"/>
      <c r="N518" s="5" t="n">
        <v>26.6</v>
      </c>
      <c r="O518" s="5" t="inlineStr">
        <is>
          <t>solid fill</t>
        </is>
      </c>
      <c r="P518" s="5" t="inlineStr">
        <is>
          <t>straight stretch of a thin filled outline with bends (pair of parallel faces)</t>
        </is>
      </c>
      <c r="Q518" s="5">
        <f>IF(OR(D518="column",D518="wall"),IF(I518&lt;='P vs V'!$B$3*J518,"column","wall"),"")</f>
        <v/>
      </c>
      <c r="R518" s="5" t="inlineStr"/>
      <c r="S518" s="5" t="inlineStr"/>
      <c r="T518" s="5" t="n"/>
      <c r="U518" s="5" t="inlineStr">
        <is>
          <t>no</t>
        </is>
      </c>
      <c r="V518" s="5" t="inlineStr">
        <is>
          <t>no</t>
        </is>
      </c>
      <c r="W518" s="5" t="inlineStr">
        <is>
          <t>yes</t>
        </is>
      </c>
      <c r="X518" s="5" t="inlineStr">
        <is>
          <t>yes</t>
        </is>
      </c>
      <c r="Y518" s="5" t="inlineStr">
        <is>
          <t>yes</t>
        </is>
      </c>
      <c r="Z518" s="5" t="inlineStr">
        <is>
          <t>no</t>
        </is>
      </c>
      <c r="AA518" s="5" t="n">
        <v>2.59</v>
      </c>
      <c r="AB518" s="5" t="n"/>
      <c r="AC518" s="5" t="n"/>
      <c r="AD518" s="5" t="n"/>
      <c r="AE518" s="5" t="n">
        <v>2685.7</v>
      </c>
      <c r="AF518" s="5" t="n">
        <v>2746.6</v>
      </c>
      <c r="AG518" s="5" t="n">
        <v>3072.4</v>
      </c>
      <c r="AH518" s="5" t="n">
        <v>2944</v>
      </c>
      <c r="AI518" s="5" t="inlineStr">
        <is>
          <t>new</t>
        </is>
      </c>
      <c r="AJ518" s="5" t="inlineStr"/>
      <c r="AK518" s="5" t="inlineStr">
        <is>
          <t>piece of a wall network the colour pipeline left unsplit</t>
        </is>
      </c>
      <c r="AL518" s="5" t="inlineStr"/>
      <c r="AM518" s="5" t="inlineStr"/>
    </row>
    <row r="519">
      <c r="A519" s="5" t="n">
        <v>518</v>
      </c>
      <c r="B519" s="5" t="inlineStr">
        <is>
          <t>126</t>
        </is>
      </c>
      <c r="C519" s="5" t="inlineStr">
        <is>
          <t>nearest labels (60% agree)</t>
        </is>
      </c>
      <c r="D519" s="5" t="inlineStr">
        <is>
          <t>wall</t>
        </is>
      </c>
      <c r="E519" s="5" t="inlineStr">
        <is>
          <t>retaining_wall</t>
        </is>
      </c>
      <c r="F519" s="5" t="inlineStr">
        <is>
          <t>(none)</t>
        </is>
      </c>
      <c r="G519" s="5" t="inlineStr"/>
      <c r="H519" s="5" t="inlineStr">
        <is>
          <t>none</t>
        </is>
      </c>
      <c r="I519" s="5" t="n">
        <v>125</v>
      </c>
      <c r="J519" s="5" t="n">
        <v>30</v>
      </c>
      <c r="K519" s="9">
        <f>IF(AND(ISNUMBER(I519),ISNUMBER(J519),J519&gt;0),I519/J519,"")</f>
        <v/>
      </c>
      <c r="L519" s="5" t="n">
        <v>0.375</v>
      </c>
      <c r="M519" s="5" t="n"/>
      <c r="N519" s="5" t="n">
        <v>116.7</v>
      </c>
      <c r="O519" s="5" t="inlineStr">
        <is>
          <t>solid fill</t>
        </is>
      </c>
      <c r="P519" s="5" t="inlineStr">
        <is>
          <t>solid fill, rectangle, L &gt; 4 W (EN 1992-1-1 5.3.1(7))</t>
        </is>
      </c>
      <c r="Q519" s="5">
        <f>IF(OR(D519="column",D519="wall"),IF(I519&lt;='P vs V'!$B$3*J519,"column","wall"),"")</f>
        <v/>
      </c>
      <c r="R519" s="5" t="inlineStr">
        <is>
          <t>SC3</t>
        </is>
      </c>
      <c r="S519" s="5" t="inlineStr"/>
      <c r="T519" s="5" t="n"/>
      <c r="U519" s="5" t="inlineStr">
        <is>
          <t>no</t>
        </is>
      </c>
      <c r="V519" s="5" t="inlineStr">
        <is>
          <t>no</t>
        </is>
      </c>
      <c r="W519" s="5" t="inlineStr">
        <is>
          <t>no</t>
        </is>
      </c>
      <c r="X519" s="5" t="inlineStr">
        <is>
          <t>yes</t>
        </is>
      </c>
      <c r="Y519" s="5" t="inlineStr">
        <is>
          <t>yes</t>
        </is>
      </c>
      <c r="Z519" s="5" t="inlineStr">
        <is>
          <t>yes</t>
        </is>
      </c>
      <c r="AA519" s="5" t="n">
        <v>6.36</v>
      </c>
      <c r="AB519" s="5" t="n"/>
      <c r="AC519" s="5" t="n"/>
      <c r="AD519" s="5" t="n"/>
      <c r="AE519" s="5" t="n">
        <v>2507.6</v>
      </c>
      <c r="AF519" s="5" t="n">
        <v>3073.9</v>
      </c>
      <c r="AG519" s="5" t="n">
        <v>2532.1</v>
      </c>
      <c r="AH519" s="5" t="n">
        <v>3110.9</v>
      </c>
      <c r="AI519" s="5" t="inlineStr">
        <is>
          <t>yes</t>
        </is>
      </c>
      <c r="AJ519" s="5" t="inlineStr">
        <is>
          <t>shear_wall</t>
        </is>
      </c>
      <c r="AK519" s="5" t="inlineStr"/>
      <c r="AL519" s="5" t="inlineStr">
        <is>
          <t>(0.87, 0.0, 0.87)</t>
        </is>
      </c>
      <c r="AM519" s="5" t="inlineStr">
        <is>
          <t>DM-VOILE</t>
        </is>
      </c>
    </row>
    <row r="520">
      <c r="A520" s="5" t="n">
        <v>519</v>
      </c>
      <c r="B520" s="5" t="inlineStr">
        <is>
          <t>126</t>
        </is>
      </c>
      <c r="C520" s="5" t="inlineStr">
        <is>
          <t>own label</t>
        </is>
      </c>
      <c r="D520" s="5" t="inlineStr">
        <is>
          <t>wall</t>
        </is>
      </c>
      <c r="E520" s="5" t="inlineStr">
        <is>
          <t>shear_wall</t>
        </is>
      </c>
      <c r="F520" s="5" t="inlineStr">
        <is>
          <t>V3/126</t>
        </is>
      </c>
      <c r="G520" s="5" t="inlineStr">
        <is>
          <t>V3/126/126</t>
        </is>
      </c>
      <c r="H520" s="5" t="inlineStr">
        <is>
          <t>printed</t>
        </is>
      </c>
      <c r="I520" s="5" t="n">
        <v>200</v>
      </c>
      <c r="J520" s="5" t="n">
        <v>30</v>
      </c>
      <c r="K520" s="9">
        <f>IF(AND(ISNUMBER(I520),ISNUMBER(J520),J520&gt;0),I520/J520,"")</f>
        <v/>
      </c>
      <c r="L520" s="5" t="n">
        <v>0.6</v>
      </c>
      <c r="M520" s="5" t="n"/>
      <c r="N520" s="5" t="n">
        <v>116.6</v>
      </c>
      <c r="O520" s="5" t="inlineStr">
        <is>
          <t>solid fill</t>
        </is>
      </c>
      <c r="P520" s="5" t="inlineStr">
        <is>
          <t>solid fill, rectangle, L &gt; 4 W (EN 1992-1-1 5.3.1(7))</t>
        </is>
      </c>
      <c r="Q520" s="5">
        <f>IF(OR(D520="column",D520="wall"),IF(I520&lt;='P vs V'!$B$3*J520,"column","wall"),"")</f>
        <v/>
      </c>
      <c r="R520" s="5" t="inlineStr">
        <is>
          <t>S11</t>
        </is>
      </c>
      <c r="S520" s="5" t="inlineStr"/>
      <c r="T520" s="5" t="n"/>
      <c r="U520" s="5" t="inlineStr">
        <is>
          <t>no</t>
        </is>
      </c>
      <c r="V520" s="5" t="inlineStr">
        <is>
          <t>no</t>
        </is>
      </c>
      <c r="W520" s="5" t="inlineStr">
        <is>
          <t>no</t>
        </is>
      </c>
      <c r="X520" s="5" t="inlineStr">
        <is>
          <t>no</t>
        </is>
      </c>
      <c r="Y520" s="5" t="inlineStr">
        <is>
          <t>yes</t>
        </is>
      </c>
      <c r="Z520" s="5" t="inlineStr">
        <is>
          <t>yes</t>
        </is>
      </c>
      <c r="AA520" s="5" t="n">
        <v>3.45</v>
      </c>
      <c r="AB520" s="5" t="n"/>
      <c r="AC520" s="5" t="n"/>
      <c r="AD520" s="5" t="n"/>
      <c r="AE520" s="5" t="n">
        <v>2661.4</v>
      </c>
      <c r="AF520" s="5" t="n">
        <v>3160.5</v>
      </c>
      <c r="AG520" s="5" t="n">
        <v>2695.8</v>
      </c>
      <c r="AH520" s="5" t="n">
        <v>3217.4</v>
      </c>
      <c r="AI520" s="5" t="inlineStr">
        <is>
          <t>yes</t>
        </is>
      </c>
      <c r="AJ520" s="5" t="inlineStr">
        <is>
          <t>shear_wall</t>
        </is>
      </c>
      <c r="AK520" s="5" t="inlineStr"/>
      <c r="AL520" s="5" t="inlineStr">
        <is>
          <t>(0.87, 0.0, 0.87)</t>
        </is>
      </c>
      <c r="AM520" s="5" t="inlineStr">
        <is>
          <t>DM-VOILE</t>
        </is>
      </c>
    </row>
    <row r="521">
      <c r="A521" s="5" t="n">
        <v>520</v>
      </c>
      <c r="B521" s="5" t="inlineStr">
        <is>
          <t>126</t>
        </is>
      </c>
      <c r="C521" s="5" t="inlineStr">
        <is>
          <t>own label</t>
        </is>
      </c>
      <c r="D521" s="5" t="inlineStr">
        <is>
          <t>wall</t>
        </is>
      </c>
      <c r="E521" s="5" t="inlineStr">
        <is>
          <t>shear_wall</t>
        </is>
      </c>
      <c r="F521" s="5" t="inlineStr">
        <is>
          <t>V4/126</t>
        </is>
      </c>
      <c r="G521" s="5" t="inlineStr">
        <is>
          <t>V4/126/126</t>
        </is>
      </c>
      <c r="H521" s="5" t="inlineStr">
        <is>
          <t>printed</t>
        </is>
      </c>
      <c r="I521" s="5" t="n">
        <v>200</v>
      </c>
      <c r="J521" s="5" t="n">
        <v>30</v>
      </c>
      <c r="K521" s="9">
        <f>IF(AND(ISNUMBER(I521),ISNUMBER(J521),J521&gt;0),I521/J521,"")</f>
        <v/>
      </c>
      <c r="L521" s="5" t="n">
        <v>0.601</v>
      </c>
      <c r="M521" s="5" t="n"/>
      <c r="N521" s="5" t="n">
        <v>116.6</v>
      </c>
      <c r="O521" s="5" t="inlineStr">
        <is>
          <t>solid fill</t>
        </is>
      </c>
      <c r="P521" s="5" t="inlineStr">
        <is>
          <t>solid fill, rectangle, L &gt; 4 W (EN 1992-1-1 5.3.1(7))</t>
        </is>
      </c>
      <c r="Q521" s="5">
        <f>IF(OR(D521="column",D521="wall"),IF(I521&lt;='P vs V'!$B$3*J521,"column","wall"),"")</f>
        <v/>
      </c>
      <c r="R521" s="5" t="inlineStr">
        <is>
          <t>S10</t>
        </is>
      </c>
      <c r="S521" s="5" t="inlineStr"/>
      <c r="T521" s="5" t="n"/>
      <c r="U521" s="5" t="inlineStr">
        <is>
          <t>no</t>
        </is>
      </c>
      <c r="V521" s="5" t="inlineStr">
        <is>
          <t>no</t>
        </is>
      </c>
      <c r="W521" s="5" t="inlineStr">
        <is>
          <t>no</t>
        </is>
      </c>
      <c r="X521" s="5" t="inlineStr">
        <is>
          <t>no</t>
        </is>
      </c>
      <c r="Y521" s="5" t="inlineStr">
        <is>
          <t>yes</t>
        </is>
      </c>
      <c r="Z521" s="5" t="inlineStr">
        <is>
          <t>yes</t>
        </is>
      </c>
      <c r="AA521" s="5" t="n">
        <v>0</v>
      </c>
      <c r="AB521" s="5" t="n"/>
      <c r="AC521" s="5" t="n"/>
      <c r="AD521" s="5" t="n"/>
      <c r="AE521" s="5" t="n">
        <v>2828.1</v>
      </c>
      <c r="AF521" s="5" t="n">
        <v>3236.4</v>
      </c>
      <c r="AG521" s="5" t="n">
        <v>2862.6</v>
      </c>
      <c r="AH521" s="5" t="n">
        <v>3293.2</v>
      </c>
      <c r="AI521" s="5" t="inlineStr">
        <is>
          <t>yes</t>
        </is>
      </c>
      <c r="AJ521" s="5" t="inlineStr">
        <is>
          <t>shear_wall</t>
        </is>
      </c>
      <c r="AK521" s="5" t="inlineStr"/>
      <c r="AL521" s="5" t="inlineStr">
        <is>
          <t>(0.87, 0.0, 0.87)</t>
        </is>
      </c>
      <c r="AM521" s="5" t="inlineStr">
        <is>
          <t>DM-VOILE</t>
        </is>
      </c>
    </row>
    <row r="522">
      <c r="A522" s="5" t="n">
        <v>521</v>
      </c>
      <c r="B522" s="5" t="inlineStr">
        <is>
          <t>126</t>
        </is>
      </c>
      <c r="C522" s="5" t="inlineStr">
        <is>
          <t>own label</t>
        </is>
      </c>
      <c r="D522" s="5" t="inlineStr">
        <is>
          <t>wall</t>
        </is>
      </c>
      <c r="E522" s="5" t="inlineStr">
        <is>
          <t>shear_wall</t>
        </is>
      </c>
      <c r="F522" s="5" t="inlineStr">
        <is>
          <t>V5/126</t>
        </is>
      </c>
      <c r="G522" s="5" t="inlineStr">
        <is>
          <t>V5/126/126</t>
        </is>
      </c>
      <c r="H522" s="5" t="inlineStr">
        <is>
          <t>printed</t>
        </is>
      </c>
      <c r="I522" s="5" t="n">
        <v>250</v>
      </c>
      <c r="J522" s="5" t="n">
        <v>30</v>
      </c>
      <c r="K522" s="9">
        <f>IF(AND(ISNUMBER(I522),ISNUMBER(J522),J522&gt;0),I522/J522,"")</f>
        <v/>
      </c>
      <c r="L522" s="5" t="n">
        <v>0.749</v>
      </c>
      <c r="M522" s="5" t="n"/>
      <c r="N522" s="5" t="n">
        <v>26.6</v>
      </c>
      <c r="O522" s="5" t="inlineStr">
        <is>
          <t>solid fill</t>
        </is>
      </c>
      <c r="P522" s="5" t="inlineStr">
        <is>
          <t>solid fill, rectangle, L &gt; 4 W (EN 1992-1-1 5.3.1(7))</t>
        </is>
      </c>
      <c r="Q522" s="5">
        <f>IF(OR(D522="column",D522="wall"),IF(I522&lt;='P vs V'!$B$3*J522,"column","wall"),"")</f>
        <v/>
      </c>
      <c r="R522" s="5" t="inlineStr">
        <is>
          <t>S7</t>
        </is>
      </c>
      <c r="S522" s="5" t="inlineStr"/>
      <c r="T522" s="5" t="n"/>
      <c r="U522" s="5" t="inlineStr">
        <is>
          <t>no</t>
        </is>
      </c>
      <c r="V522" s="5" t="inlineStr">
        <is>
          <t>no</t>
        </is>
      </c>
      <c r="W522" s="5" t="inlineStr">
        <is>
          <t>yes</t>
        </is>
      </c>
      <c r="X522" s="5" t="inlineStr">
        <is>
          <t>no</t>
        </is>
      </c>
      <c r="Y522" s="5" t="inlineStr">
        <is>
          <t>no</t>
        </is>
      </c>
      <c r="Z522" s="5" t="inlineStr">
        <is>
          <t>yes</t>
        </is>
      </c>
      <c r="AA522" s="5" t="n">
        <v>1.4</v>
      </c>
      <c r="AB522" s="5" t="n"/>
      <c r="AC522" s="5" t="n"/>
      <c r="AD522" s="5" t="n"/>
      <c r="AE522" s="5" t="n">
        <v>2505.6</v>
      </c>
      <c r="AF522" s="5" t="n">
        <v>3338.3</v>
      </c>
      <c r="AG522" s="5" t="n">
        <v>2575.5</v>
      </c>
      <c r="AH522" s="5" t="n">
        <v>3379.3</v>
      </c>
      <c r="AI522" s="5" t="inlineStr">
        <is>
          <t>new</t>
        </is>
      </c>
      <c r="AJ522" s="5" t="inlineStr"/>
      <c r="AK522" s="5" t="inlineStr">
        <is>
          <t>piece of a wall network the colour pipeline left unsplit</t>
        </is>
      </c>
      <c r="AL522" s="5" t="inlineStr">
        <is>
          <t>(0.87, 0.0, 0.87)</t>
        </is>
      </c>
      <c r="AM522" s="5" t="inlineStr">
        <is>
          <t>DM-VOILE</t>
        </is>
      </c>
    </row>
    <row r="523">
      <c r="A523" s="5" t="n">
        <v>522</v>
      </c>
      <c r="B523" s="5" t="inlineStr">
        <is>
          <t>126</t>
        </is>
      </c>
      <c r="C523" s="5" t="inlineStr">
        <is>
          <t>own label</t>
        </is>
      </c>
      <c r="D523" s="5" t="inlineStr">
        <is>
          <t>wall</t>
        </is>
      </c>
      <c r="E523" s="5" t="inlineStr">
        <is>
          <t>shear_wall</t>
        </is>
      </c>
      <c r="F523" s="5" t="inlineStr">
        <is>
          <t>V8/126</t>
        </is>
      </c>
      <c r="G523" s="5" t="inlineStr">
        <is>
          <t>V8/126/126</t>
        </is>
      </c>
      <c r="H523" s="5" t="inlineStr">
        <is>
          <t>printed</t>
        </is>
      </c>
      <c r="I523" s="5" t="n">
        <v>125</v>
      </c>
      <c r="J523" s="5" t="n">
        <v>25</v>
      </c>
      <c r="K523" s="9">
        <f>IF(AND(ISNUMBER(I523),ISNUMBER(J523),J523&gt;0),I523/J523,"")</f>
        <v/>
      </c>
      <c r="L523" s="5" t="n">
        <v>0.314</v>
      </c>
      <c r="M523" s="5" t="n"/>
      <c r="N523" s="5" t="n">
        <v>116.7</v>
      </c>
      <c r="O523" s="5" t="inlineStr">
        <is>
          <t>solid fill</t>
        </is>
      </c>
      <c r="P523" s="5" t="inlineStr">
        <is>
          <t>solid fill, rectangle, L &gt; 4 W (EN 1992-1-1 5.3.1(7))</t>
        </is>
      </c>
      <c r="Q523" s="5">
        <f>IF(OR(D523="column",D523="wall"),IF(I523&lt;='P vs V'!$B$3*J523,"column","wall"),"")</f>
        <v/>
      </c>
      <c r="R523" s="5" t="inlineStr">
        <is>
          <t>S2</t>
        </is>
      </c>
      <c r="S523" s="5" t="inlineStr"/>
      <c r="T523" s="5" t="n"/>
      <c r="U523" s="5" t="inlineStr">
        <is>
          <t>no</t>
        </is>
      </c>
      <c r="V523" s="5" t="inlineStr">
        <is>
          <t>no</t>
        </is>
      </c>
      <c r="W523" s="5" t="inlineStr">
        <is>
          <t>no</t>
        </is>
      </c>
      <c r="X523" s="5" t="inlineStr">
        <is>
          <t>no</t>
        </is>
      </c>
      <c r="Y523" s="5" t="inlineStr">
        <is>
          <t>yes</t>
        </is>
      </c>
      <c r="Z523" s="5" t="inlineStr">
        <is>
          <t>yes</t>
        </is>
      </c>
      <c r="AA523" s="5" t="n">
        <v>1.81</v>
      </c>
      <c r="AB523" s="5" t="n"/>
      <c r="AC523" s="5" t="n"/>
      <c r="AD523" s="5" t="n"/>
      <c r="AE523" s="5" t="n">
        <v>2820.6</v>
      </c>
      <c r="AF523" s="5" t="n">
        <v>2972.2</v>
      </c>
      <c r="AG523" s="5" t="n">
        <v>2843.8</v>
      </c>
      <c r="AH523" s="5" t="n">
        <v>3008.5</v>
      </c>
      <c r="AI523" s="5" t="inlineStr">
        <is>
          <t>yes</t>
        </is>
      </c>
      <c r="AJ523" s="5" t="inlineStr">
        <is>
          <t>shear_wall</t>
        </is>
      </c>
      <c r="AK523" s="5" t="inlineStr"/>
      <c r="AL523" s="5" t="inlineStr">
        <is>
          <t>(0.87, 0.0, 0.87)</t>
        </is>
      </c>
      <c r="AM523" s="5" t="inlineStr">
        <is>
          <t>DM-VOILE</t>
        </is>
      </c>
    </row>
    <row r="524">
      <c r="A524" s="5" t="n">
        <v>523</v>
      </c>
      <c r="B524" s="5" t="inlineStr">
        <is>
          <t>126</t>
        </is>
      </c>
      <c r="C524" s="5" t="inlineStr">
        <is>
          <t>own label</t>
        </is>
      </c>
      <c r="D524" s="5" t="inlineStr">
        <is>
          <t>wall</t>
        </is>
      </c>
      <c r="E524" s="5" t="inlineStr">
        <is>
          <t>shear_wall</t>
        </is>
      </c>
      <c r="F524" s="5" t="inlineStr">
        <is>
          <t>V8/126</t>
        </is>
      </c>
      <c r="G524" s="5" t="inlineStr">
        <is>
          <t>V8/126/126</t>
        </is>
      </c>
      <c r="H524" s="5" t="inlineStr">
        <is>
          <t>printed</t>
        </is>
      </c>
      <c r="I524" s="5" t="n">
        <v>125</v>
      </c>
      <c r="J524" s="5" t="n">
        <v>25</v>
      </c>
      <c r="K524" s="9">
        <f>IF(AND(ISNUMBER(I524),ISNUMBER(J524),J524&gt;0),I524/J524,"")</f>
        <v/>
      </c>
      <c r="L524" s="5" t="n">
        <v>0.311</v>
      </c>
      <c r="M524" s="5" t="n"/>
      <c r="N524" s="5" t="n">
        <v>116.6</v>
      </c>
      <c r="O524" s="5" t="inlineStr">
        <is>
          <t>solid fill</t>
        </is>
      </c>
      <c r="P524" s="5" t="inlineStr">
        <is>
          <t>solid fill, rectangle, L &gt; 4 W (EN 1992-1-1 5.3.1(7))</t>
        </is>
      </c>
      <c r="Q524" s="5">
        <f>IF(OR(D524="column",D524="wall"),IF(I524&lt;='P vs V'!$B$3*J524,"column","wall"),"")</f>
        <v/>
      </c>
      <c r="R524" s="5" t="inlineStr">
        <is>
          <t>SC2</t>
        </is>
      </c>
      <c r="S524" s="5" t="inlineStr"/>
      <c r="T524" s="5" t="n"/>
      <c r="U524" s="5" t="inlineStr">
        <is>
          <t>no</t>
        </is>
      </c>
      <c r="V524" s="5" t="inlineStr">
        <is>
          <t>no</t>
        </is>
      </c>
      <c r="W524" s="5" t="inlineStr">
        <is>
          <t>no</t>
        </is>
      </c>
      <c r="X524" s="5" t="inlineStr">
        <is>
          <t>no</t>
        </is>
      </c>
      <c r="Y524" s="5" t="inlineStr">
        <is>
          <t>yes</t>
        </is>
      </c>
      <c r="Z524" s="5" t="inlineStr">
        <is>
          <t>yes</t>
        </is>
      </c>
      <c r="AA524" s="5" t="n">
        <v>9.74</v>
      </c>
      <c r="AB524" s="5" t="n"/>
      <c r="AC524" s="5" t="n"/>
      <c r="AD524" s="5" t="n"/>
      <c r="AE524" s="5" t="n">
        <v>2618.1</v>
      </c>
      <c r="AF524" s="5" t="n">
        <v>2853.8</v>
      </c>
      <c r="AG524" s="5" t="n">
        <v>2641.1</v>
      </c>
      <c r="AH524" s="5" t="n">
        <v>2890.1</v>
      </c>
      <c r="AI524" s="5" t="inlineStr">
        <is>
          <t>yes</t>
        </is>
      </c>
      <c r="AJ524" s="5" t="inlineStr">
        <is>
          <t>shear_wall</t>
        </is>
      </c>
      <c r="AK524" s="5" t="inlineStr"/>
      <c r="AL524" s="5" t="inlineStr">
        <is>
          <t>(0.87, 0.0, 0.87)</t>
        </is>
      </c>
      <c r="AM524" s="5" t="inlineStr">
        <is>
          <t>DM-VOILE</t>
        </is>
      </c>
    </row>
    <row r="525">
      <c r="A525" s="5" t="n">
        <v>524</v>
      </c>
      <c r="B525" s="5" t="inlineStr">
        <is>
          <t>126</t>
        </is>
      </c>
      <c r="C525" s="5" t="inlineStr">
        <is>
          <t>own label</t>
        </is>
      </c>
      <c r="D525" s="5" t="inlineStr">
        <is>
          <t>wall</t>
        </is>
      </c>
      <c r="E525" s="5" t="inlineStr">
        <is>
          <t>shear_wall</t>
        </is>
      </c>
      <c r="F525" s="5" t="inlineStr">
        <is>
          <t>V8/126</t>
        </is>
      </c>
      <c r="G525" s="5" t="inlineStr"/>
      <c r="H525" s="5" t="inlineStr">
        <is>
          <t>inferred from building + size</t>
        </is>
      </c>
      <c r="I525" s="5" t="n">
        <v>124</v>
      </c>
      <c r="J525" s="5" t="n">
        <v>25</v>
      </c>
      <c r="K525" s="9">
        <f>IF(AND(ISNUMBER(I525),ISNUMBER(J525),J525&gt;0),I525/J525,"")</f>
        <v/>
      </c>
      <c r="L525" s="5" t="n">
        <v>0.31</v>
      </c>
      <c r="M525" s="5" t="n"/>
      <c r="N525" s="5" t="n">
        <v>26.7</v>
      </c>
      <c r="O525" s="5" t="inlineStr">
        <is>
          <t>solid fill</t>
        </is>
      </c>
      <c r="P525" s="5" t="inlineStr">
        <is>
          <t>solid fill, rectangle, L &gt; 4 W (EN 1992-1-1 5.3.1(7))</t>
        </is>
      </c>
      <c r="Q525" s="5">
        <f>IF(OR(D525="column",D525="wall"),IF(I525&lt;='P vs V'!$B$3*J525,"column","wall"),"")</f>
        <v/>
      </c>
      <c r="R525" s="5" t="inlineStr"/>
      <c r="S525" s="5" t="inlineStr"/>
      <c r="T525" s="5" t="n"/>
      <c r="U525" s="5" t="inlineStr">
        <is>
          <t>yes</t>
        </is>
      </c>
      <c r="V525" s="5" t="inlineStr">
        <is>
          <t>yes</t>
        </is>
      </c>
      <c r="W525" s="5" t="inlineStr">
        <is>
          <t>yes</t>
        </is>
      </c>
      <c r="X525" s="5" t="inlineStr">
        <is>
          <t>no</t>
        </is>
      </c>
      <c r="Y525" s="5" t="inlineStr">
        <is>
          <t>no</t>
        </is>
      </c>
      <c r="Z525" s="5" t="inlineStr">
        <is>
          <t>no</t>
        </is>
      </c>
      <c r="AA525" s="5" t="n">
        <v>0.75</v>
      </c>
      <c r="AB525" s="5" t="n"/>
      <c r="AC525" s="5" t="n"/>
      <c r="AD525" s="5" t="n"/>
      <c r="AE525" s="5" t="n">
        <v>2737.6</v>
      </c>
      <c r="AF525" s="5" t="n">
        <v>3575.8</v>
      </c>
      <c r="AG525" s="5" t="n">
        <v>2773.6</v>
      </c>
      <c r="AH525" s="5" t="n">
        <v>3598.8</v>
      </c>
      <c r="AI525" s="5" t="inlineStr">
        <is>
          <t>new</t>
        </is>
      </c>
      <c r="AJ525" s="5" t="inlineStr"/>
      <c r="AK525" s="5" t="inlineStr">
        <is>
          <t>piece of a wall network the colour pipeline left unsplit</t>
        </is>
      </c>
      <c r="AL525" s="5" t="inlineStr">
        <is>
          <t>(0.87, 0.0, 0.87)</t>
        </is>
      </c>
      <c r="AM525" s="5" t="inlineStr">
        <is>
          <t>DM-VOILE</t>
        </is>
      </c>
    </row>
    <row r="526">
      <c r="A526" s="5" t="n">
        <v>525</v>
      </c>
      <c r="B526" s="5" t="inlineStr">
        <is>
          <t>126</t>
        </is>
      </c>
      <c r="C526" s="5" t="inlineStr">
        <is>
          <t>nearest labels (60% agree)</t>
        </is>
      </c>
      <c r="D526" s="5" t="inlineStr">
        <is>
          <t>wall</t>
        </is>
      </c>
      <c r="E526" s="5" t="inlineStr">
        <is>
          <t>shear_wall</t>
        </is>
      </c>
      <c r="F526" s="5" t="inlineStr">
        <is>
          <t>(none)</t>
        </is>
      </c>
      <c r="G526" s="5" t="inlineStr"/>
      <c r="H526" s="5" t="inlineStr">
        <is>
          <t>none</t>
        </is>
      </c>
      <c r="I526" s="5" t="n">
        <v>125</v>
      </c>
      <c r="J526" s="5" t="n">
        <v>30</v>
      </c>
      <c r="K526" s="9">
        <f>IF(AND(ISNUMBER(I526),ISNUMBER(J526),J526&gt;0),I526/J526,"")</f>
        <v/>
      </c>
      <c r="L526" s="5" t="n">
        <v>0.374</v>
      </c>
      <c r="M526" s="5" t="n"/>
      <c r="N526" s="5" t="n">
        <v>116.7</v>
      </c>
      <c r="O526" s="5" t="inlineStr">
        <is>
          <t>solid fill</t>
        </is>
      </c>
      <c r="P526" s="5" t="inlineStr">
        <is>
          <t>solid fill, rectangle, L &gt; 4 W (EN 1992-1-1 5.3.1(7))</t>
        </is>
      </c>
      <c r="Q526" s="5">
        <f>IF(OR(D526="column",D526="wall"),IF(I526&lt;='P vs V'!$B$3*J526,"column","wall"),"")</f>
        <v/>
      </c>
      <c r="R526" s="5" t="inlineStr">
        <is>
          <t>SC1</t>
        </is>
      </c>
      <c r="S526" s="5" t="inlineStr"/>
      <c r="T526" s="5" t="n"/>
      <c r="U526" s="5" t="inlineStr">
        <is>
          <t>no</t>
        </is>
      </c>
      <c r="V526" s="5" t="inlineStr">
        <is>
          <t>no</t>
        </is>
      </c>
      <c r="W526" s="5" t="inlineStr">
        <is>
          <t>yes</t>
        </is>
      </c>
      <c r="X526" s="5" t="inlineStr">
        <is>
          <t>no</t>
        </is>
      </c>
      <c r="Y526" s="5" t="inlineStr">
        <is>
          <t>yes</t>
        </is>
      </c>
      <c r="Z526" s="5" t="inlineStr">
        <is>
          <t>no</t>
        </is>
      </c>
      <c r="AA526" s="5" t="n">
        <v>1.8</v>
      </c>
      <c r="AB526" s="5" t="n"/>
      <c r="AC526" s="5" t="n"/>
      <c r="AD526" s="5" t="n"/>
      <c r="AE526" s="5" t="n">
        <v>2399.4</v>
      </c>
      <c r="AF526" s="5" t="n">
        <v>3289.7</v>
      </c>
      <c r="AG526" s="5" t="n">
        <v>2423.8</v>
      </c>
      <c r="AH526" s="5" t="n">
        <v>3326.7</v>
      </c>
      <c r="AI526" s="5" t="inlineStr">
        <is>
          <t>new</t>
        </is>
      </c>
      <c r="AJ526" s="5" t="inlineStr"/>
      <c r="AK526" s="5" t="inlineStr">
        <is>
          <t>piece of a wall network the colour pipeline left unsplit</t>
        </is>
      </c>
      <c r="AL526" s="5" t="inlineStr">
        <is>
          <t>(0.87, 0.0, 0.87)</t>
        </is>
      </c>
      <c r="AM526" s="5" t="inlineStr">
        <is>
          <t>DM-VOILE</t>
        </is>
      </c>
    </row>
    <row r="527">
      <c r="A527" s="5" t="n">
        <v>526</v>
      </c>
      <c r="B527" s="5" t="inlineStr">
        <is>
          <t>126</t>
        </is>
      </c>
      <c r="C527" s="5" t="inlineStr">
        <is>
          <t>nearest labels (100% agree)</t>
        </is>
      </c>
      <c r="D527" s="5" t="inlineStr">
        <is>
          <t>wall</t>
        </is>
      </c>
      <c r="E527" s="5" t="inlineStr">
        <is>
          <t>shear_wall</t>
        </is>
      </c>
      <c r="F527" s="5" t="inlineStr">
        <is>
          <t>(none)</t>
        </is>
      </c>
      <c r="G527" s="5" t="inlineStr"/>
      <c r="H527" s="5" t="inlineStr">
        <is>
          <t>none</t>
        </is>
      </c>
      <c r="I527" s="5" t="n">
        <v>87</v>
      </c>
      <c r="J527" s="5" t="n">
        <v>20</v>
      </c>
      <c r="K527" s="9">
        <f>IF(AND(ISNUMBER(I527),ISNUMBER(J527),J527&gt;0),I527/J527,"")</f>
        <v/>
      </c>
      <c r="L527" s="5" t="n">
        <v>0.176</v>
      </c>
      <c r="M527" s="5" t="n"/>
      <c r="N527" s="5" t="n">
        <v>116.6</v>
      </c>
      <c r="O527" s="5" t="inlineStr">
        <is>
          <t>solid fill</t>
        </is>
      </c>
      <c r="P527" s="5" t="inlineStr">
        <is>
          <t>straight stretch of a thin filled outline with bends (pair of parallel faces)</t>
        </is>
      </c>
      <c r="Q527" s="5">
        <f>IF(OR(D527="column",D527="wall"),IF(I527&lt;='P vs V'!$B$3*J527,"column","wall"),"")</f>
        <v/>
      </c>
      <c r="R527" s="5" t="inlineStr"/>
      <c r="S527" s="5" t="inlineStr"/>
      <c r="T527" s="5" t="n"/>
      <c r="U527" s="5" t="inlineStr">
        <is>
          <t>no</t>
        </is>
      </c>
      <c r="V527" s="5" t="inlineStr">
        <is>
          <t>no</t>
        </is>
      </c>
      <c r="W527" s="5" t="inlineStr">
        <is>
          <t>yes</t>
        </is>
      </c>
      <c r="X527" s="5" t="inlineStr">
        <is>
          <t>no</t>
        </is>
      </c>
      <c r="Y527" s="5" t="inlineStr">
        <is>
          <t>no</t>
        </is>
      </c>
      <c r="Z527" s="5" t="inlineStr">
        <is>
          <t>yes</t>
        </is>
      </c>
      <c r="AA527" s="5" t="n">
        <v>0.01</v>
      </c>
      <c r="AB527" s="5" t="n"/>
      <c r="AC527" s="5" t="n"/>
      <c r="AD527" s="5" t="n"/>
      <c r="AE527" s="5" t="n">
        <v>2657.6</v>
      </c>
      <c r="AF527" s="5" t="n">
        <v>3428.2</v>
      </c>
      <c r="AG527" s="5" t="n">
        <v>2674.4</v>
      </c>
      <c r="AH527" s="5" t="n">
        <v>3454</v>
      </c>
      <c r="AI527" s="5" t="inlineStr">
        <is>
          <t>new</t>
        </is>
      </c>
      <c r="AJ527" s="5" t="inlineStr"/>
      <c r="AK527" s="5" t="inlineStr">
        <is>
          <t>piece of a wall network the colour pipeline left unsplit</t>
        </is>
      </c>
      <c r="AL527" s="5" t="inlineStr"/>
      <c r="AM527" s="5" t="inlineStr"/>
    </row>
    <row r="528">
      <c r="A528" s="5" t="n">
        <v>527</v>
      </c>
      <c r="B528" s="5" t="inlineStr">
        <is>
          <t>126</t>
        </is>
      </c>
      <c r="C528" s="5" t="inlineStr">
        <is>
          <t>nearest labels (80% agree)</t>
        </is>
      </c>
      <c r="D528" s="5" t="inlineStr">
        <is>
          <t>wall</t>
        </is>
      </c>
      <c r="E528" s="5" t="inlineStr">
        <is>
          <t>core_wall_hatched</t>
        </is>
      </c>
      <c r="F528" s="5" t="inlineStr">
        <is>
          <t>(none)</t>
        </is>
      </c>
      <c r="G528" s="5" t="inlineStr"/>
      <c r="H528" s="5" t="inlineStr">
        <is>
          <t>none</t>
        </is>
      </c>
      <c r="I528" s="5" t="n">
        <v>303</v>
      </c>
      <c r="J528" s="5" t="n">
        <v>20</v>
      </c>
      <c r="K528" s="9">
        <f>IF(AND(ISNUMBER(I528),ISNUMBER(J528),J528&gt;0),I528/J528,"")</f>
        <v/>
      </c>
      <c r="L528" s="5" t="n">
        <v>0.613</v>
      </c>
      <c r="M528" s="5" t="n">
        <v>3.03</v>
      </c>
      <c r="N528" s="5" t="n">
        <v>26.8</v>
      </c>
      <c r="O528" s="5" t="inlineStr">
        <is>
          <t>cross-hatch</t>
        </is>
      </c>
      <c r="P528" s="5" t="inlineStr">
        <is>
          <t>cross-hatch of short strokes in two perpendicular families</t>
        </is>
      </c>
      <c r="Q528" s="5">
        <f>IF(OR(D528="column",D528="wall"),IF(I528&lt;='P vs V'!$B$3*J528,"column","wall"),"")</f>
        <v/>
      </c>
      <c r="R528" s="5" t="inlineStr"/>
      <c r="S528" s="5" t="inlineStr"/>
      <c r="T528" s="5" t="n"/>
      <c r="U528" s="5" t="inlineStr">
        <is>
          <t>yes</t>
        </is>
      </c>
      <c r="V528" s="5" t="inlineStr">
        <is>
          <t>no</t>
        </is>
      </c>
      <c r="W528" s="5" t="inlineStr">
        <is>
          <t>yes</t>
        </is>
      </c>
      <c r="X528" s="5" t="inlineStr">
        <is>
          <t>no</t>
        </is>
      </c>
      <c r="Y528" s="5" t="inlineStr">
        <is>
          <t>no</t>
        </is>
      </c>
      <c r="Z528" s="5" t="inlineStr">
        <is>
          <t>no</t>
        </is>
      </c>
      <c r="AA528" s="5" t="n">
        <v>1.39</v>
      </c>
      <c r="AB528" s="5" t="n">
        <v>0.28</v>
      </c>
      <c r="AC528" s="5" t="n"/>
      <c r="AD528" s="5" t="n"/>
      <c r="AE528" s="5" t="n">
        <v>2799.6</v>
      </c>
      <c r="AF528" s="5" t="n">
        <v>3370.5</v>
      </c>
      <c r="AG528" s="5" t="n">
        <v>2853.6</v>
      </c>
      <c r="AH528" s="5" t="n">
        <v>3416.4</v>
      </c>
      <c r="AI528" s="5" t="inlineStr">
        <is>
          <t>n/a</t>
        </is>
      </c>
      <c r="AJ528" s="5" t="inlineStr"/>
      <c r="AK528" s="5" t="inlineStr"/>
      <c r="AL528" s="5" t="inlineStr"/>
      <c r="AM528" s="5" t="inlineStr"/>
    </row>
    <row r="529">
      <c r="A529" s="5" t="n">
        <v>528</v>
      </c>
      <c r="B529" s="5" t="inlineStr">
        <is>
          <t>126</t>
        </is>
      </c>
      <c r="C529" s="5" t="inlineStr">
        <is>
          <t>nearest labels (60% agree)</t>
        </is>
      </c>
      <c r="D529" s="5" t="inlineStr">
        <is>
          <t>wall</t>
        </is>
      </c>
      <c r="E529" s="5" t="inlineStr">
        <is>
          <t>core_wall_hatched</t>
        </is>
      </c>
      <c r="F529" s="5" t="inlineStr">
        <is>
          <t>(none)</t>
        </is>
      </c>
      <c r="G529" s="5" t="inlineStr"/>
      <c r="H529" s="5" t="inlineStr">
        <is>
          <t>none</t>
        </is>
      </c>
      <c r="I529" s="5" t="n">
        <v>229</v>
      </c>
      <c r="J529" s="5" t="n">
        <v>20</v>
      </c>
      <c r="K529" s="9">
        <f>IF(AND(ISNUMBER(I529),ISNUMBER(J529),J529&gt;0),I529/J529,"")</f>
        <v/>
      </c>
      <c r="L529" s="5" t="n">
        <v>0.463</v>
      </c>
      <c r="M529" s="5" t="n">
        <v>2.29</v>
      </c>
      <c r="N529" s="5" t="n">
        <v>116.6</v>
      </c>
      <c r="O529" s="5" t="inlineStr">
        <is>
          <t>cross-hatch</t>
        </is>
      </c>
      <c r="P529" s="5" t="inlineStr">
        <is>
          <t>cross-hatch of short strokes in two perpendicular families</t>
        </is>
      </c>
      <c r="Q529" s="5">
        <f>IF(OR(D529="column",D529="wall"),IF(I529&lt;='P vs V'!$B$3*J529,"column","wall"),"")</f>
        <v/>
      </c>
      <c r="R529" s="5" t="inlineStr"/>
      <c r="S529" s="5" t="inlineStr"/>
      <c r="T529" s="5" t="n"/>
      <c r="U529" s="5" t="inlineStr">
        <is>
          <t>yes</t>
        </is>
      </c>
      <c r="V529" s="5" t="inlineStr">
        <is>
          <t>no</t>
        </is>
      </c>
      <c r="W529" s="5" t="inlineStr">
        <is>
          <t>no</t>
        </is>
      </c>
      <c r="X529" s="5" t="inlineStr">
        <is>
          <t>no</t>
        </is>
      </c>
      <c r="Y529" s="5" t="inlineStr">
        <is>
          <t>no</t>
        </is>
      </c>
      <c r="Z529" s="5" t="inlineStr">
        <is>
          <t>no</t>
        </is>
      </c>
      <c r="AA529" s="5" t="n">
        <v>0.63</v>
      </c>
      <c r="AB529" s="5" t="n">
        <v>0.28</v>
      </c>
      <c r="AC529" s="5" t="n"/>
      <c r="AD529" s="5" t="n"/>
      <c r="AE529" s="5" t="n">
        <v>2778.2</v>
      </c>
      <c r="AF529" s="5" t="n">
        <v>3457.6</v>
      </c>
      <c r="AG529" s="5" t="n">
        <v>2824.7</v>
      </c>
      <c r="AH529" s="5" t="n">
        <v>3547.3</v>
      </c>
      <c r="AI529" s="5" t="inlineStr">
        <is>
          <t>n/a</t>
        </is>
      </c>
      <c r="AJ529" s="5" t="inlineStr"/>
      <c r="AK529" s="5" t="inlineStr"/>
      <c r="AL529" s="5" t="inlineStr"/>
      <c r="AM529" s="5" t="inlineStr"/>
    </row>
    <row r="530">
      <c r="A530" s="5" t="n">
        <v>529</v>
      </c>
      <c r="B530" s="5" t="inlineStr">
        <is>
          <t>126</t>
        </is>
      </c>
      <c r="C530" s="5" t="inlineStr">
        <is>
          <t>nearest labels (80% agree)</t>
        </is>
      </c>
      <c r="D530" s="5" t="inlineStr">
        <is>
          <t>wall</t>
        </is>
      </c>
      <c r="E530" s="5" t="inlineStr">
        <is>
          <t>core_wall_hatched</t>
        </is>
      </c>
      <c r="F530" s="5" t="inlineStr">
        <is>
          <t>(none)</t>
        </is>
      </c>
      <c r="G530" s="5" t="inlineStr"/>
      <c r="H530" s="5" t="inlineStr">
        <is>
          <t>none</t>
        </is>
      </c>
      <c r="I530" s="5" t="n">
        <v>94</v>
      </c>
      <c r="J530" s="5" t="n">
        <v>20</v>
      </c>
      <c r="K530" s="9">
        <f>IF(AND(ISNUMBER(I530),ISNUMBER(J530),J530&gt;0),I530/J530,"")</f>
        <v/>
      </c>
      <c r="L530" s="5" t="n">
        <v>0.19</v>
      </c>
      <c r="M530" s="5" t="n">
        <v>0.9399999999999999</v>
      </c>
      <c r="N530" s="5" t="n">
        <v>26.7</v>
      </c>
      <c r="O530" s="5" t="inlineStr">
        <is>
          <t>cross-hatch</t>
        </is>
      </c>
      <c r="P530" s="5" t="inlineStr">
        <is>
          <t>cross-hatch of short strokes in two perpendicular families</t>
        </is>
      </c>
      <c r="Q530" s="5">
        <f>IF(OR(D530="column",D530="wall"),IF(I530&lt;='P vs V'!$B$3*J530,"column","wall"),"")</f>
        <v/>
      </c>
      <c r="R530" s="5" t="inlineStr"/>
      <c r="S530" s="5" t="inlineStr"/>
      <c r="T530" s="5" t="n"/>
      <c r="U530" s="5" t="inlineStr">
        <is>
          <t>yes</t>
        </is>
      </c>
      <c r="V530" s="5" t="inlineStr">
        <is>
          <t>no</t>
        </is>
      </c>
      <c r="W530" s="5" t="inlineStr">
        <is>
          <t>yes</t>
        </is>
      </c>
      <c r="X530" s="5" t="inlineStr">
        <is>
          <t>no</t>
        </is>
      </c>
      <c r="Y530" s="5" t="inlineStr">
        <is>
          <t>no</t>
        </is>
      </c>
      <c r="Z530" s="5" t="inlineStr">
        <is>
          <t>no</t>
        </is>
      </c>
      <c r="AA530" s="5" t="n">
        <v>0.8100000000000001</v>
      </c>
      <c r="AB530" s="5" t="n">
        <v>0.28</v>
      </c>
      <c r="AC530" s="5" t="n"/>
      <c r="AD530" s="5" t="n"/>
      <c r="AE530" s="5" t="n">
        <v>2701</v>
      </c>
      <c r="AF530" s="5" t="n">
        <v>3555.8</v>
      </c>
      <c r="AG530" s="5" t="n">
        <v>2740.8</v>
      </c>
      <c r="AH530" s="5" t="n">
        <v>3579.3</v>
      </c>
      <c r="AI530" s="5" t="inlineStr">
        <is>
          <t>n/a</t>
        </is>
      </c>
      <c r="AJ530" s="5" t="inlineStr"/>
      <c r="AK530" s="5" t="inlineStr"/>
      <c r="AL530" s="5" t="inlineStr"/>
      <c r="AM530" s="5" t="inlineStr"/>
    </row>
    <row r="531">
      <c r="A531" s="5" t="n">
        <v>530</v>
      </c>
      <c r="B531" s="5" t="inlineStr">
        <is>
          <t>126</t>
        </is>
      </c>
      <c r="C531" s="5" t="inlineStr">
        <is>
          <t>nearest labels (60% agree)</t>
        </is>
      </c>
      <c r="D531" s="5" t="inlineStr">
        <is>
          <t>footing</t>
        </is>
      </c>
      <c r="E531" s="5" t="inlineStr">
        <is>
          <t>combined_footing</t>
        </is>
      </c>
      <c r="F531" s="5" t="inlineStr">
        <is>
          <t>SC1</t>
        </is>
      </c>
      <c r="G531" s="5" t="inlineStr">
        <is>
          <t>SC1-</t>
        </is>
      </c>
      <c r="H531" s="5" t="inlineStr">
        <is>
          <t>printed</t>
        </is>
      </c>
      <c r="I531" s="5" t="n">
        <v>500</v>
      </c>
      <c r="J531" s="5" t="n">
        <v>350</v>
      </c>
      <c r="K531" s="9">
        <f>IF(AND(ISNUMBER(I531),ISNUMBER(J531),J531&gt;0),I531/J531,"")</f>
        <v/>
      </c>
      <c r="L531" s="5" t="n">
        <v>17.502</v>
      </c>
      <c r="M531" s="5" t="n"/>
      <c r="N531" s="5" t="n">
        <v>116.6</v>
      </c>
      <c r="O531" s="5" t="inlineStr">
        <is>
          <t>closed outline</t>
        </is>
      </c>
      <c r="P531" s="5" t="inlineStr">
        <is>
          <t>closed rectangular outline around a column/wall or next to an S/SC label</t>
        </is>
      </c>
      <c r="Q531" s="5">
        <f>IF(OR(D531="column",D531="wall"),IF(I531&lt;='P vs V'!$B$3*J531,"column","wall"),"")</f>
        <v/>
      </c>
      <c r="R531" s="5" t="inlineStr"/>
      <c r="S531" s="5" t="inlineStr">
        <is>
          <t>wall+wall</t>
        </is>
      </c>
      <c r="T531" s="5" t="n">
        <v>8</v>
      </c>
      <c r="U531" s="5" t="inlineStr">
        <is>
          <t>no</t>
        </is>
      </c>
      <c r="V531" s="5" t="inlineStr">
        <is>
          <t>no</t>
        </is>
      </c>
      <c r="W531" s="5" t="inlineStr">
        <is>
          <t>yes</t>
        </is>
      </c>
      <c r="X531" s="5" t="inlineStr">
        <is>
          <t>no</t>
        </is>
      </c>
      <c r="Y531" s="5" t="inlineStr">
        <is>
          <t>yes</t>
        </is>
      </c>
      <c r="Z531" s="5" t="inlineStr">
        <is>
          <t>no</t>
        </is>
      </c>
      <c r="AA531" s="5" t="n">
        <v>1.8</v>
      </c>
      <c r="AB531" s="5" t="n"/>
      <c r="AC531" s="5" t="n"/>
      <c r="AD531" s="5" t="n"/>
      <c r="AE531" s="5" t="n">
        <v>2325.7</v>
      </c>
      <c r="AF531" s="5" t="n">
        <v>3215.8</v>
      </c>
      <c r="AG531" s="5" t="n">
        <v>2484.3</v>
      </c>
      <c r="AH531" s="5" t="n">
        <v>3394.1</v>
      </c>
      <c r="AI531" s="5" t="inlineStr">
        <is>
          <t>yes</t>
        </is>
      </c>
      <c r="AJ531" s="5" t="inlineStr">
        <is>
          <t>combined_footing</t>
        </is>
      </c>
      <c r="AK531" s="5" t="inlineStr"/>
      <c r="AL531" s="5" t="inlineStr">
        <is>
          <t>(0.72, 0.72, 0.0)</t>
        </is>
      </c>
      <c r="AM531" s="5" t="inlineStr">
        <is>
          <t>DM-SEMELLES</t>
        </is>
      </c>
    </row>
    <row r="532">
      <c r="A532" s="5" t="n">
        <v>531</v>
      </c>
      <c r="B532" s="5" t="inlineStr">
        <is>
          <t>126</t>
        </is>
      </c>
      <c r="C532" s="5" t="inlineStr">
        <is>
          <t>nearest labels (60% agree)</t>
        </is>
      </c>
      <c r="D532" s="5" t="inlineStr">
        <is>
          <t>footing</t>
        </is>
      </c>
      <c r="E532" s="5" t="inlineStr">
        <is>
          <t>combined_footing</t>
        </is>
      </c>
      <c r="F532" s="5" t="inlineStr">
        <is>
          <t>SC2</t>
        </is>
      </c>
      <c r="G532" s="5" t="inlineStr">
        <is>
          <t>SC2-</t>
        </is>
      </c>
      <c r="H532" s="5" t="inlineStr">
        <is>
          <t>printed</t>
        </is>
      </c>
      <c r="I532" s="5" t="n">
        <v>350</v>
      </c>
      <c r="J532" s="5" t="n">
        <v>200</v>
      </c>
      <c r="K532" s="9">
        <f>IF(AND(ISNUMBER(I532),ISNUMBER(J532),J532&gt;0),I532/J532,"")</f>
        <v/>
      </c>
      <c r="L532" s="5" t="n">
        <v>7.004</v>
      </c>
      <c r="M532" s="5" t="n"/>
      <c r="N532" s="5" t="n">
        <v>116.6</v>
      </c>
      <c r="O532" s="5" t="inlineStr">
        <is>
          <t>closed outline</t>
        </is>
      </c>
      <c r="P532" s="5" t="inlineStr">
        <is>
          <t>closed rectangular outline around a column/wall or next to an S/SC label</t>
        </is>
      </c>
      <c r="Q532" s="5">
        <f>IF(OR(D532="column",D532="wall"),IF(I532&lt;='P vs V'!$B$3*J532,"column","wall"),"")</f>
        <v/>
      </c>
      <c r="R532" s="5" t="inlineStr"/>
      <c r="S532" s="5" t="inlineStr">
        <is>
          <t>wall+wall</t>
        </is>
      </c>
      <c r="T532" s="5" t="n">
        <v>0</v>
      </c>
      <c r="U532" s="5" t="inlineStr">
        <is>
          <t>no</t>
        </is>
      </c>
      <c r="V532" s="5" t="inlineStr">
        <is>
          <t>no</t>
        </is>
      </c>
      <c r="W532" s="5" t="inlineStr">
        <is>
          <t>yes</t>
        </is>
      </c>
      <c r="X532" s="5" t="inlineStr">
        <is>
          <t>no</t>
        </is>
      </c>
      <c r="Y532" s="5" t="inlineStr">
        <is>
          <t>yes</t>
        </is>
      </c>
      <c r="Z532" s="5" t="inlineStr">
        <is>
          <t>yes</t>
        </is>
      </c>
      <c r="AA532" s="5" t="n">
        <v>9.91</v>
      </c>
      <c r="AB532" s="5" t="n"/>
      <c r="AC532" s="5" t="n"/>
      <c r="AD532" s="5" t="n"/>
      <c r="AE532" s="5" t="n">
        <v>2575.5</v>
      </c>
      <c r="AF532" s="5" t="n">
        <v>2810.2</v>
      </c>
      <c r="AG532" s="5" t="n">
        <v>2674.6</v>
      </c>
      <c r="AH532" s="5" t="n">
        <v>2929.1</v>
      </c>
      <c r="AI532" s="5" t="inlineStr">
        <is>
          <t>yes</t>
        </is>
      </c>
      <c r="AJ532" s="5" t="inlineStr">
        <is>
          <t>combined_footing</t>
        </is>
      </c>
      <c r="AK532" s="5" t="inlineStr"/>
      <c r="AL532" s="5" t="inlineStr">
        <is>
          <t>(0.72, 0.72, 0.0)</t>
        </is>
      </c>
      <c r="AM532" s="5" t="inlineStr">
        <is>
          <t>DM-SEMELLES</t>
        </is>
      </c>
    </row>
    <row r="533">
      <c r="A533" s="5" t="n">
        <v>532</v>
      </c>
      <c r="B533" s="5" t="inlineStr">
        <is>
          <t>126</t>
        </is>
      </c>
      <c r="C533" s="5" t="inlineStr">
        <is>
          <t>own label</t>
        </is>
      </c>
      <c r="D533" s="5" t="inlineStr">
        <is>
          <t>footing</t>
        </is>
      </c>
      <c r="E533" s="5" t="inlineStr">
        <is>
          <t>isolated_footing</t>
        </is>
      </c>
      <c r="F533" s="5" t="inlineStr">
        <is>
          <t>S10</t>
        </is>
      </c>
      <c r="G533" s="5" t="inlineStr">
        <is>
          <t>S10-126126</t>
        </is>
      </c>
      <c r="H533" s="5" t="inlineStr">
        <is>
          <t>printed</t>
        </is>
      </c>
      <c r="I533" s="5" t="n">
        <v>450</v>
      </c>
      <c r="J533" s="5" t="n">
        <v>300</v>
      </c>
      <c r="K533" s="9">
        <f>IF(AND(ISNUMBER(I533),ISNUMBER(J533),J533&gt;0),I533/J533,"")</f>
        <v/>
      </c>
      <c r="L533" s="5" t="n">
        <v>13.5</v>
      </c>
      <c r="M533" s="5" t="n"/>
      <c r="N533" s="5" t="n">
        <v>116.8</v>
      </c>
      <c r="O533" s="5" t="inlineStr">
        <is>
          <t>closed outline</t>
        </is>
      </c>
      <c r="P533" s="5" t="inlineStr">
        <is>
          <t>closed rectangular outline around a column/wall or next to an S/SC label</t>
        </is>
      </c>
      <c r="Q533" s="5">
        <f>IF(OR(D533="column",D533="wall"),IF(I533&lt;='P vs V'!$B$3*J533,"column","wall"),"")</f>
        <v/>
      </c>
      <c r="R533" s="5" t="inlineStr"/>
      <c r="S533" s="5" t="inlineStr">
        <is>
          <t>wall</t>
        </is>
      </c>
      <c r="T533" s="5" t="n">
        <v>4</v>
      </c>
      <c r="U533" s="5" t="inlineStr">
        <is>
          <t>no</t>
        </is>
      </c>
      <c r="V533" s="5" t="inlineStr">
        <is>
          <t>no</t>
        </is>
      </c>
      <c r="W533" s="5" t="inlineStr">
        <is>
          <t>yes</t>
        </is>
      </c>
      <c r="X533" s="5" t="inlineStr">
        <is>
          <t>no</t>
        </is>
      </c>
      <c r="Y533" s="5" t="inlineStr">
        <is>
          <t>yes</t>
        </is>
      </c>
      <c r="Z533" s="5" t="inlineStr">
        <is>
          <t>yes</t>
        </is>
      </c>
      <c r="AA533" s="5" t="n">
        <v>0.04</v>
      </c>
      <c r="AB533" s="5" t="n"/>
      <c r="AC533" s="5" t="n"/>
      <c r="AD533" s="5" t="n"/>
      <c r="AE533" s="5" t="n">
        <v>2774.8</v>
      </c>
      <c r="AF533" s="5" t="n">
        <v>3185</v>
      </c>
      <c r="AG533" s="5" t="n">
        <v>2913.8</v>
      </c>
      <c r="AH533" s="5" t="n">
        <v>3343.5</v>
      </c>
      <c r="AI533" s="5" t="inlineStr">
        <is>
          <t>yes</t>
        </is>
      </c>
      <c r="AJ533" s="5" t="inlineStr">
        <is>
          <t>isolated_footing</t>
        </is>
      </c>
      <c r="AK533" s="5" t="inlineStr"/>
      <c r="AL533" s="5" t="inlineStr">
        <is>
          <t>(0.72, 0.72, 0.0)</t>
        </is>
      </c>
      <c r="AM533" s="5" t="inlineStr">
        <is>
          <t>DM-SEMELLES</t>
        </is>
      </c>
    </row>
    <row r="534">
      <c r="A534" s="5" t="n">
        <v>533</v>
      </c>
      <c r="B534" s="5" t="inlineStr">
        <is>
          <t>126</t>
        </is>
      </c>
      <c r="C534" s="5" t="inlineStr">
        <is>
          <t>nearest labels (60% agree)</t>
        </is>
      </c>
      <c r="D534" s="5" t="inlineStr">
        <is>
          <t>footing</t>
        </is>
      </c>
      <c r="E534" s="5" t="inlineStr">
        <is>
          <t>isolated_footing</t>
        </is>
      </c>
      <c r="F534" s="5" t="inlineStr">
        <is>
          <t>S10</t>
        </is>
      </c>
      <c r="G534" s="5" t="inlineStr">
        <is>
          <t>S10-</t>
        </is>
      </c>
      <c r="H534" s="5" t="inlineStr">
        <is>
          <t>printed</t>
        </is>
      </c>
      <c r="I534" s="5" t="n">
        <v>450</v>
      </c>
      <c r="J534" s="5" t="n">
        <v>300</v>
      </c>
      <c r="K534" s="9">
        <f>IF(AND(ISNUMBER(I534),ISNUMBER(J534),J534&gt;0),I534/J534,"")</f>
        <v/>
      </c>
      <c r="L534" s="5" t="n">
        <v>13.5</v>
      </c>
      <c r="M534" s="5" t="n"/>
      <c r="N534" s="5" t="n">
        <v>97.7</v>
      </c>
      <c r="O534" s="5" t="inlineStr">
        <is>
          <t>closed outline</t>
        </is>
      </c>
      <c r="P534" s="5" t="inlineStr">
        <is>
          <t>closed rectangular outline around a column/wall or next to an S/SC label</t>
        </is>
      </c>
      <c r="Q534" s="5">
        <f>IF(OR(D534="column",D534="wall"),IF(I534&lt;='P vs V'!$B$3*J534,"column","wall"),"")</f>
        <v/>
      </c>
      <c r="R534" s="5" t="inlineStr"/>
      <c r="S534" s="5" t="inlineStr">
        <is>
          <t>wall</t>
        </is>
      </c>
      <c r="T534" s="5" t="n">
        <v>2</v>
      </c>
      <c r="U534" s="5" t="inlineStr">
        <is>
          <t>no</t>
        </is>
      </c>
      <c r="V534" s="5" t="inlineStr">
        <is>
          <t>no</t>
        </is>
      </c>
      <c r="W534" s="5" t="inlineStr">
        <is>
          <t>yes</t>
        </is>
      </c>
      <c r="X534" s="5" t="inlineStr">
        <is>
          <t>no</t>
        </is>
      </c>
      <c r="Y534" s="5" t="inlineStr">
        <is>
          <t>yes</t>
        </is>
      </c>
      <c r="Z534" s="5" t="inlineStr">
        <is>
          <t>yes</t>
        </is>
      </c>
      <c r="AA534" s="5" t="n">
        <v>3.62</v>
      </c>
      <c r="AB534" s="5" t="n"/>
      <c r="AC534" s="5" t="n"/>
      <c r="AD534" s="5" t="n"/>
      <c r="AE534" s="5" t="n">
        <v>2965.9</v>
      </c>
      <c r="AF534" s="5" t="n">
        <v>3278.7</v>
      </c>
      <c r="AG534" s="5" t="n">
        <v>3071.4</v>
      </c>
      <c r="AH534" s="5" t="n">
        <v>3422.2</v>
      </c>
      <c r="AI534" s="5" t="inlineStr">
        <is>
          <t>yes</t>
        </is>
      </c>
      <c r="AJ534" s="5" t="inlineStr">
        <is>
          <t>isolated_footing</t>
        </is>
      </c>
      <c r="AK534" s="5" t="inlineStr"/>
      <c r="AL534" s="5" t="inlineStr">
        <is>
          <t>(0.72, 0.72, 0.0)</t>
        </is>
      </c>
      <c r="AM534" s="5" t="inlineStr">
        <is>
          <t>DM-SEMELLES</t>
        </is>
      </c>
    </row>
    <row r="535">
      <c r="A535" s="5" t="n">
        <v>534</v>
      </c>
      <c r="B535" s="5" t="inlineStr">
        <is>
          <t>126</t>
        </is>
      </c>
      <c r="C535" s="5" t="inlineStr">
        <is>
          <t>own label</t>
        </is>
      </c>
      <c r="D535" s="5" t="inlineStr">
        <is>
          <t>footing</t>
        </is>
      </c>
      <c r="E535" s="5" t="inlineStr">
        <is>
          <t>isolated_footing</t>
        </is>
      </c>
      <c r="F535" s="5" t="inlineStr">
        <is>
          <t>S11</t>
        </is>
      </c>
      <c r="G535" s="5" t="inlineStr">
        <is>
          <t>S11-126126</t>
        </is>
      </c>
      <c r="H535" s="5" t="inlineStr">
        <is>
          <t>printed</t>
        </is>
      </c>
      <c r="I535" s="5" t="n">
        <v>500</v>
      </c>
      <c r="J535" s="5" t="n">
        <v>400</v>
      </c>
      <c r="K535" s="9">
        <f>IF(AND(ISNUMBER(I535),ISNUMBER(J535),J535&gt;0),I535/J535,"")</f>
        <v/>
      </c>
      <c r="L535" s="5" t="n">
        <v>20.003</v>
      </c>
      <c r="M535" s="5" t="n"/>
      <c r="N535" s="5" t="n">
        <v>116.6</v>
      </c>
      <c r="O535" s="5" t="inlineStr">
        <is>
          <t>closed outline</t>
        </is>
      </c>
      <c r="P535" s="5" t="inlineStr">
        <is>
          <t>closed rectangular outline around a column/wall or next to an S/SC label</t>
        </is>
      </c>
      <c r="Q535" s="5">
        <f>IF(OR(D535="column",D535="wall"),IF(I535&lt;='P vs V'!$B$3*J535,"column","wall"),"")</f>
        <v/>
      </c>
      <c r="R535" s="5" t="inlineStr"/>
      <c r="S535" s="5" t="inlineStr">
        <is>
          <t>wall</t>
        </is>
      </c>
      <c r="T535" s="5" t="n">
        <v>0</v>
      </c>
      <c r="U535" s="5" t="inlineStr">
        <is>
          <t>no</t>
        </is>
      </c>
      <c r="V535" s="5" t="inlineStr">
        <is>
          <t>no</t>
        </is>
      </c>
      <c r="W535" s="5" t="inlineStr">
        <is>
          <t>yes</t>
        </is>
      </c>
      <c r="X535" s="5" t="inlineStr">
        <is>
          <t>no</t>
        </is>
      </c>
      <c r="Y535" s="5" t="inlineStr">
        <is>
          <t>yes</t>
        </is>
      </c>
      <c r="Z535" s="5" t="inlineStr">
        <is>
          <t>yes</t>
        </is>
      </c>
      <c r="AA535" s="5" t="n">
        <v>3.45</v>
      </c>
      <c r="AB535" s="5" t="n"/>
      <c r="AC535" s="5" t="n"/>
      <c r="AD535" s="5" t="n"/>
      <c r="AE535" s="5" t="n">
        <v>2592.8</v>
      </c>
      <c r="AF535" s="5" t="n">
        <v>3096.5</v>
      </c>
      <c r="AG535" s="5" t="n">
        <v>2764.5</v>
      </c>
      <c r="AH535" s="5" t="n">
        <v>3281.4</v>
      </c>
      <c r="AI535" s="5" t="inlineStr">
        <is>
          <t>yes</t>
        </is>
      </c>
      <c r="AJ535" s="5" t="inlineStr">
        <is>
          <t>isolated_footing</t>
        </is>
      </c>
      <c r="AK535" s="5" t="inlineStr"/>
      <c r="AL535" s="5" t="inlineStr">
        <is>
          <t>(0.72, 0.72, 0.0)</t>
        </is>
      </c>
      <c r="AM535" s="5" t="inlineStr">
        <is>
          <t>DM-SEMELLES</t>
        </is>
      </c>
    </row>
    <row r="536">
      <c r="A536" s="5" t="n">
        <v>535</v>
      </c>
      <c r="B536" s="5" t="inlineStr">
        <is>
          <t>126</t>
        </is>
      </c>
      <c r="C536" s="5" t="inlineStr">
        <is>
          <t>own label</t>
        </is>
      </c>
      <c r="D536" s="5" t="inlineStr">
        <is>
          <t>footing</t>
        </is>
      </c>
      <c r="E536" s="5" t="inlineStr">
        <is>
          <t>isolated_footing</t>
        </is>
      </c>
      <c r="F536" s="5" t="inlineStr">
        <is>
          <t>S2</t>
        </is>
      </c>
      <c r="G536" s="5" t="inlineStr">
        <is>
          <t>S2-126126</t>
        </is>
      </c>
      <c r="H536" s="5" t="inlineStr">
        <is>
          <t>printed</t>
        </is>
      </c>
      <c r="I536" s="5" t="n">
        <v>350</v>
      </c>
      <c r="J536" s="5" t="n">
        <v>200</v>
      </c>
      <c r="K536" s="9">
        <f>IF(AND(ISNUMBER(I536),ISNUMBER(J536),J536&gt;0),I536/J536,"")</f>
        <v/>
      </c>
      <c r="L536" s="5" t="n">
        <v>6.997</v>
      </c>
      <c r="M536" s="5" t="n"/>
      <c r="N536" s="5" t="n">
        <v>116.6</v>
      </c>
      <c r="O536" s="5" t="inlineStr">
        <is>
          <t>closed outline</t>
        </is>
      </c>
      <c r="P536" s="5" t="inlineStr">
        <is>
          <t>closed rectangular outline around a column/wall or next to an S/SC label</t>
        </is>
      </c>
      <c r="Q536" s="5">
        <f>IF(OR(D536="column",D536="wall"),IF(I536&lt;='P vs V'!$B$3*J536,"column","wall"),"")</f>
        <v/>
      </c>
      <c r="R536" s="5" t="inlineStr"/>
      <c r="S536" s="5" t="inlineStr">
        <is>
          <t>wall</t>
        </is>
      </c>
      <c r="T536" s="5" t="n">
        <v>0</v>
      </c>
      <c r="U536" s="5" t="inlineStr">
        <is>
          <t>no</t>
        </is>
      </c>
      <c r="V536" s="5" t="inlineStr">
        <is>
          <t>no</t>
        </is>
      </c>
      <c r="W536" s="5" t="inlineStr">
        <is>
          <t>yes</t>
        </is>
      </c>
      <c r="X536" s="5" t="inlineStr">
        <is>
          <t>no</t>
        </is>
      </c>
      <c r="Y536" s="5" t="inlineStr">
        <is>
          <t>yes</t>
        </is>
      </c>
      <c r="Z536" s="5" t="inlineStr">
        <is>
          <t>yes</t>
        </is>
      </c>
      <c r="AA536" s="5" t="n">
        <v>1.81</v>
      </c>
      <c r="AB536" s="5" t="n"/>
      <c r="AC536" s="5" t="n"/>
      <c r="AD536" s="5" t="n"/>
      <c r="AE536" s="5" t="n">
        <v>2782.7</v>
      </c>
      <c r="AF536" s="5" t="n">
        <v>2930.9</v>
      </c>
      <c r="AG536" s="5" t="n">
        <v>2881.7</v>
      </c>
      <c r="AH536" s="5" t="n">
        <v>3049.8</v>
      </c>
      <c r="AI536" s="5" t="inlineStr">
        <is>
          <t>yes</t>
        </is>
      </c>
      <c r="AJ536" s="5" t="inlineStr">
        <is>
          <t>isolated_footing</t>
        </is>
      </c>
      <c r="AK536" s="5" t="inlineStr"/>
      <c r="AL536" s="5" t="inlineStr">
        <is>
          <t>(0.72, 0.72, 0.0)</t>
        </is>
      </c>
      <c r="AM536" s="5" t="inlineStr">
        <is>
          <t>DM-SEMELLES</t>
        </is>
      </c>
    </row>
    <row r="537">
      <c r="A537" s="5" t="n">
        <v>536</v>
      </c>
      <c r="B537" s="5" t="inlineStr">
        <is>
          <t>126</t>
        </is>
      </c>
      <c r="C537" s="5" t="inlineStr">
        <is>
          <t>own label</t>
        </is>
      </c>
      <c r="D537" s="5" t="inlineStr">
        <is>
          <t>footing</t>
        </is>
      </c>
      <c r="E537" s="5" t="inlineStr">
        <is>
          <t>isolated_footing</t>
        </is>
      </c>
      <c r="F537" s="5" t="inlineStr">
        <is>
          <t>S7</t>
        </is>
      </c>
      <c r="G537" s="5" t="inlineStr">
        <is>
          <t>S7-126126</t>
        </is>
      </c>
      <c r="H537" s="5" t="inlineStr">
        <is>
          <t>printed</t>
        </is>
      </c>
      <c r="I537" s="5" t="n">
        <v>450</v>
      </c>
      <c r="J537" s="5" t="n">
        <v>350</v>
      </c>
      <c r="K537" s="9">
        <f>IF(AND(ISNUMBER(I537),ISNUMBER(J537),J537&gt;0),I537/J537,"")</f>
        <v/>
      </c>
      <c r="L537" s="5" t="n">
        <v>15.747</v>
      </c>
      <c r="M537" s="5" t="n"/>
      <c r="N537" s="5" t="n">
        <v>26.6</v>
      </c>
      <c r="O537" s="5" t="inlineStr">
        <is>
          <t>closed outline</t>
        </is>
      </c>
      <c r="P537" s="5" t="inlineStr">
        <is>
          <t>closed rectangular outline around a column/wall or next to an S/SC label</t>
        </is>
      </c>
      <c r="Q537" s="5">
        <f>IF(OR(D537="column",D537="wall"),IF(I537&lt;='P vs V'!$B$3*J537,"column","wall"),"")</f>
        <v/>
      </c>
      <c r="R537" s="5" t="inlineStr"/>
      <c r="S537" s="5" t="inlineStr">
        <is>
          <t>wall</t>
        </is>
      </c>
      <c r="T537" s="5" t="n">
        <v>2</v>
      </c>
      <c r="U537" s="5" t="inlineStr">
        <is>
          <t>no</t>
        </is>
      </c>
      <c r="V537" s="5" t="inlineStr">
        <is>
          <t>no</t>
        </is>
      </c>
      <c r="W537" s="5" t="inlineStr">
        <is>
          <t>yes</t>
        </is>
      </c>
      <c r="X537" s="5" t="inlineStr">
        <is>
          <t>no</t>
        </is>
      </c>
      <c r="Y537" s="5" t="inlineStr">
        <is>
          <t>yes</t>
        </is>
      </c>
      <c r="Z537" s="5" t="inlineStr">
        <is>
          <t>yes</t>
        </is>
      </c>
      <c r="AA537" s="5" t="n">
        <v>1.42</v>
      </c>
      <c r="AB537" s="5" t="n"/>
      <c r="AC537" s="5" t="n"/>
      <c r="AD537" s="5" t="n"/>
      <c r="AE537" s="5" t="n">
        <v>2457.7</v>
      </c>
      <c r="AF537" s="5" t="n">
        <v>3283.5</v>
      </c>
      <c r="AG537" s="5" t="n">
        <v>2622.7</v>
      </c>
      <c r="AH537" s="5" t="n">
        <v>3435.4</v>
      </c>
      <c r="AI537" s="5" t="inlineStr">
        <is>
          <t>yes</t>
        </is>
      </c>
      <c r="AJ537" s="5" t="inlineStr">
        <is>
          <t>isolated_footing</t>
        </is>
      </c>
      <c r="AK537" s="5" t="inlineStr"/>
      <c r="AL537" s="5" t="inlineStr">
        <is>
          <t>(0.72, 0.72, 0.0)</t>
        </is>
      </c>
      <c r="AM537" s="5" t="inlineStr">
        <is>
          <t>DM-SEMELLES</t>
        </is>
      </c>
    </row>
    <row r="538">
      <c r="A538" s="5" t="n">
        <v>537</v>
      </c>
      <c r="B538" s="5" t="inlineStr">
        <is>
          <t>126</t>
        </is>
      </c>
      <c r="C538" s="5" t="inlineStr">
        <is>
          <t>nearest labels (80% agree)</t>
        </is>
      </c>
      <c r="D538" s="5" t="inlineStr">
        <is>
          <t>mass_concrete_pad</t>
        </is>
      </c>
      <c r="E538" s="5" t="inlineStr">
        <is>
          <t>mass_concrete_pad</t>
        </is>
      </c>
      <c r="F538" s="5" t="inlineStr">
        <is>
          <t>(none)</t>
        </is>
      </c>
      <c r="G538" s="5" t="inlineStr"/>
      <c r="H538" s="5" t="inlineStr">
        <is>
          <t>none</t>
        </is>
      </c>
      <c r="I538" s="5" t="n">
        <v>60</v>
      </c>
      <c r="J538" s="5" t="n">
        <v>60</v>
      </c>
      <c r="K538" s="9">
        <f>IF(AND(ISNUMBER(I538),ISNUMBER(J538),J538&gt;0),I538/J538,"")</f>
        <v/>
      </c>
      <c r="L538" s="5" t="n">
        <v>0.361</v>
      </c>
      <c r="M538" s="5" t="n"/>
      <c r="N538" s="5" t="n">
        <v>21.4</v>
      </c>
      <c r="O538" s="5" t="inlineStr">
        <is>
          <t>closed outline + stipple</t>
        </is>
      </c>
      <c r="P538" s="5" t="inlineStr">
        <is>
          <t>small closed square filled with stipple dots, no label</t>
        </is>
      </c>
      <c r="Q538" s="5">
        <f>IF(OR(D538="column",D538="wall"),IF(I538&lt;='P vs V'!$B$3*J538,"column","wall"),"")</f>
        <v/>
      </c>
      <c r="R538" s="5" t="inlineStr"/>
      <c r="S538" s="5" t="inlineStr"/>
      <c r="T538" s="5" t="n"/>
      <c r="U538" s="5" t="inlineStr">
        <is>
          <t>no</t>
        </is>
      </c>
      <c r="V538" s="5" t="inlineStr">
        <is>
          <t>no</t>
        </is>
      </c>
      <c r="W538" s="5" t="inlineStr">
        <is>
          <t>no</t>
        </is>
      </c>
      <c r="X538" s="5" t="inlineStr">
        <is>
          <t>no</t>
        </is>
      </c>
      <c r="Y538" s="5" t="inlineStr">
        <is>
          <t>yes</t>
        </is>
      </c>
      <c r="Z538" s="5" t="inlineStr">
        <is>
          <t>yes</t>
        </is>
      </c>
      <c r="AA538" s="5" t="n">
        <v>0.11</v>
      </c>
      <c r="AB538" s="5" t="n"/>
      <c r="AC538" s="5" t="n">
        <v>52</v>
      </c>
      <c r="AD538" s="5" t="n"/>
      <c r="AE538" s="5" t="n">
        <v>2939.2</v>
      </c>
      <c r="AF538" s="5" t="n">
        <v>3035.6</v>
      </c>
      <c r="AG538" s="5" t="n">
        <v>2962.3</v>
      </c>
      <c r="AH538" s="5" t="n">
        <v>3058.6</v>
      </c>
      <c r="AI538" s="5" t="inlineStr">
        <is>
          <t>yes</t>
        </is>
      </c>
      <c r="AJ538" s="5" t="inlineStr">
        <is>
          <t>mass_concrete_pad</t>
        </is>
      </c>
      <c r="AK538" s="5" t="inlineStr"/>
      <c r="AL538" s="5" t="inlineStr">
        <is>
          <t>(0.5, 0.5, 0.5)</t>
        </is>
      </c>
      <c r="AM538" s="5" t="inlineStr">
        <is>
          <t>DM-MGB</t>
        </is>
      </c>
    </row>
    <row r="539">
      <c r="A539" s="5" t="n">
        <v>538</v>
      </c>
      <c r="B539" s="5" t="inlineStr">
        <is>
          <t>126</t>
        </is>
      </c>
      <c r="C539" s="5" t="inlineStr">
        <is>
          <t>nearest labels (100% agree)</t>
        </is>
      </c>
      <c r="D539" s="5" t="inlineStr">
        <is>
          <t>grade_beam</t>
        </is>
      </c>
      <c r="E539" s="5" t="inlineStr">
        <is>
          <t>grade_beam</t>
        </is>
      </c>
      <c r="F539" s="5" t="inlineStr">
        <is>
          <t>LG25x40</t>
        </is>
      </c>
      <c r="G539" s="5" t="inlineStr"/>
      <c r="H539" s="5" t="inlineStr">
        <is>
          <t>band width matches label</t>
        </is>
      </c>
      <c r="I539" s="5" t="n">
        <v>265</v>
      </c>
      <c r="J539" s="5" t="n">
        <v>25</v>
      </c>
      <c r="K539" s="9">
        <f>IF(AND(ISNUMBER(I539),ISNUMBER(J539),J539&gt;0),I539/J539,"")</f>
        <v/>
      </c>
      <c r="L539" s="5" t="n">
        <v>0.663</v>
      </c>
      <c r="M539" s="5" t="n">
        <v>2.65</v>
      </c>
      <c r="N539" s="5" t="n">
        <v>26.6</v>
      </c>
      <c r="O539" s="5" t="inlineStr">
        <is>
          <t>parallel line pair</t>
        </is>
      </c>
      <c r="P539" s="5" t="inlineStr">
        <is>
          <t>two parallel lines at the width written in the LG label, empty inside</t>
        </is>
      </c>
      <c r="Q539" s="5">
        <f>IF(OR(D539="column",D539="wall"),IF(I539&lt;='P vs V'!$B$3*J539,"column","wall"),"")</f>
        <v/>
      </c>
      <c r="R539" s="5" t="inlineStr"/>
      <c r="S539" s="5" t="inlineStr"/>
      <c r="T539" s="5" t="n"/>
      <c r="U539" s="5" t="inlineStr">
        <is>
          <t>no</t>
        </is>
      </c>
      <c r="V539" s="5" t="inlineStr">
        <is>
          <t>no</t>
        </is>
      </c>
      <c r="W539" s="5" t="inlineStr">
        <is>
          <t>yes</t>
        </is>
      </c>
      <c r="X539" s="5" t="inlineStr">
        <is>
          <t>yes</t>
        </is>
      </c>
      <c r="Y539" s="5" t="inlineStr">
        <is>
          <t>no</t>
        </is>
      </c>
      <c r="Z539" s="5" t="inlineStr">
        <is>
          <t>yes</t>
        </is>
      </c>
      <c r="AA539" s="5" t="n">
        <v>1.48</v>
      </c>
      <c r="AB539" s="5" t="n"/>
      <c r="AC539" s="5" t="n"/>
      <c r="AD539" s="5" t="n"/>
      <c r="AE539" s="5" t="n">
        <v>2594.6</v>
      </c>
      <c r="AF539" s="5" t="n">
        <v>3392.5</v>
      </c>
      <c r="AG539" s="5" t="n">
        <v>2667.9</v>
      </c>
      <c r="AH539" s="5" t="n">
        <v>3434.2</v>
      </c>
      <c r="AI539" s="5" t="inlineStr">
        <is>
          <t>n/a</t>
        </is>
      </c>
      <c r="AJ539" s="5" t="inlineStr"/>
      <c r="AK539" s="5" t="inlineStr"/>
      <c r="AL539" s="5" t="inlineStr"/>
      <c r="AM539" s="5" t="inlineStr"/>
    </row>
    <row r="540">
      <c r="A540" s="5" t="n">
        <v>539</v>
      </c>
      <c r="B540" s="5" t="inlineStr">
        <is>
          <t>126</t>
        </is>
      </c>
      <c r="C540" s="5" t="inlineStr">
        <is>
          <t>nearest labels (100% agree)</t>
        </is>
      </c>
      <c r="D540" s="5" t="inlineStr">
        <is>
          <t>grade_beam</t>
        </is>
      </c>
      <c r="E540" s="5" t="inlineStr">
        <is>
          <t>grade_beam</t>
        </is>
      </c>
      <c r="F540" s="5" t="inlineStr">
        <is>
          <t>LG25x40</t>
        </is>
      </c>
      <c r="G540" s="5" t="inlineStr"/>
      <c r="H540" s="5" t="inlineStr">
        <is>
          <t>band width matches label</t>
        </is>
      </c>
      <c r="I540" s="5" t="n">
        <v>170</v>
      </c>
      <c r="J540" s="5" t="n">
        <v>25</v>
      </c>
      <c r="K540" s="9">
        <f>IF(AND(ISNUMBER(I540),ISNUMBER(J540),J540&gt;0),I540/J540,"")</f>
        <v/>
      </c>
      <c r="L540" s="5" t="n">
        <v>0.425</v>
      </c>
      <c r="M540" s="5" t="n">
        <v>1.7</v>
      </c>
      <c r="N540" s="5" t="n">
        <v>116.6</v>
      </c>
      <c r="O540" s="5" t="inlineStr">
        <is>
          <t>parallel line pair</t>
        </is>
      </c>
      <c r="P540" s="5" t="inlineStr">
        <is>
          <t>two parallel lines at the width written in the LG label, empty inside</t>
        </is>
      </c>
      <c r="Q540" s="5">
        <f>IF(OR(D540="column",D540="wall"),IF(I540&lt;='P vs V'!$B$3*J540,"column","wall"),"")</f>
        <v/>
      </c>
      <c r="R540" s="5" t="inlineStr"/>
      <c r="S540" s="5" t="inlineStr"/>
      <c r="T540" s="5" t="n"/>
      <c r="U540" s="5" t="inlineStr">
        <is>
          <t>no</t>
        </is>
      </c>
      <c r="V540" s="5" t="inlineStr">
        <is>
          <t>no</t>
        </is>
      </c>
      <c r="W540" s="5" t="inlineStr">
        <is>
          <t>yes</t>
        </is>
      </c>
      <c r="X540" s="5" t="inlineStr">
        <is>
          <t>yes</t>
        </is>
      </c>
      <c r="Y540" s="5" t="inlineStr">
        <is>
          <t>no</t>
        </is>
      </c>
      <c r="Z540" s="5" t="inlineStr">
        <is>
          <t>yes</t>
        </is>
      </c>
      <c r="AA540" s="5" t="n">
        <v>0.28</v>
      </c>
      <c r="AB540" s="5" t="n"/>
      <c r="AC540" s="5" t="n"/>
      <c r="AD540" s="5" t="n"/>
      <c r="AE540" s="5" t="n">
        <v>2663.9</v>
      </c>
      <c r="AF540" s="5" t="n">
        <v>3374.2</v>
      </c>
      <c r="AG540" s="5" t="n">
        <v>2693</v>
      </c>
      <c r="AH540" s="5" t="n">
        <v>3422.4</v>
      </c>
      <c r="AI540" s="5" t="inlineStr">
        <is>
          <t>n/a</t>
        </is>
      </c>
      <c r="AJ540" s="5" t="inlineStr"/>
      <c r="AK540" s="5" t="inlineStr"/>
      <c r="AL540" s="5" t="inlineStr"/>
      <c r="AM540" s="5" t="inlineStr"/>
    </row>
    <row r="541">
      <c r="A541" s="5" t="n">
        <v>540</v>
      </c>
      <c r="B541" s="5" t="inlineStr">
        <is>
          <t>126</t>
        </is>
      </c>
      <c r="C541" s="5" t="inlineStr">
        <is>
          <t>nearest labels (60% agree)</t>
        </is>
      </c>
      <c r="D541" s="5" t="inlineStr">
        <is>
          <t>grade_beam</t>
        </is>
      </c>
      <c r="E541" s="5" t="inlineStr">
        <is>
          <t>grade_beam</t>
        </is>
      </c>
      <c r="F541" s="5" t="inlineStr">
        <is>
          <t>LG40x15</t>
        </is>
      </c>
      <c r="G541" s="5" t="inlineStr"/>
      <c r="H541" s="5" t="inlineStr">
        <is>
          <t>band width matches label</t>
        </is>
      </c>
      <c r="I541" s="5" t="n">
        <v>447</v>
      </c>
      <c r="J541" s="5" t="n">
        <v>40</v>
      </c>
      <c r="K541" s="9">
        <f>IF(AND(ISNUMBER(I541),ISNUMBER(J541),J541&gt;0),I541/J541,"")</f>
        <v/>
      </c>
      <c r="L541" s="5" t="n">
        <v>1.788</v>
      </c>
      <c r="M541" s="5" t="n">
        <v>4.47</v>
      </c>
      <c r="N541" s="5" t="n">
        <v>116.6</v>
      </c>
      <c r="O541" s="5" t="inlineStr">
        <is>
          <t>parallel line pair</t>
        </is>
      </c>
      <c r="P541" s="5" t="inlineStr">
        <is>
          <t>two parallel lines at the width written in the LG label, empty inside</t>
        </is>
      </c>
      <c r="Q541" s="5">
        <f>IF(OR(D541="column",D541="wall"),IF(I541&lt;='P vs V'!$B$3*J541,"column","wall"),"")</f>
        <v/>
      </c>
      <c r="R541" s="5" t="inlineStr"/>
      <c r="S541" s="5" t="inlineStr"/>
      <c r="T541" s="5" t="n"/>
      <c r="U541" s="5" t="inlineStr">
        <is>
          <t>no</t>
        </is>
      </c>
      <c r="V541" s="5" t="inlineStr">
        <is>
          <t>no</t>
        </is>
      </c>
      <c r="W541" s="5" t="inlineStr">
        <is>
          <t>no</t>
        </is>
      </c>
      <c r="X541" s="5" t="inlineStr">
        <is>
          <t>no</t>
        </is>
      </c>
      <c r="Y541" s="5" t="inlineStr">
        <is>
          <t>no</t>
        </is>
      </c>
      <c r="Z541" s="5" t="inlineStr">
        <is>
          <t>no</t>
        </is>
      </c>
      <c r="AA541" s="5" t="n">
        <v>9.75</v>
      </c>
      <c r="AB541" s="5" t="n"/>
      <c r="AC541" s="5" t="n"/>
      <c r="AD541" s="5" t="n"/>
      <c r="AE541" s="5" t="n">
        <v>2530.7</v>
      </c>
      <c r="AF541" s="5" t="n">
        <v>2909.9</v>
      </c>
      <c r="AG541" s="5" t="n">
        <v>2600.5</v>
      </c>
      <c r="AH541" s="5" t="n">
        <v>3033.1</v>
      </c>
      <c r="AI541" s="5" t="inlineStr">
        <is>
          <t>n/a</t>
        </is>
      </c>
      <c r="AJ541" s="5" t="inlineStr"/>
      <c r="AK541" s="5" t="inlineStr"/>
      <c r="AL541" s="5" t="inlineStr"/>
      <c r="AM541" s="5" t="inlineStr"/>
    </row>
    <row r="542">
      <c r="A542" s="5" t="n">
        <v>541</v>
      </c>
      <c r="B542" s="5" t="inlineStr">
        <is>
          <t>126</t>
        </is>
      </c>
      <c r="C542" s="5" t="inlineStr">
        <is>
          <t>nearest labels (60% agree)</t>
        </is>
      </c>
      <c r="D542" s="5" t="inlineStr">
        <is>
          <t>grade_beam</t>
        </is>
      </c>
      <c r="E542" s="5" t="inlineStr">
        <is>
          <t>grade_beam</t>
        </is>
      </c>
      <c r="F542" s="5" t="inlineStr">
        <is>
          <t>LG40x15</t>
        </is>
      </c>
      <c r="G542" s="5" t="inlineStr"/>
      <c r="H542" s="5" t="inlineStr">
        <is>
          <t>band width matches label</t>
        </is>
      </c>
      <c r="I542" s="5" t="n">
        <v>280</v>
      </c>
      <c r="J542" s="5" t="n">
        <v>40</v>
      </c>
      <c r="K542" s="9">
        <f>IF(AND(ISNUMBER(I542),ISNUMBER(J542),J542&gt;0),I542/J542,"")</f>
        <v/>
      </c>
      <c r="L542" s="5" t="n">
        <v>1.119</v>
      </c>
      <c r="M542" s="5" t="n">
        <v>2.8</v>
      </c>
      <c r="N542" s="5" t="n">
        <v>116.6</v>
      </c>
      <c r="O542" s="5" t="inlineStr">
        <is>
          <t>parallel line pair</t>
        </is>
      </c>
      <c r="P542" s="5" t="inlineStr">
        <is>
          <t>two parallel lines at the width written in the LG label, empty inside</t>
        </is>
      </c>
      <c r="Q542" s="5">
        <f>IF(OR(D542="column",D542="wall"),IF(I542&lt;='P vs V'!$B$3*J542,"column","wall"),"")</f>
        <v/>
      </c>
      <c r="R542" s="5" t="inlineStr"/>
      <c r="S542" s="5" t="inlineStr"/>
      <c r="T542" s="5" t="n"/>
      <c r="U542" s="5" t="inlineStr">
        <is>
          <t>no</t>
        </is>
      </c>
      <c r="V542" s="5" t="inlineStr">
        <is>
          <t>no</t>
        </is>
      </c>
      <c r="W542" s="5" t="inlineStr">
        <is>
          <t>no</t>
        </is>
      </c>
      <c r="X542" s="5" t="inlineStr">
        <is>
          <t>no</t>
        </is>
      </c>
      <c r="Y542" s="5" t="inlineStr">
        <is>
          <t>no</t>
        </is>
      </c>
      <c r="Z542" s="5" t="inlineStr">
        <is>
          <t>no</t>
        </is>
      </c>
      <c r="AA542" s="5" t="n">
        <v>2.08</v>
      </c>
      <c r="AB542" s="5" t="n"/>
      <c r="AC542" s="5" t="n"/>
      <c r="AD542" s="5" t="n"/>
      <c r="AE542" s="5" t="n">
        <v>2427.5</v>
      </c>
      <c r="AF542" s="5" t="n">
        <v>3159.8</v>
      </c>
      <c r="AG542" s="5" t="n">
        <v>2475.1</v>
      </c>
      <c r="AH542" s="5" t="n">
        <v>3238.9</v>
      </c>
      <c r="AI542" s="5" t="inlineStr">
        <is>
          <t>n/a</t>
        </is>
      </c>
      <c r="AJ542" s="5" t="inlineStr"/>
      <c r="AK542" s="5" t="inlineStr"/>
      <c r="AL542" s="5" t="inlineStr"/>
      <c r="AM542" s="5" t="inlineStr"/>
    </row>
    <row r="543">
      <c r="A543" s="5" t="n">
        <v>542</v>
      </c>
      <c r="B543" s="5" t="inlineStr">
        <is>
          <t>126</t>
        </is>
      </c>
      <c r="C543" s="5" t="inlineStr">
        <is>
          <t>nearest labels (60% agree)</t>
        </is>
      </c>
      <c r="D543" s="5" t="inlineStr">
        <is>
          <t>grade_beam</t>
        </is>
      </c>
      <c r="E543" s="5" t="inlineStr">
        <is>
          <t>grade_beam</t>
        </is>
      </c>
      <c r="F543" s="5" t="inlineStr">
        <is>
          <t>LG40x15</t>
        </is>
      </c>
      <c r="G543" s="5" t="inlineStr"/>
      <c r="H543" s="5" t="inlineStr">
        <is>
          <t>band width matches label</t>
        </is>
      </c>
      <c r="I543" s="5" t="n">
        <v>269</v>
      </c>
      <c r="J543" s="5" t="n">
        <v>40</v>
      </c>
      <c r="K543" s="9">
        <f>IF(AND(ISNUMBER(I543),ISNUMBER(J543),J543&gt;0),I543/J543,"")</f>
        <v/>
      </c>
      <c r="L543" s="5" t="n">
        <v>1.078</v>
      </c>
      <c r="M543" s="5" t="n">
        <v>2.69</v>
      </c>
      <c r="N543" s="5" t="n">
        <v>116.6</v>
      </c>
      <c r="O543" s="5" t="inlineStr">
        <is>
          <t>parallel line pair</t>
        </is>
      </c>
      <c r="P543" s="5" t="inlineStr">
        <is>
          <t>two parallel lines at the width written in the LG label, empty inside</t>
        </is>
      </c>
      <c r="Q543" s="5">
        <f>IF(OR(D543="column",D543="wall"),IF(I543&lt;='P vs V'!$B$3*J543,"column","wall"),"")</f>
        <v/>
      </c>
      <c r="R543" s="5" t="inlineStr"/>
      <c r="S543" s="5" t="inlineStr"/>
      <c r="T543" s="5" t="n"/>
      <c r="U543" s="5" t="inlineStr">
        <is>
          <t>no</t>
        </is>
      </c>
      <c r="V543" s="5" t="inlineStr">
        <is>
          <t>no</t>
        </is>
      </c>
      <c r="W543" s="5" t="inlineStr">
        <is>
          <t>no</t>
        </is>
      </c>
      <c r="X543" s="5" t="inlineStr">
        <is>
          <t>no</t>
        </is>
      </c>
      <c r="Y543" s="5" t="inlineStr">
        <is>
          <t>no</t>
        </is>
      </c>
      <c r="Z543" s="5" t="inlineStr">
        <is>
          <t>no</t>
        </is>
      </c>
      <c r="AA543" s="5" t="n">
        <v>9.67</v>
      </c>
      <c r="AB543" s="5" t="n"/>
      <c r="AC543" s="5" t="n"/>
      <c r="AD543" s="5" t="n"/>
      <c r="AE543" s="5" t="n">
        <v>2649.5</v>
      </c>
      <c r="AF543" s="5" t="n">
        <v>2753</v>
      </c>
      <c r="AG543" s="5" t="n">
        <v>2695.7</v>
      </c>
      <c r="AH543" s="5" t="n">
        <v>2829.4</v>
      </c>
      <c r="AI543" s="5" t="inlineStr">
        <is>
          <t>n/a</t>
        </is>
      </c>
      <c r="AJ543" s="5" t="inlineStr"/>
      <c r="AK543" s="5" t="inlineStr"/>
      <c r="AL543" s="5" t="inlineStr"/>
      <c r="AM543" s="5" t="inlineStr"/>
    </row>
    <row r="544">
      <c r="A544" s="5" t="n">
        <v>543</v>
      </c>
      <c r="B544" s="5" t="inlineStr">
        <is>
          <t>126</t>
        </is>
      </c>
      <c r="C544" s="5" t="inlineStr">
        <is>
          <t>nearest labels (60% agree)</t>
        </is>
      </c>
      <c r="D544" s="5" t="inlineStr">
        <is>
          <t>grade_beam</t>
        </is>
      </c>
      <c r="E544" s="5" t="inlineStr">
        <is>
          <t>grade_beam</t>
        </is>
      </c>
      <c r="F544" s="5" t="inlineStr">
        <is>
          <t>LG40x15</t>
        </is>
      </c>
      <c r="G544" s="5" t="inlineStr"/>
      <c r="H544" s="5" t="inlineStr">
        <is>
          <t>band width matches label</t>
        </is>
      </c>
      <c r="I544" s="5" t="n">
        <v>447</v>
      </c>
      <c r="J544" s="5" t="n">
        <v>40</v>
      </c>
      <c r="K544" s="9">
        <f>IF(AND(ISNUMBER(I544),ISNUMBER(J544),J544&gt;0),I544/J544,"")</f>
        <v/>
      </c>
      <c r="L544" s="5" t="n">
        <v>1.788</v>
      </c>
      <c r="M544" s="5" t="n">
        <v>4.47</v>
      </c>
      <c r="N544" s="5" t="n">
        <v>116.6</v>
      </c>
      <c r="O544" s="5" t="inlineStr">
        <is>
          <t>parallel line pair</t>
        </is>
      </c>
      <c r="P544" s="5" t="inlineStr">
        <is>
          <t>two parallel lines at the width written in the LG label, empty inside</t>
        </is>
      </c>
      <c r="Q544" s="5">
        <f>IF(OR(D544="column",D544="wall"),IF(I544&lt;='P vs V'!$B$3*J544,"column","wall"),"")</f>
        <v/>
      </c>
      <c r="R544" s="5" t="inlineStr"/>
      <c r="S544" s="5" t="inlineStr"/>
      <c r="T544" s="5" t="n"/>
      <c r="U544" s="5" t="inlineStr">
        <is>
          <t>no</t>
        </is>
      </c>
      <c r="V544" s="5" t="inlineStr">
        <is>
          <t>no</t>
        </is>
      </c>
      <c r="W544" s="5" t="inlineStr">
        <is>
          <t>no</t>
        </is>
      </c>
      <c r="X544" s="5" t="inlineStr">
        <is>
          <t>no</t>
        </is>
      </c>
      <c r="Y544" s="5" t="inlineStr">
        <is>
          <t>no</t>
        </is>
      </c>
      <c r="Z544" s="5" t="inlineStr">
        <is>
          <t>no</t>
        </is>
      </c>
      <c r="AA544" s="5" t="n">
        <v>9.67</v>
      </c>
      <c r="AB544" s="5" t="n"/>
      <c r="AC544" s="5" t="n"/>
      <c r="AD544" s="5" t="n"/>
      <c r="AE544" s="5" t="n">
        <v>2543.9</v>
      </c>
      <c r="AF544" s="5" t="n">
        <v>2916.5</v>
      </c>
      <c r="AG544" s="5" t="n">
        <v>2613.7</v>
      </c>
      <c r="AH544" s="5" t="n">
        <v>3039.8</v>
      </c>
      <c r="AI544" s="5" t="inlineStr">
        <is>
          <t>n/a</t>
        </is>
      </c>
      <c r="AJ544" s="5" t="inlineStr"/>
      <c r="AK544" s="5" t="inlineStr"/>
      <c r="AL544" s="5" t="inlineStr"/>
      <c r="AM544" s="5" t="inlineStr"/>
    </row>
    <row r="545">
      <c r="A545" s="5" t="n">
        <v>544</v>
      </c>
      <c r="B545" s="5" t="inlineStr">
        <is>
          <t>126</t>
        </is>
      </c>
      <c r="C545" s="5" t="inlineStr">
        <is>
          <t>nearest labels (60% agree)</t>
        </is>
      </c>
      <c r="D545" s="5" t="inlineStr">
        <is>
          <t>grade_beam</t>
        </is>
      </c>
      <c r="E545" s="5" t="inlineStr">
        <is>
          <t>grade_beam</t>
        </is>
      </c>
      <c r="F545" s="5" t="inlineStr">
        <is>
          <t>LG40x15</t>
        </is>
      </c>
      <c r="G545" s="5" t="inlineStr"/>
      <c r="H545" s="5" t="inlineStr">
        <is>
          <t>band width matches label</t>
        </is>
      </c>
      <c r="I545" s="5" t="n">
        <v>280</v>
      </c>
      <c r="J545" s="5" t="n">
        <v>40</v>
      </c>
      <c r="K545" s="9">
        <f>IF(AND(ISNUMBER(I545),ISNUMBER(J545),J545&gt;0),I545/J545,"")</f>
        <v/>
      </c>
      <c r="L545" s="5" t="n">
        <v>1.119</v>
      </c>
      <c r="M545" s="5" t="n">
        <v>2.8</v>
      </c>
      <c r="N545" s="5" t="n">
        <v>116.6</v>
      </c>
      <c r="O545" s="5" t="inlineStr">
        <is>
          <t>parallel line pair</t>
        </is>
      </c>
      <c r="P545" s="5" t="inlineStr">
        <is>
          <t>two parallel lines at the width written in the LG label, empty inside</t>
        </is>
      </c>
      <c r="Q545" s="5">
        <f>IF(OR(D545="column",D545="wall"),IF(I545&lt;='P vs V'!$B$3*J545,"column","wall"),"")</f>
        <v/>
      </c>
      <c r="R545" s="5" t="inlineStr"/>
      <c r="S545" s="5" t="inlineStr"/>
      <c r="T545" s="5" t="n"/>
      <c r="U545" s="5" t="inlineStr">
        <is>
          <t>no</t>
        </is>
      </c>
      <c r="V545" s="5" t="inlineStr">
        <is>
          <t>no</t>
        </is>
      </c>
      <c r="W545" s="5" t="inlineStr">
        <is>
          <t>no</t>
        </is>
      </c>
      <c r="X545" s="5" t="inlineStr">
        <is>
          <t>no</t>
        </is>
      </c>
      <c r="Y545" s="5" t="inlineStr">
        <is>
          <t>no</t>
        </is>
      </c>
      <c r="Z545" s="5" t="inlineStr">
        <is>
          <t>no</t>
        </is>
      </c>
      <c r="AA545" s="5" t="n">
        <v>2.08</v>
      </c>
      <c r="AB545" s="5" t="n"/>
      <c r="AC545" s="5" t="n"/>
      <c r="AD545" s="5" t="n"/>
      <c r="AE545" s="5" t="n">
        <v>2440.7</v>
      </c>
      <c r="AF545" s="5" t="n">
        <v>3166.4</v>
      </c>
      <c r="AG545" s="5" t="n">
        <v>2488.3</v>
      </c>
      <c r="AH545" s="5" t="n">
        <v>3245.5</v>
      </c>
      <c r="AI545" s="5" t="inlineStr">
        <is>
          <t>n/a</t>
        </is>
      </c>
      <c r="AJ545" s="5" t="inlineStr"/>
      <c r="AK545" s="5" t="inlineStr"/>
      <c r="AL545" s="5" t="inlineStr"/>
      <c r="AM545" s="5" t="inlineStr"/>
    </row>
    <row r="546">
      <c r="A546" s="5" t="n">
        <v>545</v>
      </c>
      <c r="B546" s="5" t="inlineStr">
        <is>
          <t>126</t>
        </is>
      </c>
      <c r="C546" s="5" t="inlineStr">
        <is>
          <t>nearest labels (80% agree)</t>
        </is>
      </c>
      <c r="D546" s="5" t="inlineStr">
        <is>
          <t>grade_beam</t>
        </is>
      </c>
      <c r="E546" s="5" t="inlineStr">
        <is>
          <t>grade_beam</t>
        </is>
      </c>
      <c r="F546" s="5" t="inlineStr">
        <is>
          <t>LG40x15</t>
        </is>
      </c>
      <c r="G546" s="5" t="inlineStr"/>
      <c r="H546" s="5" t="inlineStr">
        <is>
          <t>band width matches label</t>
        </is>
      </c>
      <c r="I546" s="5" t="n">
        <v>222</v>
      </c>
      <c r="J546" s="5" t="n">
        <v>40</v>
      </c>
      <c r="K546" s="9">
        <f>IF(AND(ISNUMBER(I546),ISNUMBER(J546),J546&gt;0),I546/J546,"")</f>
        <v/>
      </c>
      <c r="L546" s="5" t="n">
        <v>0.889</v>
      </c>
      <c r="M546" s="5" t="n">
        <v>2.22</v>
      </c>
      <c r="N546" s="5" t="n">
        <v>26.6</v>
      </c>
      <c r="O546" s="5" t="inlineStr">
        <is>
          <t>parallel line pair</t>
        </is>
      </c>
      <c r="P546" s="5" t="inlineStr">
        <is>
          <t>two parallel lines at the width written in the LG label, empty inside</t>
        </is>
      </c>
      <c r="Q546" s="5">
        <f>IF(OR(D546="column",D546="wall"),IF(I546&lt;='P vs V'!$B$3*J546,"column","wall"),"")</f>
        <v/>
      </c>
      <c r="R546" s="5" t="inlineStr"/>
      <c r="S546" s="5" t="inlineStr"/>
      <c r="T546" s="5" t="n"/>
      <c r="U546" s="5" t="inlineStr">
        <is>
          <t>no</t>
        </is>
      </c>
      <c r="V546" s="5" t="inlineStr">
        <is>
          <t>no</t>
        </is>
      </c>
      <c r="W546" s="5" t="inlineStr">
        <is>
          <t>no</t>
        </is>
      </c>
      <c r="X546" s="5" t="inlineStr">
        <is>
          <t>no</t>
        </is>
      </c>
      <c r="Y546" s="5" t="inlineStr">
        <is>
          <t>no</t>
        </is>
      </c>
      <c r="Z546" s="5" t="inlineStr">
        <is>
          <t>no</t>
        </is>
      </c>
      <c r="AA546" s="5" t="n">
        <v>5.98</v>
      </c>
      <c r="AB546" s="5" t="n"/>
      <c r="AC546" s="5" t="n"/>
      <c r="AD546" s="5" t="n"/>
      <c r="AE546" s="5" t="n">
        <v>2566.4</v>
      </c>
      <c r="AF546" s="5" t="n">
        <v>3124.2</v>
      </c>
      <c r="AG546" s="5" t="n">
        <v>2630.3</v>
      </c>
      <c r="AH546" s="5" t="n">
        <v>3164.1</v>
      </c>
      <c r="AI546" s="5" t="inlineStr">
        <is>
          <t>n/a</t>
        </is>
      </c>
      <c r="AJ546" s="5" t="inlineStr"/>
      <c r="AK546" s="5" t="inlineStr"/>
      <c r="AL546" s="5" t="inlineStr"/>
      <c r="AM546" s="5" t="inlineStr"/>
    </row>
    <row r="547">
      <c r="A547" s="5" t="n">
        <v>546</v>
      </c>
      <c r="B547" s="5" t="inlineStr">
        <is>
          <t>126</t>
        </is>
      </c>
      <c r="C547" s="5" t="inlineStr">
        <is>
          <t>nearest labels (100% agree)</t>
        </is>
      </c>
      <c r="D547" s="5" t="inlineStr">
        <is>
          <t>grade_beam</t>
        </is>
      </c>
      <c r="E547" s="5" t="inlineStr">
        <is>
          <t>grade_beam</t>
        </is>
      </c>
      <c r="F547" s="5" t="inlineStr">
        <is>
          <t>LG40x15</t>
        </is>
      </c>
      <c r="G547" s="5" t="inlineStr"/>
      <c r="H547" s="5" t="inlineStr">
        <is>
          <t>band width matches label</t>
        </is>
      </c>
      <c r="I547" s="5" t="n">
        <v>266</v>
      </c>
      <c r="J547" s="5" t="n">
        <v>40</v>
      </c>
      <c r="K547" s="9">
        <f>IF(AND(ISNUMBER(I547),ISNUMBER(J547),J547&gt;0),I547/J547,"")</f>
        <v/>
      </c>
      <c r="L547" s="5" t="n">
        <v>1.064</v>
      </c>
      <c r="M547" s="5" t="n">
        <v>2.66</v>
      </c>
      <c r="N547" s="5" t="n">
        <v>26.6</v>
      </c>
      <c r="O547" s="5" t="inlineStr">
        <is>
          <t>parallel line pair</t>
        </is>
      </c>
      <c r="P547" s="5" t="inlineStr">
        <is>
          <t>two parallel lines at the width written in the LG label, empty inside</t>
        </is>
      </c>
      <c r="Q547" s="5">
        <f>IF(OR(D547="column",D547="wall"),IF(I547&lt;='P vs V'!$B$3*J547,"column","wall"),"")</f>
        <v/>
      </c>
      <c r="R547" s="5" t="inlineStr"/>
      <c r="S547" s="5" t="inlineStr"/>
      <c r="T547" s="5" t="n"/>
      <c r="U547" s="5" t="inlineStr">
        <is>
          <t>no</t>
        </is>
      </c>
      <c r="V547" s="5" t="inlineStr">
        <is>
          <t>no</t>
        </is>
      </c>
      <c r="W547" s="5" t="inlineStr">
        <is>
          <t>no</t>
        </is>
      </c>
      <c r="X547" s="5" t="inlineStr">
        <is>
          <t>no</t>
        </is>
      </c>
      <c r="Y547" s="5" t="inlineStr">
        <is>
          <t>no</t>
        </is>
      </c>
      <c r="Z547" s="5" t="inlineStr">
        <is>
          <t>no</t>
        </is>
      </c>
      <c r="AA547" s="5" t="n">
        <v>0.12</v>
      </c>
      <c r="AB547" s="5" t="n"/>
      <c r="AC547" s="5" t="n"/>
      <c r="AD547" s="5" t="n"/>
      <c r="AE547" s="5" t="n">
        <v>2730.6</v>
      </c>
      <c r="AF547" s="5" t="n">
        <v>3206.5</v>
      </c>
      <c r="AG547" s="5" t="n">
        <v>2806</v>
      </c>
      <c r="AH547" s="5" t="n">
        <v>3252.3</v>
      </c>
      <c r="AI547" s="5" t="inlineStr">
        <is>
          <t>n/a</t>
        </is>
      </c>
      <c r="AJ547" s="5" t="inlineStr"/>
      <c r="AK547" s="5" t="inlineStr"/>
      <c r="AL547" s="5" t="inlineStr"/>
      <c r="AM547" s="5" t="inlineStr"/>
    </row>
    <row r="548">
      <c r="A548" s="5" t="n">
        <v>547</v>
      </c>
      <c r="B548" s="5" t="inlineStr">
        <is>
          <t>126</t>
        </is>
      </c>
      <c r="C548" s="5" t="inlineStr">
        <is>
          <t>nearest labels (80% agree)</t>
        </is>
      </c>
      <c r="D548" s="5" t="inlineStr">
        <is>
          <t>grade_beam</t>
        </is>
      </c>
      <c r="E548" s="5" t="inlineStr">
        <is>
          <t>grade_beam</t>
        </is>
      </c>
      <c r="F548" s="5" t="inlineStr">
        <is>
          <t>LG40x15</t>
        </is>
      </c>
      <c r="G548" s="5" t="inlineStr"/>
      <c r="H548" s="5" t="inlineStr">
        <is>
          <t>band width matches label</t>
        </is>
      </c>
      <c r="I548" s="5" t="n">
        <v>355</v>
      </c>
      <c r="J548" s="5" t="n">
        <v>40</v>
      </c>
      <c r="K548" s="9">
        <f>IF(AND(ISNUMBER(I548),ISNUMBER(J548),J548&gt;0),I548/J548,"")</f>
        <v/>
      </c>
      <c r="L548" s="5" t="n">
        <v>1.419</v>
      </c>
      <c r="M548" s="5" t="n">
        <v>3.55</v>
      </c>
      <c r="N548" s="5" t="n">
        <v>26.6</v>
      </c>
      <c r="O548" s="5" t="inlineStr">
        <is>
          <t>parallel line pair</t>
        </is>
      </c>
      <c r="P548" s="5" t="inlineStr">
        <is>
          <t>two parallel lines at the width written in the LG label, empty inside</t>
        </is>
      </c>
      <c r="Q548" s="5">
        <f>IF(OR(D548="column",D548="wall"),IF(I548&lt;='P vs V'!$B$3*J548,"column","wall"),"")</f>
        <v/>
      </c>
      <c r="R548" s="5" t="inlineStr"/>
      <c r="S548" s="5" t="inlineStr"/>
      <c r="T548" s="5" t="n"/>
      <c r="U548" s="5" t="inlineStr">
        <is>
          <t>no</t>
        </is>
      </c>
      <c r="V548" s="5" t="inlineStr">
        <is>
          <t>no</t>
        </is>
      </c>
      <c r="W548" s="5" t="inlineStr">
        <is>
          <t>no</t>
        </is>
      </c>
      <c r="X548" s="5" t="inlineStr">
        <is>
          <t>no</t>
        </is>
      </c>
      <c r="Y548" s="5" t="inlineStr">
        <is>
          <t>no</t>
        </is>
      </c>
      <c r="Z548" s="5" t="inlineStr">
        <is>
          <t>no</t>
        </is>
      </c>
      <c r="AA548" s="5" t="n">
        <v>0.31</v>
      </c>
      <c r="AB548" s="5" t="n"/>
      <c r="AC548" s="5" t="n"/>
      <c r="AD548" s="5" t="n"/>
      <c r="AE548" s="5" t="n">
        <v>2879.9</v>
      </c>
      <c r="AF548" s="5" t="n">
        <v>3281.4</v>
      </c>
      <c r="AG548" s="5" t="n">
        <v>2978.8</v>
      </c>
      <c r="AH548" s="5" t="n">
        <v>3339</v>
      </c>
      <c r="AI548" s="5" t="inlineStr">
        <is>
          <t>n/a</t>
        </is>
      </c>
      <c r="AJ548" s="5" t="inlineStr"/>
      <c r="AK548" s="5" t="inlineStr"/>
      <c r="AL548" s="5" t="inlineStr"/>
      <c r="AM548" s="5" t="inlineStr"/>
    </row>
    <row r="549">
      <c r="A549" s="5" t="n">
        <v>548</v>
      </c>
      <c r="B549" s="5" t="inlineStr">
        <is>
          <t>126</t>
        </is>
      </c>
      <c r="C549" s="5" t="inlineStr">
        <is>
          <t>nearest labels (100% agree)</t>
        </is>
      </c>
      <c r="D549" s="5" t="inlineStr">
        <is>
          <t>grade_beam</t>
        </is>
      </c>
      <c r="E549" s="5" t="inlineStr">
        <is>
          <t>grade_beam</t>
        </is>
      </c>
      <c r="F549" s="5" t="inlineStr">
        <is>
          <t>LG40x15</t>
        </is>
      </c>
      <c r="G549" s="5" t="inlineStr"/>
      <c r="H549" s="5" t="inlineStr">
        <is>
          <t>band width matches label</t>
        </is>
      </c>
      <c r="I549" s="5" t="n">
        <v>573</v>
      </c>
      <c r="J549" s="5" t="n">
        <v>40</v>
      </c>
      <c r="K549" s="9">
        <f>IF(AND(ISNUMBER(I549),ISNUMBER(J549),J549&gt;0),I549/J549,"")</f>
        <v/>
      </c>
      <c r="L549" s="5" t="n">
        <v>2.291</v>
      </c>
      <c r="M549" s="5" t="n">
        <v>5.73</v>
      </c>
      <c r="N549" s="5" t="n">
        <v>116.6</v>
      </c>
      <c r="O549" s="5" t="inlineStr">
        <is>
          <t>parallel line pair</t>
        </is>
      </c>
      <c r="P549" s="5" t="inlineStr">
        <is>
          <t>two parallel lines at the width written in the LG label, empty inside</t>
        </is>
      </c>
      <c r="Q549" s="5">
        <f>IF(OR(D549="column",D549="wall"),IF(I549&lt;='P vs V'!$B$3*J549,"column","wall"),"")</f>
        <v/>
      </c>
      <c r="R549" s="5" t="inlineStr"/>
      <c r="S549" s="5" t="inlineStr"/>
      <c r="T549" s="5" t="n"/>
      <c r="U549" s="5" t="inlineStr">
        <is>
          <t>no</t>
        </is>
      </c>
      <c r="V549" s="5" t="inlineStr">
        <is>
          <t>no</t>
        </is>
      </c>
      <c r="W549" s="5" t="inlineStr">
        <is>
          <t>no</t>
        </is>
      </c>
      <c r="X549" s="5" t="inlineStr">
        <is>
          <t>no</t>
        </is>
      </c>
      <c r="Y549" s="5" t="inlineStr">
        <is>
          <t>no</t>
        </is>
      </c>
      <c r="Z549" s="5" t="inlineStr">
        <is>
          <t>yes</t>
        </is>
      </c>
      <c r="AA549" s="5" t="n">
        <v>3.45</v>
      </c>
      <c r="AB549" s="5" t="n"/>
      <c r="AC549" s="5" t="n"/>
      <c r="AD549" s="5" t="n"/>
      <c r="AE549" s="5" t="n">
        <v>2706.4</v>
      </c>
      <c r="AF549" s="5" t="n">
        <v>2969.1</v>
      </c>
      <c r="AG549" s="5" t="n">
        <v>2792.8</v>
      </c>
      <c r="AH549" s="5" t="n">
        <v>3125.6</v>
      </c>
      <c r="AI549" s="5" t="inlineStr">
        <is>
          <t>n/a</t>
        </is>
      </c>
      <c r="AJ549" s="5" t="inlineStr"/>
      <c r="AK549" s="5" t="inlineStr"/>
      <c r="AL549" s="5" t="inlineStr"/>
      <c r="AM549" s="5" t="inlineStr"/>
    </row>
    <row r="550">
      <c r="A550" s="5" t="n">
        <v>549</v>
      </c>
      <c r="B550" s="5" t="inlineStr">
        <is>
          <t>126</t>
        </is>
      </c>
      <c r="C550" s="5" t="inlineStr">
        <is>
          <t>nearest labels (100% agree)</t>
        </is>
      </c>
      <c r="D550" s="5" t="inlineStr">
        <is>
          <t>grade_beam</t>
        </is>
      </c>
      <c r="E550" s="5" t="inlineStr">
        <is>
          <t>grade_beam</t>
        </is>
      </c>
      <c r="F550" s="5" t="inlineStr">
        <is>
          <t>LG40x15</t>
        </is>
      </c>
      <c r="G550" s="5" t="inlineStr"/>
      <c r="H550" s="5" t="inlineStr">
        <is>
          <t>band width matches label</t>
        </is>
      </c>
      <c r="I550" s="5" t="n">
        <v>301</v>
      </c>
      <c r="J550" s="5" t="n">
        <v>40</v>
      </c>
      <c r="K550" s="9">
        <f>IF(AND(ISNUMBER(I550),ISNUMBER(J550),J550&gt;0),I550/J550,"")</f>
        <v/>
      </c>
      <c r="L550" s="5" t="n">
        <v>1.205</v>
      </c>
      <c r="M550" s="5" t="n">
        <v>3.01</v>
      </c>
      <c r="N550" s="5" t="n">
        <v>116.6</v>
      </c>
      <c r="O550" s="5" t="inlineStr">
        <is>
          <t>parallel line pair</t>
        </is>
      </c>
      <c r="P550" s="5" t="inlineStr">
        <is>
          <t>two parallel lines at the width written in the LG label, empty inside</t>
        </is>
      </c>
      <c r="Q550" s="5">
        <f>IF(OR(D550="column",D550="wall"),IF(I550&lt;='P vs V'!$B$3*J550,"column","wall"),"")</f>
        <v/>
      </c>
      <c r="R550" s="5" t="inlineStr"/>
      <c r="S550" s="5" t="inlineStr"/>
      <c r="T550" s="5" t="n"/>
      <c r="U550" s="5" t="inlineStr">
        <is>
          <t>no</t>
        </is>
      </c>
      <c r="V550" s="5" t="inlineStr">
        <is>
          <t>no</t>
        </is>
      </c>
      <c r="W550" s="5" t="inlineStr">
        <is>
          <t>no</t>
        </is>
      </c>
      <c r="X550" s="5" t="inlineStr">
        <is>
          <t>no</t>
        </is>
      </c>
      <c r="Y550" s="5" t="inlineStr">
        <is>
          <t>no</t>
        </is>
      </c>
      <c r="Z550" s="5" t="inlineStr">
        <is>
          <t>no</t>
        </is>
      </c>
      <c r="AA550" s="5" t="n">
        <v>1.83</v>
      </c>
      <c r="AB550" s="5" t="n"/>
      <c r="AC550" s="5" t="n"/>
      <c r="AD550" s="5" t="n"/>
      <c r="AE550" s="5" t="n">
        <v>2600.3</v>
      </c>
      <c r="AF550" s="5" t="n">
        <v>3252.3</v>
      </c>
      <c r="AG550" s="5" t="n">
        <v>2650.8</v>
      </c>
      <c r="AH550" s="5" t="n">
        <v>3337.1</v>
      </c>
      <c r="AI550" s="5" t="inlineStr">
        <is>
          <t>n/a</t>
        </is>
      </c>
      <c r="AJ550" s="5" t="inlineStr"/>
      <c r="AK550" s="5" t="inlineStr"/>
      <c r="AL550" s="5" t="inlineStr"/>
      <c r="AM550" s="5" t="inlineStr"/>
    </row>
    <row r="551">
      <c r="A551" s="5" t="n">
        <v>550</v>
      </c>
      <c r="B551" s="5" t="inlineStr">
        <is>
          <t>126</t>
        </is>
      </c>
      <c r="C551" s="5" t="inlineStr">
        <is>
          <t>nearest labels (80% agree)</t>
        </is>
      </c>
      <c r="D551" s="5" t="inlineStr">
        <is>
          <t>grade_beam</t>
        </is>
      </c>
      <c r="E551" s="5" t="inlineStr">
        <is>
          <t>grade_beam</t>
        </is>
      </c>
      <c r="F551" s="5" t="inlineStr">
        <is>
          <t>LG40x15</t>
        </is>
      </c>
      <c r="G551" s="5" t="inlineStr"/>
      <c r="H551" s="5" t="inlineStr">
        <is>
          <t>band width matches label</t>
        </is>
      </c>
      <c r="I551" s="5" t="n">
        <v>316</v>
      </c>
      <c r="J551" s="5" t="n">
        <v>40</v>
      </c>
      <c r="K551" s="9">
        <f>IF(AND(ISNUMBER(I551),ISNUMBER(J551),J551&gt;0),I551/J551,"")</f>
        <v/>
      </c>
      <c r="L551" s="5" t="n">
        <v>1.265</v>
      </c>
      <c r="M551" s="5" t="n">
        <v>3.16</v>
      </c>
      <c r="N551" s="5" t="n">
        <v>21.5</v>
      </c>
      <c r="O551" s="5" t="inlineStr">
        <is>
          <t>parallel line pair</t>
        </is>
      </c>
      <c r="P551" s="5" t="inlineStr">
        <is>
          <t>two parallel lines at the width written in the LG label, empty inside</t>
        </is>
      </c>
      <c r="Q551" s="5">
        <f>IF(OR(D551="column",D551="wall"),IF(I551&lt;='P vs V'!$B$3*J551,"column","wall"),"")</f>
        <v/>
      </c>
      <c r="R551" s="5" t="inlineStr"/>
      <c r="S551" s="5" t="inlineStr"/>
      <c r="T551" s="5" t="n"/>
      <c r="U551" s="5" t="inlineStr">
        <is>
          <t>no</t>
        </is>
      </c>
      <c r="V551" s="5" t="inlineStr">
        <is>
          <t>no</t>
        </is>
      </c>
      <c r="W551" s="5" t="inlineStr">
        <is>
          <t>no</t>
        </is>
      </c>
      <c r="X551" s="5" t="inlineStr">
        <is>
          <t>no</t>
        </is>
      </c>
      <c r="Y551" s="5" t="inlineStr">
        <is>
          <t>no</t>
        </is>
      </c>
      <c r="Z551" s="5" t="inlineStr">
        <is>
          <t>yes</t>
        </is>
      </c>
      <c r="AA551" s="5" t="n">
        <v>0.76</v>
      </c>
      <c r="AB551" s="5" t="n"/>
      <c r="AC551" s="5" t="n"/>
      <c r="AD551" s="5" t="n"/>
      <c r="AE551" s="5" t="n">
        <v>2853.6</v>
      </c>
      <c r="AF551" s="5" t="n">
        <v>3003.7</v>
      </c>
      <c r="AG551" s="5" t="n">
        <v>2944.8</v>
      </c>
      <c r="AH551" s="5" t="n">
        <v>3048.9</v>
      </c>
      <c r="AI551" s="5" t="inlineStr">
        <is>
          <t>n/a</t>
        </is>
      </c>
      <c r="AJ551" s="5" t="inlineStr"/>
      <c r="AK551" s="5" t="inlineStr"/>
      <c r="AL551" s="5" t="inlineStr"/>
      <c r="AM551" s="5" t="inlineStr"/>
    </row>
    <row r="552">
      <c r="A552" s="5" t="n">
        <v>551</v>
      </c>
      <c r="B552" s="5" t="inlineStr">
        <is>
          <t>126</t>
        </is>
      </c>
      <c r="C552" s="5" t="inlineStr">
        <is>
          <t>nearest labels (80% agree)</t>
        </is>
      </c>
      <c r="D552" s="5" t="inlineStr">
        <is>
          <t>grade_beam</t>
        </is>
      </c>
      <c r="E552" s="5" t="inlineStr">
        <is>
          <t>grade_beam</t>
        </is>
      </c>
      <c r="F552" s="5" t="inlineStr">
        <is>
          <t>LG40x15</t>
        </is>
      </c>
      <c r="G552" s="5" t="inlineStr"/>
      <c r="H552" s="5" t="inlineStr">
        <is>
          <t>band width matches label</t>
        </is>
      </c>
      <c r="I552" s="5" t="n">
        <v>245</v>
      </c>
      <c r="J552" s="5" t="n">
        <v>40</v>
      </c>
      <c r="K552" s="9">
        <f>IF(AND(ISNUMBER(I552),ISNUMBER(J552),J552&gt;0),I552/J552,"")</f>
        <v/>
      </c>
      <c r="L552" s="5" t="n">
        <v>0.98</v>
      </c>
      <c r="M552" s="5" t="n">
        <v>2.45</v>
      </c>
      <c r="N552" s="5" t="n">
        <v>21.5</v>
      </c>
      <c r="O552" s="5" t="inlineStr">
        <is>
          <t>parallel line pair</t>
        </is>
      </c>
      <c r="P552" s="5" t="inlineStr">
        <is>
          <t>two parallel lines at the width written in the LG label, empty inside</t>
        </is>
      </c>
      <c r="Q552" s="5">
        <f>IF(OR(D552="column",D552="wall"),IF(I552&lt;='P vs V'!$B$3*J552,"column","wall"),"")</f>
        <v/>
      </c>
      <c r="R552" s="5" t="inlineStr"/>
      <c r="S552" s="5" t="inlineStr"/>
      <c r="T552" s="5" t="n"/>
      <c r="U552" s="5" t="inlineStr">
        <is>
          <t>no</t>
        </is>
      </c>
      <c r="V552" s="5" t="inlineStr">
        <is>
          <t>no</t>
        </is>
      </c>
      <c r="W552" s="5" t="inlineStr">
        <is>
          <t>no</t>
        </is>
      </c>
      <c r="X552" s="5" t="inlineStr">
        <is>
          <t>no</t>
        </is>
      </c>
      <c r="Y552" s="5" t="inlineStr">
        <is>
          <t>no</t>
        </is>
      </c>
      <c r="Z552" s="5" t="inlineStr">
        <is>
          <t>yes</t>
        </is>
      </c>
      <c r="AA552" s="5" t="n">
        <v>1.41</v>
      </c>
      <c r="AB552" s="5" t="n"/>
      <c r="AC552" s="5" t="n"/>
      <c r="AD552" s="5" t="n"/>
      <c r="AE552" s="5" t="n">
        <v>2957</v>
      </c>
      <c r="AF552" s="5" t="n">
        <v>3044.4</v>
      </c>
      <c r="AG552" s="5" t="n">
        <v>3028.7</v>
      </c>
      <c r="AH552" s="5" t="n">
        <v>3081.9</v>
      </c>
      <c r="AI552" s="5" t="inlineStr">
        <is>
          <t>n/a</t>
        </is>
      </c>
      <c r="AJ552" s="5" t="inlineStr"/>
      <c r="AK552" s="5" t="inlineStr"/>
      <c r="AL552" s="5" t="inlineStr"/>
      <c r="AM552" s="5" t="inlineStr"/>
    </row>
    <row r="553">
      <c r="A553" s="5" t="n">
        <v>552</v>
      </c>
      <c r="B553" s="5" t="inlineStr">
        <is>
          <t>126</t>
        </is>
      </c>
      <c r="C553" s="5" t="inlineStr">
        <is>
          <t>nearest labels (80% agree)</t>
        </is>
      </c>
      <c r="D553" s="5" t="inlineStr">
        <is>
          <t>grade_beam</t>
        </is>
      </c>
      <c r="E553" s="5" t="inlineStr">
        <is>
          <t>grade_beam</t>
        </is>
      </c>
      <c r="F553" s="5" t="inlineStr">
        <is>
          <t>LG40x15</t>
        </is>
      </c>
      <c r="G553" s="5" t="inlineStr"/>
      <c r="H553" s="5" t="inlineStr">
        <is>
          <t>band width matches label</t>
        </is>
      </c>
      <c r="I553" s="5" t="n">
        <v>565</v>
      </c>
      <c r="J553" s="5" t="n">
        <v>40</v>
      </c>
      <c r="K553" s="9">
        <f>IF(AND(ISNUMBER(I553),ISNUMBER(J553),J553&gt;0),I553/J553,"")</f>
        <v/>
      </c>
      <c r="L553" s="5" t="n">
        <v>2.259</v>
      </c>
      <c r="M553" s="5" t="n">
        <v>5.65</v>
      </c>
      <c r="N553" s="5" t="n">
        <v>116.6</v>
      </c>
      <c r="O553" s="5" t="inlineStr">
        <is>
          <t>parallel line pair</t>
        </is>
      </c>
      <c r="P553" s="5" t="inlineStr">
        <is>
          <t>two parallel lines at the width written in the LG label, empty inside</t>
        </is>
      </c>
      <c r="Q553" s="5">
        <f>IF(OR(D553="column",D553="wall"),IF(I553&lt;='P vs V'!$B$3*J553,"column","wall"),"")</f>
        <v/>
      </c>
      <c r="R553" s="5" t="inlineStr"/>
      <c r="S553" s="5" t="inlineStr"/>
      <c r="T553" s="5" t="n"/>
      <c r="U553" s="5" t="inlineStr">
        <is>
          <t>no</t>
        </is>
      </c>
      <c r="V553" s="5" t="inlineStr">
        <is>
          <t>no</t>
        </is>
      </c>
      <c r="W553" s="5" t="inlineStr">
        <is>
          <t>no</t>
        </is>
      </c>
      <c r="X553" s="5" t="inlineStr">
        <is>
          <t>no</t>
        </is>
      </c>
      <c r="Y553" s="5" t="inlineStr">
        <is>
          <t>no</t>
        </is>
      </c>
      <c r="Z553" s="5" t="inlineStr">
        <is>
          <t>yes</t>
        </is>
      </c>
      <c r="AA553" s="5" t="n">
        <v>0.02</v>
      </c>
      <c r="AB553" s="5" t="n"/>
      <c r="AC553" s="5" t="n"/>
      <c r="AD553" s="5" t="n"/>
      <c r="AE553" s="5" t="n">
        <v>2869.2</v>
      </c>
      <c r="AF553" s="5" t="n">
        <v>3053.4</v>
      </c>
      <c r="AG553" s="5" t="n">
        <v>2954.5</v>
      </c>
      <c r="AH553" s="5" t="n">
        <v>3207.7</v>
      </c>
      <c r="AI553" s="5" t="inlineStr">
        <is>
          <t>n/a</t>
        </is>
      </c>
      <c r="AJ553" s="5" t="inlineStr"/>
      <c r="AK553" s="5" t="inlineStr"/>
      <c r="AL553" s="5" t="inlineStr"/>
      <c r="AM553" s="5" t="inlineStr"/>
    </row>
    <row r="554">
      <c r="A554" s="5" t="n">
        <v>553</v>
      </c>
      <c r="B554" s="5" t="inlineStr">
        <is>
          <t>126</t>
        </is>
      </c>
      <c r="C554" s="5" t="inlineStr">
        <is>
          <t>nearest labels (80% agree)</t>
        </is>
      </c>
      <c r="D554" s="5" t="inlineStr">
        <is>
          <t>grade_beam</t>
        </is>
      </c>
      <c r="E554" s="5" t="inlineStr">
        <is>
          <t>grade_beam</t>
        </is>
      </c>
      <c r="F554" s="5" t="inlineStr">
        <is>
          <t>LG40x15</t>
        </is>
      </c>
      <c r="G554" s="5" t="inlineStr"/>
      <c r="H554" s="5" t="inlineStr">
        <is>
          <t>band width matches label</t>
        </is>
      </c>
      <c r="I554" s="5" t="n">
        <v>610</v>
      </c>
      <c r="J554" s="5" t="n">
        <v>40</v>
      </c>
      <c r="K554" s="9">
        <f>IF(AND(ISNUMBER(I554),ISNUMBER(J554),J554&gt;0),I554/J554,"")</f>
        <v/>
      </c>
      <c r="L554" s="5" t="n">
        <v>2.441</v>
      </c>
      <c r="M554" s="5" t="n">
        <v>6.1</v>
      </c>
      <c r="N554" s="5" t="n">
        <v>26.6</v>
      </c>
      <c r="O554" s="5" t="inlineStr">
        <is>
          <t>parallel line pair</t>
        </is>
      </c>
      <c r="P554" s="5" t="inlineStr">
        <is>
          <t>two parallel lines at the width written in the LG label, empty inside</t>
        </is>
      </c>
      <c r="Q554" s="5">
        <f>IF(OR(D554="column",D554="wall"),IF(I554&lt;='P vs V'!$B$3*J554,"column","wall"),"")</f>
        <v/>
      </c>
      <c r="R554" s="5" t="inlineStr"/>
      <c r="S554" s="5" t="inlineStr"/>
      <c r="T554" s="5" t="n"/>
      <c r="U554" s="5" t="inlineStr">
        <is>
          <t>no</t>
        </is>
      </c>
      <c r="V554" s="5" t="inlineStr">
        <is>
          <t>no</t>
        </is>
      </c>
      <c r="W554" s="5" t="inlineStr">
        <is>
          <t>no</t>
        </is>
      </c>
      <c r="X554" s="5" t="inlineStr">
        <is>
          <t>no</t>
        </is>
      </c>
      <c r="Y554" s="5" t="inlineStr">
        <is>
          <t>no</t>
        </is>
      </c>
      <c r="Z554" s="5" t="inlineStr">
        <is>
          <t>yes</t>
        </is>
      </c>
      <c r="AA554" s="5" t="n">
        <v>5.86</v>
      </c>
      <c r="AB554" s="5" t="n"/>
      <c r="AC554" s="5" t="n"/>
      <c r="AD554" s="5" t="n"/>
      <c r="AE554" s="5" t="n">
        <v>2643.2</v>
      </c>
      <c r="AF554" s="5" t="n">
        <v>2888.9</v>
      </c>
      <c r="AG554" s="5" t="n">
        <v>2809.6</v>
      </c>
      <c r="AH554" s="5" t="n">
        <v>2980.2</v>
      </c>
      <c r="AI554" s="5" t="inlineStr">
        <is>
          <t>n/a</t>
        </is>
      </c>
      <c r="AJ554" s="5" t="inlineStr"/>
      <c r="AK554" s="5" t="inlineStr"/>
      <c r="AL554" s="5" t="inlineStr"/>
      <c r="AM554" s="5" t="inlineStr"/>
    </row>
    <row r="555">
      <c r="A555" s="5" t="n">
        <v>554</v>
      </c>
      <c r="B555" s="5" t="inlineStr">
        <is>
          <t>126</t>
        </is>
      </c>
      <c r="C555" s="5" t="inlineStr">
        <is>
          <t>nearest labels (80% agree)</t>
        </is>
      </c>
      <c r="D555" s="5" t="inlineStr">
        <is>
          <t>grade_beam</t>
        </is>
      </c>
      <c r="E555" s="5" t="inlineStr">
        <is>
          <t>grade_beam</t>
        </is>
      </c>
      <c r="F555" s="5" t="inlineStr">
        <is>
          <t>LG40x15</t>
        </is>
      </c>
      <c r="G555" s="5" t="inlineStr"/>
      <c r="H555" s="5" t="inlineStr">
        <is>
          <t>band width matches label</t>
        </is>
      </c>
      <c r="I555" s="5" t="n">
        <v>320</v>
      </c>
      <c r="J555" s="5" t="n">
        <v>40</v>
      </c>
      <c r="K555" s="9">
        <f>IF(AND(ISNUMBER(I555),ISNUMBER(J555),J555&gt;0),I555/J555,"")</f>
        <v/>
      </c>
      <c r="L555" s="5" t="n">
        <v>1.28</v>
      </c>
      <c r="M555" s="5" t="n">
        <v>3.2</v>
      </c>
      <c r="N555" s="5" t="n">
        <v>116.6</v>
      </c>
      <c r="O555" s="5" t="inlineStr">
        <is>
          <t>parallel line pair</t>
        </is>
      </c>
      <c r="P555" s="5" t="inlineStr">
        <is>
          <t>two parallel lines at the width written in the LG label, empty inside</t>
        </is>
      </c>
      <c r="Q555" s="5">
        <f>IF(OR(D555="column",D555="wall"),IF(I555&lt;='P vs V'!$B$3*J555,"column","wall"),"")</f>
        <v/>
      </c>
      <c r="R555" s="5" t="inlineStr"/>
      <c r="S555" s="5" t="inlineStr"/>
      <c r="T555" s="5" t="n"/>
      <c r="U555" s="5" t="inlineStr">
        <is>
          <t>no</t>
        </is>
      </c>
      <c r="V555" s="5" t="inlineStr">
        <is>
          <t>no</t>
        </is>
      </c>
      <c r="W555" s="5" t="inlineStr">
        <is>
          <t>no</t>
        </is>
      </c>
      <c r="X555" s="5" t="inlineStr">
        <is>
          <t>no</t>
        </is>
      </c>
      <c r="Y555" s="5" t="inlineStr">
        <is>
          <t>no</t>
        </is>
      </c>
      <c r="Z555" s="5" t="inlineStr">
        <is>
          <t>no</t>
        </is>
      </c>
      <c r="AA555" s="5" t="n">
        <v>1.81</v>
      </c>
      <c r="AB555" s="5" t="n"/>
      <c r="AC555" s="5" t="n"/>
      <c r="AD555" s="5" t="n"/>
      <c r="AE555" s="5" t="n">
        <v>2850.1</v>
      </c>
      <c r="AF555" s="5" t="n">
        <v>2857.1</v>
      </c>
      <c r="AG555" s="5" t="n">
        <v>2903</v>
      </c>
      <c r="AH555" s="5" t="n">
        <v>2946.8</v>
      </c>
      <c r="AI555" s="5" t="inlineStr">
        <is>
          <t>n/a</t>
        </is>
      </c>
      <c r="AJ555" s="5" t="inlineStr"/>
      <c r="AK555" s="5" t="inlineStr"/>
      <c r="AL555" s="5" t="inlineStr"/>
      <c r="AM555" s="5" t="inlineStr"/>
    </row>
    <row r="556">
      <c r="A556" s="5" t="n">
        <v>555</v>
      </c>
      <c r="B556" s="5" t="inlineStr">
        <is>
          <t>126</t>
        </is>
      </c>
      <c r="C556" s="5" t="inlineStr">
        <is>
          <t>nearest labels (60% agree)</t>
        </is>
      </c>
      <c r="D556" s="5" t="inlineStr">
        <is>
          <t>grade_beam</t>
        </is>
      </c>
      <c r="E556" s="5" t="inlineStr">
        <is>
          <t>grade_beam</t>
        </is>
      </c>
      <c r="F556" s="5" t="inlineStr">
        <is>
          <t>LG40x15</t>
        </is>
      </c>
      <c r="G556" s="5" t="inlineStr"/>
      <c r="H556" s="5" t="inlineStr">
        <is>
          <t>band width matches label</t>
        </is>
      </c>
      <c r="I556" s="5" t="n">
        <v>250</v>
      </c>
      <c r="J556" s="5" t="n">
        <v>40</v>
      </c>
      <c r="K556" s="9">
        <f>IF(AND(ISNUMBER(I556),ISNUMBER(J556),J556&gt;0),I556/J556,"")</f>
        <v/>
      </c>
      <c r="L556" s="5" t="n">
        <v>1</v>
      </c>
      <c r="M556" s="5" t="n">
        <v>2.5</v>
      </c>
      <c r="N556" s="5" t="n">
        <v>8.6</v>
      </c>
      <c r="O556" s="5" t="inlineStr">
        <is>
          <t>parallel line pair</t>
        </is>
      </c>
      <c r="P556" s="5" t="inlineStr">
        <is>
          <t>two parallel lines at the width written in the LG label, empty inside</t>
        </is>
      </c>
      <c r="Q556" s="5">
        <f>IF(OR(D556="column",D556="wall"),IF(I556&lt;='P vs V'!$B$3*J556,"column","wall"),"")</f>
        <v/>
      </c>
      <c r="R556" s="5" t="inlineStr"/>
      <c r="S556" s="5" t="inlineStr"/>
      <c r="T556" s="5" t="n"/>
      <c r="U556" s="5" t="inlineStr">
        <is>
          <t>no</t>
        </is>
      </c>
      <c r="V556" s="5" t="inlineStr">
        <is>
          <t>no</t>
        </is>
      </c>
      <c r="W556" s="5" t="inlineStr">
        <is>
          <t>no</t>
        </is>
      </c>
      <c r="X556" s="5" t="inlineStr">
        <is>
          <t>no</t>
        </is>
      </c>
      <c r="Y556" s="5" t="inlineStr">
        <is>
          <t>no</t>
        </is>
      </c>
      <c r="Z556" s="5" t="inlineStr">
        <is>
          <t>no</t>
        </is>
      </c>
      <c r="AA556" s="5" t="n">
        <v>1.54</v>
      </c>
      <c r="AB556" s="5" t="n"/>
      <c r="AC556" s="5" t="n"/>
      <c r="AD556" s="5" t="n"/>
      <c r="AE556" s="5" t="n">
        <v>2876</v>
      </c>
      <c r="AF556" s="5" t="n">
        <v>3476.8</v>
      </c>
      <c r="AG556" s="5" t="n">
        <v>2950.7</v>
      </c>
      <c r="AH556" s="5" t="n">
        <v>3499.6</v>
      </c>
      <c r="AI556" s="5" t="inlineStr">
        <is>
          <t>n/a</t>
        </is>
      </c>
      <c r="AJ556" s="5" t="inlineStr"/>
      <c r="AK556" s="5" t="inlineStr"/>
      <c r="AL556" s="5" t="inlineStr"/>
      <c r="AM556" s="5" t="inlineStr"/>
    </row>
    <row r="557">
      <c r="A557" s="5" t="n">
        <v>556</v>
      </c>
      <c r="B557" s="5" t="inlineStr">
        <is>
          <t>126</t>
        </is>
      </c>
      <c r="C557" s="5" t="inlineStr">
        <is>
          <t>nearest labels (100% agree)</t>
        </is>
      </c>
      <c r="D557" s="5" t="inlineStr">
        <is>
          <t>strip_footing</t>
        </is>
      </c>
      <c r="E557" s="5" t="inlineStr">
        <is>
          <t>strip_footing</t>
        </is>
      </c>
      <c r="F557" s="5" t="inlineStr">
        <is>
          <t>SF1</t>
        </is>
      </c>
      <c r="G557" s="5" t="inlineStr"/>
      <c r="H557" s="5" t="inlineStr">
        <is>
          <t>band width matches label</t>
        </is>
      </c>
      <c r="I557" s="5" t="n">
        <v>241</v>
      </c>
      <c r="J557" s="5" t="n">
        <v>80</v>
      </c>
      <c r="K557" s="9">
        <f>IF(AND(ISNUMBER(I557),ISNUMBER(J557),J557&gt;0),I557/J557,"")</f>
        <v/>
      </c>
      <c r="L557" s="5" t="n">
        <v>1.929</v>
      </c>
      <c r="M557" s="5" t="n">
        <v>2.41</v>
      </c>
      <c r="N557" s="5" t="n">
        <v>26.7</v>
      </c>
      <c r="O557" s="5" t="inlineStr">
        <is>
          <t>parallel line pair</t>
        </is>
      </c>
      <c r="P557" s="5" t="inlineStr">
        <is>
          <t>two parallel lines at the width written in the SF label, a wall inside</t>
        </is>
      </c>
      <c r="Q557" s="5">
        <f>IF(OR(D557="column",D557="wall"),IF(I557&lt;='P vs V'!$B$3*J557,"column","wall"),"")</f>
        <v/>
      </c>
      <c r="R557" s="5" t="inlineStr"/>
      <c r="S557" s="5" t="inlineStr"/>
      <c r="T557" s="5" t="n"/>
      <c r="U557" s="5" t="inlineStr">
        <is>
          <t>no</t>
        </is>
      </c>
      <c r="V557" s="5" t="inlineStr">
        <is>
          <t>no</t>
        </is>
      </c>
      <c r="W557" s="5" t="inlineStr">
        <is>
          <t>yes</t>
        </is>
      </c>
      <c r="X557" s="5" t="inlineStr">
        <is>
          <t>yes</t>
        </is>
      </c>
      <c r="Y557" s="5" t="inlineStr">
        <is>
          <t>yes</t>
        </is>
      </c>
      <c r="Z557" s="5" t="inlineStr">
        <is>
          <t>yes</t>
        </is>
      </c>
      <c r="AA557" s="5" t="n">
        <v>1.43</v>
      </c>
      <c r="AB557" s="5" t="n"/>
      <c r="AC557" s="5" t="n"/>
      <c r="AD557" s="5" t="n"/>
      <c r="AE557" s="5" t="n">
        <v>2594.2</v>
      </c>
      <c r="AF557" s="5" t="n">
        <v>3378.9</v>
      </c>
      <c r="AG557" s="5" t="n">
        <v>2668.4</v>
      </c>
      <c r="AH557" s="5" t="n">
        <v>3432</v>
      </c>
      <c r="AI557" s="5" t="inlineStr">
        <is>
          <t>n/a</t>
        </is>
      </c>
      <c r="AJ557" s="5" t="inlineStr"/>
      <c r="AK557" s="5" t="inlineStr"/>
      <c r="AL557" s="5" t="inlineStr"/>
      <c r="AM557" s="5" t="inlineStr"/>
    </row>
    <row r="558">
      <c r="A558" s="5" t="n">
        <v>557</v>
      </c>
      <c r="B558" s="5" t="inlineStr">
        <is>
          <t>126</t>
        </is>
      </c>
      <c r="C558" s="5" t="inlineStr">
        <is>
          <t>nearest labels (60% agree)</t>
        </is>
      </c>
      <c r="D558" s="5" t="inlineStr">
        <is>
          <t>strip_footing</t>
        </is>
      </c>
      <c r="E558" s="5" t="inlineStr">
        <is>
          <t>strip_footing</t>
        </is>
      </c>
      <c r="F558" s="5" t="inlineStr">
        <is>
          <t>SF1</t>
        </is>
      </c>
      <c r="G558" s="5" t="inlineStr"/>
      <c r="H558" s="5" t="inlineStr">
        <is>
          <t>band width matches label</t>
        </is>
      </c>
      <c r="I558" s="5" t="n">
        <v>232</v>
      </c>
      <c r="J558" s="5" t="n">
        <v>80</v>
      </c>
      <c r="K558" s="9">
        <f>IF(AND(ISNUMBER(I558),ISNUMBER(J558),J558&gt;0),I558/J558,"")</f>
        <v/>
      </c>
      <c r="L558" s="5" t="n">
        <v>1.858</v>
      </c>
      <c r="M558" s="5" t="n">
        <v>2.32</v>
      </c>
      <c r="N558" s="5" t="n">
        <v>26.6</v>
      </c>
      <c r="O558" s="5" t="inlineStr">
        <is>
          <t>parallel line pair</t>
        </is>
      </c>
      <c r="P558" s="5" t="inlineStr">
        <is>
          <t>two parallel lines at the width written in the SF label, a wall inside</t>
        </is>
      </c>
      <c r="Q558" s="5">
        <f>IF(OR(D558="column",D558="wall"),IF(I558&lt;='P vs V'!$B$3*J558,"column","wall"),"")</f>
        <v/>
      </c>
      <c r="R558" s="5" t="inlineStr">
        <is>
          <t>SC1</t>
        </is>
      </c>
      <c r="S558" s="5" t="inlineStr"/>
      <c r="T558" s="5" t="n"/>
      <c r="U558" s="5" t="inlineStr">
        <is>
          <t>no</t>
        </is>
      </c>
      <c r="V558" s="5" t="inlineStr">
        <is>
          <t>no</t>
        </is>
      </c>
      <c r="W558" s="5" t="inlineStr">
        <is>
          <t>yes</t>
        </is>
      </c>
      <c r="X558" s="5" t="inlineStr">
        <is>
          <t>yes</t>
        </is>
      </c>
      <c r="Y558" s="5" t="inlineStr">
        <is>
          <t>yes</t>
        </is>
      </c>
      <c r="Z558" s="5" t="inlineStr">
        <is>
          <t>no</t>
        </is>
      </c>
      <c r="AA558" s="5" t="n">
        <v>1.43</v>
      </c>
      <c r="AB558" s="5" t="n"/>
      <c r="AC558" s="5" t="n"/>
      <c r="AD558" s="5" t="n"/>
      <c r="AE558" s="5" t="n">
        <v>2414.1</v>
      </c>
      <c r="AF558" s="5" t="n">
        <v>3288.6</v>
      </c>
      <c r="AG558" s="5" t="n">
        <v>2486</v>
      </c>
      <c r="AH558" s="5" t="n">
        <v>3340.5</v>
      </c>
      <c r="AI558" s="5" t="inlineStr">
        <is>
          <t>n/a</t>
        </is>
      </c>
      <c r="AJ558" s="5" t="inlineStr"/>
      <c r="AK558" s="5" t="inlineStr"/>
      <c r="AL558" s="5" t="inlineStr"/>
      <c r="AM558" s="5" t="inlineStr"/>
    </row>
    <row r="559">
      <c r="A559" s="5" t="n">
        <v>558</v>
      </c>
      <c r="B559" s="5" t="inlineStr">
        <is>
          <t>126</t>
        </is>
      </c>
      <c r="C559" s="5" t="inlineStr">
        <is>
          <t>nearest labels (100% agree)</t>
        </is>
      </c>
      <c r="D559" s="5" t="inlineStr">
        <is>
          <t>strip_footing</t>
        </is>
      </c>
      <c r="E559" s="5" t="inlineStr">
        <is>
          <t>strip_footing</t>
        </is>
      </c>
      <c r="F559" s="5" t="inlineStr">
        <is>
          <t>SF4</t>
        </is>
      </c>
      <c r="G559" s="5" t="inlineStr"/>
      <c r="H559" s="5" t="inlineStr">
        <is>
          <t>band width matches label</t>
        </is>
      </c>
      <c r="I559" s="5" t="n">
        <v>147</v>
      </c>
      <c r="J559" s="5" t="n">
        <v>120</v>
      </c>
      <c r="K559" s="9">
        <f>IF(AND(ISNUMBER(I559),ISNUMBER(J559),J559&gt;0),I559/J559,"")</f>
        <v/>
      </c>
      <c r="L559" s="5" t="n">
        <v>1.769</v>
      </c>
      <c r="M559" s="5" t="n">
        <v>1.47</v>
      </c>
      <c r="N559" s="5" t="n">
        <v>116.6</v>
      </c>
      <c r="O559" s="5" t="inlineStr">
        <is>
          <t>parallel line pair</t>
        </is>
      </c>
      <c r="P559" s="5" t="inlineStr">
        <is>
          <t>two parallel lines at the width written in the SF label, a wall inside</t>
        </is>
      </c>
      <c r="Q559" s="5">
        <f>IF(OR(D559="column",D559="wall"),IF(I559&lt;='P vs V'!$B$3*J559,"column","wall"),"")</f>
        <v/>
      </c>
      <c r="R559" s="5" t="inlineStr"/>
      <c r="S559" s="5" t="inlineStr"/>
      <c r="T559" s="5" t="n"/>
      <c r="U559" s="5" t="inlineStr">
        <is>
          <t>no</t>
        </is>
      </c>
      <c r="V559" s="5" t="inlineStr">
        <is>
          <t>no</t>
        </is>
      </c>
      <c r="W559" s="5" t="inlineStr">
        <is>
          <t>no</t>
        </is>
      </c>
      <c r="X559" s="5" t="inlineStr">
        <is>
          <t>yes</t>
        </is>
      </c>
      <c r="Y559" s="5" t="inlineStr">
        <is>
          <t>yes</t>
        </is>
      </c>
      <c r="Z559" s="5" t="inlineStr">
        <is>
          <t>yes</t>
        </is>
      </c>
      <c r="AA559" s="5" t="n">
        <v>0</v>
      </c>
      <c r="AB559" s="5" t="n"/>
      <c r="AC559" s="5" t="n"/>
      <c r="AD559" s="5" t="n"/>
      <c r="AE559" s="5" t="n">
        <v>2659</v>
      </c>
      <c r="AF559" s="5" t="n">
        <v>3376.8</v>
      </c>
      <c r="AG559" s="5" t="n">
        <v>2710.2</v>
      </c>
      <c r="AH559" s="5" t="n">
        <v>3431.6</v>
      </c>
      <c r="AI559" s="5" t="inlineStr">
        <is>
          <t>n/a</t>
        </is>
      </c>
      <c r="AJ559" s="5" t="inlineStr"/>
      <c r="AK559" s="5" t="inlineStr"/>
      <c r="AL559" s="5" t="inlineStr"/>
      <c r="AM559" s="5" t="inlineStr"/>
    </row>
    <row r="560">
      <c r="A560" s="5" t="n">
        <v>559</v>
      </c>
      <c r="B560" s="5" t="inlineStr">
        <is>
          <t>126</t>
        </is>
      </c>
      <c r="C560" s="5" t="inlineStr">
        <is>
          <t>nearest labels (80% agree)</t>
        </is>
      </c>
      <c r="D560" s="5" t="inlineStr">
        <is>
          <t>raft</t>
        </is>
      </c>
      <c r="E560" s="5" t="inlineStr">
        <is>
          <t>raft</t>
        </is>
      </c>
      <c r="F560" s="5" t="inlineStr">
        <is>
          <t>Radier 90</t>
        </is>
      </c>
      <c r="G560" s="5" t="inlineStr">
        <is>
          <t>Radier</t>
        </is>
      </c>
      <c r="H560" s="5" t="inlineStr">
        <is>
          <t>printed</t>
        </is>
      </c>
      <c r="I560" s="5" t="n">
        <v>1400</v>
      </c>
      <c r="J560" s="5" t="n">
        <v>650</v>
      </c>
      <c r="K560" s="9">
        <f>IF(AND(ISNUMBER(I560),ISNUMBER(J560),J560&gt;0),I560/J560,"")</f>
        <v/>
      </c>
      <c r="L560" s="5" t="n">
        <v>91.026</v>
      </c>
      <c r="M560" s="5" t="n"/>
      <c r="N560" s="5" t="n">
        <v>116.6</v>
      </c>
      <c r="O560" s="5" t="inlineStr">
        <is>
          <t>stamp + corner diagonals</t>
        </is>
      </c>
      <c r="P560" s="5" t="inlineStr">
        <is>
          <t>'Radier' stamp; extent from the corner diagonals that stop at the stamp</t>
        </is>
      </c>
      <c r="Q560" s="5">
        <f>IF(OR(D560="column",D560="wall"),IF(I560&lt;='P vs V'!$B$3*J560,"column","wall"),"")</f>
        <v/>
      </c>
      <c r="R560" s="5" t="inlineStr"/>
      <c r="S560" s="5" t="inlineStr"/>
      <c r="T560" s="5" t="n"/>
      <c r="U560" s="5" t="inlineStr">
        <is>
          <t>no</t>
        </is>
      </c>
      <c r="V560" s="5" t="inlineStr">
        <is>
          <t>yes</t>
        </is>
      </c>
      <c r="W560" s="5" t="inlineStr">
        <is>
          <t>yes</t>
        </is>
      </c>
      <c r="X560" s="5" t="inlineStr">
        <is>
          <t>no</t>
        </is>
      </c>
      <c r="Y560" s="5" t="inlineStr">
        <is>
          <t>yes</t>
        </is>
      </c>
      <c r="Z560" s="5" t="inlineStr">
        <is>
          <t>yes</t>
        </is>
      </c>
      <c r="AA560" s="5" t="n">
        <v>0.21</v>
      </c>
      <c r="AB560" s="5" t="n"/>
      <c r="AC560" s="5" t="n"/>
      <c r="AD560" s="5" t="n">
        <v>90</v>
      </c>
      <c r="AE560" s="5" t="n">
        <v>2589.9</v>
      </c>
      <c r="AF560" s="5" t="n">
        <v>3325.5</v>
      </c>
      <c r="AG560" s="5" t="n">
        <v>2946.9</v>
      </c>
      <c r="AH560" s="5" t="n">
        <v>3781</v>
      </c>
      <c r="AI560" s="5" t="inlineStr">
        <is>
          <t>n/a</t>
        </is>
      </c>
      <c r="AJ560" s="5" t="inlineStr"/>
      <c r="AK560" s="5" t="inlineStr"/>
      <c r="AL560" s="5" t="inlineStr"/>
      <c r="AM560" s="5" t="inlineStr"/>
    </row>
    <row r="561">
      <c r="A561" s="5" t="n">
        <v>560</v>
      </c>
      <c r="B561" s="5" t="inlineStr">
        <is>
          <t>126</t>
        </is>
      </c>
      <c r="C561" s="5" t="inlineStr">
        <is>
          <t>nearest labels (100% agree)</t>
        </is>
      </c>
      <c r="D561" s="5" t="inlineStr">
        <is>
          <t>sump_pit</t>
        </is>
      </c>
      <c r="E561" s="5" t="inlineStr">
        <is>
          <t>sump_pit</t>
        </is>
      </c>
      <c r="F561" s="5" t="inlineStr">
        <is>
          <t>Fosse 2.00x1.50x1.50</t>
        </is>
      </c>
      <c r="G561" s="5" t="inlineStr">
        <is>
          <t>FOSSE DE RELEVAGE2.00x1.50x1.50</t>
        </is>
      </c>
      <c r="H561" s="5" t="inlineStr">
        <is>
          <t>printed</t>
        </is>
      </c>
      <c r="I561" s="5" t="n">
        <v>200</v>
      </c>
      <c r="J561" s="5" t="n">
        <v>150</v>
      </c>
      <c r="K561" s="9">
        <f>IF(AND(ISNUMBER(I561),ISNUMBER(J561),J561&gt;0),I561/J561,"")</f>
        <v/>
      </c>
      <c r="L561" s="5" t="n">
        <v>3</v>
      </c>
      <c r="M561" s="5" t="n"/>
      <c r="N561" s="5" t="n">
        <v>160.3</v>
      </c>
      <c r="O561" s="5" t="inlineStr">
        <is>
          <t>text</t>
        </is>
      </c>
      <c r="P561" s="5" t="inlineStr">
        <is>
          <t>'FOSSE DE RELEVAGE LxWxH' text (size read from the text)</t>
        </is>
      </c>
      <c r="Q561" s="5">
        <f>IF(OR(D561="column",D561="wall"),IF(I561&lt;='P vs V'!$B$3*J561,"column","wall"),"")</f>
        <v/>
      </c>
      <c r="R561" s="5" t="inlineStr"/>
      <c r="S561" s="5" t="inlineStr"/>
      <c r="T561" s="5" t="n"/>
      <c r="U561" s="5" t="inlineStr">
        <is>
          <t>no</t>
        </is>
      </c>
      <c r="V561" s="5" t="inlineStr">
        <is>
          <t>no</t>
        </is>
      </c>
      <c r="W561" s="5" t="inlineStr">
        <is>
          <t>no</t>
        </is>
      </c>
      <c r="X561" s="5" t="inlineStr">
        <is>
          <t>no</t>
        </is>
      </c>
      <c r="Y561" s="5" t="inlineStr">
        <is>
          <t>no</t>
        </is>
      </c>
      <c r="Z561" s="5" t="inlineStr">
        <is>
          <t>no</t>
        </is>
      </c>
      <c r="AA561" s="5" t="n">
        <v>0.42</v>
      </c>
      <c r="AB561" s="5" t="n"/>
      <c r="AC561" s="5" t="n"/>
      <c r="AD561" s="5" t="n"/>
      <c r="AE561" s="5" t="n">
        <v>2648.8</v>
      </c>
      <c r="AF561" s="5" t="n">
        <v>3345.7</v>
      </c>
      <c r="AG561" s="5" t="n">
        <v>2678.3</v>
      </c>
      <c r="AH561" s="5" t="n">
        <v>3375.2</v>
      </c>
      <c r="AI561" s="5" t="inlineStr">
        <is>
          <t>n/a</t>
        </is>
      </c>
      <c r="AJ561" s="5" t="inlineStr"/>
      <c r="AK561" s="5" t="inlineStr"/>
      <c r="AL561" s="5" t="inlineStr"/>
      <c r="AM561" s="5" t="inlineStr"/>
    </row>
    <row r="562">
      <c r="A562" s="5" t="n">
        <v>561</v>
      </c>
      <c r="B562" s="5" t="inlineStr">
        <is>
          <t>127</t>
        </is>
      </c>
      <c r="C562" s="5" t="inlineStr">
        <is>
          <t>own label</t>
        </is>
      </c>
      <c r="D562" s="5" t="inlineStr">
        <is>
          <t>column</t>
        </is>
      </c>
      <c r="E562" s="5" t="inlineStr">
        <is>
          <t>column</t>
        </is>
      </c>
      <c r="F562" s="5" t="inlineStr">
        <is>
          <t>P1/127</t>
        </is>
      </c>
      <c r="G562" s="5" t="inlineStr">
        <is>
          <t>P1/127/127</t>
        </is>
      </c>
      <c r="H562" s="5" t="inlineStr">
        <is>
          <t>printed</t>
        </is>
      </c>
      <c r="I562" s="5" t="n">
        <v>100</v>
      </c>
      <c r="J562" s="5" t="n">
        <v>25</v>
      </c>
      <c r="K562" s="9">
        <f>IF(AND(ISNUMBER(I562),ISNUMBER(J562),J562&gt;0),I562/J562,"")</f>
        <v/>
      </c>
      <c r="L562" s="5" t="n">
        <v>0.251</v>
      </c>
      <c r="M562" s="5" t="n"/>
      <c r="N562" s="5" t="n">
        <v>116.7</v>
      </c>
      <c r="O562" s="5" t="inlineStr">
        <is>
          <t>solid fill</t>
        </is>
      </c>
      <c r="P562" s="5" t="inlineStr">
        <is>
          <t>solid fill, rectangle, L &lt;= 4 W (EN 1992-1-1 5.3.1(7))</t>
        </is>
      </c>
      <c r="Q562" s="5">
        <f>IF(OR(D562="column",D562="wall"),IF(I562&lt;='P vs V'!$B$3*J562,"column","wall"),"")</f>
        <v/>
      </c>
      <c r="R562" s="5" t="inlineStr">
        <is>
          <t>S2</t>
        </is>
      </c>
      <c r="S562" s="5" t="inlineStr"/>
      <c r="T562" s="5" t="n"/>
      <c r="U562" s="5" t="inlineStr">
        <is>
          <t>no</t>
        </is>
      </c>
      <c r="V562" s="5" t="inlineStr">
        <is>
          <t>no</t>
        </is>
      </c>
      <c r="W562" s="5" t="inlineStr">
        <is>
          <t>no</t>
        </is>
      </c>
      <c r="X562" s="5" t="inlineStr">
        <is>
          <t>no</t>
        </is>
      </c>
      <c r="Y562" s="5" t="inlineStr">
        <is>
          <t>yes</t>
        </is>
      </c>
      <c r="Z562" s="5" t="inlineStr">
        <is>
          <t>no</t>
        </is>
      </c>
      <c r="AA562" s="5" t="n">
        <v>2.95</v>
      </c>
      <c r="AB562" s="5" t="n"/>
      <c r="AC562" s="5" t="n"/>
      <c r="AD562" s="5" t="n"/>
      <c r="AE562" s="5" t="n">
        <v>2286.8</v>
      </c>
      <c r="AF562" s="5" t="n">
        <v>3044.9</v>
      </c>
      <c r="AG562" s="5" t="n">
        <v>2306.7</v>
      </c>
      <c r="AH562" s="5" t="n">
        <v>3074.6</v>
      </c>
      <c r="AI562" s="5" t="inlineStr">
        <is>
          <t>yes</t>
        </is>
      </c>
      <c r="AJ562" s="5" t="inlineStr">
        <is>
          <t>column</t>
        </is>
      </c>
      <c r="AK562" s="5" t="inlineStr"/>
      <c r="AL562" s="5" t="inlineStr">
        <is>
          <t>(0.0, 0.0, 1.0)</t>
        </is>
      </c>
      <c r="AM562" s="5" t="inlineStr">
        <is>
          <t>DM-Poteaux</t>
        </is>
      </c>
    </row>
    <row r="563">
      <c r="A563" s="5" t="n">
        <v>562</v>
      </c>
      <c r="B563" s="5" t="inlineStr">
        <is>
          <t>127</t>
        </is>
      </c>
      <c r="C563" s="5" t="inlineStr">
        <is>
          <t>own label</t>
        </is>
      </c>
      <c r="D563" s="5" t="inlineStr">
        <is>
          <t>column</t>
        </is>
      </c>
      <c r="E563" s="5" t="inlineStr">
        <is>
          <t>column</t>
        </is>
      </c>
      <c r="F563" s="5" t="inlineStr">
        <is>
          <t>P1/127</t>
        </is>
      </c>
      <c r="G563" s="5" t="inlineStr">
        <is>
          <t>P1/127/127</t>
        </is>
      </c>
      <c r="H563" s="5" t="inlineStr">
        <is>
          <t>printed</t>
        </is>
      </c>
      <c r="I563" s="5" t="n">
        <v>100</v>
      </c>
      <c r="J563" s="5" t="n">
        <v>25</v>
      </c>
      <c r="K563" s="9">
        <f>IF(AND(ISNUMBER(I563),ISNUMBER(J563),J563&gt;0),I563/J563,"")</f>
        <v/>
      </c>
      <c r="L563" s="5" t="n">
        <v>0.25</v>
      </c>
      <c r="M563" s="5" t="n"/>
      <c r="N563" s="5" t="n">
        <v>116.6</v>
      </c>
      <c r="O563" s="5" t="inlineStr">
        <is>
          <t>solid fill</t>
        </is>
      </c>
      <c r="P563" s="5" t="inlineStr">
        <is>
          <t>solid fill, rectangle, L &lt;= 4 W (EN 1992-1-1 5.3.1(7))</t>
        </is>
      </c>
      <c r="Q563" s="5">
        <f>IF(OR(D563="column",D563="wall"),IF(I563&lt;='P vs V'!$B$3*J563,"column","wall"),"")</f>
        <v/>
      </c>
      <c r="R563" s="5" t="inlineStr"/>
      <c r="S563" s="5" t="inlineStr"/>
      <c r="T563" s="5" t="n"/>
      <c r="U563" s="5" t="inlineStr">
        <is>
          <t>yes</t>
        </is>
      </c>
      <c r="V563" s="5" t="inlineStr">
        <is>
          <t>no</t>
        </is>
      </c>
      <c r="W563" s="5" t="inlineStr">
        <is>
          <t>no</t>
        </is>
      </c>
      <c r="X563" s="5" t="inlineStr">
        <is>
          <t>no</t>
        </is>
      </c>
      <c r="Y563" s="5" t="inlineStr">
        <is>
          <t>no</t>
        </is>
      </c>
      <c r="Z563" s="5" t="inlineStr">
        <is>
          <t>no</t>
        </is>
      </c>
      <c r="AA563" s="5" t="n">
        <v>0.41</v>
      </c>
      <c r="AB563" s="5" t="n"/>
      <c r="AC563" s="5" t="n"/>
      <c r="AD563" s="5" t="n"/>
      <c r="AE563" s="5" t="n">
        <v>2239.9</v>
      </c>
      <c r="AF563" s="5" t="n">
        <v>3138.6</v>
      </c>
      <c r="AG563" s="5" t="n">
        <v>2259.7</v>
      </c>
      <c r="AH563" s="5" t="n">
        <v>3168.4</v>
      </c>
      <c r="AI563" s="5" t="inlineStr">
        <is>
          <t>yes</t>
        </is>
      </c>
      <c r="AJ563" s="5" t="inlineStr">
        <is>
          <t>column</t>
        </is>
      </c>
      <c r="AK563" s="5" t="inlineStr"/>
      <c r="AL563" s="5" t="inlineStr">
        <is>
          <t>(0.0, 0.0, 1.0)</t>
        </is>
      </c>
      <c r="AM563" s="5" t="inlineStr">
        <is>
          <t>DM-Poteaux</t>
        </is>
      </c>
    </row>
    <row r="564">
      <c r="A564" s="5" t="n">
        <v>563</v>
      </c>
      <c r="B564" s="5" t="inlineStr">
        <is>
          <t>127</t>
        </is>
      </c>
      <c r="C564" s="5" t="inlineStr">
        <is>
          <t>own label</t>
        </is>
      </c>
      <c r="D564" s="5" t="inlineStr">
        <is>
          <t>column</t>
        </is>
      </c>
      <c r="E564" s="5" t="inlineStr">
        <is>
          <t>column</t>
        </is>
      </c>
      <c r="F564" s="5" t="inlineStr">
        <is>
          <t>P1/127</t>
        </is>
      </c>
      <c r="G564" s="5" t="inlineStr">
        <is>
          <t>P1/127/127</t>
        </is>
      </c>
      <c r="H564" s="5" t="inlineStr">
        <is>
          <t>printed</t>
        </is>
      </c>
      <c r="I564" s="5" t="n">
        <v>100</v>
      </c>
      <c r="J564" s="5" t="n">
        <v>25</v>
      </c>
      <c r="K564" s="9">
        <f>IF(AND(ISNUMBER(I564),ISNUMBER(J564),J564&gt;0),I564/J564,"")</f>
        <v/>
      </c>
      <c r="L564" s="5" t="n">
        <v>0.249</v>
      </c>
      <c r="M564" s="5" t="n"/>
      <c r="N564" s="5" t="n">
        <v>116.6</v>
      </c>
      <c r="O564" s="5" t="inlineStr">
        <is>
          <t>solid fill</t>
        </is>
      </c>
      <c r="P564" s="5" t="inlineStr">
        <is>
          <t>solid fill, rectangle, L &lt;= 4 W (EN 1992-1-1 5.3.1(7))</t>
        </is>
      </c>
      <c r="Q564" s="5">
        <f>IF(OR(D564="column",D564="wall"),IF(I564&lt;='P vs V'!$B$3*J564,"column","wall"),"")</f>
        <v/>
      </c>
      <c r="R564" s="5" t="inlineStr"/>
      <c r="S564" s="5" t="inlineStr"/>
      <c r="T564" s="5" t="n"/>
      <c r="U564" s="5" t="inlineStr">
        <is>
          <t>yes</t>
        </is>
      </c>
      <c r="V564" s="5" t="inlineStr">
        <is>
          <t>no</t>
        </is>
      </c>
      <c r="W564" s="5" t="inlineStr">
        <is>
          <t>no</t>
        </is>
      </c>
      <c r="X564" s="5" t="inlineStr">
        <is>
          <t>no</t>
        </is>
      </c>
      <c r="Y564" s="5" t="inlineStr">
        <is>
          <t>no</t>
        </is>
      </c>
      <c r="Z564" s="5" t="inlineStr">
        <is>
          <t>no</t>
        </is>
      </c>
      <c r="AA564" s="5" t="n">
        <v>0</v>
      </c>
      <c r="AB564" s="5" t="n"/>
      <c r="AC564" s="5" t="n"/>
      <c r="AD564" s="5" t="n"/>
      <c r="AE564" s="5" t="n">
        <v>2162</v>
      </c>
      <c r="AF564" s="5" t="n">
        <v>3099.6</v>
      </c>
      <c r="AG564" s="5" t="n">
        <v>2181.8</v>
      </c>
      <c r="AH564" s="5" t="n">
        <v>3129.3</v>
      </c>
      <c r="AI564" s="5" t="inlineStr">
        <is>
          <t>yes</t>
        </is>
      </c>
      <c r="AJ564" s="5" t="inlineStr">
        <is>
          <t>column</t>
        </is>
      </c>
      <c r="AK564" s="5" t="inlineStr"/>
      <c r="AL564" s="5" t="inlineStr">
        <is>
          <t>(0.0, 0.0, 1.0)</t>
        </is>
      </c>
      <c r="AM564" s="5" t="inlineStr">
        <is>
          <t>DM-Poteaux</t>
        </is>
      </c>
    </row>
    <row r="565">
      <c r="A565" s="5" t="n">
        <v>564</v>
      </c>
      <c r="B565" s="5" t="inlineStr">
        <is>
          <t>127</t>
        </is>
      </c>
      <c r="C565" s="5" t="inlineStr">
        <is>
          <t>nearest labels (80% agree)</t>
        </is>
      </c>
      <c r="D565" s="5" t="inlineStr">
        <is>
          <t>wall</t>
        </is>
      </c>
      <c r="E565" s="5" t="inlineStr">
        <is>
          <t>core_wall_solid</t>
        </is>
      </c>
      <c r="F565" s="5" t="inlineStr">
        <is>
          <t>(none)</t>
        </is>
      </c>
      <c r="G565" s="5" t="inlineStr"/>
      <c r="H565" s="5" t="inlineStr">
        <is>
          <t>none</t>
        </is>
      </c>
      <c r="I565" s="5" t="n">
        <v>475</v>
      </c>
      <c r="J565" s="5" t="n">
        <v>25</v>
      </c>
      <c r="K565" s="9">
        <f>IF(AND(ISNUMBER(I565),ISNUMBER(J565),J565&gt;0),I565/J565,"")</f>
        <v/>
      </c>
      <c r="L565" s="5" t="n">
        <v>1.192</v>
      </c>
      <c r="M565" s="5" t="n"/>
      <c r="N565" s="5" t="n">
        <v>116.6</v>
      </c>
      <c r="O565" s="5" t="inlineStr">
        <is>
          <t>solid fill</t>
        </is>
      </c>
      <c r="P565" s="5" t="inlineStr">
        <is>
          <t>solid fill, rectangle, L &gt; 4 W (EN 1992-1-1 5.3.1(7))</t>
        </is>
      </c>
      <c r="Q565" s="5">
        <f>IF(OR(D565="column",D565="wall"),IF(I565&lt;='P vs V'!$B$3*J565,"column","wall"),"")</f>
        <v/>
      </c>
      <c r="R565" s="5" t="inlineStr"/>
      <c r="S565" s="5" t="inlineStr"/>
      <c r="T565" s="5" t="n"/>
      <c r="U565" s="5" t="inlineStr">
        <is>
          <t>yes</t>
        </is>
      </c>
      <c r="V565" s="5" t="inlineStr">
        <is>
          <t>no</t>
        </is>
      </c>
      <c r="W565" s="5" t="inlineStr">
        <is>
          <t>yes</t>
        </is>
      </c>
      <c r="X565" s="5" t="inlineStr">
        <is>
          <t>no</t>
        </is>
      </c>
      <c r="Y565" s="5" t="inlineStr">
        <is>
          <t>no</t>
        </is>
      </c>
      <c r="Z565" s="5" t="inlineStr">
        <is>
          <t>no</t>
        </is>
      </c>
      <c r="AA565" s="5" t="n">
        <v>2.95</v>
      </c>
      <c r="AB565" s="5" t="n"/>
      <c r="AC565" s="5" t="n"/>
      <c r="AD565" s="5" t="n"/>
      <c r="AE565" s="5" t="n">
        <v>2109.7</v>
      </c>
      <c r="AF565" s="5" t="n">
        <v>3299</v>
      </c>
      <c r="AG565" s="5" t="n">
        <v>2179.2</v>
      </c>
      <c r="AH565" s="5" t="n">
        <v>3427.7</v>
      </c>
      <c r="AI565" s="5" t="inlineStr">
        <is>
          <t>new</t>
        </is>
      </c>
      <c r="AJ565" s="5" t="inlineStr"/>
      <c r="AK565" s="5" t="inlineStr">
        <is>
          <t>piece of a wall network the colour pipeline left unsplit</t>
        </is>
      </c>
      <c r="AL565" s="5" t="inlineStr">
        <is>
          <t>(0.87, 0.0, 0.87)</t>
        </is>
      </c>
      <c r="AM565" s="5" t="inlineStr">
        <is>
          <t>DM-VOILE</t>
        </is>
      </c>
    </row>
    <row r="566">
      <c r="A566" s="5" t="n">
        <v>565</v>
      </c>
      <c r="B566" s="5" t="inlineStr">
        <is>
          <t>127</t>
        </is>
      </c>
      <c r="C566" s="5" t="inlineStr">
        <is>
          <t>nearest labels (100% agree)</t>
        </is>
      </c>
      <c r="D566" s="5" t="inlineStr">
        <is>
          <t>wall</t>
        </is>
      </c>
      <c r="E566" s="5" t="inlineStr">
        <is>
          <t>core_wall_solid</t>
        </is>
      </c>
      <c r="F566" s="5" t="inlineStr">
        <is>
          <t>(none)</t>
        </is>
      </c>
      <c r="G566" s="5" t="inlineStr"/>
      <c r="H566" s="5" t="inlineStr">
        <is>
          <t>none</t>
        </is>
      </c>
      <c r="I566" s="5" t="n">
        <v>336</v>
      </c>
      <c r="J566" s="5" t="n">
        <v>25</v>
      </c>
      <c r="K566" s="9">
        <f>IF(AND(ISNUMBER(I566),ISNUMBER(J566),J566&gt;0),I566/J566,"")</f>
        <v/>
      </c>
      <c r="L566" s="5" t="n">
        <v>0.842</v>
      </c>
      <c r="M566" s="5" t="n"/>
      <c r="N566" s="5" t="n">
        <v>116.6</v>
      </c>
      <c r="O566" s="5" t="inlineStr">
        <is>
          <t>solid fill</t>
        </is>
      </c>
      <c r="P566" s="5" t="inlineStr">
        <is>
          <t>straight stretch of a thin filled outline with bends (pair of parallel faces)</t>
        </is>
      </c>
      <c r="Q566" s="5">
        <f>IF(OR(D566="column",D566="wall"),IF(I566&lt;='P vs V'!$B$3*J566,"column","wall"),"")</f>
        <v/>
      </c>
      <c r="R566" s="5" t="inlineStr"/>
      <c r="S566" s="5" t="inlineStr"/>
      <c r="T566" s="5" t="n"/>
      <c r="U566" s="5" t="inlineStr">
        <is>
          <t>yes</t>
        </is>
      </c>
      <c r="V566" s="5" t="inlineStr">
        <is>
          <t>no</t>
        </is>
      </c>
      <c r="W566" s="5" t="inlineStr">
        <is>
          <t>yes</t>
        </is>
      </c>
      <c r="X566" s="5" t="inlineStr">
        <is>
          <t>no</t>
        </is>
      </c>
      <c r="Y566" s="5" t="inlineStr">
        <is>
          <t>no</t>
        </is>
      </c>
      <c r="Z566" s="5" t="inlineStr">
        <is>
          <t>no</t>
        </is>
      </c>
      <c r="AA566" s="5" t="n">
        <v>0.39</v>
      </c>
      <c r="AB566" s="5" t="n"/>
      <c r="AC566" s="5" t="n"/>
      <c r="AD566" s="5" t="n"/>
      <c r="AE566" s="5" t="n">
        <v>2183.9</v>
      </c>
      <c r="AF566" s="5" t="n">
        <v>3207.6</v>
      </c>
      <c r="AG566" s="5" t="n">
        <v>2235</v>
      </c>
      <c r="AH566" s="5" t="n">
        <v>3299.6</v>
      </c>
      <c r="AI566" s="5" t="inlineStr">
        <is>
          <t>new</t>
        </is>
      </c>
      <c r="AJ566" s="5" t="inlineStr"/>
      <c r="AK566" s="5" t="inlineStr">
        <is>
          <t>piece of a wall network the colour pipeline left unsplit</t>
        </is>
      </c>
      <c r="AL566" s="5" t="inlineStr"/>
      <c r="AM566" s="5" t="inlineStr"/>
    </row>
    <row r="567">
      <c r="A567" s="5" t="n">
        <v>566</v>
      </c>
      <c r="B567" s="5" t="inlineStr">
        <is>
          <t>127</t>
        </is>
      </c>
      <c r="C567" s="5" t="inlineStr">
        <is>
          <t>nearest labels (100% agree)</t>
        </is>
      </c>
      <c r="D567" s="5" t="inlineStr">
        <is>
          <t>wall</t>
        </is>
      </c>
      <c r="E567" s="5" t="inlineStr">
        <is>
          <t>core_wall_solid</t>
        </is>
      </c>
      <c r="F567" s="5" t="inlineStr">
        <is>
          <t>(none)</t>
        </is>
      </c>
      <c r="G567" s="5" t="inlineStr"/>
      <c r="H567" s="5" t="inlineStr">
        <is>
          <t>none</t>
        </is>
      </c>
      <c r="I567" s="5" t="n">
        <v>175</v>
      </c>
      <c r="J567" s="5" t="n">
        <v>25</v>
      </c>
      <c r="K567" s="9">
        <f>IF(AND(ISNUMBER(I567),ISNUMBER(J567),J567&gt;0),I567/J567,"")</f>
        <v/>
      </c>
      <c r="L567" s="5" t="n">
        <v>0.444</v>
      </c>
      <c r="M567" s="5" t="n"/>
      <c r="N567" s="5" t="n">
        <v>26.6</v>
      </c>
      <c r="O567" s="5" t="inlineStr">
        <is>
          <t>solid fill</t>
        </is>
      </c>
      <c r="P567" s="5" t="inlineStr">
        <is>
          <t>straight stretch of a thin filled outline with bends (pair of parallel faces)</t>
        </is>
      </c>
      <c r="Q567" s="5">
        <f>IF(OR(D567="column",D567="wall"),IF(I567&lt;='P vs V'!$B$3*J567,"column","wall"),"")</f>
        <v/>
      </c>
      <c r="R567" s="5" t="inlineStr"/>
      <c r="S567" s="5" t="inlineStr"/>
      <c r="T567" s="5" t="n"/>
      <c r="U567" s="5" t="inlineStr">
        <is>
          <t>yes</t>
        </is>
      </c>
      <c r="V567" s="5" t="inlineStr">
        <is>
          <t>yes</t>
        </is>
      </c>
      <c r="W567" s="5" t="inlineStr">
        <is>
          <t>yes</t>
        </is>
      </c>
      <c r="X567" s="5" t="inlineStr">
        <is>
          <t>no</t>
        </is>
      </c>
      <c r="Y567" s="5" t="inlineStr">
        <is>
          <t>no</t>
        </is>
      </c>
      <c r="Z567" s="5" t="inlineStr">
        <is>
          <t>no</t>
        </is>
      </c>
      <c r="AA567" s="5" t="n">
        <v>1.42</v>
      </c>
      <c r="AB567" s="5" t="n"/>
      <c r="AC567" s="5" t="n"/>
      <c r="AD567" s="5" t="n"/>
      <c r="AE567" s="5" t="n">
        <v>2182.3</v>
      </c>
      <c r="AF567" s="5" t="n">
        <v>3177.6</v>
      </c>
      <c r="AG567" s="5" t="n">
        <v>2231.8</v>
      </c>
      <c r="AH567" s="5" t="n">
        <v>3207.4</v>
      </c>
      <c r="AI567" s="5" t="inlineStr">
        <is>
          <t>new</t>
        </is>
      </c>
      <c r="AJ567" s="5" t="inlineStr"/>
      <c r="AK567" s="5" t="inlineStr">
        <is>
          <t>piece of a wall network the colour pipeline left unsplit</t>
        </is>
      </c>
      <c r="AL567" s="5" t="inlineStr"/>
      <c r="AM567" s="5" t="inlineStr"/>
    </row>
    <row r="568">
      <c r="A568" s="5" t="n">
        <v>567</v>
      </c>
      <c r="B568" s="5" t="inlineStr">
        <is>
          <t>127</t>
        </is>
      </c>
      <c r="C568" s="5" t="inlineStr">
        <is>
          <t>nearest labels (80% agree)</t>
        </is>
      </c>
      <c r="D568" s="5" t="inlineStr">
        <is>
          <t>wall</t>
        </is>
      </c>
      <c r="E568" s="5" t="inlineStr">
        <is>
          <t>core_wall_solid</t>
        </is>
      </c>
      <c r="F568" s="5" t="inlineStr">
        <is>
          <t>(none)</t>
        </is>
      </c>
      <c r="G568" s="5" t="inlineStr"/>
      <c r="H568" s="5" t="inlineStr">
        <is>
          <t>none</t>
        </is>
      </c>
      <c r="I568" s="5" t="n">
        <v>159</v>
      </c>
      <c r="J568" s="5" t="n">
        <v>26</v>
      </c>
      <c r="K568" s="9">
        <f>IF(AND(ISNUMBER(I568),ISNUMBER(J568),J568&gt;0),I568/J568,"")</f>
        <v/>
      </c>
      <c r="L568" s="5" t="n">
        <v>0.407</v>
      </c>
      <c r="M568" s="5" t="n"/>
      <c r="N568" s="5" t="n">
        <v>26.5</v>
      </c>
      <c r="O568" s="5" t="inlineStr">
        <is>
          <t>solid fill</t>
        </is>
      </c>
      <c r="P568" s="5" t="inlineStr">
        <is>
          <t>straight stretch of a thin filled outline with bends (pair of parallel faces)</t>
        </is>
      </c>
      <c r="Q568" s="5">
        <f>IF(OR(D568="column",D568="wall"),IF(I568&lt;='P vs V'!$B$3*J568,"column","wall"),"")</f>
        <v/>
      </c>
      <c r="R568" s="5" t="inlineStr"/>
      <c r="S568" s="5" t="inlineStr"/>
      <c r="T568" s="5" t="n"/>
      <c r="U568" s="5" t="inlineStr">
        <is>
          <t>yes</t>
        </is>
      </c>
      <c r="V568" s="5" t="inlineStr">
        <is>
          <t>no</t>
        </is>
      </c>
      <c r="W568" s="5" t="inlineStr">
        <is>
          <t>yes</t>
        </is>
      </c>
      <c r="X568" s="5" t="inlineStr">
        <is>
          <t>no</t>
        </is>
      </c>
      <c r="Y568" s="5" t="inlineStr">
        <is>
          <t>no</t>
        </is>
      </c>
      <c r="Z568" s="5" t="inlineStr">
        <is>
          <t>no</t>
        </is>
      </c>
      <c r="AA568" s="5" t="n">
        <v>1.42</v>
      </c>
      <c r="AB568" s="5" t="n"/>
      <c r="AC568" s="5" t="n"/>
      <c r="AD568" s="5" t="n"/>
      <c r="AE568" s="5" t="n">
        <v>2130.5</v>
      </c>
      <c r="AF568" s="5" t="n">
        <v>3271.4</v>
      </c>
      <c r="AG568" s="5" t="n">
        <v>2176</v>
      </c>
      <c r="AH568" s="5" t="n">
        <v>3299.1</v>
      </c>
      <c r="AI568" s="5" t="inlineStr">
        <is>
          <t>new</t>
        </is>
      </c>
      <c r="AJ568" s="5" t="inlineStr"/>
      <c r="AK568" s="5" t="inlineStr">
        <is>
          <t>piece of a wall network the colour pipeline left unsplit</t>
        </is>
      </c>
      <c r="AL568" s="5" t="inlineStr"/>
      <c r="AM568" s="5" t="inlineStr"/>
    </row>
    <row r="569">
      <c r="A569" s="5" t="n">
        <v>568</v>
      </c>
      <c r="B569" s="5" t="inlineStr">
        <is>
          <t>127</t>
        </is>
      </c>
      <c r="C569" s="5" t="inlineStr">
        <is>
          <t>nearest labels (100% agree)</t>
        </is>
      </c>
      <c r="D569" s="5" t="inlineStr">
        <is>
          <t>wall</t>
        </is>
      </c>
      <c r="E569" s="5" t="inlineStr">
        <is>
          <t>core_wall_solid</t>
        </is>
      </c>
      <c r="F569" s="5" t="inlineStr">
        <is>
          <t>(none)</t>
        </is>
      </c>
      <c r="G569" s="5" t="inlineStr"/>
      <c r="H569" s="5" t="inlineStr">
        <is>
          <t>none</t>
        </is>
      </c>
      <c r="I569" s="5" t="n">
        <v>343</v>
      </c>
      <c r="J569" s="5" t="n">
        <v>20</v>
      </c>
      <c r="K569" s="9">
        <f>IF(AND(ISNUMBER(I569),ISNUMBER(J569),J569&gt;0),I569/J569,"")</f>
        <v/>
      </c>
      <c r="L569" s="5" t="n">
        <v>0.6860000000000001</v>
      </c>
      <c r="M569" s="5" t="n"/>
      <c r="N569" s="5" t="n">
        <v>116.7</v>
      </c>
      <c r="O569" s="5" t="inlineStr">
        <is>
          <t>solid fill</t>
        </is>
      </c>
      <c r="P569" s="5" t="inlineStr">
        <is>
          <t>straight stretch of a thin filled outline with bends (pair of parallel faces)</t>
        </is>
      </c>
      <c r="Q569" s="5">
        <f>IF(OR(D569="column",D569="wall"),IF(I569&lt;='P vs V'!$B$3*J569,"column","wall"),"")</f>
        <v/>
      </c>
      <c r="R569" s="5" t="inlineStr"/>
      <c r="S569" s="5" t="inlineStr"/>
      <c r="T569" s="5" t="n"/>
      <c r="U569" s="5" t="inlineStr">
        <is>
          <t>yes</t>
        </is>
      </c>
      <c r="V569" s="5" t="inlineStr">
        <is>
          <t>no</t>
        </is>
      </c>
      <c r="W569" s="5" t="inlineStr">
        <is>
          <t>yes</t>
        </is>
      </c>
      <c r="X569" s="5" t="inlineStr">
        <is>
          <t>no</t>
        </is>
      </c>
      <c r="Y569" s="5" t="inlineStr">
        <is>
          <t>no</t>
        </is>
      </c>
      <c r="Z569" s="5" t="inlineStr">
        <is>
          <t>no</t>
        </is>
      </c>
      <c r="AA569" s="5" t="n">
        <v>0.38</v>
      </c>
      <c r="AB569" s="5" t="n"/>
      <c r="AC569" s="5" t="n"/>
      <c r="AD569" s="5" t="n"/>
      <c r="AE569" s="5" t="n">
        <v>2184.2</v>
      </c>
      <c r="AF569" s="5" t="n">
        <v>3207.4</v>
      </c>
      <c r="AG569" s="5" t="n">
        <v>2235</v>
      </c>
      <c r="AH569" s="5" t="n">
        <v>3300.6</v>
      </c>
      <c r="AI569" s="5" t="inlineStr">
        <is>
          <t>new</t>
        </is>
      </c>
      <c r="AJ569" s="5" t="inlineStr"/>
      <c r="AK569" s="5" t="inlineStr">
        <is>
          <t>piece of a wall network the colour pipeline left unsplit</t>
        </is>
      </c>
      <c r="AL569" s="5" t="inlineStr"/>
      <c r="AM569" s="5" t="inlineStr"/>
    </row>
    <row r="570">
      <c r="A570" s="5" t="n">
        <v>569</v>
      </c>
      <c r="B570" s="5" t="inlineStr">
        <is>
          <t>127</t>
        </is>
      </c>
      <c r="C570" s="5" t="inlineStr">
        <is>
          <t>nearest labels (100% agree)</t>
        </is>
      </c>
      <c r="D570" s="5" t="inlineStr">
        <is>
          <t>wall</t>
        </is>
      </c>
      <c r="E570" s="5" t="inlineStr">
        <is>
          <t>retaining_wall</t>
        </is>
      </c>
      <c r="F570" s="5" t="inlineStr">
        <is>
          <t>VP20</t>
        </is>
      </c>
      <c r="G570" s="5" t="inlineStr"/>
      <c r="H570" s="5" t="inlineStr">
        <is>
          <t>thickness matches a VP type</t>
        </is>
      </c>
      <c r="I570" s="5" t="n">
        <v>2513</v>
      </c>
      <c r="J570" s="5" t="n">
        <v>20</v>
      </c>
      <c r="K570" s="9">
        <f>IF(AND(ISNUMBER(I570),ISNUMBER(J570),J570&gt;0),I570/J570,"")</f>
        <v/>
      </c>
      <c r="L570" s="5" t="n">
        <v>5.054</v>
      </c>
      <c r="M570" s="5" t="n"/>
      <c r="N570" s="5" t="n">
        <v>26.6</v>
      </c>
      <c r="O570" s="5" t="inlineStr">
        <is>
          <t>solid fill</t>
        </is>
      </c>
      <c r="P570" s="5" t="inlineStr">
        <is>
          <t>solid fill, rectangle, L &gt; 4 W (EN 1992-1-1 5.3.1(7))</t>
        </is>
      </c>
      <c r="Q570" s="5">
        <f>IF(OR(D570="column",D570="wall"),IF(I570&lt;='P vs V'!$B$3*J570,"column","wall"),"")</f>
        <v/>
      </c>
      <c r="R570" s="5" t="inlineStr"/>
      <c r="S570" s="5" t="inlineStr"/>
      <c r="T570" s="5" t="n"/>
      <c r="U570" s="5" t="inlineStr">
        <is>
          <t>no</t>
        </is>
      </c>
      <c r="V570" s="5" t="inlineStr">
        <is>
          <t>no</t>
        </is>
      </c>
      <c r="W570" s="5" t="inlineStr">
        <is>
          <t>no</t>
        </is>
      </c>
      <c r="X570" s="5" t="inlineStr">
        <is>
          <t>yes</t>
        </is>
      </c>
      <c r="Y570" s="5" t="inlineStr">
        <is>
          <t>no</t>
        </is>
      </c>
      <c r="Z570" s="5" t="inlineStr">
        <is>
          <t>yes</t>
        </is>
      </c>
      <c r="AA570" s="5" t="n">
        <v>2.86</v>
      </c>
      <c r="AB570" s="5" t="n"/>
      <c r="AC570" s="5" t="n"/>
      <c r="AD570" s="5" t="n"/>
      <c r="AE570" s="5" t="n">
        <v>2019.6</v>
      </c>
      <c r="AF570" s="5" t="n">
        <v>2413.4</v>
      </c>
      <c r="AG570" s="5" t="n">
        <v>2685.7</v>
      </c>
      <c r="AH570" s="5" t="n">
        <v>2750.5</v>
      </c>
      <c r="AI570" s="5" t="inlineStr">
        <is>
          <t>yes</t>
        </is>
      </c>
      <c r="AJ570" s="5" t="inlineStr">
        <is>
          <t>retaining_wall</t>
        </is>
      </c>
      <c r="AK570" s="5" t="inlineStr"/>
      <c r="AL570" s="5" t="inlineStr">
        <is>
          <t>(0.87, 0.0, 0.87)</t>
        </is>
      </c>
      <c r="AM570" s="5" t="inlineStr">
        <is>
          <t>DM-VOILE</t>
        </is>
      </c>
    </row>
    <row r="571">
      <c r="A571" s="5" t="n">
        <v>570</v>
      </c>
      <c r="B571" s="5" t="inlineStr">
        <is>
          <t>127</t>
        </is>
      </c>
      <c r="C571" s="5" t="inlineStr">
        <is>
          <t>nearest labels (100% agree)</t>
        </is>
      </c>
      <c r="D571" s="5" t="inlineStr">
        <is>
          <t>wall</t>
        </is>
      </c>
      <c r="E571" s="5" t="inlineStr">
        <is>
          <t>retaining_wall</t>
        </is>
      </c>
      <c r="F571" s="5" t="inlineStr">
        <is>
          <t>VP20</t>
        </is>
      </c>
      <c r="G571" s="5" t="inlineStr"/>
      <c r="H571" s="5" t="inlineStr">
        <is>
          <t>thickness matches a VP type</t>
        </is>
      </c>
      <c r="I571" s="5" t="n">
        <v>1524</v>
      </c>
      <c r="J571" s="5" t="n">
        <v>20</v>
      </c>
      <c r="K571" s="9">
        <f>IF(AND(ISNUMBER(I571),ISNUMBER(J571),J571&gt;0),I571/J571,"")</f>
        <v/>
      </c>
      <c r="L571" s="5" t="n">
        <v>3.065</v>
      </c>
      <c r="M571" s="5" t="n"/>
      <c r="N571" s="5" t="n">
        <v>26.6</v>
      </c>
      <c r="O571" s="5" t="inlineStr">
        <is>
          <t>solid fill</t>
        </is>
      </c>
      <c r="P571" s="5" t="inlineStr">
        <is>
          <t>solid fill, rectangle, L &gt; 4 W (EN 1992-1-1 5.3.1(7))</t>
        </is>
      </c>
      <c r="Q571" s="5">
        <f>IF(OR(D571="column",D571="wall"),IF(I571&lt;='P vs V'!$B$3*J571,"column","wall"),"")</f>
        <v/>
      </c>
      <c r="R571" s="5" t="inlineStr"/>
      <c r="S571" s="5" t="inlineStr"/>
      <c r="T571" s="5" t="n"/>
      <c r="U571" s="5" t="inlineStr">
        <is>
          <t>no</t>
        </is>
      </c>
      <c r="V571" s="5" t="inlineStr">
        <is>
          <t>no</t>
        </is>
      </c>
      <c r="W571" s="5" t="inlineStr">
        <is>
          <t>yes</t>
        </is>
      </c>
      <c r="X571" s="5" t="inlineStr">
        <is>
          <t>no</t>
        </is>
      </c>
      <c r="Y571" s="5" t="inlineStr">
        <is>
          <t>no</t>
        </is>
      </c>
      <c r="Z571" s="5" t="inlineStr">
        <is>
          <t>no</t>
        </is>
      </c>
      <c r="AA571" s="5" t="n">
        <v>0.78</v>
      </c>
      <c r="AB571" s="5" t="n"/>
      <c r="AC571" s="5" t="n"/>
      <c r="AD571" s="5" t="n"/>
      <c r="AE571" s="5" t="n">
        <v>1745.5</v>
      </c>
      <c r="AF571" s="5" t="n">
        <v>2959.8</v>
      </c>
      <c r="AG571" s="5" t="n">
        <v>2150.3</v>
      </c>
      <c r="AH571" s="5" t="n">
        <v>3166.8</v>
      </c>
      <c r="AI571" s="5" t="inlineStr">
        <is>
          <t>new</t>
        </is>
      </c>
      <c r="AJ571" s="5" t="inlineStr"/>
      <c r="AK571" s="5" t="inlineStr">
        <is>
          <t>piece of a wall network the colour pipeline left unsplit</t>
        </is>
      </c>
      <c r="AL571" s="5" t="inlineStr">
        <is>
          <t>(0.87, 0.0, 0.87)</t>
        </is>
      </c>
      <c r="AM571" s="5" t="inlineStr">
        <is>
          <t>DM-VOILE</t>
        </is>
      </c>
    </row>
    <row r="572">
      <c r="A572" s="5" t="n">
        <v>571</v>
      </c>
      <c r="B572" s="5" t="inlineStr">
        <is>
          <t>127</t>
        </is>
      </c>
      <c r="C572" s="5" t="inlineStr">
        <is>
          <t>nearest labels (60% agree)</t>
        </is>
      </c>
      <c r="D572" s="5" t="inlineStr">
        <is>
          <t>wall</t>
        </is>
      </c>
      <c r="E572" s="5" t="inlineStr">
        <is>
          <t>retaining_wall</t>
        </is>
      </c>
      <c r="F572" s="5" t="inlineStr">
        <is>
          <t>VP20</t>
        </is>
      </c>
      <c r="G572" s="5" t="inlineStr"/>
      <c r="H572" s="5" t="inlineStr">
        <is>
          <t>thickness matches a VP type</t>
        </is>
      </c>
      <c r="I572" s="5" t="n">
        <v>679</v>
      </c>
      <c r="J572" s="5" t="n">
        <v>20</v>
      </c>
      <c r="K572" s="9">
        <f>IF(AND(ISNUMBER(I572),ISNUMBER(J572),J572&gt;0),I572/J572,"")</f>
        <v/>
      </c>
      <c r="L572" s="5" t="n">
        <v>1.359</v>
      </c>
      <c r="M572" s="5" t="n"/>
      <c r="N572" s="5" t="n">
        <v>26.6</v>
      </c>
      <c r="O572" s="5" t="inlineStr">
        <is>
          <t>solid fill</t>
        </is>
      </c>
      <c r="P572" s="5" t="inlineStr">
        <is>
          <t>solid fill, rectangle, L &gt; 4 W (EN 1992-1-1 5.3.1(7))</t>
        </is>
      </c>
      <c r="Q572" s="5">
        <f>IF(OR(D572="column",D572="wall"),IF(I572&lt;='P vs V'!$B$3*J572,"column","wall"),"")</f>
        <v/>
      </c>
      <c r="R572" s="5" t="inlineStr"/>
      <c r="S572" s="5" t="inlineStr"/>
      <c r="T572" s="5" t="n"/>
      <c r="U572" s="5" t="inlineStr">
        <is>
          <t>no</t>
        </is>
      </c>
      <c r="V572" s="5" t="inlineStr">
        <is>
          <t>no</t>
        </is>
      </c>
      <c r="W572" s="5" t="inlineStr">
        <is>
          <t>yes</t>
        </is>
      </c>
      <c r="X572" s="5" t="inlineStr">
        <is>
          <t>yes</t>
        </is>
      </c>
      <c r="Y572" s="5" t="inlineStr">
        <is>
          <t>yes</t>
        </is>
      </c>
      <c r="Z572" s="5" t="inlineStr">
        <is>
          <t>no</t>
        </is>
      </c>
      <c r="AA572" s="5" t="n">
        <v>1.43</v>
      </c>
      <c r="AB572" s="5" t="n"/>
      <c r="AC572" s="5" t="n"/>
      <c r="AD572" s="5" t="n"/>
      <c r="AE572" s="5" t="n">
        <v>2229.7</v>
      </c>
      <c r="AF572" s="5" t="n">
        <v>3202.1</v>
      </c>
      <c r="AG572" s="5" t="n">
        <v>2411.5</v>
      </c>
      <c r="AH572" s="5" t="n">
        <v>3297.2</v>
      </c>
      <c r="AI572" s="5" t="inlineStr">
        <is>
          <t>new</t>
        </is>
      </c>
      <c r="AJ572" s="5" t="inlineStr"/>
      <c r="AK572" s="5" t="inlineStr">
        <is>
          <t>piece of a wall network the colour pipeline left unsplit</t>
        </is>
      </c>
      <c r="AL572" s="5" t="inlineStr">
        <is>
          <t>(0.87, 0.0, 0.87)</t>
        </is>
      </c>
      <c r="AM572" s="5" t="inlineStr">
        <is>
          <t>DM-VOILE</t>
        </is>
      </c>
    </row>
    <row r="573">
      <c r="A573" s="5" t="n">
        <v>572</v>
      </c>
      <c r="B573" s="5" t="inlineStr">
        <is>
          <t>127</t>
        </is>
      </c>
      <c r="C573" s="5" t="inlineStr">
        <is>
          <t>nearest labels (100% agree)</t>
        </is>
      </c>
      <c r="D573" s="5" t="inlineStr">
        <is>
          <t>wall</t>
        </is>
      </c>
      <c r="E573" s="5" t="inlineStr">
        <is>
          <t>retaining_wall</t>
        </is>
      </c>
      <c r="F573" s="5" t="inlineStr">
        <is>
          <t>VP20</t>
        </is>
      </c>
      <c r="G573" s="5" t="inlineStr"/>
      <c r="H573" s="5" t="inlineStr">
        <is>
          <t>thickness matches a VP type</t>
        </is>
      </c>
      <c r="I573" s="5" t="n">
        <v>817</v>
      </c>
      <c r="J573" s="5" t="n">
        <v>20</v>
      </c>
      <c r="K573" s="9">
        <f>IF(AND(ISNUMBER(I573),ISNUMBER(J573),J573&gt;0),I573/J573,"")</f>
        <v/>
      </c>
      <c r="L573" s="5" t="n">
        <v>1.644</v>
      </c>
      <c r="M573" s="5" t="n"/>
      <c r="N573" s="5" t="n">
        <v>116.6</v>
      </c>
      <c r="O573" s="5" t="inlineStr">
        <is>
          <t>solid fill</t>
        </is>
      </c>
      <c r="P573" s="5" t="inlineStr">
        <is>
          <t>straight stretch of a thin filled outline with bends (pair of parallel faces)</t>
        </is>
      </c>
      <c r="Q573" s="5">
        <f>IF(OR(D573="column",D573="wall"),IF(I573&lt;='P vs V'!$B$3*J573,"column","wall"),"")</f>
        <v/>
      </c>
      <c r="R573" s="5" t="inlineStr"/>
      <c r="S573" s="5" t="inlineStr"/>
      <c r="T573" s="5" t="n"/>
      <c r="U573" s="5" t="inlineStr">
        <is>
          <t>yes</t>
        </is>
      </c>
      <c r="V573" s="5" t="inlineStr">
        <is>
          <t>no</t>
        </is>
      </c>
      <c r="W573" s="5" t="inlineStr">
        <is>
          <t>yes</t>
        </is>
      </c>
      <c r="X573" s="5" t="inlineStr">
        <is>
          <t>yes</t>
        </is>
      </c>
      <c r="Y573" s="5" t="inlineStr">
        <is>
          <t>no</t>
        </is>
      </c>
      <c r="Z573" s="5" t="inlineStr">
        <is>
          <t>no</t>
        </is>
      </c>
      <c r="AA573" s="5" t="n">
        <v>0.04</v>
      </c>
      <c r="AB573" s="5" t="n"/>
      <c r="AC573" s="5" t="n"/>
      <c r="AD573" s="5" t="n"/>
      <c r="AE573" s="5" t="n">
        <v>2034.2</v>
      </c>
      <c r="AF573" s="5" t="n">
        <v>3164.1</v>
      </c>
      <c r="AG573" s="5" t="n">
        <v>2147.7</v>
      </c>
      <c r="AH573" s="5" t="n">
        <v>3382.4</v>
      </c>
      <c r="AI573" s="5" t="inlineStr">
        <is>
          <t>new</t>
        </is>
      </c>
      <c r="AJ573" s="5" t="inlineStr"/>
      <c r="AK573" s="5" t="inlineStr">
        <is>
          <t>piece of a wall network the colour pipeline left unsplit</t>
        </is>
      </c>
      <c r="AL573" s="5" t="inlineStr"/>
      <c r="AM573" s="5" t="inlineStr"/>
    </row>
    <row r="574">
      <c r="A574" s="5" t="n">
        <v>573</v>
      </c>
      <c r="B574" s="5" t="inlineStr">
        <is>
          <t>127</t>
        </is>
      </c>
      <c r="C574" s="5" t="inlineStr">
        <is>
          <t>nearest labels (80% agree)</t>
        </is>
      </c>
      <c r="D574" s="5" t="inlineStr">
        <is>
          <t>wall</t>
        </is>
      </c>
      <c r="E574" s="5" t="inlineStr">
        <is>
          <t>retaining_wall</t>
        </is>
      </c>
      <c r="F574" s="5" t="inlineStr">
        <is>
          <t>VP25</t>
        </is>
      </c>
      <c r="G574" s="5" t="inlineStr"/>
      <c r="H574" s="5" t="inlineStr">
        <is>
          <t>thickness matches a VP type</t>
        </is>
      </c>
      <c r="I574" s="5" t="n">
        <v>175</v>
      </c>
      <c r="J574" s="5" t="n">
        <v>25</v>
      </c>
      <c r="K574" s="9">
        <f>IF(AND(ISNUMBER(I574),ISNUMBER(J574),J574&gt;0),I574/J574,"")</f>
        <v/>
      </c>
      <c r="L574" s="5" t="n">
        <v>0.437</v>
      </c>
      <c r="M574" s="5" t="n"/>
      <c r="N574" s="5" t="n">
        <v>26.7</v>
      </c>
      <c r="O574" s="5" t="inlineStr">
        <is>
          <t>solid fill</t>
        </is>
      </c>
      <c r="P574" s="5" t="inlineStr">
        <is>
          <t>solid fill, rectangle, L &gt; 4 W (EN 1992-1-1 5.3.1(7))</t>
        </is>
      </c>
      <c r="Q574" s="5">
        <f>IF(OR(D574="column",D574="wall"),IF(I574&lt;='P vs V'!$B$3*J574,"column","wall"),"")</f>
        <v/>
      </c>
      <c r="R574" s="5" t="inlineStr"/>
      <c r="S574" s="5" t="inlineStr"/>
      <c r="T574" s="5" t="n"/>
      <c r="U574" s="5" t="inlineStr">
        <is>
          <t>yes</t>
        </is>
      </c>
      <c r="V574" s="5" t="inlineStr">
        <is>
          <t>no</t>
        </is>
      </c>
      <c r="W574" s="5" t="inlineStr">
        <is>
          <t>yes</t>
        </is>
      </c>
      <c r="X574" s="5" t="inlineStr">
        <is>
          <t>yes</t>
        </is>
      </c>
      <c r="Y574" s="5" t="inlineStr">
        <is>
          <t>no</t>
        </is>
      </c>
      <c r="Z574" s="5" t="inlineStr">
        <is>
          <t>no</t>
        </is>
      </c>
      <c r="AA574" s="5" t="n">
        <v>0.75</v>
      </c>
      <c r="AB574" s="5" t="n"/>
      <c r="AC574" s="5" t="n"/>
      <c r="AD574" s="5" t="n"/>
      <c r="AE574" s="5" t="n">
        <v>2031.9</v>
      </c>
      <c r="AF574" s="5" t="n">
        <v>3378.7</v>
      </c>
      <c r="AG574" s="5" t="n">
        <v>2081.4</v>
      </c>
      <c r="AH574" s="5" t="n">
        <v>3408.5</v>
      </c>
      <c r="AI574" s="5" t="inlineStr">
        <is>
          <t>new</t>
        </is>
      </c>
      <c r="AJ574" s="5" t="inlineStr"/>
      <c r="AK574" s="5" t="inlineStr">
        <is>
          <t>piece of a wall network the colour pipeline left unsplit</t>
        </is>
      </c>
      <c r="AL574" s="5" t="inlineStr">
        <is>
          <t>(0.87, 0.0, 0.87)</t>
        </is>
      </c>
      <c r="AM574" s="5" t="inlineStr">
        <is>
          <t>DM-VOILE</t>
        </is>
      </c>
    </row>
    <row r="575">
      <c r="A575" s="5" t="n">
        <v>574</v>
      </c>
      <c r="B575" s="5" t="inlineStr">
        <is>
          <t>127</t>
        </is>
      </c>
      <c r="C575" s="5" t="inlineStr">
        <is>
          <t>nearest labels (100% agree)</t>
        </is>
      </c>
      <c r="D575" s="5" t="inlineStr">
        <is>
          <t>wall</t>
        </is>
      </c>
      <c r="E575" s="5" t="inlineStr">
        <is>
          <t>retaining_wall</t>
        </is>
      </c>
      <c r="F575" s="5" t="inlineStr">
        <is>
          <t>VP25</t>
        </is>
      </c>
      <c r="G575" s="5" t="inlineStr"/>
      <c r="H575" s="5" t="inlineStr">
        <is>
          <t>thickness matches a VP type</t>
        </is>
      </c>
      <c r="I575" s="5" t="n">
        <v>475</v>
      </c>
      <c r="J575" s="5" t="n">
        <v>25</v>
      </c>
      <c r="K575" s="9">
        <f>IF(AND(ISNUMBER(I575),ISNUMBER(J575),J575&gt;0),I575/J575,"")</f>
        <v/>
      </c>
      <c r="L575" s="5" t="n">
        <v>1.195</v>
      </c>
      <c r="M575" s="5" t="n"/>
      <c r="N575" s="5" t="n">
        <v>116.6</v>
      </c>
      <c r="O575" s="5" t="inlineStr">
        <is>
          <t>solid fill</t>
        </is>
      </c>
      <c r="P575" s="5" t="inlineStr">
        <is>
          <t>straight stretch of a thin filled outline with bends (pair of parallel faces)</t>
        </is>
      </c>
      <c r="Q575" s="5">
        <f>IF(OR(D575="column",D575="wall"),IF(I575&lt;='P vs V'!$B$3*J575,"column","wall"),"")</f>
        <v/>
      </c>
      <c r="R575" s="5" t="inlineStr"/>
      <c r="S575" s="5" t="inlineStr"/>
      <c r="T575" s="5" t="n"/>
      <c r="U575" s="5" t="inlineStr">
        <is>
          <t>yes</t>
        </is>
      </c>
      <c r="V575" s="5" t="inlineStr">
        <is>
          <t>no</t>
        </is>
      </c>
      <c r="W575" s="5" t="inlineStr">
        <is>
          <t>yes</t>
        </is>
      </c>
      <c r="X575" s="5" t="inlineStr">
        <is>
          <t>yes</t>
        </is>
      </c>
      <c r="Y575" s="5" t="inlineStr">
        <is>
          <t>no</t>
        </is>
      </c>
      <c r="Z575" s="5" t="inlineStr">
        <is>
          <t>no</t>
        </is>
      </c>
      <c r="AA575" s="5" t="n">
        <v>0</v>
      </c>
      <c r="AB575" s="5" t="n"/>
      <c r="AC575" s="5" t="n"/>
      <c r="AD575" s="5" t="n"/>
      <c r="AE575" s="5" t="n">
        <v>2035.3</v>
      </c>
      <c r="AF575" s="5" t="n">
        <v>3253.3</v>
      </c>
      <c r="AG575" s="5" t="n">
        <v>2104.7</v>
      </c>
      <c r="AH575" s="5" t="n">
        <v>3382</v>
      </c>
      <c r="AI575" s="5" t="inlineStr">
        <is>
          <t>new</t>
        </is>
      </c>
      <c r="AJ575" s="5" t="inlineStr"/>
      <c r="AK575" s="5" t="inlineStr">
        <is>
          <t>piece of a wall network the colour pipeline left unsplit</t>
        </is>
      </c>
      <c r="AL575" s="5" t="inlineStr"/>
      <c r="AM575" s="5" t="inlineStr"/>
    </row>
    <row r="576">
      <c r="A576" s="5" t="n">
        <v>575</v>
      </c>
      <c r="B576" s="5" t="inlineStr">
        <is>
          <t>127</t>
        </is>
      </c>
      <c r="C576" s="5" t="inlineStr">
        <is>
          <t>own label</t>
        </is>
      </c>
      <c r="D576" s="5" t="inlineStr">
        <is>
          <t>wall</t>
        </is>
      </c>
      <c r="E576" s="5" t="inlineStr">
        <is>
          <t>shear_wall</t>
        </is>
      </c>
      <c r="F576" s="5" t="inlineStr">
        <is>
          <t>V3/127</t>
        </is>
      </c>
      <c r="G576" s="5" t="inlineStr">
        <is>
          <t>V3/127/127</t>
        </is>
      </c>
      <c r="H576" s="5" t="inlineStr">
        <is>
          <t>printed</t>
        </is>
      </c>
      <c r="I576" s="5" t="n">
        <v>200</v>
      </c>
      <c r="J576" s="5" t="n">
        <v>25</v>
      </c>
      <c r="K576" s="9">
        <f>IF(AND(ISNUMBER(I576),ISNUMBER(J576),J576&gt;0),I576/J576,"")</f>
        <v/>
      </c>
      <c r="L576" s="5" t="n">
        <v>0.5</v>
      </c>
      <c r="M576" s="5" t="n"/>
      <c r="N576" s="5" t="n">
        <v>116.6</v>
      </c>
      <c r="O576" s="5" t="inlineStr">
        <is>
          <t>solid fill</t>
        </is>
      </c>
      <c r="P576" s="5" t="inlineStr">
        <is>
          <t>solid fill, rectangle, L &gt; 4 W (EN 1992-1-1 5.3.1(7))</t>
        </is>
      </c>
      <c r="Q576" s="5">
        <f>IF(OR(D576="column",D576="wall"),IF(I576&lt;='P vs V'!$B$3*J576,"column","wall"),"")</f>
        <v/>
      </c>
      <c r="R576" s="5" t="inlineStr"/>
      <c r="S576" s="5" t="inlineStr"/>
      <c r="T576" s="5" t="n"/>
      <c r="U576" s="5" t="inlineStr">
        <is>
          <t>yes</t>
        </is>
      </c>
      <c r="V576" s="5" t="inlineStr">
        <is>
          <t>no</t>
        </is>
      </c>
      <c r="W576" s="5" t="inlineStr">
        <is>
          <t>no</t>
        </is>
      </c>
      <c r="X576" s="5" t="inlineStr">
        <is>
          <t>no</t>
        </is>
      </c>
      <c r="Y576" s="5" t="inlineStr">
        <is>
          <t>yes</t>
        </is>
      </c>
      <c r="Z576" s="5" t="inlineStr">
        <is>
          <t>yes</t>
        </is>
      </c>
      <c r="AA576" s="5" t="n">
        <v>3.74</v>
      </c>
      <c r="AB576" s="5" t="n"/>
      <c r="AC576" s="5" t="n"/>
      <c r="AD576" s="5" t="n"/>
      <c r="AE576" s="5" t="n">
        <v>1833.2</v>
      </c>
      <c r="AF576" s="5" t="n">
        <v>2737.4</v>
      </c>
      <c r="AG576" s="5" t="n">
        <v>1866.3</v>
      </c>
      <c r="AH576" s="5" t="n">
        <v>2793.5</v>
      </c>
      <c r="AI576" s="5" t="inlineStr">
        <is>
          <t>yes</t>
        </is>
      </c>
      <c r="AJ576" s="5" t="inlineStr">
        <is>
          <t>shear_wall</t>
        </is>
      </c>
      <c r="AK576" s="5" t="inlineStr"/>
      <c r="AL576" s="5" t="inlineStr">
        <is>
          <t>(0.87, 0.0, 0.87)</t>
        </is>
      </c>
      <c r="AM576" s="5" t="inlineStr">
        <is>
          <t>DM-VOILE</t>
        </is>
      </c>
    </row>
    <row r="577">
      <c r="A577" s="5" t="n">
        <v>576</v>
      </c>
      <c r="B577" s="5" t="inlineStr">
        <is>
          <t>127</t>
        </is>
      </c>
      <c r="C577" s="5" t="inlineStr">
        <is>
          <t>own label</t>
        </is>
      </c>
      <c r="D577" s="5" t="inlineStr">
        <is>
          <t>wall</t>
        </is>
      </c>
      <c r="E577" s="5" t="inlineStr">
        <is>
          <t>shear_wall</t>
        </is>
      </c>
      <c r="F577" s="5" t="inlineStr">
        <is>
          <t>V3/127</t>
        </is>
      </c>
      <c r="G577" s="5" t="inlineStr">
        <is>
          <t>V3/127/127</t>
        </is>
      </c>
      <c r="H577" s="5" t="inlineStr">
        <is>
          <t>printed</t>
        </is>
      </c>
      <c r="I577" s="5" t="n">
        <v>200</v>
      </c>
      <c r="J577" s="5" t="n">
        <v>25</v>
      </c>
      <c r="K577" s="9">
        <f>IF(AND(ISNUMBER(I577),ISNUMBER(J577),J577&gt;0),I577/J577,"")</f>
        <v/>
      </c>
      <c r="L577" s="5" t="n">
        <v>0.5</v>
      </c>
      <c r="M577" s="5" t="n"/>
      <c r="N577" s="5" t="n">
        <v>116.6</v>
      </c>
      <c r="O577" s="5" t="inlineStr">
        <is>
          <t>solid fill</t>
        </is>
      </c>
      <c r="P577" s="5" t="inlineStr">
        <is>
          <t>solid fill, rectangle, L &gt; 4 W (EN 1992-1-1 5.3.1(7))</t>
        </is>
      </c>
      <c r="Q577" s="5">
        <f>IF(OR(D577="column",D577="wall"),IF(I577&lt;='P vs V'!$B$3*J577,"column","wall"),"")</f>
        <v/>
      </c>
      <c r="R577" s="5" t="inlineStr">
        <is>
          <t>SC3</t>
        </is>
      </c>
      <c r="S577" s="5" t="inlineStr"/>
      <c r="T577" s="5" t="n"/>
      <c r="U577" s="5" t="inlineStr">
        <is>
          <t>no</t>
        </is>
      </c>
      <c r="V577" s="5" t="inlineStr">
        <is>
          <t>no</t>
        </is>
      </c>
      <c r="W577" s="5" t="inlineStr">
        <is>
          <t>no</t>
        </is>
      </c>
      <c r="X577" s="5" t="inlineStr">
        <is>
          <t>yes</t>
        </is>
      </c>
      <c r="Y577" s="5" t="inlineStr">
        <is>
          <t>yes</t>
        </is>
      </c>
      <c r="Z577" s="5" t="inlineStr">
        <is>
          <t>yes</t>
        </is>
      </c>
      <c r="AA577" s="5" t="n">
        <v>5.97</v>
      </c>
      <c r="AB577" s="5" t="n"/>
      <c r="AC577" s="5" t="n"/>
      <c r="AD577" s="5" t="n"/>
      <c r="AE577" s="5" t="n">
        <v>2488.4</v>
      </c>
      <c r="AF577" s="5" t="n">
        <v>3069.4</v>
      </c>
      <c r="AG577" s="5" t="n">
        <v>2521.4</v>
      </c>
      <c r="AH577" s="5" t="n">
        <v>3125.5</v>
      </c>
      <c r="AI577" s="5" t="inlineStr">
        <is>
          <t>yes</t>
        </is>
      </c>
      <c r="AJ577" s="5" t="inlineStr">
        <is>
          <t>shear_wall</t>
        </is>
      </c>
      <c r="AK577" s="5" t="inlineStr"/>
      <c r="AL577" s="5" t="inlineStr">
        <is>
          <t>(0.87, 0.0, 0.87)</t>
        </is>
      </c>
      <c r="AM577" s="5" t="inlineStr">
        <is>
          <t>DM-VOILE</t>
        </is>
      </c>
    </row>
    <row r="578">
      <c r="A578" s="5" t="n">
        <v>577</v>
      </c>
      <c r="B578" s="5" t="inlineStr">
        <is>
          <t>127</t>
        </is>
      </c>
      <c r="C578" s="5" t="inlineStr">
        <is>
          <t>own label</t>
        </is>
      </c>
      <c r="D578" s="5" t="inlineStr">
        <is>
          <t>wall</t>
        </is>
      </c>
      <c r="E578" s="5" t="inlineStr">
        <is>
          <t>shear_wall</t>
        </is>
      </c>
      <c r="F578" s="5" t="inlineStr">
        <is>
          <t>V4/127</t>
        </is>
      </c>
      <c r="G578" s="5" t="inlineStr">
        <is>
          <t>V4/127/127</t>
        </is>
      </c>
      <c r="H578" s="5" t="inlineStr">
        <is>
          <t>printed</t>
        </is>
      </c>
      <c r="I578" s="5" t="n">
        <v>250</v>
      </c>
      <c r="J578" s="5" t="n">
        <v>30</v>
      </c>
      <c r="K578" s="9">
        <f>IF(AND(ISNUMBER(I578),ISNUMBER(J578),J578&gt;0),I578/J578,"")</f>
        <v/>
      </c>
      <c r="L578" s="5" t="n">
        <v>0.749</v>
      </c>
      <c r="M578" s="5" t="n"/>
      <c r="N578" s="5" t="n">
        <v>26.6</v>
      </c>
      <c r="O578" s="5" t="inlineStr">
        <is>
          <t>solid fill</t>
        </is>
      </c>
      <c r="P578" s="5" t="inlineStr">
        <is>
          <t>solid fill, rectangle, L &gt; 4 W (EN 1992-1-1 5.3.1(7))</t>
        </is>
      </c>
      <c r="Q578" s="5">
        <f>IF(OR(D578="column",D578="wall"),IF(I578&lt;='P vs V'!$B$3*J578,"column","wall"),"")</f>
        <v/>
      </c>
      <c r="R578" s="5" t="inlineStr"/>
      <c r="S578" s="5" t="inlineStr"/>
      <c r="T578" s="5" t="n"/>
      <c r="U578" s="5" t="inlineStr">
        <is>
          <t>yes</t>
        </is>
      </c>
      <c r="V578" s="5" t="inlineStr">
        <is>
          <t>no</t>
        </is>
      </c>
      <c r="W578" s="5" t="inlineStr">
        <is>
          <t>yes</t>
        </is>
      </c>
      <c r="X578" s="5" t="inlineStr">
        <is>
          <t>no</t>
        </is>
      </c>
      <c r="Y578" s="5" t="inlineStr">
        <is>
          <t>no</t>
        </is>
      </c>
      <c r="Z578" s="5" t="inlineStr">
        <is>
          <t>no</t>
        </is>
      </c>
      <c r="AA578" s="5" t="n">
        <v>1.39</v>
      </c>
      <c r="AB578" s="5" t="n"/>
      <c r="AC578" s="5" t="n"/>
      <c r="AD578" s="5" t="n"/>
      <c r="AE578" s="5" t="n">
        <v>2042.5</v>
      </c>
      <c r="AF578" s="5" t="n">
        <v>3106.1</v>
      </c>
      <c r="AG578" s="5" t="n">
        <v>2112.4</v>
      </c>
      <c r="AH578" s="5" t="n">
        <v>3147.1</v>
      </c>
      <c r="AI578" s="5" t="inlineStr">
        <is>
          <t>new</t>
        </is>
      </c>
      <c r="AJ578" s="5" t="inlineStr"/>
      <c r="AK578" s="5" t="inlineStr">
        <is>
          <t>piece of a wall network the colour pipeline left unsplit</t>
        </is>
      </c>
      <c r="AL578" s="5" t="inlineStr">
        <is>
          <t>(0.87, 0.0, 0.87)</t>
        </is>
      </c>
      <c r="AM578" s="5" t="inlineStr">
        <is>
          <t>DM-VOILE</t>
        </is>
      </c>
    </row>
    <row r="579">
      <c r="A579" s="5" t="n">
        <v>578</v>
      </c>
      <c r="B579" s="5" t="inlineStr">
        <is>
          <t>127</t>
        </is>
      </c>
      <c r="C579" s="5" t="inlineStr">
        <is>
          <t>own label</t>
        </is>
      </c>
      <c r="D579" s="5" t="inlineStr">
        <is>
          <t>wall</t>
        </is>
      </c>
      <c r="E579" s="5" t="inlineStr">
        <is>
          <t>shear_wall</t>
        </is>
      </c>
      <c r="F579" s="5" t="inlineStr">
        <is>
          <t>V4/127</t>
        </is>
      </c>
      <c r="G579" s="5" t="inlineStr">
        <is>
          <t>V4/127/127</t>
        </is>
      </c>
      <c r="H579" s="5" t="inlineStr">
        <is>
          <t>printed</t>
        </is>
      </c>
      <c r="I579" s="5" t="n">
        <v>250</v>
      </c>
      <c r="J579" s="5" t="n">
        <v>25</v>
      </c>
      <c r="K579" s="9">
        <f>IF(AND(ISNUMBER(I579),ISNUMBER(J579),J579&gt;0),I579/J579,"")</f>
        <v/>
      </c>
      <c r="L579" s="5" t="n">
        <v>0.625</v>
      </c>
      <c r="M579" s="5" t="n"/>
      <c r="N579" s="5" t="n">
        <v>26.7</v>
      </c>
      <c r="O579" s="5" t="inlineStr">
        <is>
          <t>solid fill</t>
        </is>
      </c>
      <c r="P579" s="5" t="inlineStr">
        <is>
          <t>solid fill, rectangle, L &gt; 4 W (EN 1992-1-1 5.3.1(7))</t>
        </is>
      </c>
      <c r="Q579" s="5">
        <f>IF(OR(D579="column",D579="wall"),IF(I579&lt;='P vs V'!$B$3*J579,"column","wall"),"")</f>
        <v/>
      </c>
      <c r="R579" s="5" t="inlineStr">
        <is>
          <t>S11</t>
        </is>
      </c>
      <c r="S579" s="5" t="inlineStr"/>
      <c r="T579" s="5" t="n"/>
      <c r="U579" s="5" t="inlineStr">
        <is>
          <t>no</t>
        </is>
      </c>
      <c r="V579" s="5" t="inlineStr">
        <is>
          <t>no</t>
        </is>
      </c>
      <c r="W579" s="5" t="inlineStr">
        <is>
          <t>yes</t>
        </is>
      </c>
      <c r="X579" s="5" t="inlineStr">
        <is>
          <t>no</t>
        </is>
      </c>
      <c r="Y579" s="5" t="inlineStr">
        <is>
          <t>no</t>
        </is>
      </c>
      <c r="Z579" s="5" t="inlineStr">
        <is>
          <t>no</t>
        </is>
      </c>
      <c r="AA579" s="5" t="n">
        <v>1.03</v>
      </c>
      <c r="AB579" s="5" t="n"/>
      <c r="AC579" s="5" t="n"/>
      <c r="AD579" s="5" t="n"/>
      <c r="AE579" s="5" t="n">
        <v>1841.9</v>
      </c>
      <c r="AF579" s="5" t="n">
        <v>3006.8</v>
      </c>
      <c r="AG579" s="5" t="n">
        <v>1911.2</v>
      </c>
      <c r="AH579" s="5" t="n">
        <v>3046.5</v>
      </c>
      <c r="AI579" s="5" t="inlineStr">
        <is>
          <t>new</t>
        </is>
      </c>
      <c r="AJ579" s="5" t="inlineStr"/>
      <c r="AK579" s="5" t="inlineStr">
        <is>
          <t>piece of a wall network the colour pipeline left unsplit</t>
        </is>
      </c>
      <c r="AL579" s="5" t="inlineStr">
        <is>
          <t>(0.87, 0.0, 0.87)</t>
        </is>
      </c>
      <c r="AM579" s="5" t="inlineStr">
        <is>
          <t>DM-VOILE</t>
        </is>
      </c>
    </row>
    <row r="580">
      <c r="A580" s="5" t="n">
        <v>579</v>
      </c>
      <c r="B580" s="5" t="inlineStr">
        <is>
          <t>127</t>
        </is>
      </c>
      <c r="C580" s="5" t="inlineStr">
        <is>
          <t>own label</t>
        </is>
      </c>
      <c r="D580" s="5" t="inlineStr">
        <is>
          <t>wall</t>
        </is>
      </c>
      <c r="E580" s="5" t="inlineStr">
        <is>
          <t>shear_wall</t>
        </is>
      </c>
      <c r="F580" s="5" t="inlineStr">
        <is>
          <t>V5/127</t>
        </is>
      </c>
      <c r="G580" s="5" t="inlineStr">
        <is>
          <t>V5/127/127</t>
        </is>
      </c>
      <c r="H580" s="5" t="inlineStr">
        <is>
          <t>printed</t>
        </is>
      </c>
      <c r="I580" s="5" t="n">
        <v>250</v>
      </c>
      <c r="J580" s="5" t="n">
        <v>30</v>
      </c>
      <c r="K580" s="9">
        <f>IF(AND(ISNUMBER(I580),ISNUMBER(J580),J580&gt;0),I580/J580,"")</f>
        <v/>
      </c>
      <c r="L580" s="5" t="n">
        <v>0.752</v>
      </c>
      <c r="M580" s="5" t="n"/>
      <c r="N580" s="5" t="n">
        <v>116.6</v>
      </c>
      <c r="O580" s="5" t="inlineStr">
        <is>
          <t>solid fill</t>
        </is>
      </c>
      <c r="P580" s="5" t="inlineStr">
        <is>
          <t>solid fill, rectangle, L &gt; 4 W (EN 1992-1-1 5.3.1(7))</t>
        </is>
      </c>
      <c r="Q580" s="5">
        <f>IF(OR(D580="column",D580="wall"),IF(I580&lt;='P vs V'!$B$3*J580,"column","wall"),"")</f>
        <v/>
      </c>
      <c r="R580" s="5" t="inlineStr">
        <is>
          <t>S16</t>
        </is>
      </c>
      <c r="S580" s="5" t="inlineStr"/>
      <c r="T580" s="5" t="n"/>
      <c r="U580" s="5" t="inlineStr">
        <is>
          <t>no</t>
        </is>
      </c>
      <c r="V580" s="5" t="inlineStr">
        <is>
          <t>no</t>
        </is>
      </c>
      <c r="W580" s="5" t="inlineStr">
        <is>
          <t>no</t>
        </is>
      </c>
      <c r="X580" s="5" t="inlineStr">
        <is>
          <t>no</t>
        </is>
      </c>
      <c r="Y580" s="5" t="inlineStr">
        <is>
          <t>yes</t>
        </is>
      </c>
      <c r="Z580" s="5" t="inlineStr">
        <is>
          <t>yes</t>
        </is>
      </c>
      <c r="AA580" s="5" t="n">
        <v>0.02</v>
      </c>
      <c r="AB580" s="5" t="n"/>
      <c r="AC580" s="5" t="n"/>
      <c r="AD580" s="5" t="n"/>
      <c r="AE580" s="5" t="n">
        <v>2222.5</v>
      </c>
      <c r="AF580" s="5" t="n">
        <v>2936</v>
      </c>
      <c r="AG580" s="5" t="n">
        <v>2263.6</v>
      </c>
      <c r="AH580" s="5" t="n">
        <v>3006</v>
      </c>
      <c r="AI580" s="5" t="inlineStr">
        <is>
          <t>yes</t>
        </is>
      </c>
      <c r="AJ580" s="5" t="inlineStr">
        <is>
          <t>shear_wall</t>
        </is>
      </c>
      <c r="AK580" s="5" t="inlineStr"/>
      <c r="AL580" s="5" t="inlineStr">
        <is>
          <t>(0.87, 0.0, 0.87)</t>
        </is>
      </c>
      <c r="AM580" s="5" t="inlineStr">
        <is>
          <t>DM-VOILE</t>
        </is>
      </c>
    </row>
    <row r="581">
      <c r="A581" s="5" t="n">
        <v>580</v>
      </c>
      <c r="B581" s="5" t="inlineStr">
        <is>
          <t>127</t>
        </is>
      </c>
      <c r="C581" s="5" t="inlineStr">
        <is>
          <t>own label</t>
        </is>
      </c>
      <c r="D581" s="5" t="inlineStr">
        <is>
          <t>wall</t>
        </is>
      </c>
      <c r="E581" s="5" t="inlineStr">
        <is>
          <t>shear_wall</t>
        </is>
      </c>
      <c r="F581" s="5" t="inlineStr">
        <is>
          <t>V5/127</t>
        </is>
      </c>
      <c r="G581" s="5" t="inlineStr">
        <is>
          <t>V5/127/127</t>
        </is>
      </c>
      <c r="H581" s="5" t="inlineStr">
        <is>
          <t>printed</t>
        </is>
      </c>
      <c r="I581" s="5" t="n">
        <v>250</v>
      </c>
      <c r="J581" s="5" t="n">
        <v>30</v>
      </c>
      <c r="K581" s="9">
        <f>IF(AND(ISNUMBER(I581),ISNUMBER(J581),J581&gt;0),I581/J581,"")</f>
        <v/>
      </c>
      <c r="L581" s="5" t="n">
        <v>0.747</v>
      </c>
      <c r="M581" s="5" t="n"/>
      <c r="N581" s="5" t="n">
        <v>116.6</v>
      </c>
      <c r="O581" s="5" t="inlineStr">
        <is>
          <t>solid fill</t>
        </is>
      </c>
      <c r="P581" s="5" t="inlineStr">
        <is>
          <t>solid fill, rectangle, L &gt; 4 W (EN 1992-1-1 5.3.1(7))</t>
        </is>
      </c>
      <c r="Q581" s="5">
        <f>IF(OR(D581="column",D581="wall"),IF(I581&lt;='P vs V'!$B$3*J581,"column","wall"),"")</f>
        <v/>
      </c>
      <c r="R581" s="5" t="inlineStr">
        <is>
          <t>S16</t>
        </is>
      </c>
      <c r="S581" s="5" t="inlineStr"/>
      <c r="T581" s="5" t="n"/>
      <c r="U581" s="5" t="inlineStr">
        <is>
          <t>no</t>
        </is>
      </c>
      <c r="V581" s="5" t="inlineStr">
        <is>
          <t>no</t>
        </is>
      </c>
      <c r="W581" s="5" t="inlineStr">
        <is>
          <t>no</t>
        </is>
      </c>
      <c r="X581" s="5" t="inlineStr">
        <is>
          <t>no</t>
        </is>
      </c>
      <c r="Y581" s="5" t="inlineStr">
        <is>
          <t>yes</t>
        </is>
      </c>
      <c r="Z581" s="5" t="inlineStr">
        <is>
          <t>yes</t>
        </is>
      </c>
      <c r="AA581" s="5" t="n">
        <v>0.01</v>
      </c>
      <c r="AB581" s="5" t="n"/>
      <c r="AC581" s="5" t="n"/>
      <c r="AD581" s="5" t="n"/>
      <c r="AE581" s="5" t="n">
        <v>1999.4</v>
      </c>
      <c r="AF581" s="5" t="n">
        <v>2831.9</v>
      </c>
      <c r="AG581" s="5" t="n">
        <v>2040.4</v>
      </c>
      <c r="AH581" s="5" t="n">
        <v>2901.9</v>
      </c>
      <c r="AI581" s="5" t="inlineStr">
        <is>
          <t>yes</t>
        </is>
      </c>
      <c r="AJ581" s="5" t="inlineStr">
        <is>
          <t>shear_wall</t>
        </is>
      </c>
      <c r="AK581" s="5" t="inlineStr"/>
      <c r="AL581" s="5" t="inlineStr">
        <is>
          <t>(0.87, 0.0, 0.87)</t>
        </is>
      </c>
      <c r="AM581" s="5" t="inlineStr">
        <is>
          <t>DM-VOILE</t>
        </is>
      </c>
    </row>
    <row r="582">
      <c r="A582" s="5" t="n">
        <v>581</v>
      </c>
      <c r="B582" s="5" t="inlineStr">
        <is>
          <t>127</t>
        </is>
      </c>
      <c r="C582" s="5" t="inlineStr">
        <is>
          <t>own label</t>
        </is>
      </c>
      <c r="D582" s="5" t="inlineStr">
        <is>
          <t>wall</t>
        </is>
      </c>
      <c r="E582" s="5" t="inlineStr">
        <is>
          <t>shear_wall</t>
        </is>
      </c>
      <c r="F582" s="5" t="inlineStr">
        <is>
          <t>V6/127</t>
        </is>
      </c>
      <c r="G582" s="5" t="inlineStr">
        <is>
          <t>V6/127/127</t>
        </is>
      </c>
      <c r="H582" s="5" t="inlineStr">
        <is>
          <t>printed</t>
        </is>
      </c>
      <c r="I582" s="5" t="n">
        <v>125</v>
      </c>
      <c r="J582" s="5" t="n">
        <v>25</v>
      </c>
      <c r="K582" s="9">
        <f>IF(AND(ISNUMBER(I582),ISNUMBER(J582),J582&gt;0),I582/J582,"")</f>
        <v/>
      </c>
      <c r="L582" s="5" t="n">
        <v>0.316</v>
      </c>
      <c r="M582" s="5" t="n"/>
      <c r="N582" s="5" t="n">
        <v>116.7</v>
      </c>
      <c r="O582" s="5" t="inlineStr">
        <is>
          <t>solid fill</t>
        </is>
      </c>
      <c r="P582" s="5" t="inlineStr">
        <is>
          <t>solid fill, rectangle, L &gt; 4 W (EN 1992-1-1 5.3.1(7))</t>
        </is>
      </c>
      <c r="Q582" s="5">
        <f>IF(OR(D582="column",D582="wall"),IF(I582&lt;='P vs V'!$B$3*J582,"column","wall"),"")</f>
        <v/>
      </c>
      <c r="R582" s="5" t="inlineStr">
        <is>
          <t>SC2</t>
        </is>
      </c>
      <c r="S582" s="5" t="inlineStr"/>
      <c r="T582" s="5" t="n"/>
      <c r="U582" s="5" t="inlineStr">
        <is>
          <t>no</t>
        </is>
      </c>
      <c r="V582" s="5" t="inlineStr">
        <is>
          <t>no</t>
        </is>
      </c>
      <c r="W582" s="5" t="inlineStr">
        <is>
          <t>no</t>
        </is>
      </c>
      <c r="X582" s="5" t="inlineStr">
        <is>
          <t>no</t>
        </is>
      </c>
      <c r="Y582" s="5" t="inlineStr">
        <is>
          <t>yes</t>
        </is>
      </c>
      <c r="Z582" s="5" t="inlineStr">
        <is>
          <t>yes</t>
        </is>
      </c>
      <c r="AA582" s="5" t="n">
        <v>9.83</v>
      </c>
      <c r="AB582" s="5" t="n"/>
      <c r="AC582" s="5" t="n"/>
      <c r="AD582" s="5" t="n"/>
      <c r="AE582" s="5" t="n">
        <v>2608.9</v>
      </c>
      <c r="AF582" s="5" t="n">
        <v>2849.2</v>
      </c>
      <c r="AG582" s="5" t="n">
        <v>2632.1</v>
      </c>
      <c r="AH582" s="5" t="n">
        <v>2885.5</v>
      </c>
      <c r="AI582" s="5" t="inlineStr">
        <is>
          <t>yes</t>
        </is>
      </c>
      <c r="AJ582" s="5" t="inlineStr">
        <is>
          <t>shear_wall</t>
        </is>
      </c>
      <c r="AK582" s="5" t="inlineStr"/>
      <c r="AL582" s="5" t="inlineStr">
        <is>
          <t>(0.87, 0.0, 0.87)</t>
        </is>
      </c>
      <c r="AM582" s="5" t="inlineStr">
        <is>
          <t>DM-VOILE</t>
        </is>
      </c>
    </row>
    <row r="583">
      <c r="A583" s="5" t="n">
        <v>582</v>
      </c>
      <c r="B583" s="5" t="inlineStr">
        <is>
          <t>127</t>
        </is>
      </c>
      <c r="C583" s="5" t="inlineStr">
        <is>
          <t>own label</t>
        </is>
      </c>
      <c r="D583" s="5" t="inlineStr">
        <is>
          <t>wall</t>
        </is>
      </c>
      <c r="E583" s="5" t="inlineStr">
        <is>
          <t>shear_wall</t>
        </is>
      </c>
      <c r="F583" s="5" t="inlineStr">
        <is>
          <t>V6/127</t>
        </is>
      </c>
      <c r="G583" s="5" t="inlineStr">
        <is>
          <t>V6/127/127</t>
        </is>
      </c>
      <c r="H583" s="5" t="inlineStr">
        <is>
          <t>printed</t>
        </is>
      </c>
      <c r="I583" s="5" t="n">
        <v>125</v>
      </c>
      <c r="J583" s="5" t="n">
        <v>25</v>
      </c>
      <c r="K583" s="9">
        <f>IF(AND(ISNUMBER(I583),ISNUMBER(J583),J583&gt;0),I583/J583,"")</f>
        <v/>
      </c>
      <c r="L583" s="5" t="n">
        <v>0.314</v>
      </c>
      <c r="M583" s="5" t="n"/>
      <c r="N583" s="5" t="n">
        <v>116.7</v>
      </c>
      <c r="O583" s="5" t="inlineStr">
        <is>
          <t>solid fill</t>
        </is>
      </c>
      <c r="P583" s="5" t="inlineStr">
        <is>
          <t>solid fill, rectangle, L &gt; 4 W (EN 1992-1-1 5.3.1(7))</t>
        </is>
      </c>
      <c r="Q583" s="5">
        <f>IF(OR(D583="column",D583="wall"),IF(I583&lt;='P vs V'!$B$3*J583,"column","wall"),"")</f>
        <v/>
      </c>
      <c r="R583" s="5" t="inlineStr">
        <is>
          <t>S2</t>
        </is>
      </c>
      <c r="S583" s="5" t="inlineStr"/>
      <c r="T583" s="5" t="n"/>
      <c r="U583" s="5" t="inlineStr">
        <is>
          <t>no</t>
        </is>
      </c>
      <c r="V583" s="5" t="inlineStr">
        <is>
          <t>no</t>
        </is>
      </c>
      <c r="W583" s="5" t="inlineStr">
        <is>
          <t>no</t>
        </is>
      </c>
      <c r="X583" s="5" t="inlineStr">
        <is>
          <t>no</t>
        </is>
      </c>
      <c r="Y583" s="5" t="inlineStr">
        <is>
          <t>yes</t>
        </is>
      </c>
      <c r="Z583" s="5" t="inlineStr">
        <is>
          <t>yes</t>
        </is>
      </c>
      <c r="AA583" s="5" t="n">
        <v>1.04</v>
      </c>
      <c r="AB583" s="5" t="n"/>
      <c r="AC583" s="5" t="n"/>
      <c r="AD583" s="5" t="n"/>
      <c r="AE583" s="5" t="n">
        <v>2377</v>
      </c>
      <c r="AF583" s="5" t="n">
        <v>2732.6</v>
      </c>
      <c r="AG583" s="5" t="n">
        <v>2400.2</v>
      </c>
      <c r="AH583" s="5" t="n">
        <v>2768.9</v>
      </c>
      <c r="AI583" s="5" t="inlineStr">
        <is>
          <t>yes</t>
        </is>
      </c>
      <c r="AJ583" s="5" t="inlineStr">
        <is>
          <t>shear_wall</t>
        </is>
      </c>
      <c r="AK583" s="5" t="inlineStr"/>
      <c r="AL583" s="5" t="inlineStr">
        <is>
          <t>(0.87, 0.0, 0.87)</t>
        </is>
      </c>
      <c r="AM583" s="5" t="inlineStr">
        <is>
          <t>DM-VOILE</t>
        </is>
      </c>
    </row>
    <row r="584">
      <c r="A584" s="5" t="n">
        <v>583</v>
      </c>
      <c r="B584" s="5" t="inlineStr">
        <is>
          <t>127</t>
        </is>
      </c>
      <c r="C584" s="5" t="inlineStr">
        <is>
          <t>own label</t>
        </is>
      </c>
      <c r="D584" s="5" t="inlineStr">
        <is>
          <t>wall</t>
        </is>
      </c>
      <c r="E584" s="5" t="inlineStr">
        <is>
          <t>shear_wall</t>
        </is>
      </c>
      <c r="F584" s="5" t="inlineStr">
        <is>
          <t>V6/127</t>
        </is>
      </c>
      <c r="G584" s="5" t="inlineStr"/>
      <c r="H584" s="5" t="inlineStr">
        <is>
          <t>inferred from building + size</t>
        </is>
      </c>
      <c r="I584" s="5" t="n">
        <v>125</v>
      </c>
      <c r="J584" s="5" t="n">
        <v>25</v>
      </c>
      <c r="K584" s="9">
        <f>IF(AND(ISNUMBER(I584),ISNUMBER(J584),J584&gt;0),I584/J584,"")</f>
        <v/>
      </c>
      <c r="L584" s="5" t="n">
        <v>0.313</v>
      </c>
      <c r="M584" s="5" t="n"/>
      <c r="N584" s="5" t="n">
        <v>116.7</v>
      </c>
      <c r="O584" s="5" t="inlineStr">
        <is>
          <t>solid fill</t>
        </is>
      </c>
      <c r="P584" s="5" t="inlineStr">
        <is>
          <t>solid fill, rectangle, L &gt; 4 W (EN 1992-1-1 5.3.1(7))</t>
        </is>
      </c>
      <c r="Q584" s="5">
        <f>IF(OR(D584="column",D584="wall"),IF(I584&lt;='P vs V'!$B$3*J584,"column","wall"),"")</f>
        <v/>
      </c>
      <c r="R584" s="5" t="inlineStr">
        <is>
          <t>SC1</t>
        </is>
      </c>
      <c r="S584" s="5" t="inlineStr"/>
      <c r="T584" s="5" t="n"/>
      <c r="U584" s="5" t="inlineStr">
        <is>
          <t>no</t>
        </is>
      </c>
      <c r="V584" s="5" t="inlineStr">
        <is>
          <t>no</t>
        </is>
      </c>
      <c r="W584" s="5" t="inlineStr">
        <is>
          <t>yes</t>
        </is>
      </c>
      <c r="X584" s="5" t="inlineStr">
        <is>
          <t>no</t>
        </is>
      </c>
      <c r="Y584" s="5" t="inlineStr">
        <is>
          <t>yes</t>
        </is>
      </c>
      <c r="Z584" s="5" t="inlineStr">
        <is>
          <t>no</t>
        </is>
      </c>
      <c r="AA584" s="5" t="n">
        <v>1.66</v>
      </c>
      <c r="AB584" s="5" t="n"/>
      <c r="AC584" s="5" t="n"/>
      <c r="AD584" s="5" t="n"/>
      <c r="AE584" s="5" t="n">
        <v>1726.4</v>
      </c>
      <c r="AF584" s="5" t="n">
        <v>2947.2</v>
      </c>
      <c r="AG584" s="5" t="n">
        <v>1749.6</v>
      </c>
      <c r="AH584" s="5" t="n">
        <v>2983.5</v>
      </c>
      <c r="AI584" s="5" t="inlineStr">
        <is>
          <t>new</t>
        </is>
      </c>
      <c r="AJ584" s="5" t="inlineStr"/>
      <c r="AK584" s="5" t="inlineStr">
        <is>
          <t>piece of a wall network the colour pipeline left unsplit</t>
        </is>
      </c>
      <c r="AL584" s="5" t="inlineStr">
        <is>
          <t>(0.87, 0.0, 0.87)</t>
        </is>
      </c>
      <c r="AM584" s="5" t="inlineStr">
        <is>
          <t>DM-VOILE</t>
        </is>
      </c>
    </row>
    <row r="585">
      <c r="A585" s="5" t="n">
        <v>584</v>
      </c>
      <c r="B585" s="5" t="inlineStr">
        <is>
          <t>127</t>
        </is>
      </c>
      <c r="C585" s="5" t="inlineStr">
        <is>
          <t>own label</t>
        </is>
      </c>
      <c r="D585" s="5" t="inlineStr">
        <is>
          <t>wall</t>
        </is>
      </c>
      <c r="E585" s="5" t="inlineStr">
        <is>
          <t>shear_wall</t>
        </is>
      </c>
      <c r="F585" s="5" t="inlineStr">
        <is>
          <t>V6/127</t>
        </is>
      </c>
      <c r="G585" s="5" t="inlineStr">
        <is>
          <t>V6/127/127</t>
        </is>
      </c>
      <c r="H585" s="5" t="inlineStr">
        <is>
          <t>printed</t>
        </is>
      </c>
      <c r="I585" s="5" t="n">
        <v>125</v>
      </c>
      <c r="J585" s="5" t="n">
        <v>25</v>
      </c>
      <c r="K585" s="9">
        <f>IF(AND(ISNUMBER(I585),ISNUMBER(J585),J585&gt;0),I585/J585,"")</f>
        <v/>
      </c>
      <c r="L585" s="5" t="n">
        <v>0.312</v>
      </c>
      <c r="M585" s="5" t="n"/>
      <c r="N585" s="5" t="n">
        <v>116.7</v>
      </c>
      <c r="O585" s="5" t="inlineStr">
        <is>
          <t>solid fill</t>
        </is>
      </c>
      <c r="P585" s="5" t="inlineStr">
        <is>
          <t>solid fill, rectangle, L &gt; 4 W (EN 1992-1-1 5.3.1(7))</t>
        </is>
      </c>
      <c r="Q585" s="5">
        <f>IF(OR(D585="column",D585="wall"),IF(I585&lt;='P vs V'!$B$3*J585,"column","wall"),"")</f>
        <v/>
      </c>
      <c r="R585" s="5" t="inlineStr">
        <is>
          <t>SC2</t>
        </is>
      </c>
      <c r="S585" s="5" t="inlineStr"/>
      <c r="T585" s="5" t="n"/>
      <c r="U585" s="5" t="inlineStr">
        <is>
          <t>no</t>
        </is>
      </c>
      <c r="V585" s="5" t="inlineStr">
        <is>
          <t>no</t>
        </is>
      </c>
      <c r="W585" s="5" t="inlineStr">
        <is>
          <t>no</t>
        </is>
      </c>
      <c r="X585" s="5" t="inlineStr">
        <is>
          <t>no</t>
        </is>
      </c>
      <c r="Y585" s="5" t="inlineStr">
        <is>
          <t>yes</t>
        </is>
      </c>
      <c r="Z585" s="5" t="inlineStr">
        <is>
          <t>yes</t>
        </is>
      </c>
      <c r="AA585" s="5" t="n">
        <v>3.74</v>
      </c>
      <c r="AB585" s="5" t="n"/>
      <c r="AC585" s="5" t="n"/>
      <c r="AD585" s="5" t="n"/>
      <c r="AE585" s="5" t="n">
        <v>1952.7</v>
      </c>
      <c r="AF585" s="5" t="n">
        <v>2519.1</v>
      </c>
      <c r="AG585" s="5" t="n">
        <v>1975.8</v>
      </c>
      <c r="AH585" s="5" t="n">
        <v>2555.4</v>
      </c>
      <c r="AI585" s="5" t="inlineStr">
        <is>
          <t>yes</t>
        </is>
      </c>
      <c r="AJ585" s="5" t="inlineStr">
        <is>
          <t>shear_wall</t>
        </is>
      </c>
      <c r="AK585" s="5" t="inlineStr"/>
      <c r="AL585" s="5" t="inlineStr">
        <is>
          <t>(0.87, 0.0, 0.87)</t>
        </is>
      </c>
      <c r="AM585" s="5" t="inlineStr">
        <is>
          <t>DM-VOILE</t>
        </is>
      </c>
    </row>
    <row r="586">
      <c r="A586" s="5" t="n">
        <v>585</v>
      </c>
      <c r="B586" s="5" t="inlineStr">
        <is>
          <t>127</t>
        </is>
      </c>
      <c r="C586" s="5" t="inlineStr">
        <is>
          <t>own label</t>
        </is>
      </c>
      <c r="D586" s="5" t="inlineStr">
        <is>
          <t>wall</t>
        </is>
      </c>
      <c r="E586" s="5" t="inlineStr">
        <is>
          <t>shear_wall</t>
        </is>
      </c>
      <c r="F586" s="5" t="inlineStr">
        <is>
          <t>V6/127</t>
        </is>
      </c>
      <c r="G586" s="5" t="inlineStr">
        <is>
          <t>V6/127/127</t>
        </is>
      </c>
      <c r="H586" s="5" t="inlineStr">
        <is>
          <t>printed</t>
        </is>
      </c>
      <c r="I586" s="5" t="n">
        <v>125</v>
      </c>
      <c r="J586" s="5" t="n">
        <v>25</v>
      </c>
      <c r="K586" s="9">
        <f>IF(AND(ISNUMBER(I586),ISNUMBER(J586),J586&gt;0),I586/J586,"")</f>
        <v/>
      </c>
      <c r="L586" s="5" t="n">
        <v>0.312</v>
      </c>
      <c r="M586" s="5" t="n"/>
      <c r="N586" s="5" t="n">
        <v>116.7</v>
      </c>
      <c r="O586" s="5" t="inlineStr">
        <is>
          <t>solid fill</t>
        </is>
      </c>
      <c r="P586" s="5" t="inlineStr">
        <is>
          <t>solid fill, rectangle, L &gt; 4 W (EN 1992-1-1 5.3.1(7))</t>
        </is>
      </c>
      <c r="Q586" s="5">
        <f>IF(OR(D586="column",D586="wall"),IF(I586&lt;='P vs V'!$B$3*J586,"column","wall"),"")</f>
        <v/>
      </c>
      <c r="R586" s="5" t="inlineStr">
        <is>
          <t>S2</t>
        </is>
      </c>
      <c r="S586" s="5" t="inlineStr"/>
      <c r="T586" s="5" t="n"/>
      <c r="U586" s="5" t="inlineStr">
        <is>
          <t>no</t>
        </is>
      </c>
      <c r="V586" s="5" t="inlineStr">
        <is>
          <t>no</t>
        </is>
      </c>
      <c r="W586" s="5" t="inlineStr">
        <is>
          <t>no</t>
        </is>
      </c>
      <c r="X586" s="5" t="inlineStr">
        <is>
          <t>no</t>
        </is>
      </c>
      <c r="Y586" s="5" t="inlineStr">
        <is>
          <t>yes</t>
        </is>
      </c>
      <c r="Z586" s="5" t="inlineStr">
        <is>
          <t>yes</t>
        </is>
      </c>
      <c r="AA586" s="5" t="n">
        <v>0.01</v>
      </c>
      <c r="AB586" s="5" t="n"/>
      <c r="AC586" s="5" t="n"/>
      <c r="AD586" s="5" t="n"/>
      <c r="AE586" s="5" t="n">
        <v>2171.3</v>
      </c>
      <c r="AF586" s="5" t="n">
        <v>2629.1</v>
      </c>
      <c r="AG586" s="5" t="n">
        <v>2194.4</v>
      </c>
      <c r="AH586" s="5" t="n">
        <v>2665.4</v>
      </c>
      <c r="AI586" s="5" t="inlineStr">
        <is>
          <t>yes</t>
        </is>
      </c>
      <c r="AJ586" s="5" t="inlineStr">
        <is>
          <t>shear_wall</t>
        </is>
      </c>
      <c r="AK586" s="5" t="inlineStr"/>
      <c r="AL586" s="5" t="inlineStr">
        <is>
          <t>(0.87, 0.0, 0.87)</t>
        </is>
      </c>
      <c r="AM586" s="5" t="inlineStr">
        <is>
          <t>DM-VOILE</t>
        </is>
      </c>
    </row>
    <row r="587">
      <c r="A587" s="5" t="n">
        <v>586</v>
      </c>
      <c r="B587" s="5" t="inlineStr">
        <is>
          <t>127</t>
        </is>
      </c>
      <c r="C587" s="5" t="inlineStr">
        <is>
          <t>own label</t>
        </is>
      </c>
      <c r="D587" s="5" t="inlineStr">
        <is>
          <t>wall</t>
        </is>
      </c>
      <c r="E587" s="5" t="inlineStr">
        <is>
          <t>shear_wall</t>
        </is>
      </c>
      <c r="F587" s="5" t="inlineStr">
        <is>
          <t>V6/127</t>
        </is>
      </c>
      <c r="G587" s="5" t="inlineStr"/>
      <c r="H587" s="5" t="inlineStr">
        <is>
          <t>inferred from building + size</t>
        </is>
      </c>
      <c r="I587" s="5" t="n">
        <v>125</v>
      </c>
      <c r="J587" s="5" t="n">
        <v>25</v>
      </c>
      <c r="K587" s="9">
        <f>IF(AND(ISNUMBER(I587),ISNUMBER(J587),J587&gt;0),I587/J587,"")</f>
        <v/>
      </c>
      <c r="L587" s="5" t="n">
        <v>0.311</v>
      </c>
      <c r="M587" s="5" t="n"/>
      <c r="N587" s="5" t="n">
        <v>116.7</v>
      </c>
      <c r="O587" s="5" t="inlineStr">
        <is>
          <t>solid fill</t>
        </is>
      </c>
      <c r="P587" s="5" t="inlineStr">
        <is>
          <t>solid fill, rectangle, L &gt; 4 W (EN 1992-1-1 5.3.1(7))</t>
        </is>
      </c>
      <c r="Q587" s="5">
        <f>IF(OR(D587="column",D587="wall"),IF(I587&lt;='P vs V'!$B$3*J587,"column","wall"),"")</f>
        <v/>
      </c>
      <c r="R587" s="5" t="inlineStr">
        <is>
          <t>SC1</t>
        </is>
      </c>
      <c r="S587" s="5" t="inlineStr"/>
      <c r="T587" s="5" t="n"/>
      <c r="U587" s="5" t="inlineStr">
        <is>
          <t>no</t>
        </is>
      </c>
      <c r="V587" s="5" t="inlineStr">
        <is>
          <t>no</t>
        </is>
      </c>
      <c r="W587" s="5" t="inlineStr">
        <is>
          <t>yes</t>
        </is>
      </c>
      <c r="X587" s="5" t="inlineStr">
        <is>
          <t>no</t>
        </is>
      </c>
      <c r="Y587" s="5" t="inlineStr">
        <is>
          <t>yes</t>
        </is>
      </c>
      <c r="Z587" s="5" t="inlineStr">
        <is>
          <t>no</t>
        </is>
      </c>
      <c r="AA587" s="5" t="n">
        <v>1.66</v>
      </c>
      <c r="AB587" s="5" t="n"/>
      <c r="AC587" s="5" t="n"/>
      <c r="AD587" s="5" t="n"/>
      <c r="AE587" s="5" t="n">
        <v>1735.6</v>
      </c>
      <c r="AF587" s="5" t="n">
        <v>2951.9</v>
      </c>
      <c r="AG587" s="5" t="n">
        <v>1758.7</v>
      </c>
      <c r="AH587" s="5" t="n">
        <v>2988.1</v>
      </c>
      <c r="AI587" s="5" t="inlineStr">
        <is>
          <t>new</t>
        </is>
      </c>
      <c r="AJ587" s="5" t="inlineStr"/>
      <c r="AK587" s="5" t="inlineStr">
        <is>
          <t>piece of a wall network the colour pipeline left unsplit</t>
        </is>
      </c>
      <c r="AL587" s="5" t="inlineStr">
        <is>
          <t>(0.87, 0.0, 0.87)</t>
        </is>
      </c>
      <c r="AM587" s="5" t="inlineStr">
        <is>
          <t>DM-VOILE</t>
        </is>
      </c>
    </row>
    <row r="588">
      <c r="A588" s="5" t="n">
        <v>587</v>
      </c>
      <c r="B588" s="5" t="inlineStr">
        <is>
          <t>127</t>
        </is>
      </c>
      <c r="C588" s="5" t="inlineStr">
        <is>
          <t>own label</t>
        </is>
      </c>
      <c r="D588" s="5" t="inlineStr">
        <is>
          <t>wall</t>
        </is>
      </c>
      <c r="E588" s="5" t="inlineStr">
        <is>
          <t>shear_wall</t>
        </is>
      </c>
      <c r="F588" s="5" t="inlineStr">
        <is>
          <t>V6/127</t>
        </is>
      </c>
      <c r="G588" s="5" t="inlineStr"/>
      <c r="H588" s="5" t="inlineStr">
        <is>
          <t>inferred from building + size</t>
        </is>
      </c>
      <c r="I588" s="5" t="n">
        <v>125</v>
      </c>
      <c r="J588" s="5" t="n">
        <v>25</v>
      </c>
      <c r="K588" s="9">
        <f>IF(AND(ISNUMBER(I588),ISNUMBER(J588),J588&gt;0),I588/J588,"")</f>
        <v/>
      </c>
      <c r="L588" s="5" t="n">
        <v>0.308</v>
      </c>
      <c r="M588" s="5" t="n"/>
      <c r="N588" s="5" t="n">
        <v>116.6</v>
      </c>
      <c r="O588" s="5" t="inlineStr">
        <is>
          <t>solid fill</t>
        </is>
      </c>
      <c r="P588" s="5" t="inlineStr">
        <is>
          <t>solid fill, rectangle, L &gt; 4 W (EN 1992-1-1 5.3.1(7))</t>
        </is>
      </c>
      <c r="Q588" s="5">
        <f>IF(OR(D588="column",D588="wall"),IF(I588&lt;='P vs V'!$B$3*J588,"column","wall"),"")</f>
        <v/>
      </c>
      <c r="R588" s="5" t="inlineStr">
        <is>
          <t>SC1</t>
        </is>
      </c>
      <c r="S588" s="5" t="inlineStr"/>
      <c r="T588" s="5" t="n"/>
      <c r="U588" s="5" t="inlineStr">
        <is>
          <t>no</t>
        </is>
      </c>
      <c r="V588" s="5" t="inlineStr">
        <is>
          <t>no</t>
        </is>
      </c>
      <c r="W588" s="5" t="inlineStr">
        <is>
          <t>yes</t>
        </is>
      </c>
      <c r="X588" s="5" t="inlineStr">
        <is>
          <t>no</t>
        </is>
      </c>
      <c r="Y588" s="5" t="inlineStr">
        <is>
          <t>yes</t>
        </is>
      </c>
      <c r="Z588" s="5" t="inlineStr">
        <is>
          <t>no</t>
        </is>
      </c>
      <c r="AA588" s="5" t="n">
        <v>1.8</v>
      </c>
      <c r="AB588" s="5" t="n"/>
      <c r="AC588" s="5" t="n"/>
      <c r="AD588" s="5" t="n"/>
      <c r="AE588" s="5" t="n">
        <v>2390.2</v>
      </c>
      <c r="AF588" s="5" t="n">
        <v>3285.2</v>
      </c>
      <c r="AG588" s="5" t="n">
        <v>2413.2</v>
      </c>
      <c r="AH588" s="5" t="n">
        <v>3321.4</v>
      </c>
      <c r="AI588" s="5" t="inlineStr">
        <is>
          <t>new</t>
        </is>
      </c>
      <c r="AJ588" s="5" t="inlineStr"/>
      <c r="AK588" s="5" t="inlineStr">
        <is>
          <t>piece of a wall network the colour pipeline left unsplit</t>
        </is>
      </c>
      <c r="AL588" s="5" t="inlineStr">
        <is>
          <t>(0.87, 0.0, 0.87)</t>
        </is>
      </c>
      <c r="AM588" s="5" t="inlineStr">
        <is>
          <t>DM-VOILE</t>
        </is>
      </c>
    </row>
    <row r="589">
      <c r="A589" s="5" t="n">
        <v>588</v>
      </c>
      <c r="B589" s="5" t="inlineStr">
        <is>
          <t>127</t>
        </is>
      </c>
      <c r="C589" s="5" t="inlineStr">
        <is>
          <t>nearest labels (100% agree)</t>
        </is>
      </c>
      <c r="D589" s="5" t="inlineStr">
        <is>
          <t>wall</t>
        </is>
      </c>
      <c r="E589" s="5" t="inlineStr">
        <is>
          <t>core_wall_hatched</t>
        </is>
      </c>
      <c r="F589" s="5" t="inlineStr">
        <is>
          <t>(none)</t>
        </is>
      </c>
      <c r="G589" s="5" t="inlineStr"/>
      <c r="H589" s="5" t="inlineStr">
        <is>
          <t>none</t>
        </is>
      </c>
      <c r="I589" s="5" t="n">
        <v>157</v>
      </c>
      <c r="J589" s="5" t="n">
        <v>20</v>
      </c>
      <c r="K589" s="9">
        <f>IF(AND(ISNUMBER(I589),ISNUMBER(J589),J589&gt;0),I589/J589,"")</f>
        <v/>
      </c>
      <c r="L589" s="5" t="n">
        <v>0.317</v>
      </c>
      <c r="M589" s="5" t="n">
        <v>1.57</v>
      </c>
      <c r="N589" s="5" t="n">
        <v>26.7</v>
      </c>
      <c r="O589" s="5" t="inlineStr">
        <is>
          <t>cross-hatch</t>
        </is>
      </c>
      <c r="P589" s="5" t="inlineStr">
        <is>
          <t>cross-hatch of short strokes in two perpendicular families</t>
        </is>
      </c>
      <c r="Q589" s="5">
        <f>IF(OR(D589="column",D589="wall"),IF(I589&lt;='P vs V'!$B$3*J589,"column","wall"),"")</f>
        <v/>
      </c>
      <c r="R589" s="5" t="inlineStr"/>
      <c r="S589" s="5" t="inlineStr"/>
      <c r="T589" s="5" t="n"/>
      <c r="U589" s="5" t="inlineStr">
        <is>
          <t>yes</t>
        </is>
      </c>
      <c r="V589" s="5" t="inlineStr">
        <is>
          <t>no</t>
        </is>
      </c>
      <c r="W589" s="5" t="inlineStr">
        <is>
          <t>no</t>
        </is>
      </c>
      <c r="X589" s="5" t="inlineStr">
        <is>
          <t>no</t>
        </is>
      </c>
      <c r="Y589" s="5" t="inlineStr">
        <is>
          <t>no</t>
        </is>
      </c>
      <c r="Z589" s="5" t="inlineStr">
        <is>
          <t>no</t>
        </is>
      </c>
      <c r="AA589" s="5" t="n">
        <v>0.8100000000000001</v>
      </c>
      <c r="AB589" s="5" t="n">
        <v>0.28</v>
      </c>
      <c r="AC589" s="5" t="n"/>
      <c r="AD589" s="5" t="n"/>
      <c r="AE589" s="5" t="n">
        <v>2193.3</v>
      </c>
      <c r="AF589" s="5" t="n">
        <v>3110.9</v>
      </c>
      <c r="AG589" s="5" t="n">
        <v>2246.1</v>
      </c>
      <c r="AH589" s="5" t="n">
        <v>3139</v>
      </c>
      <c r="AI589" s="5" t="inlineStr">
        <is>
          <t>n/a</t>
        </is>
      </c>
      <c r="AJ589" s="5" t="inlineStr"/>
      <c r="AK589" s="5" t="inlineStr"/>
      <c r="AL589" s="5" t="inlineStr"/>
      <c r="AM589" s="5" t="inlineStr"/>
    </row>
    <row r="590">
      <c r="A590" s="5" t="n">
        <v>589</v>
      </c>
      <c r="B590" s="5" t="inlineStr">
        <is>
          <t>127</t>
        </is>
      </c>
      <c r="C590" s="5" t="inlineStr">
        <is>
          <t>nearest labels (100% agree)</t>
        </is>
      </c>
      <c r="D590" s="5" t="inlineStr">
        <is>
          <t>wall</t>
        </is>
      </c>
      <c r="E590" s="5" t="inlineStr">
        <is>
          <t>core_wall_hatched</t>
        </is>
      </c>
      <c r="F590" s="5" t="inlineStr">
        <is>
          <t>(none)</t>
        </is>
      </c>
      <c r="G590" s="5" t="inlineStr"/>
      <c r="H590" s="5" t="inlineStr">
        <is>
          <t>none</t>
        </is>
      </c>
      <c r="I590" s="5" t="n">
        <v>283</v>
      </c>
      <c r="J590" s="5" t="n">
        <v>20</v>
      </c>
      <c r="K590" s="9">
        <f>IF(AND(ISNUMBER(I590),ISNUMBER(J590),J590&gt;0),I590/J590,"")</f>
        <v/>
      </c>
      <c r="L590" s="5" t="n">
        <v>0.572</v>
      </c>
      <c r="M590" s="5" t="n">
        <v>2.83</v>
      </c>
      <c r="N590" s="5" t="n">
        <v>116.7</v>
      </c>
      <c r="O590" s="5" t="inlineStr">
        <is>
          <t>cross-hatch</t>
        </is>
      </c>
      <c r="P590" s="5" t="inlineStr">
        <is>
          <t>cross-hatch of short strokes in two perpendicular families</t>
        </is>
      </c>
      <c r="Q590" s="5">
        <f>IF(OR(D590="column",D590="wall"),IF(I590&lt;='P vs V'!$B$3*J590,"column","wall"),"")</f>
        <v/>
      </c>
      <c r="R590" s="5" t="inlineStr"/>
      <c r="S590" s="5" t="inlineStr"/>
      <c r="T590" s="5" t="n"/>
      <c r="U590" s="5" t="inlineStr">
        <is>
          <t>yes</t>
        </is>
      </c>
      <c r="V590" s="5" t="inlineStr">
        <is>
          <t>no</t>
        </is>
      </c>
      <c r="W590" s="5" t="inlineStr">
        <is>
          <t>yes</t>
        </is>
      </c>
      <c r="X590" s="5" t="inlineStr">
        <is>
          <t>no</t>
        </is>
      </c>
      <c r="Y590" s="5" t="inlineStr">
        <is>
          <t>no</t>
        </is>
      </c>
      <c r="Z590" s="5" t="inlineStr">
        <is>
          <t>no</t>
        </is>
      </c>
      <c r="AA590" s="5" t="n">
        <v>0.44</v>
      </c>
      <c r="AB590" s="5" t="n">
        <v>0.28</v>
      </c>
      <c r="AC590" s="5" t="n"/>
      <c r="AD590" s="5" t="n"/>
      <c r="AE590" s="5" t="n">
        <v>2138.8</v>
      </c>
      <c r="AF590" s="5" t="n">
        <v>3185</v>
      </c>
      <c r="AG590" s="5" t="n">
        <v>2186.4</v>
      </c>
      <c r="AH590" s="5" t="n">
        <v>3273.3</v>
      </c>
      <c r="AI590" s="5" t="inlineStr">
        <is>
          <t>n/a</t>
        </is>
      </c>
      <c r="AJ590" s="5" t="inlineStr"/>
      <c r="AK590" s="5" t="inlineStr"/>
      <c r="AL590" s="5" t="inlineStr"/>
      <c r="AM590" s="5" t="inlineStr"/>
    </row>
    <row r="591">
      <c r="A591" s="5" t="n">
        <v>590</v>
      </c>
      <c r="B591" s="5" t="inlineStr">
        <is>
          <t>127</t>
        </is>
      </c>
      <c r="C591" s="5" t="inlineStr">
        <is>
          <t>nearest labels (60% agree)</t>
        </is>
      </c>
      <c r="D591" s="5" t="inlineStr">
        <is>
          <t>footing</t>
        </is>
      </c>
      <c r="E591" s="5" t="inlineStr">
        <is>
          <t>combined_footing</t>
        </is>
      </c>
      <c r="F591" s="5" t="inlineStr">
        <is>
          <t>SC2</t>
        </is>
      </c>
      <c r="G591" s="5" t="inlineStr">
        <is>
          <t>SC2-</t>
        </is>
      </c>
      <c r="H591" s="5" t="inlineStr">
        <is>
          <t>printed</t>
        </is>
      </c>
      <c r="I591" s="5" t="n">
        <v>350</v>
      </c>
      <c r="J591" s="5" t="n">
        <v>200</v>
      </c>
      <c r="K591" s="9">
        <f>IF(AND(ISNUMBER(I591),ISNUMBER(J591),J591&gt;0),I591/J591,"")</f>
        <v/>
      </c>
      <c r="L591" s="5" t="n">
        <v>7</v>
      </c>
      <c r="M591" s="5" t="n"/>
      <c r="N591" s="5" t="n">
        <v>116.6</v>
      </c>
      <c r="O591" s="5" t="inlineStr">
        <is>
          <t>closed outline</t>
        </is>
      </c>
      <c r="P591" s="5" t="inlineStr">
        <is>
          <t>closed rectangular outline around a column/wall or next to an S/SC label</t>
        </is>
      </c>
      <c r="Q591" s="5">
        <f>IF(OR(D591="column",D591="wall"),IF(I591&lt;='P vs V'!$B$3*J591,"column","wall"),"")</f>
        <v/>
      </c>
      <c r="R591" s="5" t="inlineStr"/>
      <c r="S591" s="5" t="inlineStr">
        <is>
          <t>wall+wall</t>
        </is>
      </c>
      <c r="T591" s="5" t="n">
        <v>0</v>
      </c>
      <c r="U591" s="5" t="inlineStr">
        <is>
          <t>no</t>
        </is>
      </c>
      <c r="V591" s="5" t="inlineStr">
        <is>
          <t>no</t>
        </is>
      </c>
      <c r="W591" s="5" t="inlineStr">
        <is>
          <t>yes</t>
        </is>
      </c>
      <c r="X591" s="5" t="inlineStr">
        <is>
          <t>no</t>
        </is>
      </c>
      <c r="Y591" s="5" t="inlineStr">
        <is>
          <t>yes</t>
        </is>
      </c>
      <c r="Z591" s="5" t="inlineStr">
        <is>
          <t>yes</t>
        </is>
      </c>
      <c r="AA591" s="5" t="n">
        <v>3.91</v>
      </c>
      <c r="AB591" s="5" t="n"/>
      <c r="AC591" s="5" t="n"/>
      <c r="AD591" s="5" t="n"/>
      <c r="AE591" s="5" t="n">
        <v>1910.1</v>
      </c>
      <c r="AF591" s="5" t="n">
        <v>2475.6</v>
      </c>
      <c r="AG591" s="5" t="n">
        <v>2009.3</v>
      </c>
      <c r="AH591" s="5" t="n">
        <v>2594.4</v>
      </c>
      <c r="AI591" s="5" t="inlineStr">
        <is>
          <t>yes</t>
        </is>
      </c>
      <c r="AJ591" s="5" t="inlineStr">
        <is>
          <t>combined_footing</t>
        </is>
      </c>
      <c r="AK591" s="5" t="inlineStr"/>
      <c r="AL591" s="5" t="inlineStr">
        <is>
          <t>(0.72, 0.72, 0.0)</t>
        </is>
      </c>
      <c r="AM591" s="5" t="inlineStr">
        <is>
          <t>DM-SEMELLES</t>
        </is>
      </c>
    </row>
    <row r="592">
      <c r="A592" s="5" t="n">
        <v>591</v>
      </c>
      <c r="B592" s="5" t="inlineStr">
        <is>
          <t>127</t>
        </is>
      </c>
      <c r="C592" s="5" t="inlineStr">
        <is>
          <t>nearest labels (60% agree)</t>
        </is>
      </c>
      <c r="D592" s="5" t="inlineStr">
        <is>
          <t>footing</t>
        </is>
      </c>
      <c r="E592" s="5" t="inlineStr">
        <is>
          <t>combined_footing</t>
        </is>
      </c>
      <c r="F592" s="5" t="inlineStr">
        <is>
          <t>SC3</t>
        </is>
      </c>
      <c r="G592" s="5" t="inlineStr">
        <is>
          <t>SC3</t>
        </is>
      </c>
      <c r="H592" s="5" t="inlineStr">
        <is>
          <t>printed</t>
        </is>
      </c>
      <c r="I592" s="5" t="n">
        <v>500</v>
      </c>
      <c r="J592" s="5" t="n">
        <v>450</v>
      </c>
      <c r="K592" s="9">
        <f>IF(AND(ISNUMBER(I592),ISNUMBER(J592),J592&gt;0),I592/J592,"")</f>
        <v/>
      </c>
      <c r="L592" s="5" t="n">
        <v>22.503</v>
      </c>
      <c r="M592" s="5" t="n"/>
      <c r="N592" s="5" t="n">
        <v>116.6</v>
      </c>
      <c r="O592" s="5" t="inlineStr">
        <is>
          <t>closed outline</t>
        </is>
      </c>
      <c r="P592" s="5" t="inlineStr">
        <is>
          <t>closed rectangular outline around a column/wall or next to an S/SC label</t>
        </is>
      </c>
      <c r="Q592" s="5">
        <f>IF(OR(D592="column",D592="wall"),IF(I592&lt;='P vs V'!$B$3*J592,"column","wall"),"")</f>
        <v/>
      </c>
      <c r="R592" s="5" t="inlineStr"/>
      <c r="S592" s="5" t="inlineStr">
        <is>
          <t>wall+wall</t>
        </is>
      </c>
      <c r="T592" s="5" t="n">
        <v>16</v>
      </c>
      <c r="U592" s="5" t="inlineStr">
        <is>
          <t>no</t>
        </is>
      </c>
      <c r="V592" s="5" t="inlineStr">
        <is>
          <t>no</t>
        </is>
      </c>
      <c r="W592" s="5" t="inlineStr">
        <is>
          <t>yes</t>
        </is>
      </c>
      <c r="X592" s="5" t="inlineStr">
        <is>
          <t>no</t>
        </is>
      </c>
      <c r="Y592" s="5" t="inlineStr">
        <is>
          <t>yes</t>
        </is>
      </c>
      <c r="Z592" s="5" t="inlineStr">
        <is>
          <t>yes</t>
        </is>
      </c>
      <c r="AA592" s="5" t="n">
        <v>5.98</v>
      </c>
      <c r="AB592" s="5" t="n"/>
      <c r="AC592" s="5" t="n"/>
      <c r="AD592" s="5" t="n"/>
      <c r="AE592" s="5" t="n">
        <v>2417.1</v>
      </c>
      <c r="AF592" s="5" t="n">
        <v>3004</v>
      </c>
      <c r="AG592" s="5" t="n">
        <v>2602.1</v>
      </c>
      <c r="AH592" s="5" t="n">
        <v>3195.5</v>
      </c>
      <c r="AI592" s="5" t="inlineStr">
        <is>
          <t>yes</t>
        </is>
      </c>
      <c r="AJ592" s="5" t="inlineStr">
        <is>
          <t>combined_footing</t>
        </is>
      </c>
      <c r="AK592" s="5" t="inlineStr"/>
      <c r="AL592" s="5" t="inlineStr">
        <is>
          <t>(0.72, 0.72, 0.0)</t>
        </is>
      </c>
      <c r="AM592" s="5" t="inlineStr">
        <is>
          <t>DM-SEMELLES</t>
        </is>
      </c>
    </row>
    <row r="593">
      <c r="A593" s="5" t="n">
        <v>592</v>
      </c>
      <c r="B593" s="5" t="inlineStr">
        <is>
          <t>127</t>
        </is>
      </c>
      <c r="C593" s="5" t="inlineStr">
        <is>
          <t>nearest labels (100% agree)</t>
        </is>
      </c>
      <c r="D593" s="5" t="inlineStr">
        <is>
          <t>footing</t>
        </is>
      </c>
      <c r="E593" s="5" t="inlineStr">
        <is>
          <t>crane_footing</t>
        </is>
      </c>
      <c r="F593" s="5" t="inlineStr">
        <is>
          <t>S0(240x240x60)</t>
        </is>
      </c>
      <c r="G593" s="5" t="inlineStr">
        <is>
          <t>S0 (240x240x60)</t>
        </is>
      </c>
      <c r="H593" s="5" t="inlineStr">
        <is>
          <t>printed</t>
        </is>
      </c>
      <c r="I593" s="5" t="n">
        <v>240</v>
      </c>
      <c r="J593" s="5" t="n">
        <v>240</v>
      </c>
      <c r="K593" s="9">
        <f>IF(AND(ISNUMBER(I593),ISNUMBER(J593),J593&gt;0),I593/J593,"")</f>
        <v/>
      </c>
      <c r="L593" s="5" t="n">
        <v>5.761</v>
      </c>
      <c r="M593" s="5" t="n"/>
      <c r="N593" s="5" t="n">
        <v>116.7</v>
      </c>
      <c r="O593" s="5" t="inlineStr">
        <is>
          <t>closed outline</t>
        </is>
      </c>
      <c r="P593" s="5" t="inlineStr">
        <is>
          <t>closed rectangular outline around a column/wall or next to an S/SC label</t>
        </is>
      </c>
      <c r="Q593" s="5">
        <f>IF(OR(D593="column",D593="wall"),IF(I593&lt;='P vs V'!$B$3*J593,"column","wall"),"")</f>
        <v/>
      </c>
      <c r="R593" s="5" t="inlineStr"/>
      <c r="S593" s="5" t="inlineStr">
        <is>
          <t>none</t>
        </is>
      </c>
      <c r="T593" s="5" t="n"/>
      <c r="U593" s="5" t="inlineStr">
        <is>
          <t>no</t>
        </is>
      </c>
      <c r="V593" s="5" t="inlineStr">
        <is>
          <t>no</t>
        </is>
      </c>
      <c r="W593" s="5" t="inlineStr">
        <is>
          <t>no</t>
        </is>
      </c>
      <c r="X593" s="5" t="inlineStr">
        <is>
          <t>no</t>
        </is>
      </c>
      <c r="Y593" s="5" t="inlineStr">
        <is>
          <t>yes</t>
        </is>
      </c>
      <c r="Z593" s="5" t="inlineStr">
        <is>
          <t>yes</t>
        </is>
      </c>
      <c r="AA593" s="5" t="n">
        <v>0.31</v>
      </c>
      <c r="AB593" s="5" t="n"/>
      <c r="AC593" s="5" t="n"/>
      <c r="AD593" s="5" t="n"/>
      <c r="AE593" s="5" t="n">
        <v>2278.1</v>
      </c>
      <c r="AF593" s="5" t="n">
        <v>2780.1</v>
      </c>
      <c r="AG593" s="5" t="n">
        <v>2373.3</v>
      </c>
      <c r="AH593" s="5" t="n">
        <v>2875.2</v>
      </c>
      <c r="AI593" s="5" t="inlineStr">
        <is>
          <t>yes</t>
        </is>
      </c>
      <c r="AJ593" s="5" t="inlineStr">
        <is>
          <t>crane_footing</t>
        </is>
      </c>
      <c r="AK593" s="5" t="inlineStr"/>
      <c r="AL593" s="5" t="inlineStr">
        <is>
          <t>(1.0, 0.0, 1.0)</t>
        </is>
      </c>
      <c r="AM593" s="5" t="inlineStr">
        <is>
          <t>0</t>
        </is>
      </c>
    </row>
    <row r="594">
      <c r="A594" s="5" t="n">
        <v>593</v>
      </c>
      <c r="B594" s="5" t="inlineStr">
        <is>
          <t>127</t>
        </is>
      </c>
      <c r="C594" s="5" t="inlineStr">
        <is>
          <t>nearest labels (100% agree)</t>
        </is>
      </c>
      <c r="D594" s="5" t="inlineStr">
        <is>
          <t>footing</t>
        </is>
      </c>
      <c r="E594" s="5" t="inlineStr">
        <is>
          <t>crane_footing</t>
        </is>
      </c>
      <c r="F594" s="5" t="inlineStr">
        <is>
          <t>S0(240x240x60)</t>
        </is>
      </c>
      <c r="G594" s="5" t="inlineStr">
        <is>
          <t>S0 (240x240x60)</t>
        </is>
      </c>
      <c r="H594" s="5" t="inlineStr">
        <is>
          <t>printed</t>
        </is>
      </c>
      <c r="I594" s="5" t="n">
        <v>240</v>
      </c>
      <c r="J594" s="5" t="n">
        <v>240</v>
      </c>
      <c r="K594" s="9">
        <f>IF(AND(ISNUMBER(I594),ISNUMBER(J594),J594&gt;0),I594/J594,"")</f>
        <v/>
      </c>
      <c r="L594" s="5" t="n">
        <v>5.761</v>
      </c>
      <c r="M594" s="5" t="n"/>
      <c r="N594" s="5" t="n">
        <v>26.7</v>
      </c>
      <c r="O594" s="5" t="inlineStr">
        <is>
          <t>closed outline</t>
        </is>
      </c>
      <c r="P594" s="5" t="inlineStr">
        <is>
          <t>closed rectangular outline around a column/wall or next to an S/SC label</t>
        </is>
      </c>
      <c r="Q594" s="5">
        <f>IF(OR(D594="column",D594="wall"),IF(I594&lt;='P vs V'!$B$3*J594,"column","wall"),"")</f>
        <v/>
      </c>
      <c r="R594" s="5" t="inlineStr"/>
      <c r="S594" s="5" t="inlineStr">
        <is>
          <t>none</t>
        </is>
      </c>
      <c r="T594" s="5" t="n"/>
      <c r="U594" s="5" t="inlineStr">
        <is>
          <t>no</t>
        </is>
      </c>
      <c r="V594" s="5" t="inlineStr">
        <is>
          <t>no</t>
        </is>
      </c>
      <c r="W594" s="5" t="inlineStr">
        <is>
          <t>no</t>
        </is>
      </c>
      <c r="X594" s="5" t="inlineStr">
        <is>
          <t>no</t>
        </is>
      </c>
      <c r="Y594" s="5" t="inlineStr">
        <is>
          <t>yes</t>
        </is>
      </c>
      <c r="Z594" s="5" t="inlineStr">
        <is>
          <t>yes</t>
        </is>
      </c>
      <c r="AA594" s="5" t="n">
        <v>1.07</v>
      </c>
      <c r="AB594" s="5" t="n"/>
      <c r="AC594" s="5" t="n"/>
      <c r="AD594" s="5" t="n"/>
      <c r="AE594" s="5" t="n">
        <v>2199.2</v>
      </c>
      <c r="AF594" s="5" t="n">
        <v>2542.4</v>
      </c>
      <c r="AG594" s="5" t="n">
        <v>2294.3</v>
      </c>
      <c r="AH594" s="5" t="n">
        <v>2637.5</v>
      </c>
      <c r="AI594" s="5" t="inlineStr">
        <is>
          <t>yes</t>
        </is>
      </c>
      <c r="AJ594" s="5" t="inlineStr">
        <is>
          <t>crane_footing</t>
        </is>
      </c>
      <c r="AK594" s="5" t="inlineStr"/>
      <c r="AL594" s="5" t="inlineStr">
        <is>
          <t>(1.0, 0.0, 1.0)</t>
        </is>
      </c>
      <c r="AM594" s="5" t="inlineStr">
        <is>
          <t>0</t>
        </is>
      </c>
    </row>
    <row r="595">
      <c r="A595" s="5" t="n">
        <v>594</v>
      </c>
      <c r="B595" s="5" t="inlineStr">
        <is>
          <t>127</t>
        </is>
      </c>
      <c r="C595" s="5" t="inlineStr">
        <is>
          <t>nearest labels (100% agree)</t>
        </is>
      </c>
      <c r="D595" s="5" t="inlineStr">
        <is>
          <t>footing</t>
        </is>
      </c>
      <c r="E595" s="5" t="inlineStr">
        <is>
          <t>crane_footing</t>
        </is>
      </c>
      <c r="F595" s="5" t="inlineStr">
        <is>
          <t>S0(240x240x60)</t>
        </is>
      </c>
      <c r="G595" s="5" t="inlineStr">
        <is>
          <t>S0 (240x240x60)</t>
        </is>
      </c>
      <c r="H595" s="5" t="inlineStr">
        <is>
          <t>printed</t>
        </is>
      </c>
      <c r="I595" s="5" t="n">
        <v>240</v>
      </c>
      <c r="J595" s="5" t="n">
        <v>240</v>
      </c>
      <c r="K595" s="9">
        <f>IF(AND(ISNUMBER(I595),ISNUMBER(J595),J595&gt;0),I595/J595,"")</f>
        <v/>
      </c>
      <c r="L595" s="5" t="n">
        <v>5.761</v>
      </c>
      <c r="M595" s="5" t="n"/>
      <c r="N595" s="5" t="n">
        <v>26.7</v>
      </c>
      <c r="O595" s="5" t="inlineStr">
        <is>
          <t>closed outline</t>
        </is>
      </c>
      <c r="P595" s="5" t="inlineStr">
        <is>
          <t>closed rectangular outline around a column/wall or next to an S/SC label</t>
        </is>
      </c>
      <c r="Q595" s="5">
        <f>IF(OR(D595="column",D595="wall"),IF(I595&lt;='P vs V'!$B$3*J595,"column","wall"),"")</f>
        <v/>
      </c>
      <c r="R595" s="5" t="inlineStr"/>
      <c r="S595" s="5" t="inlineStr">
        <is>
          <t>none</t>
        </is>
      </c>
      <c r="T595" s="5" t="n"/>
      <c r="U595" s="5" t="inlineStr">
        <is>
          <t>no</t>
        </is>
      </c>
      <c r="V595" s="5" t="inlineStr">
        <is>
          <t>no</t>
        </is>
      </c>
      <c r="W595" s="5" t="inlineStr">
        <is>
          <t>no</t>
        </is>
      </c>
      <c r="X595" s="5" t="inlineStr">
        <is>
          <t>no</t>
        </is>
      </c>
      <c r="Y595" s="5" t="inlineStr">
        <is>
          <t>yes</t>
        </is>
      </c>
      <c r="Z595" s="5" t="inlineStr">
        <is>
          <t>yes</t>
        </is>
      </c>
      <c r="AA595" s="5" t="n">
        <v>1.07</v>
      </c>
      <c r="AB595" s="5" t="n"/>
      <c r="AC595" s="5" t="n"/>
      <c r="AD595" s="5" t="n"/>
      <c r="AE595" s="5" t="n">
        <v>2119.7</v>
      </c>
      <c r="AF595" s="5" t="n">
        <v>2700.7</v>
      </c>
      <c r="AG595" s="5" t="n">
        <v>2214.9</v>
      </c>
      <c r="AH595" s="5" t="n">
        <v>2795.9</v>
      </c>
      <c r="AI595" s="5" t="inlineStr">
        <is>
          <t>yes</t>
        </is>
      </c>
      <c r="AJ595" s="5" t="inlineStr">
        <is>
          <t>crane_footing</t>
        </is>
      </c>
      <c r="AK595" s="5" t="inlineStr"/>
      <c r="AL595" s="5" t="inlineStr">
        <is>
          <t>(1.0, 0.0, 1.0)</t>
        </is>
      </c>
      <c r="AM595" s="5" t="inlineStr">
        <is>
          <t>0</t>
        </is>
      </c>
    </row>
    <row r="596">
      <c r="A596" s="5" t="n">
        <v>595</v>
      </c>
      <c r="B596" s="5" t="inlineStr">
        <is>
          <t>127</t>
        </is>
      </c>
      <c r="C596" s="5" t="inlineStr">
        <is>
          <t>nearest labels (100% agree)</t>
        </is>
      </c>
      <c r="D596" s="5" t="inlineStr">
        <is>
          <t>footing</t>
        </is>
      </c>
      <c r="E596" s="5" t="inlineStr">
        <is>
          <t>crane_footing</t>
        </is>
      </c>
      <c r="F596" s="5" t="inlineStr">
        <is>
          <t>S0(240x240x60)</t>
        </is>
      </c>
      <c r="G596" s="5" t="inlineStr">
        <is>
          <t>S0 (240x240x60)</t>
        </is>
      </c>
      <c r="H596" s="5" t="inlineStr">
        <is>
          <t>printed</t>
        </is>
      </c>
      <c r="I596" s="5" t="n">
        <v>240</v>
      </c>
      <c r="J596" s="5" t="n">
        <v>240</v>
      </c>
      <c r="K596" s="9">
        <f>IF(AND(ISNUMBER(I596),ISNUMBER(J596),J596&gt;0),I596/J596,"")</f>
        <v/>
      </c>
      <c r="L596" s="5" t="n">
        <v>5.759</v>
      </c>
      <c r="M596" s="5" t="n"/>
      <c r="N596" s="5" t="n">
        <v>26.6</v>
      </c>
      <c r="O596" s="5" t="inlineStr">
        <is>
          <t>closed outline</t>
        </is>
      </c>
      <c r="P596" s="5" t="inlineStr">
        <is>
          <t>closed rectangular outline around a column/wall or next to an S/SC label</t>
        </is>
      </c>
      <c r="Q596" s="5">
        <f>IF(OR(D596="column",D596="wall"),IF(I596&lt;='P vs V'!$B$3*J596,"column","wall"),"")</f>
        <v/>
      </c>
      <c r="R596" s="5" t="inlineStr"/>
      <c r="S596" s="5" t="inlineStr">
        <is>
          <t>none</t>
        </is>
      </c>
      <c r="T596" s="5" t="n"/>
      <c r="U596" s="5" t="inlineStr">
        <is>
          <t>no</t>
        </is>
      </c>
      <c r="V596" s="5" t="inlineStr">
        <is>
          <t>no</t>
        </is>
      </c>
      <c r="W596" s="5" t="inlineStr">
        <is>
          <t>no</t>
        </is>
      </c>
      <c r="X596" s="5" t="inlineStr">
        <is>
          <t>no</t>
        </is>
      </c>
      <c r="Y596" s="5" t="inlineStr">
        <is>
          <t>yes</t>
        </is>
      </c>
      <c r="Z596" s="5" t="inlineStr">
        <is>
          <t>yes</t>
        </is>
      </c>
      <c r="AA596" s="5" t="n">
        <v>0.31</v>
      </c>
      <c r="AB596" s="5" t="n"/>
      <c r="AC596" s="5" t="n"/>
      <c r="AD596" s="5" t="n"/>
      <c r="AE596" s="5" t="n">
        <v>2357.6</v>
      </c>
      <c r="AF596" s="5" t="n">
        <v>2621.8</v>
      </c>
      <c r="AG596" s="5" t="n">
        <v>2452.7</v>
      </c>
      <c r="AH596" s="5" t="n">
        <v>2716.9</v>
      </c>
      <c r="AI596" s="5" t="inlineStr">
        <is>
          <t>yes</t>
        </is>
      </c>
      <c r="AJ596" s="5" t="inlineStr">
        <is>
          <t>crane_footing</t>
        </is>
      </c>
      <c r="AK596" s="5" t="inlineStr"/>
      <c r="AL596" s="5" t="inlineStr">
        <is>
          <t>(1.0, 0.0, 1.0)</t>
        </is>
      </c>
      <c r="AM596" s="5" t="inlineStr">
        <is>
          <t>0</t>
        </is>
      </c>
    </row>
    <row r="597">
      <c r="A597" s="5" t="n">
        <v>596</v>
      </c>
      <c r="B597" s="5" t="inlineStr">
        <is>
          <t>127</t>
        </is>
      </c>
      <c r="C597" s="5" t="inlineStr">
        <is>
          <t>own label</t>
        </is>
      </c>
      <c r="D597" s="5" t="inlineStr">
        <is>
          <t>footing</t>
        </is>
      </c>
      <c r="E597" s="5" t="inlineStr">
        <is>
          <t>isolated_footing</t>
        </is>
      </c>
      <c r="F597" s="5" t="inlineStr">
        <is>
          <t>S11</t>
        </is>
      </c>
      <c r="G597" s="5" t="inlineStr">
        <is>
          <t>S11-127127</t>
        </is>
      </c>
      <c r="H597" s="5" t="inlineStr">
        <is>
          <t>printed</t>
        </is>
      </c>
      <c r="I597" s="5" t="n">
        <v>500</v>
      </c>
      <c r="J597" s="5" t="n">
        <v>400</v>
      </c>
      <c r="K597" s="9">
        <f>IF(AND(ISNUMBER(I597),ISNUMBER(J597),J597&gt;0),I597/J597,"")</f>
        <v/>
      </c>
      <c r="L597" s="5" t="n">
        <v>20.003</v>
      </c>
      <c r="M597" s="5" t="n"/>
      <c r="N597" s="5" t="n">
        <v>26.6</v>
      </c>
      <c r="O597" s="5" t="inlineStr">
        <is>
          <t>closed outline</t>
        </is>
      </c>
      <c r="P597" s="5" t="inlineStr">
        <is>
          <t>closed rectangular outline around a column/wall or next to an S/SC label</t>
        </is>
      </c>
      <c r="Q597" s="5">
        <f>IF(OR(D597="column",D597="wall"),IF(I597&lt;='P vs V'!$B$3*J597,"column","wall"),"")</f>
        <v/>
      </c>
      <c r="R597" s="5" t="inlineStr"/>
      <c r="S597" s="5" t="inlineStr">
        <is>
          <t>wall</t>
        </is>
      </c>
      <c r="T597" s="5" t="n">
        <v>3</v>
      </c>
      <c r="U597" s="5" t="inlineStr">
        <is>
          <t>no</t>
        </is>
      </c>
      <c r="V597" s="5" t="inlineStr">
        <is>
          <t>no</t>
        </is>
      </c>
      <c r="W597" s="5" t="inlineStr">
        <is>
          <t>yes</t>
        </is>
      </c>
      <c r="X597" s="5" t="inlineStr">
        <is>
          <t>no</t>
        </is>
      </c>
      <c r="Y597" s="5" t="inlineStr">
        <is>
          <t>yes</t>
        </is>
      </c>
      <c r="Z597" s="5" t="inlineStr">
        <is>
          <t>no</t>
        </is>
      </c>
      <c r="AA597" s="5" t="n">
        <v>1.03</v>
      </c>
      <c r="AB597" s="5" t="n"/>
      <c r="AC597" s="5" t="n"/>
      <c r="AD597" s="5" t="n"/>
      <c r="AE597" s="5" t="n">
        <v>1784.4</v>
      </c>
      <c r="AF597" s="5" t="n">
        <v>2940.1</v>
      </c>
      <c r="AG597" s="5" t="n">
        <v>1969.3</v>
      </c>
      <c r="AH597" s="5" t="n">
        <v>3111.9</v>
      </c>
      <c r="AI597" s="5" t="inlineStr">
        <is>
          <t>yes</t>
        </is>
      </c>
      <c r="AJ597" s="5" t="inlineStr">
        <is>
          <t>isolated_footing</t>
        </is>
      </c>
      <c r="AK597" s="5" t="inlineStr"/>
      <c r="AL597" s="5" t="inlineStr">
        <is>
          <t>(0.72, 0.72, 0.0)</t>
        </is>
      </c>
      <c r="AM597" s="5" t="inlineStr">
        <is>
          <t>DM-SEMELLES</t>
        </is>
      </c>
    </row>
    <row r="598">
      <c r="A598" s="5" t="n">
        <v>597</v>
      </c>
      <c r="B598" s="5" t="inlineStr">
        <is>
          <t>127</t>
        </is>
      </c>
      <c r="C598" s="5" t="inlineStr">
        <is>
          <t>own label</t>
        </is>
      </c>
      <c r="D598" s="5" t="inlineStr">
        <is>
          <t>footing</t>
        </is>
      </c>
      <c r="E598" s="5" t="inlineStr">
        <is>
          <t>isolated_footing</t>
        </is>
      </c>
      <c r="F598" s="5" t="inlineStr">
        <is>
          <t>S16</t>
        </is>
      </c>
      <c r="G598" s="5" t="inlineStr">
        <is>
          <t>S16-127</t>
        </is>
      </c>
      <c r="H598" s="5" t="inlineStr">
        <is>
          <t>printed</t>
        </is>
      </c>
      <c r="I598" s="5" t="n">
        <v>600</v>
      </c>
      <c r="J598" s="5" t="n">
        <v>400</v>
      </c>
      <c r="K598" s="9">
        <f>IF(AND(ISNUMBER(I598),ISNUMBER(J598),J598&gt;0),I598/J598,"")</f>
        <v/>
      </c>
      <c r="L598" s="5" t="n">
        <v>24.005</v>
      </c>
      <c r="M598" s="5" t="n"/>
      <c r="N598" s="5" t="n">
        <v>116.6</v>
      </c>
      <c r="O598" s="5" t="inlineStr">
        <is>
          <t>closed outline</t>
        </is>
      </c>
      <c r="P598" s="5" t="inlineStr">
        <is>
          <t>closed rectangular outline around a column/wall or next to an S/SC label</t>
        </is>
      </c>
      <c r="Q598" s="5">
        <f>IF(OR(D598="column",D598="wall"),IF(I598&lt;='P vs V'!$B$3*J598,"column","wall"),"")</f>
        <v/>
      </c>
      <c r="R598" s="5" t="inlineStr"/>
      <c r="S598" s="5" t="inlineStr">
        <is>
          <t>wall</t>
        </is>
      </c>
      <c r="T598" s="5" t="n">
        <v>8</v>
      </c>
      <c r="U598" s="5" t="inlineStr">
        <is>
          <t>no</t>
        </is>
      </c>
      <c r="V598" s="5" t="inlineStr">
        <is>
          <t>no</t>
        </is>
      </c>
      <c r="W598" s="5" t="inlineStr">
        <is>
          <t>yes</t>
        </is>
      </c>
      <c r="X598" s="5" t="inlineStr">
        <is>
          <t>no</t>
        </is>
      </c>
      <c r="Y598" s="5" t="inlineStr">
        <is>
          <t>yes</t>
        </is>
      </c>
      <c r="Z598" s="5" t="inlineStr">
        <is>
          <t>yes</t>
        </is>
      </c>
      <c r="AA598" s="5" t="n">
        <v>0.1</v>
      </c>
      <c r="AB598" s="5" t="n"/>
      <c r="AC598" s="5" t="n"/>
      <c r="AD598" s="5" t="n"/>
      <c r="AE598" s="5" t="n">
        <v>2148.6</v>
      </c>
      <c r="AF598" s="5" t="n">
        <v>2864.4</v>
      </c>
      <c r="AG598" s="5" t="n">
        <v>2333.6</v>
      </c>
      <c r="AH598" s="5" t="n">
        <v>3075.7</v>
      </c>
      <c r="AI598" s="5" t="inlineStr">
        <is>
          <t>yes</t>
        </is>
      </c>
      <c r="AJ598" s="5" t="inlineStr">
        <is>
          <t>isolated_footing</t>
        </is>
      </c>
      <c r="AK598" s="5" t="inlineStr"/>
      <c r="AL598" s="5" t="inlineStr">
        <is>
          <t>(1.0, 0.0, 0.0)</t>
        </is>
      </c>
      <c r="AM598" s="5" t="inlineStr">
        <is>
          <t>DM-SEMELLES</t>
        </is>
      </c>
    </row>
    <row r="599">
      <c r="A599" s="5" t="n">
        <v>598</v>
      </c>
      <c r="B599" s="5" t="inlineStr">
        <is>
          <t>127</t>
        </is>
      </c>
      <c r="C599" s="5" t="inlineStr">
        <is>
          <t>own label</t>
        </is>
      </c>
      <c r="D599" s="5" t="inlineStr">
        <is>
          <t>footing</t>
        </is>
      </c>
      <c r="E599" s="5" t="inlineStr">
        <is>
          <t>isolated_footing</t>
        </is>
      </c>
      <c r="F599" s="5" t="inlineStr">
        <is>
          <t>S16</t>
        </is>
      </c>
      <c r="G599" s="5" t="inlineStr">
        <is>
          <t>S16-127</t>
        </is>
      </c>
      <c r="H599" s="5" t="inlineStr">
        <is>
          <t>printed</t>
        </is>
      </c>
      <c r="I599" s="5" t="n">
        <v>600</v>
      </c>
      <c r="J599" s="5" t="n">
        <v>400</v>
      </c>
      <c r="K599" s="9">
        <f>IF(AND(ISNUMBER(I599),ISNUMBER(J599),J599&gt;0),I599/J599,"")</f>
        <v/>
      </c>
      <c r="L599" s="5" t="n">
        <v>23.997</v>
      </c>
      <c r="M599" s="5" t="n"/>
      <c r="N599" s="5" t="n">
        <v>116.6</v>
      </c>
      <c r="O599" s="5" t="inlineStr">
        <is>
          <t>closed outline</t>
        </is>
      </c>
      <c r="P599" s="5" t="inlineStr">
        <is>
          <t>closed rectangular outline around a column/wall or next to an S/SC label</t>
        </is>
      </c>
      <c r="Q599" s="5">
        <f>IF(OR(D599="column",D599="wall"),IF(I599&lt;='P vs V'!$B$3*J599,"column","wall"),"")</f>
        <v/>
      </c>
      <c r="R599" s="5" t="inlineStr"/>
      <c r="S599" s="5" t="inlineStr">
        <is>
          <t>wall</t>
        </is>
      </c>
      <c r="T599" s="5" t="n">
        <v>2</v>
      </c>
      <c r="U599" s="5" t="inlineStr">
        <is>
          <t>no</t>
        </is>
      </c>
      <c r="V599" s="5" t="inlineStr">
        <is>
          <t>no</t>
        </is>
      </c>
      <c r="W599" s="5" t="inlineStr">
        <is>
          <t>yes</t>
        </is>
      </c>
      <c r="X599" s="5" t="inlineStr">
        <is>
          <t>no</t>
        </is>
      </c>
      <c r="Y599" s="5" t="inlineStr">
        <is>
          <t>yes</t>
        </is>
      </c>
      <c r="Z599" s="5" t="inlineStr">
        <is>
          <t>yes</t>
        </is>
      </c>
      <c r="AA599" s="5" t="n">
        <v>0.02</v>
      </c>
      <c r="AB599" s="5" t="n"/>
      <c r="AC599" s="5" t="n"/>
      <c r="AD599" s="5" t="n"/>
      <c r="AE599" s="5" t="n">
        <v>1928.1</v>
      </c>
      <c r="AF599" s="5" t="n">
        <v>2761.5</v>
      </c>
      <c r="AG599" s="5" t="n">
        <v>2113.1</v>
      </c>
      <c r="AH599" s="5" t="n">
        <v>2972.9</v>
      </c>
      <c r="AI599" s="5" t="inlineStr">
        <is>
          <t>yes</t>
        </is>
      </c>
      <c r="AJ599" s="5" t="inlineStr">
        <is>
          <t>isolated_footing</t>
        </is>
      </c>
      <c r="AK599" s="5" t="inlineStr"/>
      <c r="AL599" s="5" t="inlineStr">
        <is>
          <t>(1.0, 0.0, 0.0)</t>
        </is>
      </c>
      <c r="AM599" s="5" t="inlineStr">
        <is>
          <t>DM-SEMELLES</t>
        </is>
      </c>
    </row>
    <row r="600">
      <c r="A600" s="5" t="n">
        <v>599</v>
      </c>
      <c r="B600" s="5" t="inlineStr">
        <is>
          <t>127</t>
        </is>
      </c>
      <c r="C600" s="5" t="inlineStr">
        <is>
          <t>own label</t>
        </is>
      </c>
      <c r="D600" s="5" t="inlineStr">
        <is>
          <t>footing</t>
        </is>
      </c>
      <c r="E600" s="5" t="inlineStr">
        <is>
          <t>isolated_footing</t>
        </is>
      </c>
      <c r="F600" s="5" t="inlineStr">
        <is>
          <t>S2</t>
        </is>
      </c>
      <c r="G600" s="5" t="inlineStr">
        <is>
          <t>S2-127127</t>
        </is>
      </c>
      <c r="H600" s="5" t="inlineStr">
        <is>
          <t>printed</t>
        </is>
      </c>
      <c r="I600" s="5" t="n">
        <v>350</v>
      </c>
      <c r="J600" s="5" t="n">
        <v>200</v>
      </c>
      <c r="K600" s="9">
        <f>IF(AND(ISNUMBER(I600),ISNUMBER(J600),J600&gt;0),I600/J600,"")</f>
        <v/>
      </c>
      <c r="L600" s="5" t="n">
        <v>7.004</v>
      </c>
      <c r="M600" s="5" t="n"/>
      <c r="N600" s="5" t="n">
        <v>116.6</v>
      </c>
      <c r="O600" s="5" t="inlineStr">
        <is>
          <t>closed outline</t>
        </is>
      </c>
      <c r="P600" s="5" t="inlineStr">
        <is>
          <t>closed rectangular outline around a column/wall or next to an S/SC label</t>
        </is>
      </c>
      <c r="Q600" s="5">
        <f>IF(OR(D600="column",D600="wall"),IF(I600&lt;='P vs V'!$B$3*J600,"column","wall"),"")</f>
        <v/>
      </c>
      <c r="R600" s="5" t="inlineStr"/>
      <c r="S600" s="5" t="inlineStr">
        <is>
          <t>wall</t>
        </is>
      </c>
      <c r="T600" s="5" t="n">
        <v>56</v>
      </c>
      <c r="U600" s="5" t="inlineStr">
        <is>
          <t>no</t>
        </is>
      </c>
      <c r="V600" s="5" t="inlineStr">
        <is>
          <t>no</t>
        </is>
      </c>
      <c r="W600" s="5" t="inlineStr">
        <is>
          <t>yes</t>
        </is>
      </c>
      <c r="X600" s="5" t="inlineStr">
        <is>
          <t>no</t>
        </is>
      </c>
      <c r="Y600" s="5" t="inlineStr">
        <is>
          <t>yes</t>
        </is>
      </c>
      <c r="Z600" s="5" t="inlineStr">
        <is>
          <t>yes</t>
        </is>
      </c>
      <c r="AA600" s="5" t="n">
        <v>1.56</v>
      </c>
      <c r="AB600" s="5" t="n"/>
      <c r="AC600" s="5" t="n"/>
      <c r="AD600" s="5" t="n"/>
      <c r="AE600" s="5" t="n">
        <v>2349.5</v>
      </c>
      <c r="AF600" s="5" t="n">
        <v>2704.3</v>
      </c>
      <c r="AG600" s="5" t="n">
        <v>2448.6</v>
      </c>
      <c r="AH600" s="5" t="n">
        <v>2823.2</v>
      </c>
      <c r="AI600" s="5" t="inlineStr">
        <is>
          <t>yes</t>
        </is>
      </c>
      <c r="AJ600" s="5" t="inlineStr">
        <is>
          <t>isolated_footing</t>
        </is>
      </c>
      <c r="AK600" s="5" t="inlineStr"/>
      <c r="AL600" s="5" t="inlineStr">
        <is>
          <t>(0.72, 0.72, 0.0)</t>
        </is>
      </c>
      <c r="AM600" s="5" t="inlineStr">
        <is>
          <t>DM-SEMELLES</t>
        </is>
      </c>
    </row>
    <row r="601">
      <c r="A601" s="5" t="n">
        <v>600</v>
      </c>
      <c r="B601" s="5" t="inlineStr">
        <is>
          <t>127</t>
        </is>
      </c>
      <c r="C601" s="5" t="inlineStr">
        <is>
          <t>own label</t>
        </is>
      </c>
      <c r="D601" s="5" t="inlineStr">
        <is>
          <t>footing</t>
        </is>
      </c>
      <c r="E601" s="5" t="inlineStr">
        <is>
          <t>isolated_footing</t>
        </is>
      </c>
      <c r="F601" s="5" t="inlineStr">
        <is>
          <t>S2</t>
        </is>
      </c>
      <c r="G601" s="5" t="inlineStr">
        <is>
          <t>S2-127</t>
        </is>
      </c>
      <c r="H601" s="5" t="inlineStr">
        <is>
          <t>printed</t>
        </is>
      </c>
      <c r="I601" s="5" t="n">
        <v>350</v>
      </c>
      <c r="J601" s="5" t="n">
        <v>200</v>
      </c>
      <c r="K601" s="9">
        <f>IF(AND(ISNUMBER(I601),ISNUMBER(J601),J601&gt;0),I601/J601,"")</f>
        <v/>
      </c>
      <c r="L601" s="5" t="n">
        <v>7.004</v>
      </c>
      <c r="M601" s="5" t="n"/>
      <c r="N601" s="5" t="n">
        <v>116.6</v>
      </c>
      <c r="O601" s="5" t="inlineStr">
        <is>
          <t>closed outline</t>
        </is>
      </c>
      <c r="P601" s="5" t="inlineStr">
        <is>
          <t>closed rectangular outline around a column/wall or next to an S/SC label</t>
        </is>
      </c>
      <c r="Q601" s="5">
        <f>IF(OR(D601="column",D601="wall"),IF(I601&lt;='P vs V'!$B$3*J601,"column","wall"),"")</f>
        <v/>
      </c>
      <c r="R601" s="5" t="inlineStr"/>
      <c r="S601" s="5" t="inlineStr">
        <is>
          <t>column</t>
        </is>
      </c>
      <c r="T601" s="5" t="n">
        <v>0</v>
      </c>
      <c r="U601" s="5" t="inlineStr">
        <is>
          <t>no</t>
        </is>
      </c>
      <c r="V601" s="5" t="inlineStr">
        <is>
          <t>no</t>
        </is>
      </c>
      <c r="W601" s="5" t="inlineStr">
        <is>
          <t>yes</t>
        </is>
      </c>
      <c r="X601" s="5" t="inlineStr">
        <is>
          <t>no</t>
        </is>
      </c>
      <c r="Y601" s="5" t="inlineStr">
        <is>
          <t>yes</t>
        </is>
      </c>
      <c r="Z601" s="5" t="inlineStr">
        <is>
          <t>yes</t>
        </is>
      </c>
      <c r="AA601" s="5" t="n">
        <v>2.95</v>
      </c>
      <c r="AB601" s="5" t="n"/>
      <c r="AC601" s="5" t="n"/>
      <c r="AD601" s="5" t="n"/>
      <c r="AE601" s="5" t="n">
        <v>2247.2</v>
      </c>
      <c r="AF601" s="5" t="n">
        <v>3000.4</v>
      </c>
      <c r="AG601" s="5" t="n">
        <v>2346.3</v>
      </c>
      <c r="AH601" s="5" t="n">
        <v>3119.2</v>
      </c>
      <c r="AI601" s="5" t="inlineStr">
        <is>
          <t>yes</t>
        </is>
      </c>
      <c r="AJ601" s="5" t="inlineStr">
        <is>
          <t>isolated_footing</t>
        </is>
      </c>
      <c r="AK601" s="5" t="inlineStr"/>
      <c r="AL601" s="5" t="inlineStr">
        <is>
          <t>(0.72, 0.72, 0.0)</t>
        </is>
      </c>
      <c r="AM601" s="5" t="inlineStr">
        <is>
          <t>DM-SEMELLES</t>
        </is>
      </c>
    </row>
    <row r="602">
      <c r="A602" s="5" t="n">
        <v>601</v>
      </c>
      <c r="B602" s="5" t="inlineStr">
        <is>
          <t>127</t>
        </is>
      </c>
      <c r="C602" s="5" t="inlineStr">
        <is>
          <t>own label</t>
        </is>
      </c>
      <c r="D602" s="5" t="inlineStr">
        <is>
          <t>footing</t>
        </is>
      </c>
      <c r="E602" s="5" t="inlineStr">
        <is>
          <t>isolated_footing</t>
        </is>
      </c>
      <c r="F602" s="5" t="inlineStr">
        <is>
          <t>S2</t>
        </is>
      </c>
      <c r="G602" s="5" t="inlineStr">
        <is>
          <t>S2-127127</t>
        </is>
      </c>
      <c r="H602" s="5" t="inlineStr">
        <is>
          <t>printed</t>
        </is>
      </c>
      <c r="I602" s="5" t="n">
        <v>350</v>
      </c>
      <c r="J602" s="5" t="n">
        <v>200</v>
      </c>
      <c r="K602" s="9">
        <f>IF(AND(ISNUMBER(I602),ISNUMBER(J602),J602&gt;0),I602/J602,"")</f>
        <v/>
      </c>
      <c r="L602" s="5" t="n">
        <v>6.997</v>
      </c>
      <c r="M602" s="5" t="n"/>
      <c r="N602" s="5" t="n">
        <v>116.6</v>
      </c>
      <c r="O602" s="5" t="inlineStr">
        <is>
          <t>closed outline</t>
        </is>
      </c>
      <c r="P602" s="5" t="inlineStr">
        <is>
          <t>closed rectangular outline around a column/wall or next to an S/SC label</t>
        </is>
      </c>
      <c r="Q602" s="5">
        <f>IF(OR(D602="column",D602="wall"),IF(I602&lt;='P vs V'!$B$3*J602,"column","wall"),"")</f>
        <v/>
      </c>
      <c r="R602" s="5" t="inlineStr"/>
      <c r="S602" s="5" t="inlineStr">
        <is>
          <t>wall</t>
        </is>
      </c>
      <c r="T602" s="5" t="n">
        <v>31</v>
      </c>
      <c r="U602" s="5" t="inlineStr">
        <is>
          <t>no</t>
        </is>
      </c>
      <c r="V602" s="5" t="inlineStr">
        <is>
          <t>no</t>
        </is>
      </c>
      <c r="W602" s="5" t="inlineStr">
        <is>
          <t>yes</t>
        </is>
      </c>
      <c r="X602" s="5" t="inlineStr">
        <is>
          <t>no</t>
        </is>
      </c>
      <c r="Y602" s="5" t="inlineStr">
        <is>
          <t>yes</t>
        </is>
      </c>
      <c r="Z602" s="5" t="inlineStr">
        <is>
          <t>yes</t>
        </is>
      </c>
      <c r="AA602" s="5" t="n">
        <v>0.18</v>
      </c>
      <c r="AB602" s="5" t="n"/>
      <c r="AC602" s="5" t="n"/>
      <c r="AD602" s="5" t="n"/>
      <c r="AE602" s="5" t="n">
        <v>2125.2</v>
      </c>
      <c r="AF602" s="5" t="n">
        <v>2591.8</v>
      </c>
      <c r="AG602" s="5" t="n">
        <v>2224.3</v>
      </c>
      <c r="AH602" s="5" t="n">
        <v>2710.7</v>
      </c>
      <c r="AI602" s="5" t="inlineStr">
        <is>
          <t>yes</t>
        </is>
      </c>
      <c r="AJ602" s="5" t="inlineStr">
        <is>
          <t>isolated_footing</t>
        </is>
      </c>
      <c r="AK602" s="5" t="inlineStr"/>
      <c r="AL602" s="5" t="inlineStr">
        <is>
          <t>(0.72, 0.72, 0.0)</t>
        </is>
      </c>
      <c r="AM602" s="5" t="inlineStr">
        <is>
          <t>DM-SEMELLES</t>
        </is>
      </c>
    </row>
    <row r="603">
      <c r="A603" s="5" t="n">
        <v>602</v>
      </c>
      <c r="B603" s="5" t="inlineStr">
        <is>
          <t>127</t>
        </is>
      </c>
      <c r="C603" s="5" t="inlineStr">
        <is>
          <t>nearest labels (80% agree)</t>
        </is>
      </c>
      <c r="D603" s="5" t="inlineStr">
        <is>
          <t>mass_concrete_pad</t>
        </is>
      </c>
      <c r="E603" s="5" t="inlineStr">
        <is>
          <t>mass_concrete_pad</t>
        </is>
      </c>
      <c r="F603" s="5" t="inlineStr">
        <is>
          <t>(none)</t>
        </is>
      </c>
      <c r="G603" s="5" t="inlineStr"/>
      <c r="H603" s="5" t="inlineStr">
        <is>
          <t>none</t>
        </is>
      </c>
      <c r="I603" s="5" t="n">
        <v>60</v>
      </c>
      <c r="J603" s="5" t="n">
        <v>60</v>
      </c>
      <c r="K603" s="9">
        <f>IF(AND(ISNUMBER(I603),ISNUMBER(J603),J603&gt;0),I603/J603,"")</f>
        <v/>
      </c>
      <c r="L603" s="5" t="n">
        <v>0.361</v>
      </c>
      <c r="M603" s="5" t="n"/>
      <c r="N603" s="5" t="n">
        <v>26.6</v>
      </c>
      <c r="O603" s="5" t="inlineStr">
        <is>
          <t>closed outline + stipple</t>
        </is>
      </c>
      <c r="P603" s="5" t="inlineStr">
        <is>
          <t>small closed square filled with stipple dots, no label</t>
        </is>
      </c>
      <c r="Q603" s="5">
        <f>IF(OR(D603="column",D603="wall"),IF(I603&lt;='P vs V'!$B$3*J603,"column","wall"),"")</f>
        <v/>
      </c>
      <c r="R603" s="5" t="inlineStr"/>
      <c r="S603" s="5" t="inlineStr"/>
      <c r="T603" s="5" t="n"/>
      <c r="U603" s="5" t="inlineStr">
        <is>
          <t>no</t>
        </is>
      </c>
      <c r="V603" s="5" t="inlineStr">
        <is>
          <t>no</t>
        </is>
      </c>
      <c r="W603" s="5" t="inlineStr">
        <is>
          <t>no</t>
        </is>
      </c>
      <c r="X603" s="5" t="inlineStr">
        <is>
          <t>no</t>
        </is>
      </c>
      <c r="Y603" s="5" t="inlineStr">
        <is>
          <t>yes</t>
        </is>
      </c>
      <c r="Z603" s="5" t="inlineStr">
        <is>
          <t>no</t>
        </is>
      </c>
      <c r="AA603" s="5" t="n">
        <v>5.69</v>
      </c>
      <c r="AB603" s="5" t="n"/>
      <c r="AC603" s="5" t="n">
        <v>54</v>
      </c>
      <c r="AD603" s="5" t="n"/>
      <c r="AE603" s="5" t="n">
        <v>2500.7</v>
      </c>
      <c r="AF603" s="5" t="n">
        <v>2797.5</v>
      </c>
      <c r="AG603" s="5" t="n">
        <v>2524.6</v>
      </c>
      <c r="AH603" s="5" t="n">
        <v>2821.3</v>
      </c>
      <c r="AI603" s="5" t="inlineStr">
        <is>
          <t>yes</t>
        </is>
      </c>
      <c r="AJ603" s="5" t="inlineStr">
        <is>
          <t>mass_concrete_pad</t>
        </is>
      </c>
      <c r="AK603" s="5" t="inlineStr"/>
      <c r="AL603" s="5" t="inlineStr">
        <is>
          <t>(0.5, 0.5, 0.5)</t>
        </is>
      </c>
      <c r="AM603" s="5" t="inlineStr">
        <is>
          <t>DM-MGB</t>
        </is>
      </c>
    </row>
    <row r="604">
      <c r="A604" s="5" t="n">
        <v>603</v>
      </c>
      <c r="B604" s="5" t="inlineStr">
        <is>
          <t>127</t>
        </is>
      </c>
      <c r="C604" s="5" t="inlineStr">
        <is>
          <t>nearest labels (100% agree)</t>
        </is>
      </c>
      <c r="D604" s="5" t="inlineStr">
        <is>
          <t>mass_concrete_pad</t>
        </is>
      </c>
      <c r="E604" s="5" t="inlineStr">
        <is>
          <t>mass_concrete_pad</t>
        </is>
      </c>
      <c r="F604" s="5" t="inlineStr">
        <is>
          <t>(none)</t>
        </is>
      </c>
      <c r="G604" s="5" t="inlineStr"/>
      <c r="H604" s="5" t="inlineStr">
        <is>
          <t>none</t>
        </is>
      </c>
      <c r="I604" s="5" t="n">
        <v>60</v>
      </c>
      <c r="J604" s="5" t="n">
        <v>60</v>
      </c>
      <c r="K604" s="9">
        <f>IF(AND(ISNUMBER(I604),ISNUMBER(J604),J604&gt;0),I604/J604,"")</f>
        <v/>
      </c>
      <c r="L604" s="5" t="n">
        <v>0.36</v>
      </c>
      <c r="M604" s="5" t="n"/>
      <c r="N604" s="5" t="n">
        <v>116.6</v>
      </c>
      <c r="O604" s="5" t="inlineStr">
        <is>
          <t>closed outline + stipple</t>
        </is>
      </c>
      <c r="P604" s="5" t="inlineStr">
        <is>
          <t>small closed square filled with stipple dots, no label</t>
        </is>
      </c>
      <c r="Q604" s="5">
        <f>IF(OR(D604="column",D604="wall"),IF(I604&lt;='P vs V'!$B$3*J604,"column","wall"),"")</f>
        <v/>
      </c>
      <c r="R604" s="5" t="inlineStr"/>
      <c r="S604" s="5" t="inlineStr"/>
      <c r="T604" s="5" t="n"/>
      <c r="U604" s="5" t="inlineStr">
        <is>
          <t>no</t>
        </is>
      </c>
      <c r="V604" s="5" t="inlineStr">
        <is>
          <t>no</t>
        </is>
      </c>
      <c r="W604" s="5" t="inlineStr">
        <is>
          <t>no</t>
        </is>
      </c>
      <c r="X604" s="5" t="inlineStr">
        <is>
          <t>no</t>
        </is>
      </c>
      <c r="Y604" s="5" t="inlineStr">
        <is>
          <t>yes</t>
        </is>
      </c>
      <c r="Z604" s="5" t="inlineStr">
        <is>
          <t>no</t>
        </is>
      </c>
      <c r="AA604" s="5" t="n">
        <v>2.82</v>
      </c>
      <c r="AB604" s="5" t="n"/>
      <c r="AC604" s="5" t="n">
        <v>55</v>
      </c>
      <c r="AD604" s="5" t="n"/>
      <c r="AE604" s="5" t="n">
        <v>2276.2</v>
      </c>
      <c r="AF604" s="5" t="n">
        <v>2684.5</v>
      </c>
      <c r="AG604" s="5" t="n">
        <v>2299.9</v>
      </c>
      <c r="AH604" s="5" t="n">
        <v>2708.3</v>
      </c>
      <c r="AI604" s="5" t="inlineStr">
        <is>
          <t>yes</t>
        </is>
      </c>
      <c r="AJ604" s="5" t="inlineStr">
        <is>
          <t>mass_concrete_pad</t>
        </is>
      </c>
      <c r="AK604" s="5" t="inlineStr"/>
      <c r="AL604" s="5" t="inlineStr">
        <is>
          <t>(0.5, 0.5, 0.5)</t>
        </is>
      </c>
      <c r="AM604" s="5" t="inlineStr">
        <is>
          <t>DM-MGB</t>
        </is>
      </c>
    </row>
    <row r="605">
      <c r="A605" s="5" t="n">
        <v>604</v>
      </c>
      <c r="B605" s="5" t="inlineStr">
        <is>
          <t>127</t>
        </is>
      </c>
      <c r="C605" s="5" t="inlineStr">
        <is>
          <t>nearest labels (80% agree)</t>
        </is>
      </c>
      <c r="D605" s="5" t="inlineStr">
        <is>
          <t>mass_concrete_pad</t>
        </is>
      </c>
      <c r="E605" s="5" t="inlineStr">
        <is>
          <t>mass_concrete_pad</t>
        </is>
      </c>
      <c r="F605" s="5" t="inlineStr">
        <is>
          <t>(none)</t>
        </is>
      </c>
      <c r="G605" s="5" t="inlineStr"/>
      <c r="H605" s="5" t="inlineStr">
        <is>
          <t>none</t>
        </is>
      </c>
      <c r="I605" s="5" t="n">
        <v>60</v>
      </c>
      <c r="J605" s="5" t="n">
        <v>60</v>
      </c>
      <c r="K605" s="9">
        <f>IF(AND(ISNUMBER(I605),ISNUMBER(J605),J605&gt;0),I605/J605,"")</f>
        <v/>
      </c>
      <c r="L605" s="5" t="n">
        <v>0.36</v>
      </c>
      <c r="M605" s="5" t="n"/>
      <c r="N605" s="5" t="n">
        <v>26.7</v>
      </c>
      <c r="O605" s="5" t="inlineStr">
        <is>
          <t>closed outline + stipple</t>
        </is>
      </c>
      <c r="P605" s="5" t="inlineStr">
        <is>
          <t>small closed square filled with stipple dots, no label</t>
        </is>
      </c>
      <c r="Q605" s="5">
        <f>IF(OR(D605="column",D605="wall"),IF(I605&lt;='P vs V'!$B$3*J605,"column","wall"),"")</f>
        <v/>
      </c>
      <c r="R605" s="5" t="inlineStr"/>
      <c r="S605" s="5" t="inlineStr"/>
      <c r="T605" s="5" t="n"/>
      <c r="U605" s="5" t="inlineStr">
        <is>
          <t>no</t>
        </is>
      </c>
      <c r="V605" s="5" t="inlineStr">
        <is>
          <t>no</t>
        </is>
      </c>
      <c r="W605" s="5" t="inlineStr">
        <is>
          <t>no</t>
        </is>
      </c>
      <c r="X605" s="5" t="inlineStr">
        <is>
          <t>no</t>
        </is>
      </c>
      <c r="Y605" s="5" t="inlineStr">
        <is>
          <t>yes</t>
        </is>
      </c>
      <c r="Z605" s="5" t="inlineStr">
        <is>
          <t>no</t>
        </is>
      </c>
      <c r="AA605" s="5" t="n">
        <v>0.06</v>
      </c>
      <c r="AB605" s="5" t="n"/>
      <c r="AC605" s="5" t="n">
        <v>54</v>
      </c>
      <c r="AD605" s="5" t="n"/>
      <c r="AE605" s="5" t="n">
        <v>2053.7</v>
      </c>
      <c r="AF605" s="5" t="n">
        <v>2573.4</v>
      </c>
      <c r="AG605" s="5" t="n">
        <v>2077.6</v>
      </c>
      <c r="AH605" s="5" t="n">
        <v>2597.1</v>
      </c>
      <c r="AI605" s="5" t="inlineStr">
        <is>
          <t>yes</t>
        </is>
      </c>
      <c r="AJ605" s="5" t="inlineStr">
        <is>
          <t>mass_concrete_pad</t>
        </is>
      </c>
      <c r="AK605" s="5" t="inlineStr"/>
      <c r="AL605" s="5" t="inlineStr">
        <is>
          <t>(0.5, 0.5, 0.5)</t>
        </is>
      </c>
      <c r="AM605" s="5" t="inlineStr">
        <is>
          <t>DM-MGB</t>
        </is>
      </c>
    </row>
    <row r="606">
      <c r="A606" s="5" t="n">
        <v>605</v>
      </c>
      <c r="B606" s="5" t="inlineStr">
        <is>
          <t>127</t>
        </is>
      </c>
      <c r="C606" s="5" t="inlineStr">
        <is>
          <t>nearest labels (100% agree)</t>
        </is>
      </c>
      <c r="D606" s="5" t="inlineStr">
        <is>
          <t>grade_beam</t>
        </is>
      </c>
      <c r="E606" s="5" t="inlineStr">
        <is>
          <t>grade_beam</t>
        </is>
      </c>
      <c r="F606" s="5" t="inlineStr">
        <is>
          <t>LG25x40</t>
        </is>
      </c>
      <c r="G606" s="5" t="inlineStr"/>
      <c r="H606" s="5" t="inlineStr">
        <is>
          <t>band width matches label</t>
        </is>
      </c>
      <c r="I606" s="5" t="n">
        <v>360</v>
      </c>
      <c r="J606" s="5" t="n">
        <v>25</v>
      </c>
      <c r="K606" s="9">
        <f>IF(AND(ISNUMBER(I606),ISNUMBER(J606),J606&gt;0),I606/J606,"")</f>
        <v/>
      </c>
      <c r="L606" s="5" t="n">
        <v>0.9</v>
      </c>
      <c r="M606" s="5" t="n">
        <v>3.6</v>
      </c>
      <c r="N606" s="5" t="n">
        <v>116.6</v>
      </c>
      <c r="O606" s="5" t="inlineStr">
        <is>
          <t>parallel line pair</t>
        </is>
      </c>
      <c r="P606" s="5" t="inlineStr">
        <is>
          <t>two parallel lines at the width written in the LG label, empty inside</t>
        </is>
      </c>
      <c r="Q606" s="5">
        <f>IF(OR(D606="column",D606="wall"),IF(I606&lt;='P vs V'!$B$3*J606,"column","wall"),"")</f>
        <v/>
      </c>
      <c r="R606" s="5" t="inlineStr"/>
      <c r="S606" s="5" t="inlineStr"/>
      <c r="T606" s="5" t="n"/>
      <c r="U606" s="5" t="inlineStr">
        <is>
          <t>no</t>
        </is>
      </c>
      <c r="V606" s="5" t="inlineStr">
        <is>
          <t>no</t>
        </is>
      </c>
      <c r="W606" s="5" t="inlineStr">
        <is>
          <t>no</t>
        </is>
      </c>
      <c r="X606" s="5" t="inlineStr">
        <is>
          <t>no</t>
        </is>
      </c>
      <c r="Y606" s="5" t="inlineStr">
        <is>
          <t>no</t>
        </is>
      </c>
      <c r="Z606" s="5" t="inlineStr">
        <is>
          <t>yes</t>
        </is>
      </c>
      <c r="AA606" s="5" t="n">
        <v>0.43</v>
      </c>
      <c r="AB606" s="5" t="n"/>
      <c r="AC606" s="5" t="n"/>
      <c r="AD606" s="5" t="n"/>
      <c r="AE606" s="5" t="n">
        <v>2341.6</v>
      </c>
      <c r="AF606" s="5" t="n">
        <v>2701</v>
      </c>
      <c r="AG606" s="5" t="n">
        <v>2395.9</v>
      </c>
      <c r="AH606" s="5" t="n">
        <v>2799.3</v>
      </c>
      <c r="AI606" s="5" t="inlineStr">
        <is>
          <t>n/a</t>
        </is>
      </c>
      <c r="AJ606" s="5" t="inlineStr"/>
      <c r="AK606" s="5" t="inlineStr"/>
      <c r="AL606" s="5" t="inlineStr"/>
      <c r="AM606" s="5" t="inlineStr"/>
    </row>
    <row r="607">
      <c r="A607" s="5" t="n">
        <v>606</v>
      </c>
      <c r="B607" s="5" t="inlineStr">
        <is>
          <t>127</t>
        </is>
      </c>
      <c r="C607" s="5" t="inlineStr">
        <is>
          <t>nearest labels (100% agree)</t>
        </is>
      </c>
      <c r="D607" s="5" t="inlineStr">
        <is>
          <t>grade_beam</t>
        </is>
      </c>
      <c r="E607" s="5" t="inlineStr">
        <is>
          <t>grade_beam</t>
        </is>
      </c>
      <c r="F607" s="5" t="inlineStr">
        <is>
          <t>LG25x40</t>
        </is>
      </c>
      <c r="G607" s="5" t="inlineStr"/>
      <c r="H607" s="5" t="inlineStr">
        <is>
          <t>band width matches label</t>
        </is>
      </c>
      <c r="I607" s="5" t="n">
        <v>360</v>
      </c>
      <c r="J607" s="5" t="n">
        <v>25</v>
      </c>
      <c r="K607" s="9">
        <f>IF(AND(ISNUMBER(I607),ISNUMBER(J607),J607&gt;0),I607/J607,"")</f>
        <v/>
      </c>
      <c r="L607" s="5" t="n">
        <v>0.9</v>
      </c>
      <c r="M607" s="5" t="n">
        <v>3.6</v>
      </c>
      <c r="N607" s="5" t="n">
        <v>116.6</v>
      </c>
      <c r="O607" s="5" t="inlineStr">
        <is>
          <t>parallel line pair</t>
        </is>
      </c>
      <c r="P607" s="5" t="inlineStr">
        <is>
          <t>two parallel lines at the width written in the LG label, empty inside</t>
        </is>
      </c>
      <c r="Q607" s="5">
        <f>IF(OR(D607="column",D607="wall"),IF(I607&lt;='P vs V'!$B$3*J607,"column","wall"),"")</f>
        <v/>
      </c>
      <c r="R607" s="5" t="inlineStr"/>
      <c r="S607" s="5" t="inlineStr"/>
      <c r="T607" s="5" t="n"/>
      <c r="U607" s="5" t="inlineStr">
        <is>
          <t>no</t>
        </is>
      </c>
      <c r="V607" s="5" t="inlineStr">
        <is>
          <t>no</t>
        </is>
      </c>
      <c r="W607" s="5" t="inlineStr">
        <is>
          <t>no</t>
        </is>
      </c>
      <c r="X607" s="5" t="inlineStr">
        <is>
          <t>no</t>
        </is>
      </c>
      <c r="Y607" s="5" t="inlineStr">
        <is>
          <t>no</t>
        </is>
      </c>
      <c r="Z607" s="5" t="inlineStr">
        <is>
          <t>yes</t>
        </is>
      </c>
      <c r="AA607" s="5" t="n">
        <v>0.9399999999999999</v>
      </c>
      <c r="AB607" s="5" t="n"/>
      <c r="AC607" s="5" t="n"/>
      <c r="AD607" s="5" t="n"/>
      <c r="AE607" s="5" t="n">
        <v>2176.6</v>
      </c>
      <c r="AF607" s="5" t="n">
        <v>2618.3</v>
      </c>
      <c r="AG607" s="5" t="n">
        <v>2230.9</v>
      </c>
      <c r="AH607" s="5" t="n">
        <v>2716.6</v>
      </c>
      <c r="AI607" s="5" t="inlineStr">
        <is>
          <t>n/a</t>
        </is>
      </c>
      <c r="AJ607" s="5" t="inlineStr"/>
      <c r="AK607" s="5" t="inlineStr"/>
      <c r="AL607" s="5" t="inlineStr"/>
      <c r="AM607" s="5" t="inlineStr"/>
    </row>
    <row r="608">
      <c r="A608" s="5" t="n">
        <v>607</v>
      </c>
      <c r="B608" s="5" t="inlineStr">
        <is>
          <t>127</t>
        </is>
      </c>
      <c r="C608" s="5" t="inlineStr">
        <is>
          <t>nearest labels (100% agree)</t>
        </is>
      </c>
      <c r="D608" s="5" t="inlineStr">
        <is>
          <t>grade_beam</t>
        </is>
      </c>
      <c r="E608" s="5" t="inlineStr">
        <is>
          <t>grade_beam</t>
        </is>
      </c>
      <c r="F608" s="5" t="inlineStr">
        <is>
          <t>LG25x40</t>
        </is>
      </c>
      <c r="G608" s="5" t="inlineStr"/>
      <c r="H608" s="5" t="inlineStr">
        <is>
          <t>band width matches label</t>
        </is>
      </c>
      <c r="I608" s="5" t="n">
        <v>360</v>
      </c>
      <c r="J608" s="5" t="n">
        <v>25</v>
      </c>
      <c r="K608" s="9">
        <f>IF(AND(ISNUMBER(I608),ISNUMBER(J608),J608&gt;0),I608/J608,"")</f>
        <v/>
      </c>
      <c r="L608" s="5" t="n">
        <v>0.9</v>
      </c>
      <c r="M608" s="5" t="n">
        <v>3.6</v>
      </c>
      <c r="N608" s="5" t="n">
        <v>26.6</v>
      </c>
      <c r="O608" s="5" t="inlineStr">
        <is>
          <t>parallel line pair</t>
        </is>
      </c>
      <c r="P608" s="5" t="inlineStr">
        <is>
          <t>two parallel lines at the width written in the LG label, empty inside</t>
        </is>
      </c>
      <c r="Q608" s="5">
        <f>IF(OR(D608="column",D608="wall"),IF(I608&lt;='P vs V'!$B$3*J608,"column","wall"),"")</f>
        <v/>
      </c>
      <c r="R608" s="5" t="inlineStr"/>
      <c r="S608" s="5" t="inlineStr"/>
      <c r="T608" s="5" t="n"/>
      <c r="U608" s="5" t="inlineStr">
        <is>
          <t>no</t>
        </is>
      </c>
      <c r="V608" s="5" t="inlineStr">
        <is>
          <t>no</t>
        </is>
      </c>
      <c r="W608" s="5" t="inlineStr">
        <is>
          <t>no</t>
        </is>
      </c>
      <c r="X608" s="5" t="inlineStr">
        <is>
          <t>no</t>
        </is>
      </c>
      <c r="Y608" s="5" t="inlineStr">
        <is>
          <t>no</t>
        </is>
      </c>
      <c r="Z608" s="5" t="inlineStr">
        <is>
          <t>no</t>
        </is>
      </c>
      <c r="AA608" s="5" t="n">
        <v>2.69</v>
      </c>
      <c r="AB608" s="5" t="n"/>
      <c r="AC608" s="5" t="n"/>
      <c r="AD608" s="5" t="n"/>
      <c r="AE608" s="5" t="n">
        <v>2195.7</v>
      </c>
      <c r="AF608" s="5" t="n">
        <v>2764.2</v>
      </c>
      <c r="AG608" s="5" t="n">
        <v>2294</v>
      </c>
      <c r="AH608" s="5" t="n">
        <v>2818.4</v>
      </c>
      <c r="AI608" s="5" t="inlineStr">
        <is>
          <t>n/a</t>
        </is>
      </c>
      <c r="AJ608" s="5" t="inlineStr"/>
      <c r="AK608" s="5" t="inlineStr"/>
      <c r="AL608" s="5" t="inlineStr"/>
      <c r="AM608" s="5" t="inlineStr"/>
    </row>
    <row r="609">
      <c r="A609" s="5" t="n">
        <v>608</v>
      </c>
      <c r="B609" s="5" t="inlineStr">
        <is>
          <t>127</t>
        </is>
      </c>
      <c r="C609" s="5" t="inlineStr">
        <is>
          <t>nearest labels (100% agree)</t>
        </is>
      </c>
      <c r="D609" s="5" t="inlineStr">
        <is>
          <t>grade_beam</t>
        </is>
      </c>
      <c r="E609" s="5" t="inlineStr">
        <is>
          <t>grade_beam</t>
        </is>
      </c>
      <c r="F609" s="5" t="inlineStr">
        <is>
          <t>LG25x40</t>
        </is>
      </c>
      <c r="G609" s="5" t="inlineStr"/>
      <c r="H609" s="5" t="inlineStr">
        <is>
          <t>band width matches label</t>
        </is>
      </c>
      <c r="I609" s="5" t="n">
        <v>360</v>
      </c>
      <c r="J609" s="5" t="n">
        <v>25</v>
      </c>
      <c r="K609" s="9">
        <f>IF(AND(ISNUMBER(I609),ISNUMBER(J609),J609&gt;0),I609/J609,"")</f>
        <v/>
      </c>
      <c r="L609" s="5" t="n">
        <v>0.9</v>
      </c>
      <c r="M609" s="5" t="n">
        <v>3.6</v>
      </c>
      <c r="N609" s="5" t="n">
        <v>26.6</v>
      </c>
      <c r="O609" s="5" t="inlineStr">
        <is>
          <t>parallel line pair</t>
        </is>
      </c>
      <c r="P609" s="5" t="inlineStr">
        <is>
          <t>two parallel lines at the width written in the LG label, empty inside</t>
        </is>
      </c>
      <c r="Q609" s="5">
        <f>IF(OR(D609="column",D609="wall"),IF(I609&lt;='P vs V'!$B$3*J609,"column","wall"),"")</f>
        <v/>
      </c>
      <c r="R609" s="5" t="inlineStr"/>
      <c r="S609" s="5" t="inlineStr"/>
      <c r="T609" s="5" t="n"/>
      <c r="U609" s="5" t="inlineStr">
        <is>
          <t>no</t>
        </is>
      </c>
      <c r="V609" s="5" t="inlineStr">
        <is>
          <t>no</t>
        </is>
      </c>
      <c r="W609" s="5" t="inlineStr">
        <is>
          <t>no</t>
        </is>
      </c>
      <c r="X609" s="5" t="inlineStr">
        <is>
          <t>no</t>
        </is>
      </c>
      <c r="Y609" s="5" t="inlineStr">
        <is>
          <t>no</t>
        </is>
      </c>
      <c r="Z609" s="5" t="inlineStr">
        <is>
          <t>no</t>
        </is>
      </c>
      <c r="AA609" s="5" t="n">
        <v>2.69</v>
      </c>
      <c r="AB609" s="5" t="n"/>
      <c r="AC609" s="5" t="n"/>
      <c r="AD609" s="5" t="n"/>
      <c r="AE609" s="5" t="n">
        <v>2278.4</v>
      </c>
      <c r="AF609" s="5" t="n">
        <v>2599.2</v>
      </c>
      <c r="AG609" s="5" t="n">
        <v>2376.8</v>
      </c>
      <c r="AH609" s="5" t="n">
        <v>2653.4</v>
      </c>
      <c r="AI609" s="5" t="inlineStr">
        <is>
          <t>n/a</t>
        </is>
      </c>
      <c r="AJ609" s="5" t="inlineStr"/>
      <c r="AK609" s="5" t="inlineStr"/>
      <c r="AL609" s="5" t="inlineStr"/>
      <c r="AM609" s="5" t="inlineStr"/>
    </row>
    <row r="610">
      <c r="A610" s="5" t="n">
        <v>609</v>
      </c>
      <c r="B610" s="5" t="inlineStr">
        <is>
          <t>127</t>
        </is>
      </c>
      <c r="C610" s="5" t="inlineStr">
        <is>
          <t>nearest labels (100% agree)</t>
        </is>
      </c>
      <c r="D610" s="5" t="inlineStr">
        <is>
          <t>grade_beam</t>
        </is>
      </c>
      <c r="E610" s="5" t="inlineStr">
        <is>
          <t>grade_beam</t>
        </is>
      </c>
      <c r="F610" s="5" t="inlineStr">
        <is>
          <t>LG25x40</t>
        </is>
      </c>
      <c r="G610" s="5" t="inlineStr"/>
      <c r="H610" s="5" t="inlineStr">
        <is>
          <t>band width matches label</t>
        </is>
      </c>
      <c r="I610" s="5" t="n">
        <v>360</v>
      </c>
      <c r="J610" s="5" t="n">
        <v>25</v>
      </c>
      <c r="K610" s="9">
        <f>IF(AND(ISNUMBER(I610),ISNUMBER(J610),J610&gt;0),I610/J610,"")</f>
        <v/>
      </c>
      <c r="L610" s="5" t="n">
        <v>0.9</v>
      </c>
      <c r="M610" s="5" t="n">
        <v>3.6</v>
      </c>
      <c r="N610" s="5" t="n">
        <v>116.6</v>
      </c>
      <c r="O610" s="5" t="inlineStr">
        <is>
          <t>parallel line pair</t>
        </is>
      </c>
      <c r="P610" s="5" t="inlineStr">
        <is>
          <t>two parallel lines at the width written in the LG label, empty inside</t>
        </is>
      </c>
      <c r="Q610" s="5">
        <f>IF(OR(D610="column",D610="wall"),IF(I610&lt;='P vs V'!$B$3*J610,"column","wall"),"")</f>
        <v/>
      </c>
      <c r="R610" s="5" t="inlineStr"/>
      <c r="S610" s="5" t="inlineStr"/>
      <c r="T610" s="5" t="n"/>
      <c r="U610" s="5" t="inlineStr">
        <is>
          <t>no</t>
        </is>
      </c>
      <c r="V610" s="5" t="inlineStr">
        <is>
          <t>no</t>
        </is>
      </c>
      <c r="W610" s="5" t="inlineStr">
        <is>
          <t>no</t>
        </is>
      </c>
      <c r="X610" s="5" t="inlineStr">
        <is>
          <t>no</t>
        </is>
      </c>
      <c r="Y610" s="5" t="inlineStr">
        <is>
          <t>no</t>
        </is>
      </c>
      <c r="Z610" s="5" t="inlineStr">
        <is>
          <t>yes</t>
        </is>
      </c>
      <c r="AA610" s="5" t="n">
        <v>1.19</v>
      </c>
      <c r="AB610" s="5" t="n"/>
      <c r="AC610" s="5" t="n"/>
      <c r="AD610" s="5" t="n"/>
      <c r="AE610" s="5" t="n">
        <v>2183.2</v>
      </c>
      <c r="AF610" s="5" t="n">
        <v>2621.6</v>
      </c>
      <c r="AG610" s="5" t="n">
        <v>2237.5</v>
      </c>
      <c r="AH610" s="5" t="n">
        <v>2719.9</v>
      </c>
      <c r="AI610" s="5" t="inlineStr">
        <is>
          <t>n/a</t>
        </is>
      </c>
      <c r="AJ610" s="5" t="inlineStr"/>
      <c r="AK610" s="5" t="inlineStr"/>
      <c r="AL610" s="5" t="inlineStr"/>
      <c r="AM610" s="5" t="inlineStr"/>
    </row>
    <row r="611">
      <c r="A611" s="5" t="n">
        <v>610</v>
      </c>
      <c r="B611" s="5" t="inlineStr">
        <is>
          <t>127</t>
        </is>
      </c>
      <c r="C611" s="5" t="inlineStr">
        <is>
          <t>nearest labels (100% agree)</t>
        </is>
      </c>
      <c r="D611" s="5" t="inlineStr">
        <is>
          <t>grade_beam</t>
        </is>
      </c>
      <c r="E611" s="5" t="inlineStr">
        <is>
          <t>grade_beam</t>
        </is>
      </c>
      <c r="F611" s="5" t="inlineStr">
        <is>
          <t>LG25x40</t>
        </is>
      </c>
      <c r="G611" s="5" t="inlineStr"/>
      <c r="H611" s="5" t="inlineStr">
        <is>
          <t>band width matches label</t>
        </is>
      </c>
      <c r="I611" s="5" t="n">
        <v>360</v>
      </c>
      <c r="J611" s="5" t="n">
        <v>25</v>
      </c>
      <c r="K611" s="9">
        <f>IF(AND(ISNUMBER(I611),ISNUMBER(J611),J611&gt;0),I611/J611,"")</f>
        <v/>
      </c>
      <c r="L611" s="5" t="n">
        <v>0.9</v>
      </c>
      <c r="M611" s="5" t="n">
        <v>3.6</v>
      </c>
      <c r="N611" s="5" t="n">
        <v>26.6</v>
      </c>
      <c r="O611" s="5" t="inlineStr">
        <is>
          <t>parallel line pair</t>
        </is>
      </c>
      <c r="P611" s="5" t="inlineStr">
        <is>
          <t>two parallel lines at the width written in the LG label, empty inside</t>
        </is>
      </c>
      <c r="Q611" s="5">
        <f>IF(OR(D611="column",D611="wall"),IF(I611&lt;='P vs V'!$B$3*J611,"column","wall"),"")</f>
        <v/>
      </c>
      <c r="R611" s="5" t="inlineStr"/>
      <c r="S611" s="5" t="inlineStr"/>
      <c r="T611" s="5" t="n"/>
      <c r="U611" s="5" t="inlineStr">
        <is>
          <t>no</t>
        </is>
      </c>
      <c r="V611" s="5" t="inlineStr">
        <is>
          <t>no</t>
        </is>
      </c>
      <c r="W611" s="5" t="inlineStr">
        <is>
          <t>no</t>
        </is>
      </c>
      <c r="X611" s="5" t="inlineStr">
        <is>
          <t>no</t>
        </is>
      </c>
      <c r="Y611" s="5" t="inlineStr">
        <is>
          <t>no</t>
        </is>
      </c>
      <c r="Z611" s="5" t="inlineStr">
        <is>
          <t>no</t>
        </is>
      </c>
      <c r="AA611" s="5" t="n">
        <v>2.69</v>
      </c>
      <c r="AB611" s="5" t="n"/>
      <c r="AC611" s="5" t="n"/>
      <c r="AD611" s="5" t="n"/>
      <c r="AE611" s="5" t="n">
        <v>2199</v>
      </c>
      <c r="AF611" s="5" t="n">
        <v>2757.6</v>
      </c>
      <c r="AG611" s="5" t="n">
        <v>2297.3</v>
      </c>
      <c r="AH611" s="5" t="n">
        <v>2811.8</v>
      </c>
      <c r="AI611" s="5" t="inlineStr">
        <is>
          <t>n/a</t>
        </is>
      </c>
      <c r="AJ611" s="5" t="inlineStr"/>
      <c r="AK611" s="5" t="inlineStr"/>
      <c r="AL611" s="5" t="inlineStr"/>
      <c r="AM611" s="5" t="inlineStr"/>
    </row>
    <row r="612">
      <c r="A612" s="5" t="n">
        <v>611</v>
      </c>
      <c r="B612" s="5" t="inlineStr">
        <is>
          <t>127</t>
        </is>
      </c>
      <c r="C612" s="5" t="inlineStr">
        <is>
          <t>nearest labels (100% agree)</t>
        </is>
      </c>
      <c r="D612" s="5" t="inlineStr">
        <is>
          <t>grade_beam</t>
        </is>
      </c>
      <c r="E612" s="5" t="inlineStr">
        <is>
          <t>grade_beam</t>
        </is>
      </c>
      <c r="F612" s="5" t="inlineStr">
        <is>
          <t>LG25x40</t>
        </is>
      </c>
      <c r="G612" s="5" t="inlineStr"/>
      <c r="H612" s="5" t="inlineStr">
        <is>
          <t>band width matches label</t>
        </is>
      </c>
      <c r="I612" s="5" t="n">
        <v>360</v>
      </c>
      <c r="J612" s="5" t="n">
        <v>25</v>
      </c>
      <c r="K612" s="9">
        <f>IF(AND(ISNUMBER(I612),ISNUMBER(J612),J612&gt;0),I612/J612,"")</f>
        <v/>
      </c>
      <c r="L612" s="5" t="n">
        <v>0.9</v>
      </c>
      <c r="M612" s="5" t="n">
        <v>3.6</v>
      </c>
      <c r="N612" s="5" t="n">
        <v>116.6</v>
      </c>
      <c r="O612" s="5" t="inlineStr">
        <is>
          <t>parallel line pair</t>
        </is>
      </c>
      <c r="P612" s="5" t="inlineStr">
        <is>
          <t>two parallel lines at the width written in the LG label, empty inside</t>
        </is>
      </c>
      <c r="Q612" s="5">
        <f>IF(OR(D612="column",D612="wall"),IF(I612&lt;='P vs V'!$B$3*J612,"column","wall"),"")</f>
        <v/>
      </c>
      <c r="R612" s="5" t="inlineStr"/>
      <c r="S612" s="5" t="inlineStr"/>
      <c r="T612" s="5" t="n"/>
      <c r="U612" s="5" t="inlineStr">
        <is>
          <t>no</t>
        </is>
      </c>
      <c r="V612" s="5" t="inlineStr">
        <is>
          <t>no</t>
        </is>
      </c>
      <c r="W612" s="5" t="inlineStr">
        <is>
          <t>no</t>
        </is>
      </c>
      <c r="X612" s="5" t="inlineStr">
        <is>
          <t>no</t>
        </is>
      </c>
      <c r="Y612" s="5" t="inlineStr">
        <is>
          <t>no</t>
        </is>
      </c>
      <c r="Z612" s="5" t="inlineStr">
        <is>
          <t>yes</t>
        </is>
      </c>
      <c r="AA612" s="5" t="n">
        <v>0.18</v>
      </c>
      <c r="AB612" s="5" t="n"/>
      <c r="AC612" s="5" t="n"/>
      <c r="AD612" s="5" t="n"/>
      <c r="AE612" s="5" t="n">
        <v>2335</v>
      </c>
      <c r="AF612" s="5" t="n">
        <v>2697.7</v>
      </c>
      <c r="AG612" s="5" t="n">
        <v>2389.2</v>
      </c>
      <c r="AH612" s="5" t="n">
        <v>2796</v>
      </c>
      <c r="AI612" s="5" t="inlineStr">
        <is>
          <t>n/a</t>
        </is>
      </c>
      <c r="AJ612" s="5" t="inlineStr"/>
      <c r="AK612" s="5" t="inlineStr"/>
      <c r="AL612" s="5" t="inlineStr"/>
      <c r="AM612" s="5" t="inlineStr"/>
    </row>
    <row r="613">
      <c r="A613" s="5" t="n">
        <v>612</v>
      </c>
      <c r="B613" s="5" t="inlineStr">
        <is>
          <t>127</t>
        </is>
      </c>
      <c r="C613" s="5" t="inlineStr">
        <is>
          <t>nearest labels (100% agree)</t>
        </is>
      </c>
      <c r="D613" s="5" t="inlineStr">
        <is>
          <t>grade_beam</t>
        </is>
      </c>
      <c r="E613" s="5" t="inlineStr">
        <is>
          <t>grade_beam</t>
        </is>
      </c>
      <c r="F613" s="5" t="inlineStr">
        <is>
          <t>LG25x40</t>
        </is>
      </c>
      <c r="G613" s="5" t="inlineStr"/>
      <c r="H613" s="5" t="inlineStr">
        <is>
          <t>band width matches label</t>
        </is>
      </c>
      <c r="I613" s="5" t="n">
        <v>360</v>
      </c>
      <c r="J613" s="5" t="n">
        <v>25</v>
      </c>
      <c r="K613" s="9">
        <f>IF(AND(ISNUMBER(I613),ISNUMBER(J613),J613&gt;0),I613/J613,"")</f>
        <v/>
      </c>
      <c r="L613" s="5" t="n">
        <v>0.9</v>
      </c>
      <c r="M613" s="5" t="n">
        <v>3.6</v>
      </c>
      <c r="N613" s="5" t="n">
        <v>26.6</v>
      </c>
      <c r="O613" s="5" t="inlineStr">
        <is>
          <t>parallel line pair</t>
        </is>
      </c>
      <c r="P613" s="5" t="inlineStr">
        <is>
          <t>two parallel lines at the width written in the LG label, empty inside</t>
        </is>
      </c>
      <c r="Q613" s="5">
        <f>IF(OR(D613="column",D613="wall"),IF(I613&lt;='P vs V'!$B$3*J613,"column","wall"),"")</f>
        <v/>
      </c>
      <c r="R613" s="5" t="inlineStr"/>
      <c r="S613" s="5" t="inlineStr"/>
      <c r="T613" s="5" t="n"/>
      <c r="U613" s="5" t="inlineStr">
        <is>
          <t>no</t>
        </is>
      </c>
      <c r="V613" s="5" t="inlineStr">
        <is>
          <t>no</t>
        </is>
      </c>
      <c r="W613" s="5" t="inlineStr">
        <is>
          <t>no</t>
        </is>
      </c>
      <c r="X613" s="5" t="inlineStr">
        <is>
          <t>no</t>
        </is>
      </c>
      <c r="Y613" s="5" t="inlineStr">
        <is>
          <t>no</t>
        </is>
      </c>
      <c r="Z613" s="5" t="inlineStr">
        <is>
          <t>no</t>
        </is>
      </c>
      <c r="AA613" s="5" t="n">
        <v>2.69</v>
      </c>
      <c r="AB613" s="5" t="n"/>
      <c r="AC613" s="5" t="n"/>
      <c r="AD613" s="5" t="n"/>
      <c r="AE613" s="5" t="n">
        <v>2275.1</v>
      </c>
      <c r="AF613" s="5" t="n">
        <v>2605.8</v>
      </c>
      <c r="AG613" s="5" t="n">
        <v>2373.4</v>
      </c>
      <c r="AH613" s="5" t="n">
        <v>2660</v>
      </c>
      <c r="AI613" s="5" t="inlineStr">
        <is>
          <t>n/a</t>
        </is>
      </c>
      <c r="AJ613" s="5" t="inlineStr"/>
      <c r="AK613" s="5" t="inlineStr"/>
      <c r="AL613" s="5" t="inlineStr"/>
      <c r="AM613" s="5" t="inlineStr"/>
    </row>
    <row r="614">
      <c r="A614" s="5" t="n">
        <v>613</v>
      </c>
      <c r="B614" s="5" t="inlineStr">
        <is>
          <t>127</t>
        </is>
      </c>
      <c r="C614" s="5" t="inlineStr">
        <is>
          <t>nearest labels (80% agree)</t>
        </is>
      </c>
      <c r="D614" s="5" t="inlineStr">
        <is>
          <t>grade_beam</t>
        </is>
      </c>
      <c r="E614" s="5" t="inlineStr">
        <is>
          <t>grade_beam</t>
        </is>
      </c>
      <c r="F614" s="5" t="inlineStr">
        <is>
          <t>LG40x15</t>
        </is>
      </c>
      <c r="G614" s="5" t="inlineStr"/>
      <c r="H614" s="5" t="inlineStr">
        <is>
          <t>band width matches label</t>
        </is>
      </c>
      <c r="I614" s="5" t="n">
        <v>459</v>
      </c>
      <c r="J614" s="5" t="n">
        <v>40</v>
      </c>
      <c r="K614" s="9">
        <f>IF(AND(ISNUMBER(I614),ISNUMBER(J614),J614&gt;0),I614/J614,"")</f>
        <v/>
      </c>
      <c r="L614" s="5" t="n">
        <v>1.836</v>
      </c>
      <c r="M614" s="5" t="n">
        <v>4.59</v>
      </c>
      <c r="N614" s="5" t="n">
        <v>26.6</v>
      </c>
      <c r="O614" s="5" t="inlineStr">
        <is>
          <t>parallel line pair</t>
        </is>
      </c>
      <c r="P614" s="5" t="inlineStr">
        <is>
          <t>two parallel lines at the width written in the LG label, empty inside</t>
        </is>
      </c>
      <c r="Q614" s="5">
        <f>IF(OR(D614="column",D614="wall"),IF(I614&lt;='P vs V'!$B$3*J614,"column","wall"),"")</f>
        <v/>
      </c>
      <c r="R614" s="5" t="inlineStr"/>
      <c r="S614" s="5" t="inlineStr"/>
      <c r="T614" s="5" t="n"/>
      <c r="U614" s="5" t="inlineStr">
        <is>
          <t>no</t>
        </is>
      </c>
      <c r="V614" s="5" t="inlineStr">
        <is>
          <t>no</t>
        </is>
      </c>
      <c r="W614" s="5" t="inlineStr">
        <is>
          <t>yes</t>
        </is>
      </c>
      <c r="X614" s="5" t="inlineStr">
        <is>
          <t>no</t>
        </is>
      </c>
      <c r="Y614" s="5" t="inlineStr">
        <is>
          <t>no</t>
        </is>
      </c>
      <c r="Z614" s="5" t="inlineStr">
        <is>
          <t>yes</t>
        </is>
      </c>
      <c r="AA614" s="5" t="n">
        <v>1.32</v>
      </c>
      <c r="AB614" s="5" t="n"/>
      <c r="AC614" s="5" t="n"/>
      <c r="AD614" s="5" t="n"/>
      <c r="AE614" s="5" t="n">
        <v>1850.4</v>
      </c>
      <c r="AF614" s="5" t="n">
        <v>2761.8</v>
      </c>
      <c r="AG614" s="5" t="n">
        <v>1976.9</v>
      </c>
      <c r="AH614" s="5" t="n">
        <v>2833.2</v>
      </c>
      <c r="AI614" s="5" t="inlineStr">
        <is>
          <t>n/a</t>
        </is>
      </c>
      <c r="AJ614" s="5" t="inlineStr"/>
      <c r="AK614" s="5" t="inlineStr"/>
      <c r="AL614" s="5" t="inlineStr"/>
      <c r="AM614" s="5" t="inlineStr"/>
    </row>
    <row r="615">
      <c r="A615" s="5" t="n">
        <v>614</v>
      </c>
      <c r="B615" s="5" t="inlineStr">
        <is>
          <t>127</t>
        </is>
      </c>
      <c r="C615" s="5" t="inlineStr">
        <is>
          <t>nearest labels (100% agree)</t>
        </is>
      </c>
      <c r="D615" s="5" t="inlineStr">
        <is>
          <t>grade_beam</t>
        </is>
      </c>
      <c r="E615" s="5" t="inlineStr">
        <is>
          <t>grade_beam</t>
        </is>
      </c>
      <c r="F615" s="5" t="inlineStr">
        <is>
          <t>LG40x15</t>
        </is>
      </c>
      <c r="G615" s="5" t="inlineStr"/>
      <c r="H615" s="5" t="inlineStr">
        <is>
          <t>band width matches label</t>
        </is>
      </c>
      <c r="I615" s="5" t="n">
        <v>424</v>
      </c>
      <c r="J615" s="5" t="n">
        <v>40</v>
      </c>
      <c r="K615" s="9">
        <f>IF(AND(ISNUMBER(I615),ISNUMBER(J615),J615&gt;0),I615/J615,"")</f>
        <v/>
      </c>
      <c r="L615" s="5" t="n">
        <v>1.694</v>
      </c>
      <c r="M615" s="5" t="n">
        <v>4.24</v>
      </c>
      <c r="N615" s="5" t="n">
        <v>26.6</v>
      </c>
      <c r="O615" s="5" t="inlineStr">
        <is>
          <t>parallel line pair</t>
        </is>
      </c>
      <c r="P615" s="5" t="inlineStr">
        <is>
          <t>two parallel lines at the width written in the LG label, empty inside</t>
        </is>
      </c>
      <c r="Q615" s="5">
        <f>IF(OR(D615="column",D615="wall"),IF(I615&lt;='P vs V'!$B$3*J615,"column","wall"),"")</f>
        <v/>
      </c>
      <c r="R615" s="5" t="inlineStr"/>
      <c r="S615" s="5" t="inlineStr"/>
      <c r="T615" s="5" t="n"/>
      <c r="U615" s="5" t="inlineStr">
        <is>
          <t>no</t>
        </is>
      </c>
      <c r="V615" s="5" t="inlineStr">
        <is>
          <t>no</t>
        </is>
      </c>
      <c r="W615" s="5" t="inlineStr">
        <is>
          <t>no</t>
        </is>
      </c>
      <c r="X615" s="5" t="inlineStr">
        <is>
          <t>no</t>
        </is>
      </c>
      <c r="Y615" s="5" t="inlineStr">
        <is>
          <t>no</t>
        </is>
      </c>
      <c r="Z615" s="5" t="inlineStr">
        <is>
          <t>no</t>
        </is>
      </c>
      <c r="AA615" s="5" t="n">
        <v>2.55</v>
      </c>
      <c r="AB615" s="5" t="n"/>
      <c r="AC615" s="5" t="n"/>
      <c r="AD615" s="5" t="n"/>
      <c r="AE615" s="5" t="n">
        <v>2077.2</v>
      </c>
      <c r="AF615" s="5" t="n">
        <v>2875.6</v>
      </c>
      <c r="AG615" s="5" t="n">
        <v>2194.2</v>
      </c>
      <c r="AH615" s="5" t="n">
        <v>2942.2</v>
      </c>
      <c r="AI615" s="5" t="inlineStr">
        <is>
          <t>n/a</t>
        </is>
      </c>
      <c r="AJ615" s="5" t="inlineStr"/>
      <c r="AK615" s="5" t="inlineStr"/>
      <c r="AL615" s="5" t="inlineStr"/>
      <c r="AM615" s="5" t="inlineStr"/>
    </row>
    <row r="616">
      <c r="A616" s="5" t="n">
        <v>615</v>
      </c>
      <c r="B616" s="5" t="inlineStr">
        <is>
          <t>127</t>
        </is>
      </c>
      <c r="C616" s="5" t="inlineStr">
        <is>
          <t>nearest labels (100% agree)</t>
        </is>
      </c>
      <c r="D616" s="5" t="inlineStr">
        <is>
          <t>grade_beam</t>
        </is>
      </c>
      <c r="E616" s="5" t="inlineStr">
        <is>
          <t>grade_beam</t>
        </is>
      </c>
      <c r="F616" s="5" t="inlineStr">
        <is>
          <t>LG40x15</t>
        </is>
      </c>
      <c r="G616" s="5" t="inlineStr"/>
      <c r="H616" s="5" t="inlineStr">
        <is>
          <t>band width matches label</t>
        </is>
      </c>
      <c r="I616" s="5" t="n">
        <v>585</v>
      </c>
      <c r="J616" s="5" t="n">
        <v>40</v>
      </c>
      <c r="K616" s="9">
        <f>IF(AND(ISNUMBER(I616),ISNUMBER(J616),J616&gt;0),I616/J616,"")</f>
        <v/>
      </c>
      <c r="L616" s="5" t="n">
        <v>2.339</v>
      </c>
      <c r="M616" s="5" t="n">
        <v>5.85</v>
      </c>
      <c r="N616" s="5" t="n">
        <v>26.6</v>
      </c>
      <c r="O616" s="5" t="inlineStr">
        <is>
          <t>parallel line pair</t>
        </is>
      </c>
      <c r="P616" s="5" t="inlineStr">
        <is>
          <t>two parallel lines at the width written in the LG label, empty inside</t>
        </is>
      </c>
      <c r="Q616" s="5">
        <f>IF(OR(D616="column",D616="wall"),IF(I616&lt;='P vs V'!$B$3*J616,"column","wall"),"")</f>
        <v/>
      </c>
      <c r="R616" s="5" t="inlineStr"/>
      <c r="S616" s="5" t="inlineStr"/>
      <c r="T616" s="5" t="n"/>
      <c r="U616" s="5" t="inlineStr">
        <is>
          <t>no</t>
        </is>
      </c>
      <c r="V616" s="5" t="inlineStr">
        <is>
          <t>no</t>
        </is>
      </c>
      <c r="W616" s="5" t="inlineStr">
        <is>
          <t>no</t>
        </is>
      </c>
      <c r="X616" s="5" t="inlineStr">
        <is>
          <t>no</t>
        </is>
      </c>
      <c r="Y616" s="5" t="inlineStr">
        <is>
          <t>no</t>
        </is>
      </c>
      <c r="Z616" s="5" t="inlineStr">
        <is>
          <t>yes</t>
        </is>
      </c>
      <c r="AA616" s="5" t="n">
        <v>4.83</v>
      </c>
      <c r="AB616" s="5" t="n"/>
      <c r="AC616" s="5" t="n"/>
      <c r="AD616" s="5" t="n"/>
      <c r="AE616" s="5" t="n">
        <v>2294.5</v>
      </c>
      <c r="AF616" s="5" t="n">
        <v>2984.6</v>
      </c>
      <c r="AG616" s="5" t="n">
        <v>2454.2</v>
      </c>
      <c r="AH616" s="5" t="n">
        <v>3072.6</v>
      </c>
      <c r="AI616" s="5" t="inlineStr">
        <is>
          <t>n/a</t>
        </is>
      </c>
      <c r="AJ616" s="5" t="inlineStr"/>
      <c r="AK616" s="5" t="inlineStr"/>
      <c r="AL616" s="5" t="inlineStr"/>
      <c r="AM616" s="5" t="inlineStr"/>
    </row>
    <row r="617">
      <c r="A617" s="5" t="n">
        <v>616</v>
      </c>
      <c r="B617" s="5" t="inlineStr">
        <is>
          <t>127</t>
        </is>
      </c>
      <c r="C617" s="5" t="inlineStr">
        <is>
          <t>nearest labels (80% agree)</t>
        </is>
      </c>
      <c r="D617" s="5" t="inlineStr">
        <is>
          <t>grade_beam</t>
        </is>
      </c>
      <c r="E617" s="5" t="inlineStr">
        <is>
          <t>grade_beam</t>
        </is>
      </c>
      <c r="F617" s="5" t="inlineStr">
        <is>
          <t>LG40x15</t>
        </is>
      </c>
      <c r="G617" s="5" t="inlineStr"/>
      <c r="H617" s="5" t="inlineStr">
        <is>
          <t>band width matches label</t>
        </is>
      </c>
      <c r="I617" s="5" t="n">
        <v>267</v>
      </c>
      <c r="J617" s="5" t="n">
        <v>40</v>
      </c>
      <c r="K617" s="9">
        <f>IF(AND(ISNUMBER(I617),ISNUMBER(J617),J617&gt;0),I617/J617,"")</f>
        <v/>
      </c>
      <c r="L617" s="5" t="n">
        <v>1.068</v>
      </c>
      <c r="M617" s="5" t="n">
        <v>2.67</v>
      </c>
      <c r="N617" s="5" t="n">
        <v>26.6</v>
      </c>
      <c r="O617" s="5" t="inlineStr">
        <is>
          <t>parallel line pair</t>
        </is>
      </c>
      <c r="P617" s="5" t="inlineStr">
        <is>
          <t>two parallel lines at the width written in the LG label, empty inside</t>
        </is>
      </c>
      <c r="Q617" s="5">
        <f>IF(OR(D617="column",D617="wall"),IF(I617&lt;='P vs V'!$B$3*J617,"column","wall"),"")</f>
        <v/>
      </c>
      <c r="R617" s="5" t="inlineStr"/>
      <c r="S617" s="5" t="inlineStr"/>
      <c r="T617" s="5" t="n"/>
      <c r="U617" s="5" t="inlineStr">
        <is>
          <t>no</t>
        </is>
      </c>
      <c r="V617" s="5" t="inlineStr">
        <is>
          <t>no</t>
        </is>
      </c>
      <c r="W617" s="5" t="inlineStr">
        <is>
          <t>no</t>
        </is>
      </c>
      <c r="X617" s="5" t="inlineStr">
        <is>
          <t>no</t>
        </is>
      </c>
      <c r="Y617" s="5" t="inlineStr">
        <is>
          <t>no</t>
        </is>
      </c>
      <c r="Z617" s="5" t="inlineStr">
        <is>
          <t>no</t>
        </is>
      </c>
      <c r="AA617" s="5" t="n">
        <v>1.58</v>
      </c>
      <c r="AB617" s="5" t="n"/>
      <c r="AC617" s="5" t="n"/>
      <c r="AD617" s="5" t="n"/>
      <c r="AE617" s="5" t="n">
        <v>1984.8</v>
      </c>
      <c r="AF617" s="5" t="n">
        <v>2540.3</v>
      </c>
      <c r="AG617" s="5" t="n">
        <v>2060.6</v>
      </c>
      <c r="AH617" s="5" t="n">
        <v>2586.2</v>
      </c>
      <c r="AI617" s="5" t="inlineStr">
        <is>
          <t>n/a</t>
        </is>
      </c>
      <c r="AJ617" s="5" t="inlineStr"/>
      <c r="AK617" s="5" t="inlineStr"/>
      <c r="AL617" s="5" t="inlineStr"/>
      <c r="AM617" s="5" t="inlineStr"/>
    </row>
    <row r="618">
      <c r="A618" s="5" t="n">
        <v>617</v>
      </c>
      <c r="B618" s="5" t="inlineStr">
        <is>
          <t>127</t>
        </is>
      </c>
      <c r="C618" s="5" t="inlineStr">
        <is>
          <t>nearest labels (80% agree)</t>
        </is>
      </c>
      <c r="D618" s="5" t="inlineStr">
        <is>
          <t>grade_beam</t>
        </is>
      </c>
      <c r="E618" s="5" t="inlineStr">
        <is>
          <t>grade_beam</t>
        </is>
      </c>
      <c r="F618" s="5" t="inlineStr">
        <is>
          <t>LG40x15</t>
        </is>
      </c>
      <c r="G618" s="5" t="inlineStr"/>
      <c r="H618" s="5" t="inlineStr">
        <is>
          <t>band width matches label</t>
        </is>
      </c>
      <c r="I618" s="5" t="n">
        <v>300</v>
      </c>
      <c r="J618" s="5" t="n">
        <v>40</v>
      </c>
      <c r="K618" s="9">
        <f>IF(AND(ISNUMBER(I618),ISNUMBER(J618),J618&gt;0),I618/J618,"")</f>
        <v/>
      </c>
      <c r="L618" s="5" t="n">
        <v>1.201</v>
      </c>
      <c r="M618" s="5" t="n">
        <v>3</v>
      </c>
      <c r="N618" s="5" t="n">
        <v>26.6</v>
      </c>
      <c r="O618" s="5" t="inlineStr">
        <is>
          <t>parallel line pair</t>
        </is>
      </c>
      <c r="P618" s="5" t="inlineStr">
        <is>
          <t>two parallel lines at the width written in the LG label, empty inside</t>
        </is>
      </c>
      <c r="Q618" s="5">
        <f>IF(OR(D618="column",D618="wall"),IF(I618&lt;='P vs V'!$B$3*J618,"column","wall"),"")</f>
        <v/>
      </c>
      <c r="R618" s="5" t="inlineStr"/>
      <c r="S618" s="5" t="inlineStr"/>
      <c r="T618" s="5" t="n"/>
      <c r="U618" s="5" t="inlineStr">
        <is>
          <t>no</t>
        </is>
      </c>
      <c r="V618" s="5" t="inlineStr">
        <is>
          <t>no</t>
        </is>
      </c>
      <c r="W618" s="5" t="inlineStr">
        <is>
          <t>no</t>
        </is>
      </c>
      <c r="X618" s="5" t="inlineStr">
        <is>
          <t>no</t>
        </is>
      </c>
      <c r="Y618" s="5" t="inlineStr">
        <is>
          <t>no</t>
        </is>
      </c>
      <c r="Z618" s="5" t="inlineStr">
        <is>
          <t>no</t>
        </is>
      </c>
      <c r="AA618" s="5" t="n">
        <v>1.1</v>
      </c>
      <c r="AB618" s="5" t="n"/>
      <c r="AC618" s="5" t="n"/>
      <c r="AD618" s="5" t="n"/>
      <c r="AE618" s="5" t="n">
        <v>2071.1</v>
      </c>
      <c r="AF618" s="5" t="n">
        <v>2583.6</v>
      </c>
      <c r="AG618" s="5" t="n">
        <v>2155.7</v>
      </c>
      <c r="AH618" s="5" t="n">
        <v>2633.9</v>
      </c>
      <c r="AI618" s="5" t="inlineStr">
        <is>
          <t>n/a</t>
        </is>
      </c>
      <c r="AJ618" s="5" t="inlineStr"/>
      <c r="AK618" s="5" t="inlineStr"/>
      <c r="AL618" s="5" t="inlineStr"/>
      <c r="AM618" s="5" t="inlineStr"/>
    </row>
    <row r="619">
      <c r="A619" s="5" t="n">
        <v>618</v>
      </c>
      <c r="B619" s="5" t="inlineStr">
        <is>
          <t>127</t>
        </is>
      </c>
      <c r="C619" s="5" t="inlineStr">
        <is>
          <t>nearest labels (100% agree)</t>
        </is>
      </c>
      <c r="D619" s="5" t="inlineStr">
        <is>
          <t>grade_beam</t>
        </is>
      </c>
      <c r="E619" s="5" t="inlineStr">
        <is>
          <t>grade_beam</t>
        </is>
      </c>
      <c r="F619" s="5" t="inlineStr">
        <is>
          <t>LG40x15</t>
        </is>
      </c>
      <c r="G619" s="5" t="inlineStr"/>
      <c r="H619" s="5" t="inlineStr">
        <is>
          <t>band width matches label</t>
        </is>
      </c>
      <c r="I619" s="5" t="n">
        <v>282</v>
      </c>
      <c r="J619" s="5" t="n">
        <v>40</v>
      </c>
      <c r="K619" s="9">
        <f>IF(AND(ISNUMBER(I619),ISNUMBER(J619),J619&gt;0),I619/J619,"")</f>
        <v/>
      </c>
      <c r="L619" s="5" t="n">
        <v>1.127</v>
      </c>
      <c r="M619" s="5" t="n">
        <v>2.82</v>
      </c>
      <c r="N619" s="5" t="n">
        <v>26.6</v>
      </c>
      <c r="O619" s="5" t="inlineStr">
        <is>
          <t>parallel line pair</t>
        </is>
      </c>
      <c r="P619" s="5" t="inlineStr">
        <is>
          <t>two parallel lines at the width written in the LG label, empty inside</t>
        </is>
      </c>
      <c r="Q619" s="5">
        <f>IF(OR(D619="column",D619="wall"),IF(I619&lt;='P vs V'!$B$3*J619,"column","wall"),"")</f>
        <v/>
      </c>
      <c r="R619" s="5" t="inlineStr"/>
      <c r="S619" s="5" t="inlineStr"/>
      <c r="T619" s="5" t="n"/>
      <c r="U619" s="5" t="inlineStr">
        <is>
          <t>no</t>
        </is>
      </c>
      <c r="V619" s="5" t="inlineStr">
        <is>
          <t>no</t>
        </is>
      </c>
      <c r="W619" s="5" t="inlineStr">
        <is>
          <t>no</t>
        </is>
      </c>
      <c r="X619" s="5" t="inlineStr">
        <is>
          <t>no</t>
        </is>
      </c>
      <c r="Y619" s="5" t="inlineStr">
        <is>
          <t>no</t>
        </is>
      </c>
      <c r="Z619" s="5" t="inlineStr">
        <is>
          <t>yes</t>
        </is>
      </c>
      <c r="AA619" s="5" t="n">
        <v>2.23</v>
      </c>
      <c r="AB619" s="5" t="n"/>
      <c r="AC619" s="5" t="n"/>
      <c r="AD619" s="5" t="n"/>
      <c r="AE619" s="5" t="n">
        <v>2203.1</v>
      </c>
      <c r="AF619" s="5" t="n">
        <v>2649.8</v>
      </c>
      <c r="AG619" s="5" t="n">
        <v>2282.8</v>
      </c>
      <c r="AH619" s="5" t="n">
        <v>2697.7</v>
      </c>
      <c r="AI619" s="5" t="inlineStr">
        <is>
          <t>n/a</t>
        </is>
      </c>
      <c r="AJ619" s="5" t="inlineStr"/>
      <c r="AK619" s="5" t="inlineStr"/>
      <c r="AL619" s="5" t="inlineStr"/>
      <c r="AM619" s="5" t="inlineStr"/>
    </row>
    <row r="620">
      <c r="A620" s="5" t="n">
        <v>619</v>
      </c>
      <c r="B620" s="5" t="inlineStr">
        <is>
          <t>127</t>
        </is>
      </c>
      <c r="C620" s="5" t="inlineStr">
        <is>
          <t>nearest labels (100% agree)</t>
        </is>
      </c>
      <c r="D620" s="5" t="inlineStr">
        <is>
          <t>grade_beam</t>
        </is>
      </c>
      <c r="E620" s="5" t="inlineStr">
        <is>
          <t>grade_beam</t>
        </is>
      </c>
      <c r="F620" s="5" t="inlineStr">
        <is>
          <t>LG40x15</t>
        </is>
      </c>
      <c r="G620" s="5" t="inlineStr"/>
      <c r="H620" s="5" t="inlineStr">
        <is>
          <t>band width matches label</t>
        </is>
      </c>
      <c r="I620" s="5" t="n">
        <v>308</v>
      </c>
      <c r="J620" s="5" t="n">
        <v>40</v>
      </c>
      <c r="K620" s="9">
        <f>IF(AND(ISNUMBER(I620),ISNUMBER(J620),J620&gt;0),I620/J620,"")</f>
        <v/>
      </c>
      <c r="L620" s="5" t="n">
        <v>1.233</v>
      </c>
      <c r="M620" s="5" t="n">
        <v>3.08</v>
      </c>
      <c r="N620" s="5" t="n">
        <v>26.6</v>
      </c>
      <c r="O620" s="5" t="inlineStr">
        <is>
          <t>parallel line pair</t>
        </is>
      </c>
      <c r="P620" s="5" t="inlineStr">
        <is>
          <t>two parallel lines at the width written in the LG label, empty inside</t>
        </is>
      </c>
      <c r="Q620" s="5">
        <f>IF(OR(D620="column",D620="wall"),IF(I620&lt;='P vs V'!$B$3*J620,"column","wall"),"")</f>
        <v/>
      </c>
      <c r="R620" s="5" t="inlineStr"/>
      <c r="S620" s="5" t="inlineStr"/>
      <c r="T620" s="5" t="n"/>
      <c r="U620" s="5" t="inlineStr">
        <is>
          <t>no</t>
        </is>
      </c>
      <c r="V620" s="5" t="inlineStr">
        <is>
          <t>no</t>
        </is>
      </c>
      <c r="W620" s="5" t="inlineStr">
        <is>
          <t>no</t>
        </is>
      </c>
      <c r="X620" s="5" t="inlineStr">
        <is>
          <t>no</t>
        </is>
      </c>
      <c r="Y620" s="5" t="inlineStr">
        <is>
          <t>no</t>
        </is>
      </c>
      <c r="Z620" s="5" t="inlineStr">
        <is>
          <t>yes</t>
        </is>
      </c>
      <c r="AA620" s="5" t="n">
        <v>0.98</v>
      </c>
      <c r="AB620" s="5" t="n"/>
      <c r="AC620" s="5" t="n"/>
      <c r="AD620" s="5" t="n"/>
      <c r="AE620" s="5" t="n">
        <v>2293.3</v>
      </c>
      <c r="AF620" s="5" t="n">
        <v>2695.1</v>
      </c>
      <c r="AG620" s="5" t="n">
        <v>2380</v>
      </c>
      <c r="AH620" s="5" t="n">
        <v>2746.4</v>
      </c>
      <c r="AI620" s="5" t="inlineStr">
        <is>
          <t>n/a</t>
        </is>
      </c>
      <c r="AJ620" s="5" t="inlineStr"/>
      <c r="AK620" s="5" t="inlineStr"/>
      <c r="AL620" s="5" t="inlineStr"/>
      <c r="AM620" s="5" t="inlineStr"/>
    </row>
    <row r="621">
      <c r="A621" s="5" t="n">
        <v>620</v>
      </c>
      <c r="B621" s="5" t="inlineStr">
        <is>
          <t>127</t>
        </is>
      </c>
      <c r="C621" s="5" t="inlineStr">
        <is>
          <t>nearest labels (80% agree)</t>
        </is>
      </c>
      <c r="D621" s="5" t="inlineStr">
        <is>
          <t>grade_beam</t>
        </is>
      </c>
      <c r="E621" s="5" t="inlineStr">
        <is>
          <t>grade_beam</t>
        </is>
      </c>
      <c r="F621" s="5" t="inlineStr">
        <is>
          <t>LG40x15</t>
        </is>
      </c>
      <c r="G621" s="5" t="inlineStr"/>
      <c r="H621" s="5" t="inlineStr">
        <is>
          <t>band width matches label</t>
        </is>
      </c>
      <c r="I621" s="5" t="n">
        <v>283</v>
      </c>
      <c r="J621" s="5" t="n">
        <v>40</v>
      </c>
      <c r="K621" s="9">
        <f>IF(AND(ISNUMBER(I621),ISNUMBER(J621),J621&gt;0),I621/J621,"")</f>
        <v/>
      </c>
      <c r="L621" s="5" t="n">
        <v>1.132</v>
      </c>
      <c r="M621" s="5" t="n">
        <v>2.83</v>
      </c>
      <c r="N621" s="5" t="n">
        <v>26.6</v>
      </c>
      <c r="O621" s="5" t="inlineStr">
        <is>
          <t>parallel line pair</t>
        </is>
      </c>
      <c r="P621" s="5" t="inlineStr">
        <is>
          <t>two parallel lines at the width written in the LG label, empty inside</t>
        </is>
      </c>
      <c r="Q621" s="5">
        <f>IF(OR(D621="column",D621="wall"),IF(I621&lt;='P vs V'!$B$3*J621,"column","wall"),"")</f>
        <v/>
      </c>
      <c r="R621" s="5" t="inlineStr"/>
      <c r="S621" s="5" t="inlineStr"/>
      <c r="T621" s="5" t="n"/>
      <c r="U621" s="5" t="inlineStr">
        <is>
          <t>no</t>
        </is>
      </c>
      <c r="V621" s="5" t="inlineStr">
        <is>
          <t>no</t>
        </is>
      </c>
      <c r="W621" s="5" t="inlineStr">
        <is>
          <t>no</t>
        </is>
      </c>
      <c r="X621" s="5" t="inlineStr">
        <is>
          <t>no</t>
        </is>
      </c>
      <c r="Y621" s="5" t="inlineStr">
        <is>
          <t>no</t>
        </is>
      </c>
      <c r="Z621" s="5" t="inlineStr">
        <is>
          <t>no</t>
        </is>
      </c>
      <c r="AA621" s="5" t="n">
        <v>3.97</v>
      </c>
      <c r="AB621" s="5" t="n"/>
      <c r="AC621" s="5" t="n"/>
      <c r="AD621" s="5" t="n"/>
      <c r="AE621" s="5" t="n">
        <v>2427.5</v>
      </c>
      <c r="AF621" s="5" t="n">
        <v>2762.4</v>
      </c>
      <c r="AG621" s="5" t="n">
        <v>2507.5</v>
      </c>
      <c r="AH621" s="5" t="n">
        <v>2810.4</v>
      </c>
      <c r="AI621" s="5" t="inlineStr">
        <is>
          <t>n/a</t>
        </is>
      </c>
      <c r="AJ621" s="5" t="inlineStr"/>
      <c r="AK621" s="5" t="inlineStr"/>
      <c r="AL621" s="5" t="inlineStr"/>
      <c r="AM621" s="5" t="inlineStr"/>
    </row>
    <row r="622">
      <c r="A622" s="5" t="n">
        <v>621</v>
      </c>
      <c r="B622" s="5" t="inlineStr">
        <is>
          <t>127</t>
        </is>
      </c>
      <c r="C622" s="5" t="inlineStr">
        <is>
          <t>nearest labels (60% agree)</t>
        </is>
      </c>
      <c r="D622" s="5" t="inlineStr">
        <is>
          <t>grade_beam</t>
        </is>
      </c>
      <c r="E622" s="5" t="inlineStr">
        <is>
          <t>grade_beam</t>
        </is>
      </c>
      <c r="F622" s="5" t="inlineStr">
        <is>
          <t>LG40x15</t>
        </is>
      </c>
      <c r="G622" s="5" t="inlineStr"/>
      <c r="H622" s="5" t="inlineStr">
        <is>
          <t>band width matches label</t>
        </is>
      </c>
      <c r="I622" s="5" t="n">
        <v>302</v>
      </c>
      <c r="J622" s="5" t="n">
        <v>40</v>
      </c>
      <c r="K622" s="9">
        <f>IF(AND(ISNUMBER(I622),ISNUMBER(J622),J622&gt;0),I622/J622,"")</f>
        <v/>
      </c>
      <c r="L622" s="5" t="n">
        <v>1.207</v>
      </c>
      <c r="M622" s="5" t="n">
        <v>3.02</v>
      </c>
      <c r="N622" s="5" t="n">
        <v>26.6</v>
      </c>
      <c r="O622" s="5" t="inlineStr">
        <is>
          <t>parallel line pair</t>
        </is>
      </c>
      <c r="P622" s="5" t="inlineStr">
        <is>
          <t>two parallel lines at the width written in the LG label, empty inside</t>
        </is>
      </c>
      <c r="Q622" s="5">
        <f>IF(OR(D622="column",D622="wall"),IF(I622&lt;='P vs V'!$B$3*J622,"column","wall"),"")</f>
        <v/>
      </c>
      <c r="R622" s="5" t="inlineStr"/>
      <c r="S622" s="5" t="inlineStr"/>
      <c r="T622" s="5" t="n"/>
      <c r="U622" s="5" t="inlineStr">
        <is>
          <t>no</t>
        </is>
      </c>
      <c r="V622" s="5" t="inlineStr">
        <is>
          <t>no</t>
        </is>
      </c>
      <c r="W622" s="5" t="inlineStr">
        <is>
          <t>no</t>
        </is>
      </c>
      <c r="X622" s="5" t="inlineStr">
        <is>
          <t>no</t>
        </is>
      </c>
      <c r="Y622" s="5" t="inlineStr">
        <is>
          <t>no</t>
        </is>
      </c>
      <c r="Z622" s="5" t="inlineStr">
        <is>
          <t>no</t>
        </is>
      </c>
      <c r="AA622" s="5" t="n">
        <v>7.5</v>
      </c>
      <c r="AB622" s="5" t="n"/>
      <c r="AC622" s="5" t="n"/>
      <c r="AD622" s="5" t="n"/>
      <c r="AE622" s="5" t="n">
        <v>2518.1</v>
      </c>
      <c r="AF622" s="5" t="n">
        <v>2807.8</v>
      </c>
      <c r="AG622" s="5" t="n">
        <v>2603</v>
      </c>
      <c r="AH622" s="5" t="n">
        <v>2858.3</v>
      </c>
      <c r="AI622" s="5" t="inlineStr">
        <is>
          <t>n/a</t>
        </is>
      </c>
      <c r="AJ622" s="5" t="inlineStr"/>
      <c r="AK622" s="5" t="inlineStr"/>
      <c r="AL622" s="5" t="inlineStr"/>
      <c r="AM622" s="5" t="inlineStr"/>
    </row>
    <row r="623">
      <c r="A623" s="5" t="n">
        <v>622</v>
      </c>
      <c r="B623" s="5" t="inlineStr">
        <is>
          <t>127</t>
        </is>
      </c>
      <c r="C623" s="5" t="inlineStr">
        <is>
          <t>nearest labels (60% agree)</t>
        </is>
      </c>
      <c r="D623" s="5" t="inlineStr">
        <is>
          <t>grade_beam</t>
        </is>
      </c>
      <c r="E623" s="5" t="inlineStr">
        <is>
          <t>grade_beam</t>
        </is>
      </c>
      <c r="F623" s="5" t="inlineStr">
        <is>
          <t>LG40x15</t>
        </is>
      </c>
      <c r="G623" s="5" t="inlineStr"/>
      <c r="H623" s="5" t="inlineStr">
        <is>
          <t>band width matches label</t>
        </is>
      </c>
      <c r="I623" s="5" t="n">
        <v>590</v>
      </c>
      <c r="J623" s="5" t="n">
        <v>40</v>
      </c>
      <c r="K623" s="9">
        <f>IF(AND(ISNUMBER(I623),ISNUMBER(J623),J623&gt;0),I623/J623,"")</f>
        <v/>
      </c>
      <c r="L623" s="5" t="n">
        <v>2.358</v>
      </c>
      <c r="M623" s="5" t="n">
        <v>5.9</v>
      </c>
      <c r="N623" s="5" t="n">
        <v>116.6</v>
      </c>
      <c r="O623" s="5" t="inlineStr">
        <is>
          <t>parallel line pair</t>
        </is>
      </c>
      <c r="P623" s="5" t="inlineStr">
        <is>
          <t>two parallel lines at the width written in the LG label, empty inside</t>
        </is>
      </c>
      <c r="Q623" s="5">
        <f>IF(OR(D623="column",D623="wall"),IF(I623&lt;='P vs V'!$B$3*J623,"column","wall"),"")</f>
        <v/>
      </c>
      <c r="R623" s="5" t="inlineStr"/>
      <c r="S623" s="5" t="inlineStr"/>
      <c r="T623" s="5" t="n"/>
      <c r="U623" s="5" t="inlineStr">
        <is>
          <t>no</t>
        </is>
      </c>
      <c r="V623" s="5" t="inlineStr">
        <is>
          <t>no</t>
        </is>
      </c>
      <c r="W623" s="5" t="inlineStr">
        <is>
          <t>yes</t>
        </is>
      </c>
      <c r="X623" s="5" t="inlineStr">
        <is>
          <t>no</t>
        </is>
      </c>
      <c r="Y623" s="5" t="inlineStr">
        <is>
          <t>no</t>
        </is>
      </c>
      <c r="Z623" s="5" t="inlineStr">
        <is>
          <t>no</t>
        </is>
      </c>
      <c r="AA623" s="5" t="n">
        <v>3.67</v>
      </c>
      <c r="AB623" s="5" t="n"/>
      <c r="AC623" s="5" t="n"/>
      <c r="AD623" s="5" t="n"/>
      <c r="AE623" s="5" t="n">
        <v>1859.7</v>
      </c>
      <c r="AF623" s="5" t="n">
        <v>2581.8</v>
      </c>
      <c r="AG623" s="5" t="n">
        <v>1948.3</v>
      </c>
      <c r="AH623" s="5" t="n">
        <v>2742.7</v>
      </c>
      <c r="AI623" s="5" t="inlineStr">
        <is>
          <t>n/a</t>
        </is>
      </c>
      <c r="AJ623" s="5" t="inlineStr"/>
      <c r="AK623" s="5" t="inlineStr"/>
      <c r="AL623" s="5" t="inlineStr"/>
      <c r="AM623" s="5" t="inlineStr"/>
    </row>
    <row r="624">
      <c r="A624" s="5" t="n">
        <v>623</v>
      </c>
      <c r="B624" s="5" t="inlineStr">
        <is>
          <t>127</t>
        </is>
      </c>
      <c r="C624" s="5" t="inlineStr">
        <is>
          <t>nearest labels (60% agree)</t>
        </is>
      </c>
      <c r="D624" s="5" t="inlineStr">
        <is>
          <t>grade_beam</t>
        </is>
      </c>
      <c r="E624" s="5" t="inlineStr">
        <is>
          <t>grade_beam</t>
        </is>
      </c>
      <c r="F624" s="5" t="inlineStr">
        <is>
          <t>LG40x15</t>
        </is>
      </c>
      <c r="G624" s="5" t="inlineStr"/>
      <c r="H624" s="5" t="inlineStr">
        <is>
          <t>band width matches label</t>
        </is>
      </c>
      <c r="I624" s="5" t="n">
        <v>590</v>
      </c>
      <c r="J624" s="5" t="n">
        <v>40</v>
      </c>
      <c r="K624" s="9">
        <f>IF(AND(ISNUMBER(I624),ISNUMBER(J624),J624&gt;0),I624/J624,"")</f>
        <v/>
      </c>
      <c r="L624" s="5" t="n">
        <v>2.359</v>
      </c>
      <c r="M624" s="5" t="n">
        <v>5.9</v>
      </c>
      <c r="N624" s="5" t="n">
        <v>116.6</v>
      </c>
      <c r="O624" s="5" t="inlineStr">
        <is>
          <t>parallel line pair</t>
        </is>
      </c>
      <c r="P624" s="5" t="inlineStr">
        <is>
          <t>two parallel lines at the width written in the LG label, empty inside</t>
        </is>
      </c>
      <c r="Q624" s="5">
        <f>IF(OR(D624="column",D624="wall"),IF(I624&lt;='P vs V'!$B$3*J624,"column","wall"),"")</f>
        <v/>
      </c>
      <c r="R624" s="5" t="inlineStr"/>
      <c r="S624" s="5" t="inlineStr"/>
      <c r="T624" s="5" t="n"/>
      <c r="U624" s="5" t="inlineStr">
        <is>
          <t>no</t>
        </is>
      </c>
      <c r="V624" s="5" t="inlineStr">
        <is>
          <t>no</t>
        </is>
      </c>
      <c r="W624" s="5" t="inlineStr">
        <is>
          <t>yes</t>
        </is>
      </c>
      <c r="X624" s="5" t="inlineStr">
        <is>
          <t>no</t>
        </is>
      </c>
      <c r="Y624" s="5" t="inlineStr">
        <is>
          <t>no</t>
        </is>
      </c>
      <c r="Z624" s="5" t="inlineStr">
        <is>
          <t>no</t>
        </is>
      </c>
      <c r="AA624" s="5" t="n">
        <v>4.17</v>
      </c>
      <c r="AB624" s="5" t="n"/>
      <c r="AC624" s="5" t="n"/>
      <c r="AD624" s="5" t="n"/>
      <c r="AE624" s="5" t="n">
        <v>1846.5</v>
      </c>
      <c r="AF624" s="5" t="n">
        <v>2575.2</v>
      </c>
      <c r="AG624" s="5" t="n">
        <v>1935.1</v>
      </c>
      <c r="AH624" s="5" t="n">
        <v>2736.1</v>
      </c>
      <c r="AI624" s="5" t="inlineStr">
        <is>
          <t>n/a</t>
        </is>
      </c>
      <c r="AJ624" s="5" t="inlineStr"/>
      <c r="AK624" s="5" t="inlineStr"/>
      <c r="AL624" s="5" t="inlineStr"/>
      <c r="AM624" s="5" t="inlineStr"/>
    </row>
    <row r="625">
      <c r="A625" s="5" t="n">
        <v>624</v>
      </c>
      <c r="B625" s="5" t="inlineStr">
        <is>
          <t>127</t>
        </is>
      </c>
      <c r="C625" s="5" t="inlineStr">
        <is>
          <t>nearest labels (60% agree)</t>
        </is>
      </c>
      <c r="D625" s="5" t="inlineStr">
        <is>
          <t>grade_beam</t>
        </is>
      </c>
      <c r="E625" s="5" t="inlineStr">
        <is>
          <t>grade_beam</t>
        </is>
      </c>
      <c r="F625" s="5" t="inlineStr">
        <is>
          <t>LG40x15</t>
        </is>
      </c>
      <c r="G625" s="5" t="inlineStr"/>
      <c r="H625" s="5" t="inlineStr">
        <is>
          <t>band width matches label</t>
        </is>
      </c>
      <c r="I625" s="5" t="n">
        <v>269</v>
      </c>
      <c r="J625" s="5" t="n">
        <v>40</v>
      </c>
      <c r="K625" s="9">
        <f>IF(AND(ISNUMBER(I625),ISNUMBER(J625),J625&gt;0),I625/J625,"")</f>
        <v/>
      </c>
      <c r="L625" s="5" t="n">
        <v>1.078</v>
      </c>
      <c r="M625" s="5" t="n">
        <v>2.69</v>
      </c>
      <c r="N625" s="5" t="n">
        <v>116.6</v>
      </c>
      <c r="O625" s="5" t="inlineStr">
        <is>
          <t>parallel line pair</t>
        </is>
      </c>
      <c r="P625" s="5" t="inlineStr">
        <is>
          <t>two parallel lines at the width written in the LG label, empty inside</t>
        </is>
      </c>
      <c r="Q625" s="5">
        <f>IF(OR(D625="column",D625="wall"),IF(I625&lt;='P vs V'!$B$3*J625,"column","wall"),"")</f>
        <v/>
      </c>
      <c r="R625" s="5" t="inlineStr"/>
      <c r="S625" s="5" t="inlineStr"/>
      <c r="T625" s="5" t="n"/>
      <c r="U625" s="5" t="inlineStr">
        <is>
          <t>no</t>
        </is>
      </c>
      <c r="V625" s="5" t="inlineStr">
        <is>
          <t>no</t>
        </is>
      </c>
      <c r="W625" s="5" t="inlineStr">
        <is>
          <t>no</t>
        </is>
      </c>
      <c r="X625" s="5" t="inlineStr">
        <is>
          <t>no</t>
        </is>
      </c>
      <c r="Y625" s="5" t="inlineStr">
        <is>
          <t>no</t>
        </is>
      </c>
      <c r="Z625" s="5" t="inlineStr">
        <is>
          <t>no</t>
        </is>
      </c>
      <c r="AA625" s="5" t="n">
        <v>9.76</v>
      </c>
      <c r="AB625" s="5" t="n"/>
      <c r="AC625" s="5" t="n"/>
      <c r="AD625" s="5" t="n"/>
      <c r="AE625" s="5" t="n">
        <v>2636.3</v>
      </c>
      <c r="AF625" s="5" t="n">
        <v>2746.4</v>
      </c>
      <c r="AG625" s="5" t="n">
        <v>2682.5</v>
      </c>
      <c r="AH625" s="5" t="n">
        <v>2822.8</v>
      </c>
      <c r="AI625" s="5" t="inlineStr">
        <is>
          <t>n/a</t>
        </is>
      </c>
      <c r="AJ625" s="5" t="inlineStr"/>
      <c r="AK625" s="5" t="inlineStr"/>
      <c r="AL625" s="5" t="inlineStr"/>
      <c r="AM625" s="5" t="inlineStr"/>
    </row>
    <row r="626">
      <c r="A626" s="5" t="n">
        <v>625</v>
      </c>
      <c r="B626" s="5" t="inlineStr">
        <is>
          <t>127</t>
        </is>
      </c>
      <c r="C626" s="5" t="inlineStr">
        <is>
          <t>nearest labels (100% agree)</t>
        </is>
      </c>
      <c r="D626" s="5" t="inlineStr">
        <is>
          <t>grade_beam</t>
        </is>
      </c>
      <c r="E626" s="5" t="inlineStr">
        <is>
          <t>grade_beam</t>
        </is>
      </c>
      <c r="F626" s="5" t="inlineStr">
        <is>
          <t>LG40x15</t>
        </is>
      </c>
      <c r="G626" s="5" t="inlineStr"/>
      <c r="H626" s="5" t="inlineStr">
        <is>
          <t>band width matches label</t>
        </is>
      </c>
      <c r="I626" s="5" t="n">
        <v>52</v>
      </c>
      <c r="J626" s="5" t="n">
        <v>40</v>
      </c>
      <c r="K626" s="9">
        <f>IF(AND(ISNUMBER(I626),ISNUMBER(J626),J626&gt;0),I626/J626,"")</f>
        <v/>
      </c>
      <c r="L626" s="5" t="n">
        <v>0.207</v>
      </c>
      <c r="M626" s="5" t="n">
        <v>0.52</v>
      </c>
      <c r="N626" s="5" t="n">
        <v>116.6</v>
      </c>
      <c r="O626" s="5" t="inlineStr">
        <is>
          <t>parallel line pair</t>
        </is>
      </c>
      <c r="P626" s="5" t="inlineStr">
        <is>
          <t>two parallel lines at the width written in the LG label, empty inside</t>
        </is>
      </c>
      <c r="Q626" s="5">
        <f>IF(OR(D626="column",D626="wall"),IF(I626&lt;='P vs V'!$B$3*J626,"column","wall"),"")</f>
        <v/>
      </c>
      <c r="R626" s="5" t="inlineStr"/>
      <c r="S626" s="5" t="inlineStr"/>
      <c r="T626" s="5" t="n"/>
      <c r="U626" s="5" t="inlineStr">
        <is>
          <t>no</t>
        </is>
      </c>
      <c r="V626" s="5" t="inlineStr">
        <is>
          <t>no</t>
        </is>
      </c>
      <c r="W626" s="5" t="inlineStr">
        <is>
          <t>no</t>
        </is>
      </c>
      <c r="X626" s="5" t="inlineStr">
        <is>
          <t>yes</t>
        </is>
      </c>
      <c r="Y626" s="5" t="inlineStr">
        <is>
          <t>no</t>
        </is>
      </c>
      <c r="Z626" s="5" t="inlineStr">
        <is>
          <t>no</t>
        </is>
      </c>
      <c r="AA626" s="5" t="n">
        <v>1.3</v>
      </c>
      <c r="AB626" s="5" t="n"/>
      <c r="AC626" s="5" t="n"/>
      <c r="AD626" s="5" t="n"/>
      <c r="AE626" s="5" t="n">
        <v>2435.1</v>
      </c>
      <c r="AF626" s="5" t="n">
        <v>2631.1</v>
      </c>
      <c r="AG626" s="5" t="n">
        <v>2452.6</v>
      </c>
      <c r="AH626" s="5" t="n">
        <v>2650</v>
      </c>
      <c r="AI626" s="5" t="inlineStr">
        <is>
          <t>n/a</t>
        </is>
      </c>
      <c r="AJ626" s="5" t="inlineStr"/>
      <c r="AK626" s="5" t="inlineStr"/>
      <c r="AL626" s="5" t="inlineStr"/>
      <c r="AM626" s="5" t="inlineStr"/>
    </row>
    <row r="627">
      <c r="A627" s="5" t="n">
        <v>626</v>
      </c>
      <c r="B627" s="5" t="inlineStr">
        <is>
          <t>127</t>
        </is>
      </c>
      <c r="C627" s="5" t="inlineStr">
        <is>
          <t>nearest labels (100% agree)</t>
        </is>
      </c>
      <c r="D627" s="5" t="inlineStr">
        <is>
          <t>grade_beam</t>
        </is>
      </c>
      <c r="E627" s="5" t="inlineStr">
        <is>
          <t>grade_beam</t>
        </is>
      </c>
      <c r="F627" s="5" t="inlineStr">
        <is>
          <t>LG40x15</t>
        </is>
      </c>
      <c r="G627" s="5" t="inlineStr"/>
      <c r="H627" s="5" t="inlineStr">
        <is>
          <t>band width matches label</t>
        </is>
      </c>
      <c r="I627" s="5" t="n">
        <v>139</v>
      </c>
      <c r="J627" s="5" t="n">
        <v>40</v>
      </c>
      <c r="K627" s="9">
        <f>IF(AND(ISNUMBER(I627),ISNUMBER(J627),J627&gt;0),I627/J627,"")</f>
        <v/>
      </c>
      <c r="L627" s="5" t="n">
        <v>0.5580000000000001</v>
      </c>
      <c r="M627" s="5" t="n">
        <v>1.39</v>
      </c>
      <c r="N627" s="5" t="n">
        <v>116.6</v>
      </c>
      <c r="O627" s="5" t="inlineStr">
        <is>
          <t>parallel line pair</t>
        </is>
      </c>
      <c r="P627" s="5" t="inlineStr">
        <is>
          <t>two parallel lines at the width written in the LG label, empty inside</t>
        </is>
      </c>
      <c r="Q627" s="5">
        <f>IF(OR(D627="column",D627="wall"),IF(I627&lt;='P vs V'!$B$3*J627,"column","wall"),"")</f>
        <v/>
      </c>
      <c r="R627" s="5" t="inlineStr"/>
      <c r="S627" s="5" t="inlineStr"/>
      <c r="T627" s="5" t="n"/>
      <c r="U627" s="5" t="inlineStr">
        <is>
          <t>no</t>
        </is>
      </c>
      <c r="V627" s="5" t="inlineStr">
        <is>
          <t>no</t>
        </is>
      </c>
      <c r="W627" s="5" t="inlineStr">
        <is>
          <t>no</t>
        </is>
      </c>
      <c r="X627" s="5" t="inlineStr">
        <is>
          <t>no</t>
        </is>
      </c>
      <c r="Y627" s="5" t="inlineStr">
        <is>
          <t>no</t>
        </is>
      </c>
      <c r="Z627" s="5" t="inlineStr">
        <is>
          <t>no</t>
        </is>
      </c>
      <c r="AA627" s="5" t="n">
        <v>1.04</v>
      </c>
      <c r="AB627" s="5" t="n"/>
      <c r="AC627" s="5" t="n"/>
      <c r="AD627" s="5" t="n"/>
      <c r="AE627" s="5" t="n">
        <v>2305.5</v>
      </c>
      <c r="AF627" s="5" t="n">
        <v>2866.4</v>
      </c>
      <c r="AG627" s="5" t="n">
        <v>2334.5</v>
      </c>
      <c r="AH627" s="5" t="n">
        <v>2908.5</v>
      </c>
      <c r="AI627" s="5" t="inlineStr">
        <is>
          <t>n/a</t>
        </is>
      </c>
      <c r="AJ627" s="5" t="inlineStr"/>
      <c r="AK627" s="5" t="inlineStr"/>
      <c r="AL627" s="5" t="inlineStr"/>
      <c r="AM627" s="5" t="inlineStr"/>
    </row>
    <row r="628">
      <c r="A628" s="5" t="n">
        <v>627</v>
      </c>
      <c r="B628" s="5" t="inlineStr">
        <is>
          <t>127</t>
        </is>
      </c>
      <c r="C628" s="5" t="inlineStr">
        <is>
          <t>nearest labels (100% agree)</t>
        </is>
      </c>
      <c r="D628" s="5" t="inlineStr">
        <is>
          <t>grade_beam</t>
        </is>
      </c>
      <c r="E628" s="5" t="inlineStr">
        <is>
          <t>grade_beam</t>
        </is>
      </c>
      <c r="F628" s="5" t="inlineStr">
        <is>
          <t>LG40x15</t>
        </is>
      </c>
      <c r="G628" s="5" t="inlineStr"/>
      <c r="H628" s="5" t="inlineStr">
        <is>
          <t>band width matches label</t>
        </is>
      </c>
      <c r="I628" s="5" t="n">
        <v>52</v>
      </c>
      <c r="J628" s="5" t="n">
        <v>40</v>
      </c>
      <c r="K628" s="9">
        <f>IF(AND(ISNUMBER(I628),ISNUMBER(J628),J628&gt;0),I628/J628,"")</f>
        <v/>
      </c>
      <c r="L628" s="5" t="n">
        <v>0.207</v>
      </c>
      <c r="M628" s="5" t="n">
        <v>0.52</v>
      </c>
      <c r="N628" s="5" t="n">
        <v>116.6</v>
      </c>
      <c r="O628" s="5" t="inlineStr">
        <is>
          <t>parallel line pair</t>
        </is>
      </c>
      <c r="P628" s="5" t="inlineStr">
        <is>
          <t>two parallel lines at the width written in the LG label, empty inside</t>
        </is>
      </c>
      <c r="Q628" s="5">
        <f>IF(OR(D628="column",D628="wall"),IF(I628&lt;='P vs V'!$B$3*J628,"column","wall"),"")</f>
        <v/>
      </c>
      <c r="R628" s="5" t="inlineStr"/>
      <c r="S628" s="5" t="inlineStr"/>
      <c r="T628" s="5" t="n"/>
      <c r="U628" s="5" t="inlineStr">
        <is>
          <t>no</t>
        </is>
      </c>
      <c r="V628" s="5" t="inlineStr">
        <is>
          <t>no</t>
        </is>
      </c>
      <c r="W628" s="5" t="inlineStr">
        <is>
          <t>no</t>
        </is>
      </c>
      <c r="X628" s="5" t="inlineStr">
        <is>
          <t>yes</t>
        </is>
      </c>
      <c r="Y628" s="5" t="inlineStr">
        <is>
          <t>no</t>
        </is>
      </c>
      <c r="Z628" s="5" t="inlineStr">
        <is>
          <t>no</t>
        </is>
      </c>
      <c r="AA628" s="5" t="n">
        <v>0.01</v>
      </c>
      <c r="AB628" s="5" t="n"/>
      <c r="AC628" s="5" t="n"/>
      <c r="AD628" s="5" t="n"/>
      <c r="AE628" s="5" t="n">
        <v>2229</v>
      </c>
      <c r="AF628" s="5" t="n">
        <v>2527.7</v>
      </c>
      <c r="AG628" s="5" t="n">
        <v>2246.4</v>
      </c>
      <c r="AH628" s="5" t="n">
        <v>2546.6</v>
      </c>
      <c r="AI628" s="5" t="inlineStr">
        <is>
          <t>n/a</t>
        </is>
      </c>
      <c r="AJ628" s="5" t="inlineStr"/>
      <c r="AK628" s="5" t="inlineStr"/>
      <c r="AL628" s="5" t="inlineStr"/>
      <c r="AM628" s="5" t="inlineStr"/>
    </row>
    <row r="629">
      <c r="A629" s="5" t="n">
        <v>628</v>
      </c>
      <c r="B629" s="5" t="inlineStr">
        <is>
          <t>127</t>
        </is>
      </c>
      <c r="C629" s="5" t="inlineStr">
        <is>
          <t>nearest labels (100% agree)</t>
        </is>
      </c>
      <c r="D629" s="5" t="inlineStr">
        <is>
          <t>grade_beam</t>
        </is>
      </c>
      <c r="E629" s="5" t="inlineStr">
        <is>
          <t>grade_beam</t>
        </is>
      </c>
      <c r="F629" s="5" t="inlineStr">
        <is>
          <t>LG40x15</t>
        </is>
      </c>
      <c r="G629" s="5" t="inlineStr"/>
      <c r="H629" s="5" t="inlineStr">
        <is>
          <t>band width matches label</t>
        </is>
      </c>
      <c r="I629" s="5" t="n">
        <v>163</v>
      </c>
      <c r="J629" s="5" t="n">
        <v>40</v>
      </c>
      <c r="K629" s="9">
        <f>IF(AND(ISNUMBER(I629),ISNUMBER(J629),J629&gt;0),I629/J629,"")</f>
        <v/>
      </c>
      <c r="L629" s="5" t="n">
        <v>0.651</v>
      </c>
      <c r="M629" s="5" t="n">
        <v>1.63</v>
      </c>
      <c r="N629" s="5" t="n">
        <v>116.6</v>
      </c>
      <c r="O629" s="5" t="inlineStr">
        <is>
          <t>parallel line pair</t>
        </is>
      </c>
      <c r="P629" s="5" t="inlineStr">
        <is>
          <t>two parallel lines at the width written in the LG label, empty inside</t>
        </is>
      </c>
      <c r="Q629" s="5">
        <f>IF(OR(D629="column",D629="wall"),IF(I629&lt;='P vs V'!$B$3*J629,"column","wall"),"")</f>
        <v/>
      </c>
      <c r="R629" s="5" t="inlineStr"/>
      <c r="S629" s="5" t="inlineStr"/>
      <c r="T629" s="5" t="n"/>
      <c r="U629" s="5" t="inlineStr">
        <is>
          <t>no</t>
        </is>
      </c>
      <c r="V629" s="5" t="inlineStr">
        <is>
          <t>no</t>
        </is>
      </c>
      <c r="W629" s="5" t="inlineStr">
        <is>
          <t>no</t>
        </is>
      </c>
      <c r="X629" s="5" t="inlineStr">
        <is>
          <t>no</t>
        </is>
      </c>
      <c r="Y629" s="5" t="inlineStr">
        <is>
          <t>no</t>
        </is>
      </c>
      <c r="Z629" s="5" t="inlineStr">
        <is>
          <t>no</t>
        </is>
      </c>
      <c r="AA629" s="5" t="n">
        <v>0.01</v>
      </c>
      <c r="AB629" s="5" t="n"/>
      <c r="AC629" s="5" t="n"/>
      <c r="AD629" s="5" t="n"/>
      <c r="AE629" s="5" t="n">
        <v>2096.2</v>
      </c>
      <c r="AF629" s="5" t="n">
        <v>2763.1</v>
      </c>
      <c r="AG629" s="5" t="n">
        <v>2128.3</v>
      </c>
      <c r="AH629" s="5" t="n">
        <v>2811.3</v>
      </c>
      <c r="AI629" s="5" t="inlineStr">
        <is>
          <t>n/a</t>
        </is>
      </c>
      <c r="AJ629" s="5" t="inlineStr"/>
      <c r="AK629" s="5" t="inlineStr"/>
      <c r="AL629" s="5" t="inlineStr"/>
      <c r="AM629" s="5" t="inlineStr"/>
    </row>
    <row r="630">
      <c r="A630" s="5" t="n">
        <v>629</v>
      </c>
      <c r="B630" s="5" t="inlineStr">
        <is>
          <t>127</t>
        </is>
      </c>
      <c r="C630" s="5" t="inlineStr">
        <is>
          <t>nearest labels (100% agree)</t>
        </is>
      </c>
      <c r="D630" s="5" t="inlineStr">
        <is>
          <t>grade_beam</t>
        </is>
      </c>
      <c r="E630" s="5" t="inlineStr">
        <is>
          <t>grade_beam</t>
        </is>
      </c>
      <c r="F630" s="5" t="inlineStr">
        <is>
          <t>LG40x15</t>
        </is>
      </c>
      <c r="G630" s="5" t="inlineStr"/>
      <c r="H630" s="5" t="inlineStr">
        <is>
          <t>band width matches label</t>
        </is>
      </c>
      <c r="I630" s="5" t="n">
        <v>199</v>
      </c>
      <c r="J630" s="5" t="n">
        <v>40</v>
      </c>
      <c r="K630" s="9">
        <f>IF(AND(ISNUMBER(I630),ISNUMBER(J630),J630&gt;0),I630/J630,"")</f>
        <v/>
      </c>
      <c r="L630" s="5" t="n">
        <v>0.796</v>
      </c>
      <c r="M630" s="5" t="n">
        <v>1.99</v>
      </c>
      <c r="N630" s="5" t="n">
        <v>116.6</v>
      </c>
      <c r="O630" s="5" t="inlineStr">
        <is>
          <t>parallel line pair</t>
        </is>
      </c>
      <c r="P630" s="5" t="inlineStr">
        <is>
          <t>two parallel lines at the width written in the LG label, empty inside</t>
        </is>
      </c>
      <c r="Q630" s="5">
        <f>IF(OR(D630="column",D630="wall"),IF(I630&lt;='P vs V'!$B$3*J630,"column","wall"),"")</f>
        <v/>
      </c>
      <c r="R630" s="5" t="inlineStr"/>
      <c r="S630" s="5" t="inlineStr"/>
      <c r="T630" s="5" t="n"/>
      <c r="U630" s="5" t="inlineStr">
        <is>
          <t>no</t>
        </is>
      </c>
      <c r="V630" s="5" t="inlineStr">
        <is>
          <t>no</t>
        </is>
      </c>
      <c r="W630" s="5" t="inlineStr">
        <is>
          <t>no</t>
        </is>
      </c>
      <c r="X630" s="5" t="inlineStr">
        <is>
          <t>no</t>
        </is>
      </c>
      <c r="Y630" s="5" t="inlineStr">
        <is>
          <t>no</t>
        </is>
      </c>
      <c r="Z630" s="5" t="inlineStr">
        <is>
          <t>no</t>
        </is>
      </c>
      <c r="AA630" s="5" t="n">
        <v>0</v>
      </c>
      <c r="AB630" s="5" t="n"/>
      <c r="AC630" s="5" t="n"/>
      <c r="AD630" s="5" t="n"/>
      <c r="AE630" s="5" t="n">
        <v>1948.9</v>
      </c>
      <c r="AF630" s="5" t="n">
        <v>2943.5</v>
      </c>
      <c r="AG630" s="5" t="n">
        <v>1985.8</v>
      </c>
      <c r="AH630" s="5" t="n">
        <v>3001.3</v>
      </c>
      <c r="AI630" s="5" t="inlineStr">
        <is>
          <t>n/a</t>
        </is>
      </c>
      <c r="AJ630" s="5" t="inlineStr"/>
      <c r="AK630" s="5" t="inlineStr"/>
      <c r="AL630" s="5" t="inlineStr"/>
      <c r="AM630" s="5" t="inlineStr"/>
    </row>
    <row r="631">
      <c r="A631" s="5" t="n">
        <v>630</v>
      </c>
      <c r="B631" s="5" t="inlineStr">
        <is>
          <t>127</t>
        </is>
      </c>
      <c r="C631" s="5" t="inlineStr">
        <is>
          <t>nearest labels (80% agree)</t>
        </is>
      </c>
      <c r="D631" s="5" t="inlineStr">
        <is>
          <t>grade_beam</t>
        </is>
      </c>
      <c r="E631" s="5" t="inlineStr">
        <is>
          <t>grade_beam</t>
        </is>
      </c>
      <c r="F631" s="5" t="inlineStr">
        <is>
          <t>LG40x15</t>
        </is>
      </c>
      <c r="G631" s="5" t="inlineStr"/>
      <c r="H631" s="5" t="inlineStr">
        <is>
          <t>band width matches label</t>
        </is>
      </c>
      <c r="I631" s="5" t="n">
        <v>527</v>
      </c>
      <c r="J631" s="5" t="n">
        <v>40</v>
      </c>
      <c r="K631" s="9">
        <f>IF(AND(ISNUMBER(I631),ISNUMBER(J631),J631&gt;0),I631/J631,"")</f>
        <v/>
      </c>
      <c r="L631" s="5" t="n">
        <v>2.11</v>
      </c>
      <c r="M631" s="5" t="n">
        <v>5.27</v>
      </c>
      <c r="N631" s="5" t="n">
        <v>116.6</v>
      </c>
      <c r="O631" s="5" t="inlineStr">
        <is>
          <t>parallel line pair</t>
        </is>
      </c>
      <c r="P631" s="5" t="inlineStr">
        <is>
          <t>two parallel lines at the width written in the LG label, empty inside</t>
        </is>
      </c>
      <c r="Q631" s="5">
        <f>IF(OR(D631="column",D631="wall"),IF(I631&lt;='P vs V'!$B$3*J631,"column","wall"),"")</f>
        <v/>
      </c>
      <c r="R631" s="5" t="inlineStr"/>
      <c r="S631" s="5" t="inlineStr"/>
      <c r="T631" s="5" t="n"/>
      <c r="U631" s="5" t="inlineStr">
        <is>
          <t>no</t>
        </is>
      </c>
      <c r="V631" s="5" t="inlineStr">
        <is>
          <t>no</t>
        </is>
      </c>
      <c r="W631" s="5" t="inlineStr">
        <is>
          <t>no</t>
        </is>
      </c>
      <c r="X631" s="5" t="inlineStr">
        <is>
          <t>no</t>
        </is>
      </c>
      <c r="Y631" s="5" t="inlineStr">
        <is>
          <t>no</t>
        </is>
      </c>
      <c r="Z631" s="5" t="inlineStr">
        <is>
          <t>yes</t>
        </is>
      </c>
      <c r="AA631" s="5" t="n">
        <v>0.02</v>
      </c>
      <c r="AB631" s="5" t="n"/>
      <c r="AC631" s="5" t="n"/>
      <c r="AD631" s="5" t="n"/>
      <c r="AE631" s="5" t="n">
        <v>1870.3</v>
      </c>
      <c r="AF631" s="5" t="n">
        <v>2817.4</v>
      </c>
      <c r="AG631" s="5" t="n">
        <v>1950.7</v>
      </c>
      <c r="AH631" s="5" t="n">
        <v>2961.9</v>
      </c>
      <c r="AI631" s="5" t="inlineStr">
        <is>
          <t>n/a</t>
        </is>
      </c>
      <c r="AJ631" s="5" t="inlineStr"/>
      <c r="AK631" s="5" t="inlineStr"/>
      <c r="AL631" s="5" t="inlineStr"/>
      <c r="AM631" s="5" t="inlineStr"/>
    </row>
    <row r="632">
      <c r="A632" s="5" t="n">
        <v>631</v>
      </c>
      <c r="B632" s="5" t="inlineStr">
        <is>
          <t>127</t>
        </is>
      </c>
      <c r="C632" s="5" t="inlineStr">
        <is>
          <t>nearest labels (100% agree)</t>
        </is>
      </c>
      <c r="D632" s="5" t="inlineStr">
        <is>
          <t>grade_beam</t>
        </is>
      </c>
      <c r="E632" s="5" t="inlineStr">
        <is>
          <t>grade_beam</t>
        </is>
      </c>
      <c r="F632" s="5" t="inlineStr">
        <is>
          <t>LG40x15</t>
        </is>
      </c>
      <c r="G632" s="5" t="inlineStr"/>
      <c r="H632" s="5" t="inlineStr">
        <is>
          <t>band width matches label</t>
        </is>
      </c>
      <c r="I632" s="5" t="n">
        <v>92</v>
      </c>
      <c r="J632" s="5" t="n">
        <v>40</v>
      </c>
      <c r="K632" s="9">
        <f>IF(AND(ISNUMBER(I632),ISNUMBER(J632),J632&gt;0),I632/J632,"")</f>
        <v/>
      </c>
      <c r="L632" s="5" t="n">
        <v>0.369</v>
      </c>
      <c r="M632" s="5" t="n">
        <v>0.92</v>
      </c>
      <c r="N632" s="5" t="n">
        <v>116.6</v>
      </c>
      <c r="O632" s="5" t="inlineStr">
        <is>
          <t>parallel line pair</t>
        </is>
      </c>
      <c r="P632" s="5" t="inlineStr">
        <is>
          <t>two parallel lines at the width written in the LG label, empty inside</t>
        </is>
      </c>
      <c r="Q632" s="5">
        <f>IF(OR(D632="column",D632="wall"),IF(I632&lt;='P vs V'!$B$3*J632,"column","wall"),"")</f>
        <v/>
      </c>
      <c r="R632" s="5" t="inlineStr"/>
      <c r="S632" s="5" t="inlineStr"/>
      <c r="T632" s="5" t="n"/>
      <c r="U632" s="5" t="inlineStr">
        <is>
          <t>no</t>
        </is>
      </c>
      <c r="V632" s="5" t="inlineStr">
        <is>
          <t>no</t>
        </is>
      </c>
      <c r="W632" s="5" t="inlineStr">
        <is>
          <t>no</t>
        </is>
      </c>
      <c r="X632" s="5" t="inlineStr">
        <is>
          <t>no</t>
        </is>
      </c>
      <c r="Y632" s="5" t="inlineStr">
        <is>
          <t>no</t>
        </is>
      </c>
      <c r="Z632" s="5" t="inlineStr">
        <is>
          <t>no</t>
        </is>
      </c>
      <c r="AA632" s="5" t="n">
        <v>0</v>
      </c>
      <c r="AB632" s="5" t="n"/>
      <c r="AC632" s="5" t="n"/>
      <c r="AD632" s="5" t="n"/>
      <c r="AE632" s="5" t="n">
        <v>2186.4</v>
      </c>
      <c r="AF632" s="5" t="n">
        <v>3047.9</v>
      </c>
      <c r="AG632" s="5" t="n">
        <v>2209.2</v>
      </c>
      <c r="AH632" s="5" t="n">
        <v>3077.5</v>
      </c>
      <c r="AI632" s="5" t="inlineStr">
        <is>
          <t>n/a</t>
        </is>
      </c>
      <c r="AJ632" s="5" t="inlineStr"/>
      <c r="AK632" s="5" t="inlineStr"/>
      <c r="AL632" s="5" t="inlineStr"/>
      <c r="AM632" s="5" t="inlineStr"/>
    </row>
    <row r="633">
      <c r="A633" s="5" t="n">
        <v>632</v>
      </c>
      <c r="B633" s="5" t="inlineStr">
        <is>
          <t>127</t>
        </is>
      </c>
      <c r="C633" s="5" t="inlineStr">
        <is>
          <t>nearest labels (100% agree)</t>
        </is>
      </c>
      <c r="D633" s="5" t="inlineStr">
        <is>
          <t>grade_beam</t>
        </is>
      </c>
      <c r="E633" s="5" t="inlineStr">
        <is>
          <t>grade_beam</t>
        </is>
      </c>
      <c r="F633" s="5" t="inlineStr">
        <is>
          <t>LG40x15</t>
        </is>
      </c>
      <c r="G633" s="5" t="inlineStr"/>
      <c r="H633" s="5" t="inlineStr">
        <is>
          <t>band width matches label</t>
        </is>
      </c>
      <c r="I633" s="5" t="n">
        <v>30</v>
      </c>
      <c r="J633" s="5" t="n">
        <v>40</v>
      </c>
      <c r="K633" s="9">
        <f>IF(AND(ISNUMBER(I633),ISNUMBER(J633),J633&gt;0),I633/J633,"")</f>
        <v/>
      </c>
      <c r="L633" s="5" t="n">
        <v>0.121</v>
      </c>
      <c r="M633" s="5" t="n">
        <v>0.3</v>
      </c>
      <c r="N633" s="5" t="n">
        <v>26.6</v>
      </c>
      <c r="O633" s="5" t="inlineStr">
        <is>
          <t>parallel line pair</t>
        </is>
      </c>
      <c r="P633" s="5" t="inlineStr">
        <is>
          <t>two parallel lines at the width written in the LG label, empty inside</t>
        </is>
      </c>
      <c r="Q633" s="5">
        <f>IF(OR(D633="column",D633="wall"),IF(I633&lt;='P vs V'!$B$3*J633,"column","wall"),"")</f>
        <v/>
      </c>
      <c r="R633" s="5" t="inlineStr"/>
      <c r="S633" s="5" t="inlineStr"/>
      <c r="T633" s="5" t="n"/>
      <c r="U633" s="5" t="inlineStr">
        <is>
          <t>no</t>
        </is>
      </c>
      <c r="V633" s="5" t="inlineStr">
        <is>
          <t>no</t>
        </is>
      </c>
      <c r="W633" s="5" t="inlineStr">
        <is>
          <t>no</t>
        </is>
      </c>
      <c r="X633" s="5" t="inlineStr">
        <is>
          <t>no</t>
        </is>
      </c>
      <c r="Y633" s="5" t="inlineStr">
        <is>
          <t>no</t>
        </is>
      </c>
      <c r="Z633" s="5" t="inlineStr">
        <is>
          <t>no</t>
        </is>
      </c>
      <c r="AA633" s="5" t="n">
        <v>2.06</v>
      </c>
      <c r="AB633" s="5" t="n"/>
      <c r="AC633" s="5" t="n"/>
      <c r="AD633" s="5" t="n"/>
      <c r="AE633" s="5" t="n">
        <v>2264.3</v>
      </c>
      <c r="AF633" s="5" t="n">
        <v>3103.3</v>
      </c>
      <c r="AG633" s="5" t="n">
        <v>2278.9</v>
      </c>
      <c r="AH633" s="5" t="n">
        <v>3116.6</v>
      </c>
      <c r="AI633" s="5" t="inlineStr">
        <is>
          <t>n/a</t>
        </is>
      </c>
      <c r="AJ633" s="5" t="inlineStr"/>
      <c r="AK633" s="5" t="inlineStr"/>
      <c r="AL633" s="5" t="inlineStr"/>
      <c r="AM633" s="5" t="inlineStr"/>
    </row>
    <row r="634">
      <c r="A634" s="5" t="n">
        <v>633</v>
      </c>
      <c r="B634" s="5" t="inlineStr">
        <is>
          <t>127</t>
        </is>
      </c>
      <c r="C634" s="5" t="inlineStr">
        <is>
          <t>nearest labels (100% agree)</t>
        </is>
      </c>
      <c r="D634" s="5" t="inlineStr">
        <is>
          <t>strip_footing</t>
        </is>
      </c>
      <c r="E634" s="5" t="inlineStr">
        <is>
          <t>strip_footing</t>
        </is>
      </c>
      <c r="F634" s="5" t="inlineStr">
        <is>
          <t>SF1</t>
        </is>
      </c>
      <c r="G634" s="5" t="inlineStr"/>
      <c r="H634" s="5" t="inlineStr">
        <is>
          <t>band width matches label</t>
        </is>
      </c>
      <c r="I634" s="5" t="n">
        <v>5798</v>
      </c>
      <c r="J634" s="5" t="n">
        <v>80</v>
      </c>
      <c r="K634" s="9">
        <f>IF(AND(ISNUMBER(I634),ISNUMBER(J634),J634&gt;0),I634/J634,"")</f>
        <v/>
      </c>
      <c r="L634" s="5" t="n">
        <v>46.382</v>
      </c>
      <c r="M634" s="5" t="n">
        <v>57.98</v>
      </c>
      <c r="N634" s="5" t="n">
        <v>26.6</v>
      </c>
      <c r="O634" s="5" t="inlineStr">
        <is>
          <t>parallel line pair</t>
        </is>
      </c>
      <c r="P634" s="5" t="inlineStr">
        <is>
          <t>two parallel lines at the width written in the SF label, a wall inside</t>
        </is>
      </c>
      <c r="Q634" s="5">
        <f>IF(OR(D634="column",D634="wall"),IF(I634&lt;='P vs V'!$B$3*J634,"column","wall"),"")</f>
        <v/>
      </c>
      <c r="R634" s="5" t="inlineStr"/>
      <c r="S634" s="5" t="inlineStr"/>
      <c r="T634" s="5" t="n"/>
      <c r="U634" s="5" t="inlineStr">
        <is>
          <t>no</t>
        </is>
      </c>
      <c r="V634" s="5" t="inlineStr">
        <is>
          <t>no</t>
        </is>
      </c>
      <c r="W634" s="5" t="inlineStr">
        <is>
          <t>yes</t>
        </is>
      </c>
      <c r="X634" s="5" t="inlineStr">
        <is>
          <t>yes</t>
        </is>
      </c>
      <c r="Y634" s="5" t="inlineStr">
        <is>
          <t>yes</t>
        </is>
      </c>
      <c r="Z634" s="5" t="inlineStr">
        <is>
          <t>yes</t>
        </is>
      </c>
      <c r="AA634" s="5" t="n">
        <v>2.29</v>
      </c>
      <c r="AB634" s="5" t="n"/>
      <c r="AC634" s="5" t="n"/>
      <c r="AD634" s="5" t="n"/>
      <c r="AE634" s="5" t="n">
        <v>1532.5</v>
      </c>
      <c r="AF634" s="5" t="n">
        <v>2163.8</v>
      </c>
      <c r="AG634" s="5" t="n">
        <v>3074.1</v>
      </c>
      <c r="AH634" s="5" t="n">
        <v>2950.7</v>
      </c>
      <c r="AI634" s="5" t="inlineStr">
        <is>
          <t>n/a</t>
        </is>
      </c>
      <c r="AJ634" s="5" t="inlineStr"/>
      <c r="AK634" s="5" t="inlineStr"/>
      <c r="AL634" s="5" t="inlineStr"/>
      <c r="AM634" s="5" t="inlineStr"/>
    </row>
    <row r="635">
      <c r="A635" s="5" t="n">
        <v>634</v>
      </c>
      <c r="B635" s="5" t="inlineStr">
        <is>
          <t>127</t>
        </is>
      </c>
      <c r="C635" s="5" t="inlineStr">
        <is>
          <t>nearest labels (80% agree)</t>
        </is>
      </c>
      <c r="D635" s="5" t="inlineStr">
        <is>
          <t>strip_footing</t>
        </is>
      </c>
      <c r="E635" s="5" t="inlineStr">
        <is>
          <t>strip_footing</t>
        </is>
      </c>
      <c r="F635" s="5" t="inlineStr">
        <is>
          <t>SF1</t>
        </is>
      </c>
      <c r="G635" s="5" t="inlineStr"/>
      <c r="H635" s="5" t="inlineStr">
        <is>
          <t>band width matches label</t>
        </is>
      </c>
      <c r="I635" s="5" t="n">
        <v>387</v>
      </c>
      <c r="J635" s="5" t="n">
        <v>80</v>
      </c>
      <c r="K635" s="9">
        <f>IF(AND(ISNUMBER(I635),ISNUMBER(J635),J635&gt;0),I635/J635,"")</f>
        <v/>
      </c>
      <c r="L635" s="5" t="n">
        <v>3.096</v>
      </c>
      <c r="M635" s="5" t="n">
        <v>3.87</v>
      </c>
      <c r="N635" s="5" t="n">
        <v>26.6</v>
      </c>
      <c r="O635" s="5" t="inlineStr">
        <is>
          <t>parallel line pair</t>
        </is>
      </c>
      <c r="P635" s="5" t="inlineStr">
        <is>
          <t>two parallel lines at the width written in the SF label, a wall inside</t>
        </is>
      </c>
      <c r="Q635" s="5">
        <f>IF(OR(D635="column",D635="wall"),IF(I635&lt;='P vs V'!$B$3*J635,"column","wall"),"")</f>
        <v/>
      </c>
      <c r="R635" s="5" t="inlineStr"/>
      <c r="S635" s="5" t="inlineStr"/>
      <c r="T635" s="5" t="n"/>
      <c r="U635" s="5" t="inlineStr">
        <is>
          <t>no</t>
        </is>
      </c>
      <c r="V635" s="5" t="inlineStr">
        <is>
          <t>no</t>
        </is>
      </c>
      <c r="W635" s="5" t="inlineStr">
        <is>
          <t>yes</t>
        </is>
      </c>
      <c r="X635" s="5" t="inlineStr">
        <is>
          <t>yes</t>
        </is>
      </c>
      <c r="Y635" s="5" t="inlineStr">
        <is>
          <t>no</t>
        </is>
      </c>
      <c r="Z635" s="5" t="inlineStr">
        <is>
          <t>no</t>
        </is>
      </c>
      <c r="AA635" s="5" t="n">
        <v>1.43</v>
      </c>
      <c r="AB635" s="5" t="n"/>
      <c r="AC635" s="5" t="n"/>
      <c r="AD635" s="5" t="n"/>
      <c r="AE635" s="5" t="n">
        <v>2257.9</v>
      </c>
      <c r="AF635" s="5" t="n">
        <v>3210.3</v>
      </c>
      <c r="AG635" s="5" t="n">
        <v>2370.6</v>
      </c>
      <c r="AH635" s="5" t="n">
        <v>3282.6</v>
      </c>
      <c r="AI635" s="5" t="inlineStr">
        <is>
          <t>n/a</t>
        </is>
      </c>
      <c r="AJ635" s="5" t="inlineStr"/>
      <c r="AK635" s="5" t="inlineStr"/>
      <c r="AL635" s="5" t="inlineStr"/>
      <c r="AM635" s="5" t="inlineStr"/>
    </row>
    <row r="636">
      <c r="A636" s="5" t="n">
        <v>635</v>
      </c>
      <c r="B636" s="5" t="inlineStr">
        <is>
          <t>127</t>
        </is>
      </c>
      <c r="C636" s="5" t="inlineStr">
        <is>
          <t>nearest labels (60% agree)</t>
        </is>
      </c>
      <c r="D636" s="5" t="inlineStr">
        <is>
          <t>strip_footing</t>
        </is>
      </c>
      <c r="E636" s="5" t="inlineStr">
        <is>
          <t>strip_footing</t>
        </is>
      </c>
      <c r="F636" s="5" t="inlineStr">
        <is>
          <t>SF1</t>
        </is>
      </c>
      <c r="G636" s="5" t="inlineStr"/>
      <c r="H636" s="5" t="inlineStr">
        <is>
          <t>band width matches label</t>
        </is>
      </c>
      <c r="I636" s="5" t="n">
        <v>125</v>
      </c>
      <c r="J636" s="5" t="n">
        <v>80</v>
      </c>
      <c r="K636" s="9">
        <f>IF(AND(ISNUMBER(I636),ISNUMBER(J636),J636&gt;0),I636/J636,"")</f>
        <v/>
      </c>
      <c r="L636" s="5" t="n">
        <v>1</v>
      </c>
      <c r="M636" s="5" t="n">
        <v>1.25</v>
      </c>
      <c r="N636" s="5" t="n">
        <v>116.6</v>
      </c>
      <c r="O636" s="5" t="inlineStr">
        <is>
          <t>parallel line pair</t>
        </is>
      </c>
      <c r="P636" s="5" t="inlineStr">
        <is>
          <t>two parallel lines at the width written in the SF label, a wall inside</t>
        </is>
      </c>
      <c r="Q636" s="5">
        <f>IF(OR(D636="column",D636="wall"),IF(I636&lt;='P vs V'!$B$3*J636,"column","wall"),"")</f>
        <v/>
      </c>
      <c r="R636" s="5" t="inlineStr">
        <is>
          <t>SC3</t>
        </is>
      </c>
      <c r="S636" s="5" t="inlineStr"/>
      <c r="T636" s="5" t="n"/>
      <c r="U636" s="5" t="inlineStr">
        <is>
          <t>no</t>
        </is>
      </c>
      <c r="V636" s="5" t="inlineStr">
        <is>
          <t>no</t>
        </is>
      </c>
      <c r="W636" s="5" t="inlineStr">
        <is>
          <t>yes</t>
        </is>
      </c>
      <c r="X636" s="5" t="inlineStr">
        <is>
          <t>yes</t>
        </is>
      </c>
      <c r="Y636" s="5" t="inlineStr">
        <is>
          <t>yes</t>
        </is>
      </c>
      <c r="Z636" s="5" t="inlineStr">
        <is>
          <t>yes</t>
        </is>
      </c>
      <c r="AA636" s="5" t="n">
        <v>6.36</v>
      </c>
      <c r="AB636" s="5" t="n"/>
      <c r="AC636" s="5" t="n"/>
      <c r="AD636" s="5" t="n"/>
      <c r="AE636" s="5" t="n">
        <v>2494.4</v>
      </c>
      <c r="AF636" s="5" t="n">
        <v>3067.3</v>
      </c>
      <c r="AG636" s="5" t="n">
        <v>2532.1</v>
      </c>
      <c r="AH636" s="5" t="n">
        <v>3110.9</v>
      </c>
      <c r="AI636" s="5" t="inlineStr">
        <is>
          <t>n/a</t>
        </is>
      </c>
      <c r="AJ636" s="5" t="inlineStr"/>
      <c r="AK636" s="5" t="inlineStr"/>
      <c r="AL636" s="5" t="inlineStr"/>
      <c r="AM636" s="5" t="inlineStr"/>
    </row>
    <row r="637">
      <c r="A637" s="5" t="n">
        <v>636</v>
      </c>
      <c r="B637" s="5" t="inlineStr">
        <is>
          <t>127</t>
        </is>
      </c>
      <c r="C637" s="5" t="inlineStr">
        <is>
          <t>nearest labels (100% agree)</t>
        </is>
      </c>
      <c r="D637" s="5" t="inlineStr">
        <is>
          <t>strip_footing</t>
        </is>
      </c>
      <c r="E637" s="5" t="inlineStr">
        <is>
          <t>strip_footing</t>
        </is>
      </c>
      <c r="F637" s="5" t="inlineStr">
        <is>
          <t>SF4</t>
        </is>
      </c>
      <c r="G637" s="5" t="inlineStr"/>
      <c r="H637" s="5" t="inlineStr">
        <is>
          <t>band width matches label</t>
        </is>
      </c>
      <c r="I637" s="5" t="n">
        <v>617</v>
      </c>
      <c r="J637" s="5" t="n">
        <v>120</v>
      </c>
      <c r="K637" s="9">
        <f>IF(AND(ISNUMBER(I637),ISNUMBER(J637),J637&gt;0),I637/J637,"")</f>
        <v/>
      </c>
      <c r="L637" s="5" t="n">
        <v>7.405</v>
      </c>
      <c r="M637" s="5" t="n">
        <v>6.17</v>
      </c>
      <c r="N637" s="5" t="n">
        <v>116.6</v>
      </c>
      <c r="O637" s="5" t="inlineStr">
        <is>
          <t>parallel line pair</t>
        </is>
      </c>
      <c r="P637" s="5" t="inlineStr">
        <is>
          <t>two parallel lines at the width written in the SF label, a wall inside</t>
        </is>
      </c>
      <c r="Q637" s="5">
        <f>IF(OR(D637="column",D637="wall"),IF(I637&lt;='P vs V'!$B$3*J637,"column","wall"),"")</f>
        <v/>
      </c>
      <c r="R637" s="5" t="inlineStr"/>
      <c r="S637" s="5" t="inlineStr"/>
      <c r="T637" s="5" t="n"/>
      <c r="U637" s="5" t="inlineStr">
        <is>
          <t>yes</t>
        </is>
      </c>
      <c r="V637" s="5" t="inlineStr">
        <is>
          <t>no</t>
        </is>
      </c>
      <c r="W637" s="5" t="inlineStr">
        <is>
          <t>yes</t>
        </is>
      </c>
      <c r="X637" s="5" t="inlineStr">
        <is>
          <t>yes</t>
        </is>
      </c>
      <c r="Y637" s="5" t="inlineStr">
        <is>
          <t>no</t>
        </is>
      </c>
      <c r="Z637" s="5" t="inlineStr">
        <is>
          <t>no</t>
        </is>
      </c>
      <c r="AA637" s="5" t="n">
        <v>0.54</v>
      </c>
      <c r="AB637" s="5" t="n"/>
      <c r="AC637" s="5" t="n"/>
      <c r="AD637" s="5" t="n"/>
      <c r="AE637" s="5" t="n">
        <v>2007.9</v>
      </c>
      <c r="AF637" s="5" t="n">
        <v>3203.8</v>
      </c>
      <c r="AG637" s="5" t="n">
        <v>2121.2</v>
      </c>
      <c r="AH637" s="5" t="n">
        <v>3382.6</v>
      </c>
      <c r="AI637" s="5" t="inlineStr">
        <is>
          <t>n/a</t>
        </is>
      </c>
      <c r="AJ637" s="5" t="inlineStr"/>
      <c r="AK637" s="5" t="inlineStr"/>
      <c r="AL637" s="5" t="inlineStr"/>
      <c r="AM637" s="5" t="inlineStr"/>
    </row>
    <row r="638">
      <c r="A638" s="5" t="n">
        <v>637</v>
      </c>
      <c r="B638" s="5" t="inlineStr">
        <is>
          <t>127</t>
        </is>
      </c>
      <c r="C638" s="5" t="inlineStr">
        <is>
          <t>nearest labels (80% agree)</t>
        </is>
      </c>
      <c r="D638" s="5" t="inlineStr">
        <is>
          <t>strip_footing</t>
        </is>
      </c>
      <c r="E638" s="5" t="inlineStr">
        <is>
          <t>strip_footing</t>
        </is>
      </c>
      <c r="F638" s="5" t="inlineStr">
        <is>
          <t>SF4</t>
        </is>
      </c>
      <c r="G638" s="5" t="inlineStr"/>
      <c r="H638" s="5" t="inlineStr">
        <is>
          <t>band width matches label</t>
        </is>
      </c>
      <c r="I638" s="5" t="n">
        <v>280</v>
      </c>
      <c r="J638" s="5" t="n">
        <v>120</v>
      </c>
      <c r="K638" s="9">
        <f>IF(AND(ISNUMBER(I638),ISNUMBER(J638),J638&gt;0),I638/J638,"")</f>
        <v/>
      </c>
      <c r="L638" s="5" t="n">
        <v>3.361</v>
      </c>
      <c r="M638" s="5" t="n">
        <v>2.8</v>
      </c>
      <c r="N638" s="5" t="n">
        <v>26.6</v>
      </c>
      <c r="O638" s="5" t="inlineStr">
        <is>
          <t>parallel line pair</t>
        </is>
      </c>
      <c r="P638" s="5" t="inlineStr">
        <is>
          <t>two parallel lines at the width written in the SF label, a wall inside</t>
        </is>
      </c>
      <c r="Q638" s="5">
        <f>IF(OR(D638="column",D638="wall"),IF(I638&lt;='P vs V'!$B$3*J638,"column","wall"),"")</f>
        <v/>
      </c>
      <c r="R638" s="5" t="inlineStr"/>
      <c r="S638" s="5" t="inlineStr"/>
      <c r="T638" s="5" t="n"/>
      <c r="U638" s="5" t="inlineStr">
        <is>
          <t>yes</t>
        </is>
      </c>
      <c r="V638" s="5" t="inlineStr">
        <is>
          <t>no</t>
        </is>
      </c>
      <c r="W638" s="5" t="inlineStr">
        <is>
          <t>yes</t>
        </is>
      </c>
      <c r="X638" s="5" t="inlineStr">
        <is>
          <t>yes</t>
        </is>
      </c>
      <c r="Y638" s="5" t="inlineStr">
        <is>
          <t>no</t>
        </is>
      </c>
      <c r="Z638" s="5" t="inlineStr">
        <is>
          <t>no</t>
        </is>
      </c>
      <c r="AA638" s="5" t="n">
        <v>1.46</v>
      </c>
      <c r="AB638" s="5" t="n"/>
      <c r="AC638" s="5" t="n"/>
      <c r="AD638" s="5" t="n"/>
      <c r="AE638" s="5" t="n">
        <v>2023.5</v>
      </c>
      <c r="AF638" s="5" t="n">
        <v>3382.6</v>
      </c>
      <c r="AG638" s="5" t="n">
        <v>2113.3</v>
      </c>
      <c r="AH638" s="5" t="n">
        <v>3451.4</v>
      </c>
      <c r="AI638" s="5" t="inlineStr">
        <is>
          <t>n/a</t>
        </is>
      </c>
      <c r="AJ638" s="5" t="inlineStr"/>
      <c r="AK638" s="5" t="inlineStr"/>
      <c r="AL638" s="5" t="inlineStr"/>
      <c r="AM638" s="5" t="inlineStr"/>
    </row>
    <row r="639">
      <c r="A639" s="5" t="n">
        <v>638</v>
      </c>
      <c r="B639" s="5" t="inlineStr">
        <is>
          <t>127</t>
        </is>
      </c>
      <c r="C639" s="5" t="inlineStr">
        <is>
          <t>nearest labels (100% agree)</t>
        </is>
      </c>
      <c r="D639" s="5" t="inlineStr">
        <is>
          <t>strip_footing</t>
        </is>
      </c>
      <c r="E639" s="5" t="inlineStr">
        <is>
          <t>strip_footing</t>
        </is>
      </c>
      <c r="F639" s="5" t="inlineStr">
        <is>
          <t>SF4</t>
        </is>
      </c>
      <c r="G639" s="5" t="inlineStr"/>
      <c r="H639" s="5" t="inlineStr">
        <is>
          <t>band width matches label</t>
        </is>
      </c>
      <c r="I639" s="5" t="n">
        <v>279</v>
      </c>
      <c r="J639" s="5" t="n">
        <v>120</v>
      </c>
      <c r="K639" s="9">
        <f>IF(AND(ISNUMBER(I639),ISNUMBER(J639),J639&gt;0),I639/J639,"")</f>
        <v/>
      </c>
      <c r="L639" s="5" t="n">
        <v>3.348</v>
      </c>
      <c r="M639" s="5" t="n">
        <v>2.79</v>
      </c>
      <c r="N639" s="5" t="n">
        <v>26.6</v>
      </c>
      <c r="O639" s="5" t="inlineStr">
        <is>
          <t>parallel line pair</t>
        </is>
      </c>
      <c r="P639" s="5" t="inlineStr">
        <is>
          <t>two parallel lines at the width written in the SF label, a wall inside</t>
        </is>
      </c>
      <c r="Q639" s="5">
        <f>IF(OR(D639="column",D639="wall"),IF(I639&lt;='P vs V'!$B$3*J639,"column","wall"),"")</f>
        <v/>
      </c>
      <c r="R639" s="5" t="inlineStr"/>
      <c r="S639" s="5" t="inlineStr"/>
      <c r="T639" s="5" t="n"/>
      <c r="U639" s="5" t="inlineStr">
        <is>
          <t>yes</t>
        </is>
      </c>
      <c r="V639" s="5" t="inlineStr">
        <is>
          <t>no</t>
        </is>
      </c>
      <c r="W639" s="5" t="inlineStr">
        <is>
          <t>yes</t>
        </is>
      </c>
      <c r="X639" s="5" t="inlineStr">
        <is>
          <t>yes</t>
        </is>
      </c>
      <c r="Y639" s="5" t="inlineStr">
        <is>
          <t>no</t>
        </is>
      </c>
      <c r="Z639" s="5" t="inlineStr">
        <is>
          <t>no</t>
        </is>
      </c>
      <c r="AA639" s="5" t="n">
        <v>1.68</v>
      </c>
      <c r="AB639" s="5" t="n"/>
      <c r="AC639" s="5" t="n"/>
      <c r="AD639" s="5" t="n"/>
      <c r="AE639" s="5" t="n">
        <v>2002.8</v>
      </c>
      <c r="AF639" s="5" t="n">
        <v>3095.5</v>
      </c>
      <c r="AG639" s="5" t="n">
        <v>2092.3</v>
      </c>
      <c r="AH639" s="5" t="n">
        <v>3164.1</v>
      </c>
      <c r="AI639" s="5" t="inlineStr">
        <is>
          <t>n/a</t>
        </is>
      </c>
      <c r="AJ639" s="5" t="inlineStr"/>
      <c r="AK639" s="5" t="inlineStr"/>
      <c r="AL639" s="5" t="inlineStr"/>
      <c r="AM639" s="5" t="inlineStr"/>
    </row>
    <row r="640">
      <c r="A640" s="5" t="n">
        <v>639</v>
      </c>
      <c r="B640" s="5" t="inlineStr">
        <is>
          <t>127</t>
        </is>
      </c>
      <c r="C640" s="5" t="inlineStr">
        <is>
          <t>nearest labels (100% agree)</t>
        </is>
      </c>
      <c r="D640" s="5" t="inlineStr">
        <is>
          <t>raft</t>
        </is>
      </c>
      <c r="E640" s="5" t="inlineStr">
        <is>
          <t>raft</t>
        </is>
      </c>
      <c r="F640" s="5" t="inlineStr">
        <is>
          <t>Radier 100</t>
        </is>
      </c>
      <c r="G640" s="5" t="inlineStr">
        <is>
          <t>Radier</t>
        </is>
      </c>
      <c r="H640" s="5" t="inlineStr">
        <is>
          <t>printed</t>
        </is>
      </c>
      <c r="I640" s="5" t="n">
        <v>1283</v>
      </c>
      <c r="J640" s="5" t="n">
        <v>930</v>
      </c>
      <c r="K640" s="9">
        <f>IF(AND(ISNUMBER(I640),ISNUMBER(J640),J640&gt;0),I640/J640,"")</f>
        <v/>
      </c>
      <c r="L640" s="5" t="n">
        <v>95.051</v>
      </c>
      <c r="M640" s="5" t="n"/>
      <c r="N640" s="5" t="n">
        <v>116.6</v>
      </c>
      <c r="O640" s="5" t="inlineStr">
        <is>
          <t>stamp + corner diagonals</t>
        </is>
      </c>
      <c r="P640" s="5" t="inlineStr">
        <is>
          <t>'Radier' stamp; extent from the corner diagonals that stop at the stamp</t>
        </is>
      </c>
      <c r="Q640" s="5">
        <f>IF(OR(D640="column",D640="wall"),IF(I640&lt;='P vs V'!$B$3*J640,"column","wall"),"")</f>
        <v/>
      </c>
      <c r="R640" s="5" t="inlineStr"/>
      <c r="S640" s="5" t="inlineStr"/>
      <c r="T640" s="5" t="n"/>
      <c r="U640" s="5" t="inlineStr">
        <is>
          <t>no</t>
        </is>
      </c>
      <c r="V640" s="5" t="inlineStr">
        <is>
          <t>yes</t>
        </is>
      </c>
      <c r="W640" s="5" t="inlineStr">
        <is>
          <t>yes</t>
        </is>
      </c>
      <c r="X640" s="5" t="inlineStr">
        <is>
          <t>no</t>
        </is>
      </c>
      <c r="Y640" s="5" t="inlineStr">
        <is>
          <t>yes</t>
        </is>
      </c>
      <c r="Z640" s="5" t="inlineStr">
        <is>
          <t>no</t>
        </is>
      </c>
      <c r="AA640" s="5" t="n">
        <v>0.34</v>
      </c>
      <c r="AB640" s="5" t="n"/>
      <c r="AC640" s="5" t="n"/>
      <c r="AD640" s="5" t="n">
        <v>100</v>
      </c>
      <c r="AE640" s="5" t="n">
        <v>1992</v>
      </c>
      <c r="AF640" s="5" t="n">
        <v>3009.7</v>
      </c>
      <c r="AG640" s="5" t="n">
        <v>2307.3</v>
      </c>
      <c r="AH640" s="5" t="n">
        <v>3471.5</v>
      </c>
      <c r="AI640" s="5" t="inlineStr">
        <is>
          <t>n/a</t>
        </is>
      </c>
      <c r="AJ640" s="5" t="inlineStr"/>
      <c r="AK640" s="5" t="inlineStr"/>
      <c r="AL640" s="5" t="inlineStr"/>
      <c r="AM640" s="5" t="inlineStr"/>
    </row>
    <row r="641">
      <c r="A641" s="5" t="n">
        <v>640</v>
      </c>
      <c r="B641" s="5" t="inlineStr">
        <is>
          <t>127</t>
        </is>
      </c>
      <c r="C641" s="5" t="inlineStr">
        <is>
          <t>nearest labels (100% agree)</t>
        </is>
      </c>
      <c r="D641" s="5" t="inlineStr">
        <is>
          <t>crane_foundation</t>
        </is>
      </c>
      <c r="E641" s="5" t="inlineStr">
        <is>
          <t>crane_foundation</t>
        </is>
      </c>
      <c r="F641" s="5" t="inlineStr">
        <is>
          <t>(none)</t>
        </is>
      </c>
      <c r="G641" s="5" t="inlineStr"/>
      <c r="H641" s="5" t="inlineStr">
        <is>
          <t>none</t>
        </is>
      </c>
      <c r="I641" s="5" t="n">
        <v>840</v>
      </c>
      <c r="J641" s="5" t="n">
        <v>840</v>
      </c>
      <c r="K641" s="9">
        <f>IF(AND(ISNUMBER(I641),ISNUMBER(J641),J641&gt;0),I641/J641,"")</f>
        <v/>
      </c>
      <c r="L641" s="5" t="n">
        <v>70.578</v>
      </c>
      <c r="M641" s="5" t="n"/>
      <c r="N641" s="5" t="n">
        <v>26.6</v>
      </c>
      <c r="O641" s="5" t="inlineStr">
        <is>
          <t>group of footings</t>
        </is>
      </c>
      <c r="P641" s="5" t="inlineStr">
        <is>
          <t>footings of stated size grouped next to a crane note</t>
        </is>
      </c>
      <c r="Q641" s="5">
        <f>IF(OR(D641="column",D641="wall"),IF(I641&lt;='P vs V'!$B$3*J641,"column","wall"),"")</f>
        <v/>
      </c>
      <c r="R641" s="5" t="inlineStr"/>
      <c r="S641" s="5" t="inlineStr"/>
      <c r="T641" s="5" t="n"/>
      <c r="U641" s="5" t="inlineStr">
        <is>
          <t>no</t>
        </is>
      </c>
      <c r="V641" s="5" t="inlineStr">
        <is>
          <t>no</t>
        </is>
      </c>
      <c r="W641" s="5" t="inlineStr">
        <is>
          <t>yes</t>
        </is>
      </c>
      <c r="X641" s="5" t="inlineStr">
        <is>
          <t>no</t>
        </is>
      </c>
      <c r="Y641" s="5" t="inlineStr">
        <is>
          <t>yes</t>
        </is>
      </c>
      <c r="Z641" s="5" t="inlineStr">
        <is>
          <t>yes</t>
        </is>
      </c>
      <c r="AA641" s="5" t="n">
        <v>2.69</v>
      </c>
      <c r="AB641" s="5" t="n"/>
      <c r="AC641" s="5" t="n"/>
      <c r="AD641" s="5" t="n"/>
      <c r="AE641" s="5" t="n">
        <v>2119.7</v>
      </c>
      <c r="AF641" s="5" t="n">
        <v>2542.4</v>
      </c>
      <c r="AG641" s="5" t="n">
        <v>2452.7</v>
      </c>
      <c r="AH641" s="5" t="n">
        <v>2875.2</v>
      </c>
      <c r="AI641" s="5" t="inlineStr">
        <is>
          <t>n/a</t>
        </is>
      </c>
      <c r="AJ641" s="5" t="inlineStr"/>
      <c r="AK641" s="5" t="inlineStr"/>
      <c r="AL641" s="5" t="inlineStr"/>
      <c r="AM641" s="5" t="inlineStr"/>
    </row>
    <row r="642">
      <c r="A642" s="5" t="n">
        <v>641</v>
      </c>
      <c r="B642" s="5" t="inlineStr">
        <is>
          <t>128</t>
        </is>
      </c>
      <c r="C642" s="5" t="inlineStr">
        <is>
          <t>own label</t>
        </is>
      </c>
      <c r="D642" s="5" t="inlineStr">
        <is>
          <t>column</t>
        </is>
      </c>
      <c r="E642" s="5" t="inlineStr">
        <is>
          <t>column</t>
        </is>
      </c>
      <c r="F642" s="5" t="inlineStr">
        <is>
          <t>P1/128</t>
        </is>
      </c>
      <c r="G642" s="5" t="inlineStr">
        <is>
          <t>P1/128/128</t>
        </is>
      </c>
      <c r="H642" s="5" t="inlineStr">
        <is>
          <t>printed</t>
        </is>
      </c>
      <c r="I642" s="5" t="n">
        <v>100</v>
      </c>
      <c r="J642" s="5" t="n">
        <v>25</v>
      </c>
      <c r="K642" s="9">
        <f>IF(AND(ISNUMBER(I642),ISNUMBER(J642),J642&gt;0),I642/J642,"")</f>
        <v/>
      </c>
      <c r="L642" s="5" t="n">
        <v>0.25</v>
      </c>
      <c r="M642" s="5" t="n"/>
      <c r="N642" s="5" t="n">
        <v>116.6</v>
      </c>
      <c r="O642" s="5" t="inlineStr">
        <is>
          <t>solid fill</t>
        </is>
      </c>
      <c r="P642" s="5" t="inlineStr">
        <is>
          <t>solid fill, rectangle, L &lt;= 4 W (EN 1992-1-1 5.3.1(7))</t>
        </is>
      </c>
      <c r="Q642" s="5">
        <f>IF(OR(D642="column",D642="wall"),IF(I642&lt;='P vs V'!$B$3*J642,"column","wall"),"")</f>
        <v/>
      </c>
      <c r="R642" s="5" t="inlineStr"/>
      <c r="S642" s="5" t="inlineStr"/>
      <c r="T642" s="5" t="n"/>
      <c r="U642" s="5" t="inlineStr">
        <is>
          <t>yes</t>
        </is>
      </c>
      <c r="V642" s="5" t="inlineStr">
        <is>
          <t>no</t>
        </is>
      </c>
      <c r="W642" s="5" t="inlineStr">
        <is>
          <t>no</t>
        </is>
      </c>
      <c r="X642" s="5" t="inlineStr">
        <is>
          <t>no</t>
        </is>
      </c>
      <c r="Y642" s="5" t="inlineStr">
        <is>
          <t>no</t>
        </is>
      </c>
      <c r="Z642" s="5" t="inlineStr">
        <is>
          <t>no</t>
        </is>
      </c>
      <c r="AA642" s="5" t="n">
        <v>0.42</v>
      </c>
      <c r="AB642" s="5" t="n"/>
      <c r="AC642" s="5" t="n"/>
      <c r="AD642" s="5" t="n"/>
      <c r="AE642" s="5" t="n">
        <v>1396.6</v>
      </c>
      <c r="AF642" s="5" t="n">
        <v>2715.7</v>
      </c>
      <c r="AG642" s="5" t="n">
        <v>1416.4</v>
      </c>
      <c r="AH642" s="5" t="n">
        <v>2745.4</v>
      </c>
      <c r="AI642" s="5" t="inlineStr">
        <is>
          <t>yes</t>
        </is>
      </c>
      <c r="AJ642" s="5" t="inlineStr">
        <is>
          <t>column</t>
        </is>
      </c>
      <c r="AK642" s="5" t="inlineStr"/>
      <c r="AL642" s="5" t="inlineStr">
        <is>
          <t>(0.0, 0.0, 1.0)</t>
        </is>
      </c>
      <c r="AM642" s="5" t="inlineStr">
        <is>
          <t>DM-Poteaux</t>
        </is>
      </c>
    </row>
    <row r="643">
      <c r="A643" s="5" t="n">
        <v>642</v>
      </c>
      <c r="B643" s="5" t="inlineStr">
        <is>
          <t>128</t>
        </is>
      </c>
      <c r="C643" s="5" t="inlineStr">
        <is>
          <t>own label</t>
        </is>
      </c>
      <c r="D643" s="5" t="inlineStr">
        <is>
          <t>column</t>
        </is>
      </c>
      <c r="E643" s="5" t="inlineStr">
        <is>
          <t>column</t>
        </is>
      </c>
      <c r="F643" s="5" t="inlineStr">
        <is>
          <t>P1/128</t>
        </is>
      </c>
      <c r="G643" s="5" t="inlineStr">
        <is>
          <t>P1/128/128</t>
        </is>
      </c>
      <c r="H643" s="5" t="inlineStr">
        <is>
          <t>printed</t>
        </is>
      </c>
      <c r="I643" s="5" t="n">
        <v>100</v>
      </c>
      <c r="J643" s="5" t="n">
        <v>25</v>
      </c>
      <c r="K643" s="9">
        <f>IF(AND(ISNUMBER(I643),ISNUMBER(J643),J643&gt;0),I643/J643,"")</f>
        <v/>
      </c>
      <c r="L643" s="5" t="n">
        <v>0.249</v>
      </c>
      <c r="M643" s="5" t="n"/>
      <c r="N643" s="5" t="n">
        <v>116.7</v>
      </c>
      <c r="O643" s="5" t="inlineStr">
        <is>
          <t>solid fill</t>
        </is>
      </c>
      <c r="P643" s="5" t="inlineStr">
        <is>
          <t>solid fill, rectangle, L &lt;= 4 W (EN 1992-1-1 5.3.1(7))</t>
        </is>
      </c>
      <c r="Q643" s="5">
        <f>IF(OR(D643="column",D643="wall"),IF(I643&lt;='P vs V'!$B$3*J643,"column","wall"),"")</f>
        <v/>
      </c>
      <c r="R643" s="5" t="inlineStr"/>
      <c r="S643" s="5" t="inlineStr"/>
      <c r="T643" s="5" t="n"/>
      <c r="U643" s="5" t="inlineStr">
        <is>
          <t>yes</t>
        </is>
      </c>
      <c r="V643" s="5" t="inlineStr">
        <is>
          <t>no</t>
        </is>
      </c>
      <c r="W643" s="5" t="inlineStr">
        <is>
          <t>no</t>
        </is>
      </c>
      <c r="X643" s="5" t="inlineStr">
        <is>
          <t>no</t>
        </is>
      </c>
      <c r="Y643" s="5" t="inlineStr">
        <is>
          <t>no</t>
        </is>
      </c>
      <c r="Z643" s="5" t="inlineStr">
        <is>
          <t>no</t>
        </is>
      </c>
      <c r="AA643" s="5" t="n">
        <v>0.42</v>
      </c>
      <c r="AB643" s="5" t="n"/>
      <c r="AC643" s="5" t="n"/>
      <c r="AD643" s="5" t="n"/>
      <c r="AE643" s="5" t="n">
        <v>1318.6</v>
      </c>
      <c r="AF643" s="5" t="n">
        <v>2676.8</v>
      </c>
      <c r="AG643" s="5" t="n">
        <v>1338.4</v>
      </c>
      <c r="AH643" s="5" t="n">
        <v>2706.5</v>
      </c>
      <c r="AI643" s="5" t="inlineStr">
        <is>
          <t>yes</t>
        </is>
      </c>
      <c r="AJ643" s="5" t="inlineStr">
        <is>
          <t>column</t>
        </is>
      </c>
      <c r="AK643" s="5" t="inlineStr"/>
      <c r="AL643" s="5" t="inlineStr">
        <is>
          <t>(0.0, 0.0, 1.0)</t>
        </is>
      </c>
      <c r="AM643" s="5" t="inlineStr">
        <is>
          <t>DM-Poteaux</t>
        </is>
      </c>
    </row>
    <row r="644">
      <c r="A644" s="5" t="n">
        <v>643</v>
      </c>
      <c r="B644" s="5" t="inlineStr">
        <is>
          <t>128</t>
        </is>
      </c>
      <c r="C644" s="5" t="inlineStr">
        <is>
          <t>own label</t>
        </is>
      </c>
      <c r="D644" s="5" t="inlineStr">
        <is>
          <t>column</t>
        </is>
      </c>
      <c r="E644" s="5" t="inlineStr">
        <is>
          <t>column</t>
        </is>
      </c>
      <c r="F644" s="5" t="inlineStr">
        <is>
          <t>P2/128</t>
        </is>
      </c>
      <c r="G644" s="5" t="inlineStr">
        <is>
          <t>P2/128/128</t>
        </is>
      </c>
      <c r="H644" s="5" t="inlineStr">
        <is>
          <t>printed</t>
        </is>
      </c>
      <c r="I644" s="5" t="n">
        <v>120</v>
      </c>
      <c r="J644" s="5" t="n">
        <v>50</v>
      </c>
      <c r="K644" s="9">
        <f>IF(AND(ISNUMBER(I644),ISNUMBER(J644),J644&gt;0),I644/J644,"")</f>
        <v/>
      </c>
      <c r="L644" s="5" t="n">
        <v>0.599</v>
      </c>
      <c r="M644" s="5" t="n"/>
      <c r="N644" s="5" t="n">
        <v>26.6</v>
      </c>
      <c r="O644" s="5" t="inlineStr">
        <is>
          <t>solid fill</t>
        </is>
      </c>
      <c r="P644" s="5" t="inlineStr">
        <is>
          <t>solid fill, rectangle, L &lt;= 4 W (EN 1992-1-1 5.3.1(7))</t>
        </is>
      </c>
      <c r="Q644" s="5">
        <f>IF(OR(D644="column",D644="wall"),IF(I644&lt;='P vs V'!$B$3*J644,"column","wall"),"")</f>
        <v/>
      </c>
      <c r="R644" s="5" t="inlineStr">
        <is>
          <t>S5</t>
        </is>
      </c>
      <c r="S644" s="5" t="inlineStr"/>
      <c r="T644" s="5" t="n"/>
      <c r="U644" s="5" t="inlineStr">
        <is>
          <t>no</t>
        </is>
      </c>
      <c r="V644" s="5" t="inlineStr">
        <is>
          <t>no</t>
        </is>
      </c>
      <c r="W644" s="5" t="inlineStr">
        <is>
          <t>no</t>
        </is>
      </c>
      <c r="X644" s="5" t="inlineStr">
        <is>
          <t>no</t>
        </is>
      </c>
      <c r="Y644" s="5" t="inlineStr">
        <is>
          <t>yes</t>
        </is>
      </c>
      <c r="Z644" s="5" t="inlineStr">
        <is>
          <t>no</t>
        </is>
      </c>
      <c r="AA644" s="5" t="n">
        <v>3.79</v>
      </c>
      <c r="AB644" s="5" t="n"/>
      <c r="AC644" s="5" t="n"/>
      <c r="AD644" s="5" t="n"/>
      <c r="AE644" s="5" t="n">
        <v>950.2</v>
      </c>
      <c r="AF644" s="5" t="n">
        <v>2830.2</v>
      </c>
      <c r="AG644" s="5" t="n">
        <v>988.5</v>
      </c>
      <c r="AH644" s="5" t="n">
        <v>2859.2</v>
      </c>
      <c r="AI644" s="5" t="inlineStr">
        <is>
          <t>yes</t>
        </is>
      </c>
      <c r="AJ644" s="5" t="inlineStr">
        <is>
          <t>column</t>
        </is>
      </c>
      <c r="AK644" s="5" t="inlineStr"/>
      <c r="AL644" s="5" t="inlineStr">
        <is>
          <t>(0.0, 0.0, 1.0)</t>
        </is>
      </c>
      <c r="AM644" s="5" t="inlineStr">
        <is>
          <t>DM-Poteaux</t>
        </is>
      </c>
    </row>
    <row r="645">
      <c r="A645" s="5" t="n">
        <v>644</v>
      </c>
      <c r="B645" s="5" t="inlineStr">
        <is>
          <t>128</t>
        </is>
      </c>
      <c r="C645" s="5" t="inlineStr">
        <is>
          <t>nearest labels (100% agree)</t>
        </is>
      </c>
      <c r="D645" s="5" t="inlineStr">
        <is>
          <t>wall</t>
        </is>
      </c>
      <c r="E645" s="5" t="inlineStr">
        <is>
          <t>core_wall_solid</t>
        </is>
      </c>
      <c r="F645" s="5" t="inlineStr">
        <is>
          <t>(none)</t>
        </is>
      </c>
      <c r="G645" s="5" t="inlineStr"/>
      <c r="H645" s="5" t="inlineStr">
        <is>
          <t>none</t>
        </is>
      </c>
      <c r="I645" s="5" t="n">
        <v>455</v>
      </c>
      <c r="J645" s="5" t="n">
        <v>20</v>
      </c>
      <c r="K645" s="9">
        <f>IF(AND(ISNUMBER(I645),ISNUMBER(J645),J645&gt;0),I645/J645,"")</f>
        <v/>
      </c>
      <c r="L645" s="5" t="n">
        <v>0.913</v>
      </c>
      <c r="M645" s="5" t="n"/>
      <c r="N645" s="5" t="n">
        <v>116.6</v>
      </c>
      <c r="O645" s="5" t="inlineStr">
        <is>
          <t>solid fill</t>
        </is>
      </c>
      <c r="P645" s="5" t="inlineStr">
        <is>
          <t>solid fill, rectangle, L &gt; 4 W (EN 1992-1-1 5.3.1(7))</t>
        </is>
      </c>
      <c r="Q645" s="5">
        <f>IF(OR(D645="column",D645="wall"),IF(I645&lt;='P vs V'!$B$3*J645,"column","wall"),"")</f>
        <v/>
      </c>
      <c r="R645" s="5" t="inlineStr"/>
      <c r="S645" s="5" t="inlineStr"/>
      <c r="T645" s="5" t="n"/>
      <c r="U645" s="5" t="inlineStr">
        <is>
          <t>yes</t>
        </is>
      </c>
      <c r="V645" s="5" t="inlineStr">
        <is>
          <t>no</t>
        </is>
      </c>
      <c r="W645" s="5" t="inlineStr">
        <is>
          <t>yes</t>
        </is>
      </c>
      <c r="X645" s="5" t="inlineStr">
        <is>
          <t>no</t>
        </is>
      </c>
      <c r="Y645" s="5" t="inlineStr">
        <is>
          <t>no</t>
        </is>
      </c>
      <c r="Z645" s="5" t="inlineStr">
        <is>
          <t>no</t>
        </is>
      </c>
      <c r="AA645" s="5" t="n">
        <v>0.06</v>
      </c>
      <c r="AB645" s="5" t="n"/>
      <c r="AC645" s="5" t="n"/>
      <c r="AD645" s="5" t="n"/>
      <c r="AE645" s="5" t="n">
        <v>1232.2</v>
      </c>
      <c r="AF645" s="5" t="n">
        <v>2857.5</v>
      </c>
      <c r="AG645" s="5" t="n">
        <v>1297.7</v>
      </c>
      <c r="AH645" s="5" t="n">
        <v>2980.2</v>
      </c>
      <c r="AI645" s="5" t="inlineStr">
        <is>
          <t>new</t>
        </is>
      </c>
      <c r="AJ645" s="5" t="inlineStr"/>
      <c r="AK645" s="5" t="inlineStr">
        <is>
          <t>piece of a wall network the colour pipeline left unsplit</t>
        </is>
      </c>
      <c r="AL645" s="5" t="inlineStr">
        <is>
          <t>(0.87, 0.0, 0.87)</t>
        </is>
      </c>
      <c r="AM645" s="5" t="inlineStr">
        <is>
          <t>DM-VOILE</t>
        </is>
      </c>
    </row>
    <row r="646">
      <c r="A646" s="5" t="n">
        <v>645</v>
      </c>
      <c r="B646" s="5" t="inlineStr">
        <is>
          <t>128</t>
        </is>
      </c>
      <c r="C646" s="5" t="inlineStr">
        <is>
          <t>nearest labels (100% agree)</t>
        </is>
      </c>
      <c r="D646" s="5" t="inlineStr">
        <is>
          <t>wall</t>
        </is>
      </c>
      <c r="E646" s="5" t="inlineStr">
        <is>
          <t>core_wall_solid</t>
        </is>
      </c>
      <c r="F646" s="5" t="inlineStr">
        <is>
          <t>(none)</t>
        </is>
      </c>
      <c r="G646" s="5" t="inlineStr"/>
      <c r="H646" s="5" t="inlineStr">
        <is>
          <t>none</t>
        </is>
      </c>
      <c r="I646" s="5" t="n">
        <v>455</v>
      </c>
      <c r="J646" s="5" t="n">
        <v>20</v>
      </c>
      <c r="K646" s="9">
        <f>IF(AND(ISNUMBER(I646),ISNUMBER(J646),J646&gt;0),I646/J646,"")</f>
        <v/>
      </c>
      <c r="L646" s="5" t="n">
        <v>0.909</v>
      </c>
      <c r="M646" s="5" t="n"/>
      <c r="N646" s="5" t="n">
        <v>116.6</v>
      </c>
      <c r="O646" s="5" t="inlineStr">
        <is>
          <t>solid fill</t>
        </is>
      </c>
      <c r="P646" s="5" t="inlineStr">
        <is>
          <t>solid fill, rectangle, L &gt; 4 W (EN 1992-1-1 5.3.1(7))</t>
        </is>
      </c>
      <c r="Q646" s="5">
        <f>IF(OR(D646="column",D646="wall"),IF(I646&lt;='P vs V'!$B$3*J646,"column","wall"),"")</f>
        <v/>
      </c>
      <c r="R646" s="5" t="inlineStr"/>
      <c r="S646" s="5" t="inlineStr"/>
      <c r="T646" s="5" t="n"/>
      <c r="U646" s="5" t="inlineStr">
        <is>
          <t>yes</t>
        </is>
      </c>
      <c r="V646" s="5" t="inlineStr">
        <is>
          <t>no</t>
        </is>
      </c>
      <c r="W646" s="5" t="inlineStr">
        <is>
          <t>yes</t>
        </is>
      </c>
      <c r="X646" s="5" t="inlineStr">
        <is>
          <t>no</t>
        </is>
      </c>
      <c r="Y646" s="5" t="inlineStr">
        <is>
          <t>no</t>
        </is>
      </c>
      <c r="Z646" s="5" t="inlineStr">
        <is>
          <t>no</t>
        </is>
      </c>
      <c r="AA646" s="5" t="n">
        <v>0.27</v>
      </c>
      <c r="AB646" s="5" t="n"/>
      <c r="AC646" s="5" t="n"/>
      <c r="AD646" s="5" t="n"/>
      <c r="AE646" s="5" t="n">
        <v>1153</v>
      </c>
      <c r="AF646" s="5" t="n">
        <v>2817.9</v>
      </c>
      <c r="AG646" s="5" t="n">
        <v>1218.5</v>
      </c>
      <c r="AH646" s="5" t="n">
        <v>2940.5</v>
      </c>
      <c r="AI646" s="5" t="inlineStr">
        <is>
          <t>new</t>
        </is>
      </c>
      <c r="AJ646" s="5" t="inlineStr"/>
      <c r="AK646" s="5" t="inlineStr">
        <is>
          <t>piece of a wall network the colour pipeline left unsplit</t>
        </is>
      </c>
      <c r="AL646" s="5" t="inlineStr">
        <is>
          <t>(0.87, 0.0, 0.87)</t>
        </is>
      </c>
      <c r="AM646" s="5" t="inlineStr">
        <is>
          <t>DM-VOILE</t>
        </is>
      </c>
    </row>
    <row r="647">
      <c r="A647" s="5" t="n">
        <v>646</v>
      </c>
      <c r="B647" s="5" t="inlineStr">
        <is>
          <t>128</t>
        </is>
      </c>
      <c r="C647" s="5" t="inlineStr">
        <is>
          <t>nearest labels (100% agree)</t>
        </is>
      </c>
      <c r="D647" s="5" t="inlineStr">
        <is>
          <t>wall</t>
        </is>
      </c>
      <c r="E647" s="5" t="inlineStr">
        <is>
          <t>core_wall_solid</t>
        </is>
      </c>
      <c r="F647" s="5" t="inlineStr">
        <is>
          <t>(none)</t>
        </is>
      </c>
      <c r="G647" s="5" t="inlineStr"/>
      <c r="H647" s="5" t="inlineStr">
        <is>
          <t>none</t>
        </is>
      </c>
      <c r="I647" s="5" t="n">
        <v>344</v>
      </c>
      <c r="J647" s="5" t="n">
        <v>20</v>
      </c>
      <c r="K647" s="9">
        <f>IF(AND(ISNUMBER(I647),ISNUMBER(J647),J647&gt;0),I647/J647,"")</f>
        <v/>
      </c>
      <c r="L647" s="5" t="n">
        <v>0.6919999999999999</v>
      </c>
      <c r="M647" s="5" t="n"/>
      <c r="N647" s="5" t="n">
        <v>116.6</v>
      </c>
      <c r="O647" s="5" t="inlineStr">
        <is>
          <t>solid fill</t>
        </is>
      </c>
      <c r="P647" s="5" t="inlineStr">
        <is>
          <t>solid fill, rectangle, L &gt; 4 W (EN 1992-1-1 5.3.1(7))</t>
        </is>
      </c>
      <c r="Q647" s="5">
        <f>IF(OR(D647="column",D647="wall"),IF(I647&lt;='P vs V'!$B$3*J647,"column","wall"),"")</f>
        <v/>
      </c>
      <c r="R647" s="5" t="inlineStr"/>
      <c r="S647" s="5" t="inlineStr"/>
      <c r="T647" s="5" t="n"/>
      <c r="U647" s="5" t="inlineStr">
        <is>
          <t>yes</t>
        </is>
      </c>
      <c r="V647" s="5" t="inlineStr">
        <is>
          <t>no</t>
        </is>
      </c>
      <c r="W647" s="5" t="inlineStr">
        <is>
          <t>yes</t>
        </is>
      </c>
      <c r="X647" s="5" t="inlineStr">
        <is>
          <t>no</t>
        </is>
      </c>
      <c r="Y647" s="5" t="inlineStr">
        <is>
          <t>no</t>
        </is>
      </c>
      <c r="Z647" s="5" t="inlineStr">
        <is>
          <t>no</t>
        </is>
      </c>
      <c r="AA647" s="5" t="n">
        <v>0.03</v>
      </c>
      <c r="AB647" s="5" t="n"/>
      <c r="AC647" s="5" t="n"/>
      <c r="AD647" s="5" t="n"/>
      <c r="AE647" s="5" t="n">
        <v>1207.9</v>
      </c>
      <c r="AF647" s="5" t="n">
        <v>2717.7</v>
      </c>
      <c r="AG647" s="5" t="n">
        <v>1258.8</v>
      </c>
      <c r="AH647" s="5" t="n">
        <v>2811.2</v>
      </c>
      <c r="AI647" s="5" t="inlineStr">
        <is>
          <t>new</t>
        </is>
      </c>
      <c r="AJ647" s="5" t="inlineStr"/>
      <c r="AK647" s="5" t="inlineStr">
        <is>
          <t>piece of a wall network the colour pipeline left unsplit</t>
        </is>
      </c>
      <c r="AL647" s="5" t="inlineStr">
        <is>
          <t>(0.87, 0.0, 0.87)</t>
        </is>
      </c>
      <c r="AM647" s="5" t="inlineStr">
        <is>
          <t>DM-VOILE</t>
        </is>
      </c>
    </row>
    <row r="648">
      <c r="A648" s="5" t="n">
        <v>647</v>
      </c>
      <c r="B648" s="5" t="inlineStr">
        <is>
          <t>128</t>
        </is>
      </c>
      <c r="C648" s="5" t="inlineStr">
        <is>
          <t>nearest labels (100% agree)</t>
        </is>
      </c>
      <c r="D648" s="5" t="inlineStr">
        <is>
          <t>wall</t>
        </is>
      </c>
      <c r="E648" s="5" t="inlineStr">
        <is>
          <t>core_wall_solid</t>
        </is>
      </c>
      <c r="F648" s="5" t="inlineStr">
        <is>
          <t>(none)</t>
        </is>
      </c>
      <c r="G648" s="5" t="inlineStr"/>
      <c r="H648" s="5" t="inlineStr">
        <is>
          <t>none</t>
        </is>
      </c>
      <c r="I648" s="5" t="n">
        <v>344</v>
      </c>
      <c r="J648" s="5" t="n">
        <v>20</v>
      </c>
      <c r="K648" s="9">
        <f>IF(AND(ISNUMBER(I648),ISNUMBER(J648),J648&gt;0),I648/J648,"")</f>
        <v/>
      </c>
      <c r="L648" s="5" t="n">
        <v>0.6909999999999999</v>
      </c>
      <c r="M648" s="5" t="n"/>
      <c r="N648" s="5" t="n">
        <v>116.6</v>
      </c>
      <c r="O648" s="5" t="inlineStr">
        <is>
          <t>solid fill</t>
        </is>
      </c>
      <c r="P648" s="5" t="inlineStr">
        <is>
          <t>solid fill, rectangle, L &gt; 4 W (EN 1992-1-1 5.3.1(7))</t>
        </is>
      </c>
      <c r="Q648" s="5">
        <f>IF(OR(D648="column",D648="wall"),IF(I648&lt;='P vs V'!$B$3*J648,"column","wall"),"")</f>
        <v/>
      </c>
      <c r="R648" s="5" t="inlineStr"/>
      <c r="S648" s="5" t="inlineStr"/>
      <c r="T648" s="5" t="n"/>
      <c r="U648" s="5" t="inlineStr">
        <is>
          <t>yes</t>
        </is>
      </c>
      <c r="V648" s="5" t="inlineStr">
        <is>
          <t>no</t>
        </is>
      </c>
      <c r="W648" s="5" t="inlineStr">
        <is>
          <t>yes</t>
        </is>
      </c>
      <c r="X648" s="5" t="inlineStr">
        <is>
          <t>no</t>
        </is>
      </c>
      <c r="Y648" s="5" t="inlineStr">
        <is>
          <t>no</t>
        </is>
      </c>
      <c r="Z648" s="5" t="inlineStr">
        <is>
          <t>no</t>
        </is>
      </c>
      <c r="AA648" s="5" t="n">
        <v>0.39</v>
      </c>
      <c r="AB648" s="5" t="n"/>
      <c r="AC648" s="5" t="n"/>
      <c r="AD648" s="5" t="n"/>
      <c r="AE648" s="5" t="n">
        <v>1320.4</v>
      </c>
      <c r="AF648" s="5" t="n">
        <v>2774.2</v>
      </c>
      <c r="AG648" s="5" t="n">
        <v>1371.3</v>
      </c>
      <c r="AH648" s="5" t="n">
        <v>2867.7</v>
      </c>
      <c r="AI648" s="5" t="inlineStr">
        <is>
          <t>new</t>
        </is>
      </c>
      <c r="AJ648" s="5" t="inlineStr"/>
      <c r="AK648" s="5" t="inlineStr">
        <is>
          <t>piece of a wall network the colour pipeline left unsplit</t>
        </is>
      </c>
      <c r="AL648" s="5" t="inlineStr">
        <is>
          <t>(0.87, 0.0, 0.87)</t>
        </is>
      </c>
      <c r="AM648" s="5" t="inlineStr">
        <is>
          <t>DM-VOILE</t>
        </is>
      </c>
    </row>
    <row r="649">
      <c r="A649" s="5" t="n">
        <v>648</v>
      </c>
      <c r="B649" s="5" t="inlineStr">
        <is>
          <t>128</t>
        </is>
      </c>
      <c r="C649" s="5" t="inlineStr">
        <is>
          <t>nearest labels (100% agree)</t>
        </is>
      </c>
      <c r="D649" s="5" t="inlineStr">
        <is>
          <t>wall</t>
        </is>
      </c>
      <c r="E649" s="5" t="inlineStr">
        <is>
          <t>core_wall_solid</t>
        </is>
      </c>
      <c r="F649" s="5" t="inlineStr">
        <is>
          <t>(none)</t>
        </is>
      </c>
      <c r="G649" s="5" t="inlineStr"/>
      <c r="H649" s="5" t="inlineStr">
        <is>
          <t>none</t>
        </is>
      </c>
      <c r="I649" s="5" t="n">
        <v>116</v>
      </c>
      <c r="J649" s="5" t="n">
        <v>20</v>
      </c>
      <c r="K649" s="9">
        <f>IF(AND(ISNUMBER(I649),ISNUMBER(J649),J649&gt;0),I649/J649,"")</f>
        <v/>
      </c>
      <c r="L649" s="5" t="n">
        <v>0.232</v>
      </c>
      <c r="M649" s="5" t="n"/>
      <c r="N649" s="5" t="n">
        <v>26.6</v>
      </c>
      <c r="O649" s="5" t="inlineStr">
        <is>
          <t>solid fill</t>
        </is>
      </c>
      <c r="P649" s="5" t="inlineStr">
        <is>
          <t>solid fill, rectangle, L &gt; 4 W (EN 1992-1-1 5.3.1(7))</t>
        </is>
      </c>
      <c r="Q649" s="5">
        <f>IF(OR(D649="column",D649="wall"),IF(I649&lt;='P vs V'!$B$3*J649,"column","wall"),"")</f>
        <v/>
      </c>
      <c r="R649" s="5" t="inlineStr"/>
      <c r="S649" s="5" t="inlineStr"/>
      <c r="T649" s="5" t="n"/>
      <c r="U649" s="5" t="inlineStr">
        <is>
          <t>yes</t>
        </is>
      </c>
      <c r="V649" s="5" t="inlineStr">
        <is>
          <t>no</t>
        </is>
      </c>
      <c r="W649" s="5" t="inlineStr">
        <is>
          <t>yes</t>
        </is>
      </c>
      <c r="X649" s="5" t="inlineStr">
        <is>
          <t>no</t>
        </is>
      </c>
      <c r="Y649" s="5" t="inlineStr">
        <is>
          <t>no</t>
        </is>
      </c>
      <c r="Z649" s="5" t="inlineStr">
        <is>
          <t>no</t>
        </is>
      </c>
      <c r="AA649" s="5" t="n">
        <v>0.42</v>
      </c>
      <c r="AB649" s="5" t="n"/>
      <c r="AC649" s="5" t="n"/>
      <c r="AD649" s="5" t="n"/>
      <c r="AE649" s="5" t="n">
        <v>1292.4</v>
      </c>
      <c r="AF649" s="5" t="n">
        <v>2852.3</v>
      </c>
      <c r="AG649" s="5" t="n">
        <v>1325.7</v>
      </c>
      <c r="AH649" s="5" t="n">
        <v>2872.9</v>
      </c>
      <c r="AI649" s="5" t="inlineStr">
        <is>
          <t>new</t>
        </is>
      </c>
      <c r="AJ649" s="5" t="inlineStr"/>
      <c r="AK649" s="5" t="inlineStr">
        <is>
          <t>piece of a wall network the colour pipeline left unsplit</t>
        </is>
      </c>
      <c r="AL649" s="5" t="inlineStr">
        <is>
          <t>(0.87, 0.0, 0.87)</t>
        </is>
      </c>
      <c r="AM649" s="5" t="inlineStr">
        <is>
          <t>DM-VOILE</t>
        </is>
      </c>
    </row>
    <row r="650">
      <c r="A650" s="5" t="n">
        <v>649</v>
      </c>
      <c r="B650" s="5" t="inlineStr">
        <is>
          <t>128</t>
        </is>
      </c>
      <c r="C650" s="5" t="inlineStr">
        <is>
          <t>nearest labels (100% agree)</t>
        </is>
      </c>
      <c r="D650" s="5" t="inlineStr">
        <is>
          <t>wall</t>
        </is>
      </c>
      <c r="E650" s="5" t="inlineStr">
        <is>
          <t>core_wall_solid</t>
        </is>
      </c>
      <c r="F650" s="5" t="inlineStr">
        <is>
          <t>(none)</t>
        </is>
      </c>
      <c r="G650" s="5" t="inlineStr"/>
      <c r="H650" s="5" t="inlineStr">
        <is>
          <t>none</t>
        </is>
      </c>
      <c r="I650" s="5" t="n">
        <v>50</v>
      </c>
      <c r="J650" s="5" t="n">
        <v>20</v>
      </c>
      <c r="K650" s="9">
        <f>IF(AND(ISNUMBER(I650),ISNUMBER(J650),J650&gt;0),I650/J650,"")</f>
        <v/>
      </c>
      <c r="L650" s="5" t="n">
        <v>0.099</v>
      </c>
      <c r="M650" s="5" t="n"/>
      <c r="N650" s="5" t="n">
        <v>26.7</v>
      </c>
      <c r="O650" s="5" t="inlineStr">
        <is>
          <t>solid fill</t>
        </is>
      </c>
      <c r="P650" s="5" t="inlineStr">
        <is>
          <t>solid fill, short piece touching a wall of the same thickness</t>
        </is>
      </c>
      <c r="Q650" s="5">
        <f>IF(OR(D650="column",D650="wall"),IF(I650&lt;='P vs V'!$B$3*J650,"column","wall"),"")</f>
        <v/>
      </c>
      <c r="R650" s="5" t="inlineStr"/>
      <c r="S650" s="5" t="inlineStr"/>
      <c r="T650" s="5" t="n"/>
      <c r="U650" s="5" t="inlineStr">
        <is>
          <t>yes</t>
        </is>
      </c>
      <c r="V650" s="5" t="inlineStr">
        <is>
          <t>no</t>
        </is>
      </c>
      <c r="W650" s="5" t="inlineStr">
        <is>
          <t>yes</t>
        </is>
      </c>
      <c r="X650" s="5" t="inlineStr">
        <is>
          <t>no</t>
        </is>
      </c>
      <c r="Y650" s="5" t="inlineStr">
        <is>
          <t>no</t>
        </is>
      </c>
      <c r="Z650" s="5" t="inlineStr">
        <is>
          <t>no</t>
        </is>
      </c>
      <c r="AA650" s="5" t="n">
        <v>0.12</v>
      </c>
      <c r="AB650" s="5" t="n"/>
      <c r="AC650" s="5" t="n"/>
      <c r="AD650" s="5" t="n"/>
      <c r="AE650" s="5" t="n">
        <v>1205.3</v>
      </c>
      <c r="AF650" s="5" t="n">
        <v>2808.6</v>
      </c>
      <c r="AG650" s="5" t="n">
        <v>1221.1</v>
      </c>
      <c r="AH650" s="5" t="n">
        <v>2820.5</v>
      </c>
      <c r="AI650" s="5" t="inlineStr">
        <is>
          <t>new</t>
        </is>
      </c>
      <c r="AJ650" s="5" t="inlineStr"/>
      <c r="AK650" s="5" t="inlineStr">
        <is>
          <t>piece of a wall network the colour pipeline left unsplit</t>
        </is>
      </c>
      <c r="AL650" s="5" t="inlineStr">
        <is>
          <t>(0.87, 0.0, 0.87)</t>
        </is>
      </c>
      <c r="AM650" s="5" t="inlineStr">
        <is>
          <t>DM-VOILE</t>
        </is>
      </c>
    </row>
    <row r="651">
      <c r="A651" s="5" t="n">
        <v>650</v>
      </c>
      <c r="B651" s="5" t="inlineStr">
        <is>
          <t>128</t>
        </is>
      </c>
      <c r="C651" s="5" t="inlineStr">
        <is>
          <t>nearest labels (100% agree)</t>
        </is>
      </c>
      <c r="D651" s="5" t="inlineStr">
        <is>
          <t>wall</t>
        </is>
      </c>
      <c r="E651" s="5" t="inlineStr">
        <is>
          <t>core_wall_solid</t>
        </is>
      </c>
      <c r="F651" s="5" t="inlineStr">
        <is>
          <t>(none)</t>
        </is>
      </c>
      <c r="G651" s="5" t="inlineStr"/>
      <c r="H651" s="5" t="inlineStr">
        <is>
          <t>none</t>
        </is>
      </c>
      <c r="I651" s="5" t="n">
        <v>175</v>
      </c>
      <c r="J651" s="5" t="n">
        <v>25</v>
      </c>
      <c r="K651" s="9">
        <f>IF(AND(ISNUMBER(I651),ISNUMBER(J651),J651&gt;0),I651/J651,"")</f>
        <v/>
      </c>
      <c r="L651" s="5" t="n">
        <v>0.445</v>
      </c>
      <c r="M651" s="5" t="n"/>
      <c r="N651" s="5" t="n">
        <v>26.3</v>
      </c>
      <c r="O651" s="5" t="inlineStr">
        <is>
          <t>solid fill</t>
        </is>
      </c>
      <c r="P651" s="5" t="inlineStr">
        <is>
          <t>straight stretch of a thin filled outline with bends (pair of parallel faces)</t>
        </is>
      </c>
      <c r="Q651" s="5">
        <f>IF(OR(D651="column",D651="wall"),IF(I651&lt;='P vs V'!$B$3*J651,"column","wall"),"")</f>
        <v/>
      </c>
      <c r="R651" s="5" t="inlineStr"/>
      <c r="S651" s="5" t="inlineStr"/>
      <c r="T651" s="5" t="n"/>
      <c r="U651" s="5" t="inlineStr">
        <is>
          <t>yes</t>
        </is>
      </c>
      <c r="V651" s="5" t="inlineStr">
        <is>
          <t>no</t>
        </is>
      </c>
      <c r="W651" s="5" t="inlineStr">
        <is>
          <t>no</t>
        </is>
      </c>
      <c r="X651" s="5" t="inlineStr">
        <is>
          <t>no</t>
        </is>
      </c>
      <c r="Y651" s="5" t="inlineStr">
        <is>
          <t>no</t>
        </is>
      </c>
      <c r="Z651" s="5" t="inlineStr">
        <is>
          <t>no</t>
        </is>
      </c>
      <c r="AA651" s="5" t="n">
        <v>1</v>
      </c>
      <c r="AB651" s="5" t="n"/>
      <c r="AC651" s="5" t="n"/>
      <c r="AD651" s="5" t="n"/>
      <c r="AE651" s="5" t="n">
        <v>1259.8</v>
      </c>
      <c r="AF651" s="5" t="n">
        <v>2715</v>
      </c>
      <c r="AG651" s="5" t="n">
        <v>1309.4</v>
      </c>
      <c r="AH651" s="5" t="n">
        <v>2744.7</v>
      </c>
      <c r="AI651" s="5" t="inlineStr">
        <is>
          <t>new</t>
        </is>
      </c>
      <c r="AJ651" s="5" t="inlineStr"/>
      <c r="AK651" s="5" t="inlineStr">
        <is>
          <t>piece of a wall network the colour pipeline left unsplit</t>
        </is>
      </c>
      <c r="AL651" s="5" t="inlineStr"/>
      <c r="AM651" s="5" t="inlineStr"/>
    </row>
    <row r="652">
      <c r="A652" s="5" t="n">
        <v>651</v>
      </c>
      <c r="B652" s="5" t="inlineStr">
        <is>
          <t>128</t>
        </is>
      </c>
      <c r="C652" s="5" t="inlineStr">
        <is>
          <t>nearest labels (100% agree)</t>
        </is>
      </c>
      <c r="D652" s="5" t="inlineStr">
        <is>
          <t>wall</t>
        </is>
      </c>
      <c r="E652" s="5" t="inlineStr">
        <is>
          <t>core_wall_solid</t>
        </is>
      </c>
      <c r="F652" s="5" t="inlineStr">
        <is>
          <t>(none)</t>
        </is>
      </c>
      <c r="G652" s="5" t="inlineStr"/>
      <c r="H652" s="5" t="inlineStr">
        <is>
          <t>none</t>
        </is>
      </c>
      <c r="I652" s="5" t="n">
        <v>160</v>
      </c>
      <c r="J652" s="5" t="n">
        <v>26</v>
      </c>
      <c r="K652" s="9">
        <f>IF(AND(ISNUMBER(I652),ISNUMBER(J652),J652&gt;0),I652/J652,"")</f>
        <v/>
      </c>
      <c r="L652" s="5" t="n">
        <v>0.409</v>
      </c>
      <c r="M652" s="5" t="n"/>
      <c r="N652" s="5" t="n">
        <v>26.4</v>
      </c>
      <c r="O652" s="5" t="inlineStr">
        <is>
          <t>solid fill</t>
        </is>
      </c>
      <c r="P652" s="5" t="inlineStr">
        <is>
          <t>straight stretch of a thin filled outline with bends (pair of parallel faces)</t>
        </is>
      </c>
      <c r="Q652" s="5">
        <f>IF(OR(D652="column",D652="wall"),IF(I652&lt;='P vs V'!$B$3*J652,"column","wall"),"")</f>
        <v/>
      </c>
      <c r="R652" s="5" t="inlineStr"/>
      <c r="S652" s="5" t="inlineStr"/>
      <c r="T652" s="5" t="n"/>
      <c r="U652" s="5" t="inlineStr">
        <is>
          <t>yes</t>
        </is>
      </c>
      <c r="V652" s="5" t="inlineStr">
        <is>
          <t>no</t>
        </is>
      </c>
      <c r="W652" s="5" t="inlineStr">
        <is>
          <t>no</t>
        </is>
      </c>
      <c r="X652" s="5" t="inlineStr">
        <is>
          <t>no</t>
        </is>
      </c>
      <c r="Y652" s="5" t="inlineStr">
        <is>
          <t>no</t>
        </is>
      </c>
      <c r="Z652" s="5" t="inlineStr">
        <is>
          <t>no</t>
        </is>
      </c>
      <c r="AA652" s="5" t="n">
        <v>1.22</v>
      </c>
      <c r="AB652" s="5" t="n"/>
      <c r="AC652" s="5" t="n"/>
      <c r="AD652" s="5" t="n"/>
      <c r="AE652" s="5" t="n">
        <v>1219.8</v>
      </c>
      <c r="AF652" s="5" t="n">
        <v>2814.6</v>
      </c>
      <c r="AG652" s="5" t="n">
        <v>1265.5</v>
      </c>
      <c r="AH652" s="5" t="n">
        <v>2842.4</v>
      </c>
      <c r="AI652" s="5" t="inlineStr">
        <is>
          <t>new</t>
        </is>
      </c>
      <c r="AJ652" s="5" t="inlineStr"/>
      <c r="AK652" s="5" t="inlineStr">
        <is>
          <t>piece of a wall network the colour pipeline left unsplit</t>
        </is>
      </c>
      <c r="AL652" s="5" t="inlineStr"/>
      <c r="AM652" s="5" t="inlineStr"/>
    </row>
    <row r="653">
      <c r="A653" s="5" t="n">
        <v>652</v>
      </c>
      <c r="B653" s="5" t="inlineStr">
        <is>
          <t>128</t>
        </is>
      </c>
      <c r="C653" s="5" t="inlineStr">
        <is>
          <t>nearest labels (80% agree)</t>
        </is>
      </c>
      <c r="D653" s="5" t="inlineStr">
        <is>
          <t>wall</t>
        </is>
      </c>
      <c r="E653" s="5" t="inlineStr">
        <is>
          <t>core_wall_solid</t>
        </is>
      </c>
      <c r="F653" s="5" t="inlineStr">
        <is>
          <t>(none)</t>
        </is>
      </c>
      <c r="G653" s="5" t="inlineStr"/>
      <c r="H653" s="5" t="inlineStr">
        <is>
          <t>none</t>
        </is>
      </c>
      <c r="I653" s="5" t="n">
        <v>150</v>
      </c>
      <c r="J653" s="5" t="n">
        <v>30</v>
      </c>
      <c r="K653" s="9">
        <f>IF(AND(ISNUMBER(I653),ISNUMBER(J653),J653&gt;0),I653/J653,"")</f>
        <v/>
      </c>
      <c r="L653" s="5" t="n">
        <v>0.451</v>
      </c>
      <c r="M653" s="5" t="n"/>
      <c r="N653" s="5" t="n">
        <v>26.5</v>
      </c>
      <c r="O653" s="5" t="inlineStr">
        <is>
          <t>solid fill</t>
        </is>
      </c>
      <c r="P653" s="5" t="inlineStr">
        <is>
          <t>straight stretch of a thin filled outline with bends (pair of parallel faces)</t>
        </is>
      </c>
      <c r="Q653" s="5">
        <f>IF(OR(D653="column",D653="wall"),IF(I653&lt;='P vs V'!$B$3*J653,"column","wall"),"")</f>
        <v/>
      </c>
      <c r="R653" s="5" t="inlineStr"/>
      <c r="S653" s="5" t="inlineStr"/>
      <c r="T653" s="5" t="n"/>
      <c r="U653" s="5" t="inlineStr">
        <is>
          <t>yes</t>
        </is>
      </c>
      <c r="V653" s="5" t="inlineStr">
        <is>
          <t>no</t>
        </is>
      </c>
      <c r="W653" s="5" t="inlineStr">
        <is>
          <t>yes</t>
        </is>
      </c>
      <c r="X653" s="5" t="inlineStr">
        <is>
          <t>no</t>
        </is>
      </c>
      <c r="Y653" s="5" t="inlineStr">
        <is>
          <t>no</t>
        </is>
      </c>
      <c r="Z653" s="5" t="inlineStr">
        <is>
          <t>no</t>
        </is>
      </c>
      <c r="AA653" s="5" t="n">
        <v>0.91</v>
      </c>
      <c r="AB653" s="5" t="n"/>
      <c r="AC653" s="5" t="n"/>
      <c r="AD653" s="5" t="n"/>
      <c r="AE653" s="5" t="n">
        <v>1677.4</v>
      </c>
      <c r="AF653" s="5" t="n">
        <v>2648.6</v>
      </c>
      <c r="AG653" s="5" t="n">
        <v>1720.9</v>
      </c>
      <c r="AH653" s="5" t="n">
        <v>2676.2</v>
      </c>
      <c r="AI653" s="5" t="inlineStr">
        <is>
          <t>new</t>
        </is>
      </c>
      <c r="AJ653" s="5" t="inlineStr"/>
      <c r="AK653" s="5" t="inlineStr">
        <is>
          <t>piece of a wall network the colour pipeline left unsplit</t>
        </is>
      </c>
      <c r="AL653" s="5" t="inlineStr"/>
      <c r="AM653" s="5" t="inlineStr"/>
    </row>
    <row r="654">
      <c r="A654" s="5" t="n">
        <v>653</v>
      </c>
      <c r="B654" s="5" t="inlineStr">
        <is>
          <t>128</t>
        </is>
      </c>
      <c r="C654" s="5" t="inlineStr">
        <is>
          <t>nearest labels (100% agree)</t>
        </is>
      </c>
      <c r="D654" s="5" t="inlineStr">
        <is>
          <t>wall</t>
        </is>
      </c>
      <c r="E654" s="5" t="inlineStr">
        <is>
          <t>core_wall_solid</t>
        </is>
      </c>
      <c r="F654" s="5" t="inlineStr">
        <is>
          <t>(none)</t>
        </is>
      </c>
      <c r="G654" s="5" t="inlineStr"/>
      <c r="H654" s="5" t="inlineStr">
        <is>
          <t>none</t>
        </is>
      </c>
      <c r="I654" s="5" t="n">
        <v>297</v>
      </c>
      <c r="J654" s="5" t="n">
        <v>25</v>
      </c>
      <c r="K654" s="9">
        <f>IF(AND(ISNUMBER(I654),ISNUMBER(J654),J654&gt;0),I654/J654,"")</f>
        <v/>
      </c>
      <c r="L654" s="5" t="n">
        <v>0.74</v>
      </c>
      <c r="M654" s="5" t="n"/>
      <c r="N654" s="5" t="n">
        <v>116.6</v>
      </c>
      <c r="O654" s="5" t="inlineStr">
        <is>
          <t>solid fill</t>
        </is>
      </c>
      <c r="P654" s="5" t="inlineStr">
        <is>
          <t>straight stretch of a thin filled outline with bends (pair of parallel faces)</t>
        </is>
      </c>
      <c r="Q654" s="5">
        <f>IF(OR(D654="column",D654="wall"),IF(I654&lt;='P vs V'!$B$3*J654,"column","wall"),"")</f>
        <v/>
      </c>
      <c r="R654" s="5" t="inlineStr"/>
      <c r="S654" s="5" t="inlineStr"/>
      <c r="T654" s="5" t="n"/>
      <c r="U654" s="5" t="inlineStr">
        <is>
          <t>yes</t>
        </is>
      </c>
      <c r="V654" s="5" t="inlineStr">
        <is>
          <t>no</t>
        </is>
      </c>
      <c r="W654" s="5" t="inlineStr">
        <is>
          <t>yes</t>
        </is>
      </c>
      <c r="X654" s="5" t="inlineStr">
        <is>
          <t>no</t>
        </is>
      </c>
      <c r="Y654" s="5" t="inlineStr">
        <is>
          <t>no</t>
        </is>
      </c>
      <c r="Z654" s="5" t="inlineStr">
        <is>
          <t>no</t>
        </is>
      </c>
      <c r="AA654" s="5" t="n">
        <v>1.37</v>
      </c>
      <c r="AB654" s="5" t="n"/>
      <c r="AC654" s="5" t="n"/>
      <c r="AD654" s="5" t="n"/>
      <c r="AE654" s="5" t="n">
        <v>1421.4</v>
      </c>
      <c r="AF654" s="5" t="n">
        <v>2614.2</v>
      </c>
      <c r="AG654" s="5" t="n">
        <v>1467.3</v>
      </c>
      <c r="AH654" s="5" t="n">
        <v>2696</v>
      </c>
      <c r="AI654" s="5" t="inlineStr">
        <is>
          <t>new</t>
        </is>
      </c>
      <c r="AJ654" s="5" t="inlineStr"/>
      <c r="AK654" s="5" t="inlineStr">
        <is>
          <t>piece of a wall network the colour pipeline left unsplit</t>
        </is>
      </c>
      <c r="AL654" s="5" t="inlineStr"/>
      <c r="AM654" s="5" t="inlineStr"/>
    </row>
    <row r="655">
      <c r="A655" s="5" t="n">
        <v>654</v>
      </c>
      <c r="B655" s="5" t="inlineStr">
        <is>
          <t>128</t>
        </is>
      </c>
      <c r="C655" s="5" t="inlineStr">
        <is>
          <t>nearest labels (100% agree)</t>
        </is>
      </c>
      <c r="D655" s="5" t="inlineStr">
        <is>
          <t>wall</t>
        </is>
      </c>
      <c r="E655" s="5" t="inlineStr">
        <is>
          <t>core_wall_solid</t>
        </is>
      </c>
      <c r="F655" s="5" t="inlineStr">
        <is>
          <t>(none)</t>
        </is>
      </c>
      <c r="G655" s="5" t="inlineStr"/>
      <c r="H655" s="5" t="inlineStr">
        <is>
          <t>none</t>
        </is>
      </c>
      <c r="I655" s="5" t="n">
        <v>125</v>
      </c>
      <c r="J655" s="5" t="n">
        <v>30</v>
      </c>
      <c r="K655" s="9">
        <f>IF(AND(ISNUMBER(I655),ISNUMBER(J655),J655&gt;0),I655/J655,"")</f>
        <v/>
      </c>
      <c r="L655" s="5" t="n">
        <v>0.375</v>
      </c>
      <c r="M655" s="5" t="n"/>
      <c r="N655" s="5" t="n">
        <v>116.5</v>
      </c>
      <c r="O655" s="5" t="inlineStr">
        <is>
          <t>solid fill</t>
        </is>
      </c>
      <c r="P655" s="5" t="inlineStr">
        <is>
          <t>straight stretch of a thin filled outline with bends (pair of parallel faces)</t>
        </is>
      </c>
      <c r="Q655" s="5">
        <f>IF(OR(D655="column",D655="wall"),IF(I655&lt;='P vs V'!$B$3*J655,"column","wall"),"")</f>
        <v/>
      </c>
      <c r="R655" s="5" t="inlineStr"/>
      <c r="S655" s="5" t="inlineStr"/>
      <c r="T655" s="5" t="n"/>
      <c r="U655" s="5" t="inlineStr">
        <is>
          <t>yes</t>
        </is>
      </c>
      <c r="V655" s="5" t="inlineStr">
        <is>
          <t>no</t>
        </is>
      </c>
      <c r="W655" s="5" t="inlineStr">
        <is>
          <t>yes</t>
        </is>
      </c>
      <c r="X655" s="5" t="inlineStr">
        <is>
          <t>no</t>
        </is>
      </c>
      <c r="Y655" s="5" t="inlineStr">
        <is>
          <t>yes</t>
        </is>
      </c>
      <c r="Z655" s="5" t="inlineStr">
        <is>
          <t>no</t>
        </is>
      </c>
      <c r="AA655" s="5" t="n">
        <v>0.08</v>
      </c>
      <c r="AB655" s="5" t="n"/>
      <c r="AC655" s="5" t="n"/>
      <c r="AD655" s="5" t="n"/>
      <c r="AE655" s="5" t="n">
        <v>1425.1</v>
      </c>
      <c r="AF655" s="5" t="n">
        <v>2555</v>
      </c>
      <c r="AG655" s="5" t="n">
        <v>1449.5</v>
      </c>
      <c r="AH655" s="5" t="n">
        <v>2592</v>
      </c>
      <c r="AI655" s="5" t="inlineStr">
        <is>
          <t>new</t>
        </is>
      </c>
      <c r="AJ655" s="5" t="inlineStr"/>
      <c r="AK655" s="5" t="inlineStr">
        <is>
          <t>piece of a wall network the colour pipeline left unsplit</t>
        </is>
      </c>
      <c r="AL655" s="5" t="inlineStr"/>
      <c r="AM655" s="5" t="inlineStr"/>
    </row>
    <row r="656">
      <c r="A656" s="5" t="n">
        <v>655</v>
      </c>
      <c r="B656" s="5" t="inlineStr">
        <is>
          <t>128</t>
        </is>
      </c>
      <c r="C656" s="5" t="inlineStr">
        <is>
          <t>nearest labels (100% agree)</t>
        </is>
      </c>
      <c r="D656" s="5" t="inlineStr">
        <is>
          <t>wall</t>
        </is>
      </c>
      <c r="E656" s="5" t="inlineStr">
        <is>
          <t>core_wall_solid</t>
        </is>
      </c>
      <c r="F656" s="5" t="inlineStr">
        <is>
          <t>(none)</t>
        </is>
      </c>
      <c r="G656" s="5" t="inlineStr"/>
      <c r="H656" s="5" t="inlineStr">
        <is>
          <t>none</t>
        </is>
      </c>
      <c r="I656" s="5" t="n">
        <v>118</v>
      </c>
      <c r="J656" s="5" t="n">
        <v>25</v>
      </c>
      <c r="K656" s="9">
        <f>IF(AND(ISNUMBER(I656),ISNUMBER(J656),J656&gt;0),I656/J656,"")</f>
        <v/>
      </c>
      <c r="L656" s="5" t="n">
        <v>0.295</v>
      </c>
      <c r="M656" s="5" t="n"/>
      <c r="N656" s="5" t="n">
        <v>26.7</v>
      </c>
      <c r="O656" s="5" t="inlineStr">
        <is>
          <t>solid fill</t>
        </is>
      </c>
      <c r="P656" s="5" t="inlineStr">
        <is>
          <t>straight stretch of a thin filled outline with bends (pair of parallel faces)</t>
        </is>
      </c>
      <c r="Q656" s="5">
        <f>IF(OR(D656="column",D656="wall"),IF(I656&lt;='P vs V'!$B$3*J656,"column","wall"),"")</f>
        <v/>
      </c>
      <c r="R656" s="5" t="inlineStr"/>
      <c r="S656" s="5" t="inlineStr"/>
      <c r="T656" s="5" t="n"/>
      <c r="U656" s="5" t="inlineStr">
        <is>
          <t>yes</t>
        </is>
      </c>
      <c r="V656" s="5" t="inlineStr">
        <is>
          <t>yes</t>
        </is>
      </c>
      <c r="W656" s="5" t="inlineStr">
        <is>
          <t>yes</t>
        </is>
      </c>
      <c r="X656" s="5" t="inlineStr">
        <is>
          <t>no</t>
        </is>
      </c>
      <c r="Y656" s="5" t="inlineStr">
        <is>
          <t>no</t>
        </is>
      </c>
      <c r="Z656" s="5" t="inlineStr">
        <is>
          <t>no</t>
        </is>
      </c>
      <c r="AA656" s="5" t="n">
        <v>0.66</v>
      </c>
      <c r="AB656" s="5" t="n"/>
      <c r="AC656" s="5" t="n"/>
      <c r="AD656" s="5" t="n"/>
      <c r="AE656" s="5" t="n">
        <v>1429.7</v>
      </c>
      <c r="AF656" s="5" t="n">
        <v>2592</v>
      </c>
      <c r="AG656" s="5" t="n">
        <v>1464.1</v>
      </c>
      <c r="AH656" s="5" t="n">
        <v>2614.2</v>
      </c>
      <c r="AI656" s="5" t="inlineStr">
        <is>
          <t>new</t>
        </is>
      </c>
      <c r="AJ656" s="5" t="inlineStr"/>
      <c r="AK656" s="5" t="inlineStr">
        <is>
          <t>piece of a wall network the colour pipeline left unsplit</t>
        </is>
      </c>
      <c r="AL656" s="5" t="inlineStr"/>
      <c r="AM656" s="5" t="inlineStr"/>
    </row>
    <row r="657">
      <c r="A657" s="5" t="n">
        <v>656</v>
      </c>
      <c r="B657" s="5" t="inlineStr">
        <is>
          <t>128</t>
        </is>
      </c>
      <c r="C657" s="5" t="inlineStr">
        <is>
          <t>nearest labels (80% agree)</t>
        </is>
      </c>
      <c r="D657" s="5" t="inlineStr">
        <is>
          <t>wall</t>
        </is>
      </c>
      <c r="E657" s="5" t="inlineStr">
        <is>
          <t>retaining_wall</t>
        </is>
      </c>
      <c r="F657" s="5" t="inlineStr">
        <is>
          <t>VP20</t>
        </is>
      </c>
      <c r="G657" s="5" t="inlineStr"/>
      <c r="H657" s="5" t="inlineStr">
        <is>
          <t>thickness matches a VP type</t>
        </is>
      </c>
      <c r="I657" s="5" t="n">
        <v>1813</v>
      </c>
      <c r="J657" s="5" t="n">
        <v>20</v>
      </c>
      <c r="K657" s="9">
        <f>IF(AND(ISNUMBER(I657),ISNUMBER(J657),J657&gt;0),I657/J657,"")</f>
        <v/>
      </c>
      <c r="L657" s="5" t="n">
        <v>3.638</v>
      </c>
      <c r="M657" s="5" t="n"/>
      <c r="N657" s="5" t="n">
        <v>26.6</v>
      </c>
      <c r="O657" s="5" t="inlineStr">
        <is>
          <t>solid fill</t>
        </is>
      </c>
      <c r="P657" s="5" t="inlineStr">
        <is>
          <t>solid fill, rectangle, L &gt; 4 W (EN 1992-1-1 5.3.1(7))</t>
        </is>
      </c>
      <c r="Q657" s="5">
        <f>IF(OR(D657="column",D657="wall"),IF(I657&lt;='P vs V'!$B$3*J657,"column","wall"),"")</f>
        <v/>
      </c>
      <c r="R657" s="5" t="inlineStr"/>
      <c r="S657" s="5" t="inlineStr"/>
      <c r="T657" s="5" t="n"/>
      <c r="U657" s="5" t="inlineStr">
        <is>
          <t>no</t>
        </is>
      </c>
      <c r="V657" s="5" t="inlineStr">
        <is>
          <t>no</t>
        </is>
      </c>
      <c r="W657" s="5" t="inlineStr">
        <is>
          <t>no</t>
        </is>
      </c>
      <c r="X657" s="5" t="inlineStr">
        <is>
          <t>yes</t>
        </is>
      </c>
      <c r="Y657" s="5" t="inlineStr">
        <is>
          <t>yes</t>
        </is>
      </c>
      <c r="Z657" s="5" t="inlineStr">
        <is>
          <t>no</t>
        </is>
      </c>
      <c r="AA657" s="5" t="n">
        <v>1.62</v>
      </c>
      <c r="AB657" s="5" t="n"/>
      <c r="AC657" s="5" t="n"/>
      <c r="AD657" s="5" t="n"/>
      <c r="AE657" s="5" t="n">
        <v>1538.2</v>
      </c>
      <c r="AF657" s="5" t="n">
        <v>2173.8</v>
      </c>
      <c r="AG657" s="5" t="n">
        <v>2019.6</v>
      </c>
      <c r="AH657" s="5" t="n">
        <v>2417.4</v>
      </c>
      <c r="AI657" s="5" t="inlineStr">
        <is>
          <t>yes</t>
        </is>
      </c>
      <c r="AJ657" s="5" t="inlineStr">
        <is>
          <t>retaining_wall</t>
        </is>
      </c>
      <c r="AK657" s="5" t="inlineStr"/>
      <c r="AL657" s="5" t="inlineStr">
        <is>
          <t>(0.87, 0.0, 0.87)</t>
        </is>
      </c>
      <c r="AM657" s="5" t="inlineStr">
        <is>
          <t>DM-VOILE</t>
        </is>
      </c>
    </row>
    <row r="658">
      <c r="A658" s="5" t="n">
        <v>657</v>
      </c>
      <c r="B658" s="5" t="inlineStr">
        <is>
          <t>128</t>
        </is>
      </c>
      <c r="C658" s="5" t="inlineStr">
        <is>
          <t>nearest labels (100% agree)</t>
        </is>
      </c>
      <c r="D658" s="5" t="inlineStr">
        <is>
          <t>wall</t>
        </is>
      </c>
      <c r="E658" s="5" t="inlineStr">
        <is>
          <t>retaining_wall</t>
        </is>
      </c>
      <c r="F658" s="5" t="inlineStr">
        <is>
          <t>VP20</t>
        </is>
      </c>
      <c r="G658" s="5" t="inlineStr"/>
      <c r="H658" s="5" t="inlineStr">
        <is>
          <t>thickness matches a VP type</t>
        </is>
      </c>
      <c r="I658" s="5" t="n">
        <v>1429</v>
      </c>
      <c r="J658" s="5" t="n">
        <v>20</v>
      </c>
      <c r="K658" s="9">
        <f>IF(AND(ISNUMBER(I658),ISNUMBER(J658),J658&gt;0),I658/J658,"")</f>
        <v/>
      </c>
      <c r="L658" s="5" t="n">
        <v>2.805</v>
      </c>
      <c r="M658" s="5" t="n"/>
      <c r="N658" s="5" t="n">
        <v>26.7</v>
      </c>
      <c r="O658" s="5" t="inlineStr">
        <is>
          <t>solid fill</t>
        </is>
      </c>
      <c r="P658" s="5" t="inlineStr">
        <is>
          <t>solid fill, rectangle, L &gt; 4 W (EN 1992-1-1 5.3.1(7))</t>
        </is>
      </c>
      <c r="Q658" s="5">
        <f>IF(OR(D658="column",D658="wall"),IF(I658&lt;='P vs V'!$B$3*J658,"column","wall"),"")</f>
        <v/>
      </c>
      <c r="R658" s="5" t="inlineStr"/>
      <c r="S658" s="5" t="inlineStr"/>
      <c r="T658" s="5" t="n"/>
      <c r="U658" s="5" t="inlineStr">
        <is>
          <t>no</t>
        </is>
      </c>
      <c r="V658" s="5" t="inlineStr">
        <is>
          <t>no</t>
        </is>
      </c>
      <c r="W658" s="5" t="inlineStr">
        <is>
          <t>yes</t>
        </is>
      </c>
      <c r="X658" s="5" t="inlineStr">
        <is>
          <t>no</t>
        </is>
      </c>
      <c r="Y658" s="5" t="inlineStr">
        <is>
          <t>yes</t>
        </is>
      </c>
      <c r="Z658" s="5" t="inlineStr">
        <is>
          <t>yes</t>
        </is>
      </c>
      <c r="AA658" s="5" t="n">
        <v>0.28</v>
      </c>
      <c r="AB658" s="5" t="n"/>
      <c r="AC658" s="5" t="n"/>
      <c r="AD658" s="5" t="n"/>
      <c r="AE658" s="5" t="n">
        <v>1366</v>
      </c>
      <c r="AF658" s="5" t="n">
        <v>2769.1</v>
      </c>
      <c r="AG658" s="5" t="n">
        <v>1745.7</v>
      </c>
      <c r="AH658" s="5" t="n">
        <v>2963.5</v>
      </c>
      <c r="AI658" s="5" t="inlineStr">
        <is>
          <t>new</t>
        </is>
      </c>
      <c r="AJ658" s="5" t="inlineStr"/>
      <c r="AK658" s="5" t="inlineStr">
        <is>
          <t>piece of a wall network the colour pipeline left unsplit</t>
        </is>
      </c>
      <c r="AL658" s="5" t="inlineStr">
        <is>
          <t>(0.87, 0.0, 0.87)</t>
        </is>
      </c>
      <c r="AM658" s="5" t="inlineStr">
        <is>
          <t>DM-VOILE</t>
        </is>
      </c>
    </row>
    <row r="659">
      <c r="A659" s="5" t="n">
        <v>658</v>
      </c>
      <c r="B659" s="5" t="inlineStr">
        <is>
          <t>128</t>
        </is>
      </c>
      <c r="C659" s="5" t="inlineStr">
        <is>
          <t>nearest labels (80% agree)</t>
        </is>
      </c>
      <c r="D659" s="5" t="inlineStr">
        <is>
          <t>wall</t>
        </is>
      </c>
      <c r="E659" s="5" t="inlineStr">
        <is>
          <t>retaining_wall</t>
        </is>
      </c>
      <c r="F659" s="5" t="inlineStr">
        <is>
          <t>VP20</t>
        </is>
      </c>
      <c r="G659" s="5" t="inlineStr"/>
      <c r="H659" s="5" t="inlineStr">
        <is>
          <t>thickness matches a VP type</t>
        </is>
      </c>
      <c r="I659" s="5" t="n">
        <v>930</v>
      </c>
      <c r="J659" s="5" t="n">
        <v>20</v>
      </c>
      <c r="K659" s="9">
        <f>IF(AND(ISNUMBER(I659),ISNUMBER(J659),J659&gt;0),I659/J659,"")</f>
        <v/>
      </c>
      <c r="L659" s="5" t="n">
        <v>1.854</v>
      </c>
      <c r="M659" s="5" t="n"/>
      <c r="N659" s="5" t="n">
        <v>141</v>
      </c>
      <c r="O659" s="5" t="inlineStr">
        <is>
          <t>solid fill</t>
        </is>
      </c>
      <c r="P659" s="5" t="inlineStr">
        <is>
          <t>solid fill, rectangle, L &gt; 4 W (EN 1992-1-1 5.3.1(7))</t>
        </is>
      </c>
      <c r="Q659" s="5">
        <f>IF(OR(D659="column",D659="wall"),IF(I659&lt;='P vs V'!$B$3*J659,"column","wall"),"")</f>
        <v/>
      </c>
      <c r="R659" s="5" t="inlineStr"/>
      <c r="S659" s="5" t="inlineStr"/>
      <c r="T659" s="5" t="n"/>
      <c r="U659" s="5" t="inlineStr">
        <is>
          <t>no</t>
        </is>
      </c>
      <c r="V659" s="5" t="inlineStr">
        <is>
          <t>no</t>
        </is>
      </c>
      <c r="W659" s="5" t="inlineStr">
        <is>
          <t>yes</t>
        </is>
      </c>
      <c r="X659" s="5" t="inlineStr">
        <is>
          <t>yes</t>
        </is>
      </c>
      <c r="Y659" s="5" t="inlineStr">
        <is>
          <t>yes</t>
        </is>
      </c>
      <c r="Z659" s="5" t="inlineStr">
        <is>
          <t>no</t>
        </is>
      </c>
      <c r="AA659" s="5" t="n">
        <v>2.55</v>
      </c>
      <c r="AB659" s="5" t="n"/>
      <c r="AC659" s="5" t="n"/>
      <c r="AD659" s="5" t="n"/>
      <c r="AE659" s="5" t="n">
        <v>911.4</v>
      </c>
      <c r="AF659" s="5" t="n">
        <v>2652.1</v>
      </c>
      <c r="AG659" s="5" t="n">
        <v>1128.5</v>
      </c>
      <c r="AH659" s="5" t="n">
        <v>2826.3</v>
      </c>
      <c r="AI659" s="5" t="inlineStr">
        <is>
          <t>new</t>
        </is>
      </c>
      <c r="AJ659" s="5" t="inlineStr"/>
      <c r="AK659" s="5" t="inlineStr">
        <is>
          <t>piece of a wall network the colour pipeline left unsplit</t>
        </is>
      </c>
      <c r="AL659" s="5" t="inlineStr">
        <is>
          <t>(0.87, 0.0, 0.87)</t>
        </is>
      </c>
      <c r="AM659" s="5" t="inlineStr">
        <is>
          <t>DM-VOILE</t>
        </is>
      </c>
    </row>
    <row r="660">
      <c r="A660" s="5" t="n">
        <v>659</v>
      </c>
      <c r="B660" s="5" t="inlineStr">
        <is>
          <t>128</t>
        </is>
      </c>
      <c r="C660" s="5" t="inlineStr">
        <is>
          <t>nearest labels (80% agree)</t>
        </is>
      </c>
      <c r="D660" s="5" t="inlineStr">
        <is>
          <t>wall</t>
        </is>
      </c>
      <c r="E660" s="5" t="inlineStr">
        <is>
          <t>retaining_wall</t>
        </is>
      </c>
      <c r="F660" s="5" t="inlineStr">
        <is>
          <t>VP20</t>
        </is>
      </c>
      <c r="G660" s="5" t="inlineStr"/>
      <c r="H660" s="5" t="inlineStr">
        <is>
          <t>thickness matches a VP type</t>
        </is>
      </c>
      <c r="I660" s="5" t="n">
        <v>516</v>
      </c>
      <c r="J660" s="5" t="n">
        <v>20</v>
      </c>
      <c r="K660" s="9">
        <f>IF(AND(ISNUMBER(I660),ISNUMBER(J660),J660&gt;0),I660/J660,"")</f>
        <v/>
      </c>
      <c r="L660" s="5" t="n">
        <v>1.024</v>
      </c>
      <c r="M660" s="5" t="n"/>
      <c r="N660" s="5" t="n">
        <v>26.6</v>
      </c>
      <c r="O660" s="5" t="inlineStr">
        <is>
          <t>solid fill</t>
        </is>
      </c>
      <c r="P660" s="5" t="inlineStr">
        <is>
          <t>solid fill, rectangle, L &gt; 4 W (EN 1992-1-1 5.3.1(7))</t>
        </is>
      </c>
      <c r="Q660" s="5">
        <f>IF(OR(D660="column",D660="wall"),IF(I660&lt;='P vs V'!$B$3*J660,"column","wall"),"")</f>
        <v/>
      </c>
      <c r="R660" s="5" t="inlineStr"/>
      <c r="S660" s="5" t="inlineStr"/>
      <c r="T660" s="5" t="n"/>
      <c r="U660" s="5" t="inlineStr">
        <is>
          <t>no</t>
        </is>
      </c>
      <c r="V660" s="5" t="inlineStr">
        <is>
          <t>no</t>
        </is>
      </c>
      <c r="W660" s="5" t="inlineStr">
        <is>
          <t>yes</t>
        </is>
      </c>
      <c r="X660" s="5" t="inlineStr">
        <is>
          <t>no</t>
        </is>
      </c>
      <c r="Y660" s="5" t="inlineStr">
        <is>
          <t>no</t>
        </is>
      </c>
      <c r="Z660" s="5" t="inlineStr">
        <is>
          <t>no</t>
        </is>
      </c>
      <c r="AA660" s="5" t="n">
        <v>2.42</v>
      </c>
      <c r="AB660" s="5" t="n"/>
      <c r="AC660" s="5" t="n"/>
      <c r="AD660" s="5" t="n"/>
      <c r="AE660" s="5" t="n">
        <v>1122.7</v>
      </c>
      <c r="AF660" s="5" t="n">
        <v>2648</v>
      </c>
      <c r="AG660" s="5" t="n">
        <v>1261.4</v>
      </c>
      <c r="AH660" s="5" t="n">
        <v>2720.4</v>
      </c>
      <c r="AI660" s="5" t="inlineStr">
        <is>
          <t>new</t>
        </is>
      </c>
      <c r="AJ660" s="5" t="inlineStr"/>
      <c r="AK660" s="5" t="inlineStr">
        <is>
          <t>piece of a wall network the colour pipeline left unsplit</t>
        </is>
      </c>
      <c r="AL660" s="5" t="inlineStr">
        <is>
          <t>(0.87, 0.0, 0.87)</t>
        </is>
      </c>
      <c r="AM660" s="5" t="inlineStr">
        <is>
          <t>DM-VOILE</t>
        </is>
      </c>
    </row>
    <row r="661">
      <c r="A661" s="5" t="n">
        <v>660</v>
      </c>
      <c r="B661" s="5" t="inlineStr">
        <is>
          <t>128</t>
        </is>
      </c>
      <c r="C661" s="5" t="inlineStr">
        <is>
          <t>nearest labels (100% agree)</t>
        </is>
      </c>
      <c r="D661" s="5" t="inlineStr">
        <is>
          <t>wall</t>
        </is>
      </c>
      <c r="E661" s="5" t="inlineStr">
        <is>
          <t>retaining_wall</t>
        </is>
      </c>
      <c r="F661" s="5" t="inlineStr">
        <is>
          <t>VP20</t>
        </is>
      </c>
      <c r="G661" s="5" t="inlineStr"/>
      <c r="H661" s="5" t="inlineStr">
        <is>
          <t>thickness matches a VP type</t>
        </is>
      </c>
      <c r="I661" s="5" t="n">
        <v>320</v>
      </c>
      <c r="J661" s="5" t="n">
        <v>20</v>
      </c>
      <c r="K661" s="9">
        <f>IF(AND(ISNUMBER(I661),ISNUMBER(J661),J661&gt;0),I661/J661,"")</f>
        <v/>
      </c>
      <c r="L661" s="5" t="n">
        <v>0.638</v>
      </c>
      <c r="M661" s="5" t="n"/>
      <c r="N661" s="5" t="n">
        <v>26.6</v>
      </c>
      <c r="O661" s="5" t="inlineStr">
        <is>
          <t>solid fill</t>
        </is>
      </c>
      <c r="P661" s="5" t="inlineStr">
        <is>
          <t>solid fill, rectangle, L &gt; 4 W (EN 1992-1-1 5.3.1(7))</t>
        </is>
      </c>
      <c r="Q661" s="5">
        <f>IF(OR(D661="column",D661="wall"),IF(I661&lt;='P vs V'!$B$3*J661,"column","wall"),"")</f>
        <v/>
      </c>
      <c r="R661" s="5" t="inlineStr"/>
      <c r="S661" s="5" t="inlineStr"/>
      <c r="T661" s="5" t="n"/>
      <c r="U661" s="5" t="inlineStr">
        <is>
          <t>yes</t>
        </is>
      </c>
      <c r="V661" s="5" t="inlineStr">
        <is>
          <t>no</t>
        </is>
      </c>
      <c r="W661" s="5" t="inlineStr">
        <is>
          <t>yes</t>
        </is>
      </c>
      <c r="X661" s="5" t="inlineStr">
        <is>
          <t>yes</t>
        </is>
      </c>
      <c r="Y661" s="5" t="inlineStr">
        <is>
          <t>no</t>
        </is>
      </c>
      <c r="Z661" s="5" t="inlineStr">
        <is>
          <t>no</t>
        </is>
      </c>
      <c r="AA661" s="5" t="n">
        <v>1.56</v>
      </c>
      <c r="AB661" s="5" t="n"/>
      <c r="AC661" s="5" t="n"/>
      <c r="AD661" s="5" t="n"/>
      <c r="AE661" s="5" t="n">
        <v>1150.4</v>
      </c>
      <c r="AF661" s="5" t="n">
        <v>2937.9</v>
      </c>
      <c r="AG661" s="5" t="n">
        <v>1237.5</v>
      </c>
      <c r="AH661" s="5" t="n">
        <v>2985.5</v>
      </c>
      <c r="AI661" s="5" t="inlineStr">
        <is>
          <t>new</t>
        </is>
      </c>
      <c r="AJ661" s="5" t="inlineStr"/>
      <c r="AK661" s="5" t="inlineStr">
        <is>
          <t>piece of a wall network the colour pipeline left unsplit</t>
        </is>
      </c>
      <c r="AL661" s="5" t="inlineStr">
        <is>
          <t>(0.87, 0.0, 0.87)</t>
        </is>
      </c>
      <c r="AM661" s="5" t="inlineStr">
        <is>
          <t>DM-VOILE</t>
        </is>
      </c>
    </row>
    <row r="662">
      <c r="A662" s="5" t="n">
        <v>661</v>
      </c>
      <c r="B662" s="5" t="inlineStr">
        <is>
          <t>128</t>
        </is>
      </c>
      <c r="C662" s="5" t="inlineStr">
        <is>
          <t>nearest labels (60% agree)</t>
        </is>
      </c>
      <c r="D662" s="5" t="inlineStr">
        <is>
          <t>wall</t>
        </is>
      </c>
      <c r="E662" s="5" t="inlineStr">
        <is>
          <t>retaining_wall</t>
        </is>
      </c>
      <c r="F662" s="5" t="inlineStr">
        <is>
          <t>VP20</t>
        </is>
      </c>
      <c r="G662" s="5" t="inlineStr"/>
      <c r="H662" s="5" t="inlineStr">
        <is>
          <t>thickness matches a VP type</t>
        </is>
      </c>
      <c r="I662" s="5" t="n">
        <v>1630</v>
      </c>
      <c r="J662" s="5" t="n">
        <v>20</v>
      </c>
      <c r="K662" s="9">
        <f>IF(AND(ISNUMBER(I662),ISNUMBER(J662),J662&gt;0),I662/J662,"")</f>
        <v/>
      </c>
      <c r="L662" s="5" t="n">
        <v>3.271</v>
      </c>
      <c r="M662" s="5" t="n"/>
      <c r="N662" s="5" t="n">
        <v>75.2</v>
      </c>
      <c r="O662" s="5" t="inlineStr">
        <is>
          <t>solid fill</t>
        </is>
      </c>
      <c r="P662" s="5" t="inlineStr">
        <is>
          <t>straight stretch of a thin filled outline with bends (pair of parallel faces)</t>
        </is>
      </c>
      <c r="Q662" s="5">
        <f>IF(OR(D662="column",D662="wall"),IF(I662&lt;='P vs V'!$B$3*J662,"column","wall"),"")</f>
        <v/>
      </c>
      <c r="R662" s="5" t="inlineStr"/>
      <c r="S662" s="5" t="inlineStr"/>
      <c r="T662" s="5" t="n"/>
      <c r="U662" s="5" t="inlineStr">
        <is>
          <t>no</t>
        </is>
      </c>
      <c r="V662" s="5" t="inlineStr">
        <is>
          <t>no</t>
        </is>
      </c>
      <c r="W662" s="5" t="inlineStr">
        <is>
          <t>no</t>
        </is>
      </c>
      <c r="X662" s="5" t="inlineStr">
        <is>
          <t>yes</t>
        </is>
      </c>
      <c r="Y662" s="5" t="inlineStr">
        <is>
          <t>yes</t>
        </is>
      </c>
      <c r="Z662" s="5" t="inlineStr">
        <is>
          <t>no</t>
        </is>
      </c>
      <c r="AA662" s="5" t="n">
        <v>2.57</v>
      </c>
      <c r="AB662" s="5" t="n"/>
      <c r="AC662" s="5" t="n"/>
      <c r="AD662" s="5" t="n"/>
      <c r="AE662" s="5" t="n">
        <v>1407.2</v>
      </c>
      <c r="AF662" s="5" t="n">
        <v>1704.5</v>
      </c>
      <c r="AG662" s="5" t="n">
        <v>1535.5</v>
      </c>
      <c r="AH662" s="5" t="n">
        <v>2171.3</v>
      </c>
      <c r="AI662" s="5" t="inlineStr">
        <is>
          <t>new</t>
        </is>
      </c>
      <c r="AJ662" s="5" t="inlineStr"/>
      <c r="AK662" s="5" t="inlineStr">
        <is>
          <t>piece of a wall network the colour pipeline left unsplit</t>
        </is>
      </c>
      <c r="AL662" s="5" t="inlineStr"/>
      <c r="AM662" s="5" t="inlineStr"/>
    </row>
    <row r="663">
      <c r="A663" s="5" t="n">
        <v>662</v>
      </c>
      <c r="B663" s="5" t="inlineStr">
        <is>
          <t>128</t>
        </is>
      </c>
      <c r="C663" s="5" t="inlineStr">
        <is>
          <t>own label</t>
        </is>
      </c>
      <c r="D663" s="5" t="inlineStr">
        <is>
          <t>wall</t>
        </is>
      </c>
      <c r="E663" s="5" t="inlineStr">
        <is>
          <t>shear_wall</t>
        </is>
      </c>
      <c r="F663" s="5" t="inlineStr">
        <is>
          <t>V3/128</t>
        </is>
      </c>
      <c r="G663" s="5" t="inlineStr"/>
      <c r="H663" s="5" t="inlineStr">
        <is>
          <t>inferred from building + size</t>
        </is>
      </c>
      <c r="I663" s="5" t="n">
        <v>200</v>
      </c>
      <c r="J663" s="5" t="n">
        <v>25</v>
      </c>
      <c r="K663" s="9">
        <f>IF(AND(ISNUMBER(I663),ISNUMBER(J663),J663&gt;0),I663/J663,"")</f>
        <v/>
      </c>
      <c r="L663" s="5" t="n">
        <v>0.5</v>
      </c>
      <c r="M663" s="5" t="n"/>
      <c r="N663" s="5" t="n">
        <v>140.9</v>
      </c>
      <c r="O663" s="5" t="inlineStr">
        <is>
          <t>solid fill</t>
        </is>
      </c>
      <c r="P663" s="5" t="inlineStr">
        <is>
          <t>solid fill, rectangle, L &gt; 4 W (EN 1992-1-1 5.3.1(7))</t>
        </is>
      </c>
      <c r="Q663" s="5">
        <f>IF(OR(D663="column",D663="wall"),IF(I663&lt;='P vs V'!$B$3*J663,"column","wall"),"")</f>
        <v/>
      </c>
      <c r="R663" s="5" t="inlineStr">
        <is>
          <t>SC7</t>
        </is>
      </c>
      <c r="S663" s="5" t="inlineStr"/>
      <c r="T663" s="5" t="n"/>
      <c r="U663" s="5" t="inlineStr">
        <is>
          <t>no</t>
        </is>
      </c>
      <c r="V663" s="5" t="inlineStr">
        <is>
          <t>no</t>
        </is>
      </c>
      <c r="W663" s="5" t="inlineStr">
        <is>
          <t>yes</t>
        </is>
      </c>
      <c r="X663" s="5" t="inlineStr">
        <is>
          <t>no</t>
        </is>
      </c>
      <c r="Y663" s="5" t="inlineStr">
        <is>
          <t>yes</t>
        </is>
      </c>
      <c r="Z663" s="5" t="inlineStr">
        <is>
          <t>yes</t>
        </is>
      </c>
      <c r="AA663" s="5" t="n">
        <v>0.28</v>
      </c>
      <c r="AB663" s="5" t="n"/>
      <c r="AC663" s="5" t="n"/>
      <c r="AD663" s="5" t="n"/>
      <c r="AE663" s="5" t="n">
        <v>1184.4</v>
      </c>
      <c r="AF663" s="5" t="n">
        <v>2415</v>
      </c>
      <c r="AG663" s="5" t="n">
        <v>1234.9</v>
      </c>
      <c r="AH663" s="5" t="n">
        <v>2457.9</v>
      </c>
      <c r="AI663" s="5" t="inlineStr">
        <is>
          <t>new</t>
        </is>
      </c>
      <c r="AJ663" s="5" t="inlineStr"/>
      <c r="AK663" s="5" t="inlineStr">
        <is>
          <t>piece of a wall network the colour pipeline left unsplit</t>
        </is>
      </c>
      <c r="AL663" s="5" t="inlineStr">
        <is>
          <t>(0.87, 0.0, 0.87)</t>
        </is>
      </c>
      <c r="AM663" s="5" t="inlineStr">
        <is>
          <t>DM-VOILE</t>
        </is>
      </c>
    </row>
    <row r="664">
      <c r="A664" s="5" t="n">
        <v>663</v>
      </c>
      <c r="B664" s="5" t="inlineStr">
        <is>
          <t>128</t>
        </is>
      </c>
      <c r="C664" s="5" t="inlineStr">
        <is>
          <t>own label</t>
        </is>
      </c>
      <c r="D664" s="5" t="inlineStr">
        <is>
          <t>wall</t>
        </is>
      </c>
      <c r="E664" s="5" t="inlineStr">
        <is>
          <t>shear_wall</t>
        </is>
      </c>
      <c r="F664" s="5" t="inlineStr">
        <is>
          <t>V3/128</t>
        </is>
      </c>
      <c r="G664" s="5" t="inlineStr">
        <is>
          <t>V3/128/128</t>
        </is>
      </c>
      <c r="H664" s="5" t="inlineStr">
        <is>
          <t>printed</t>
        </is>
      </c>
      <c r="I664" s="5" t="n">
        <v>200</v>
      </c>
      <c r="J664" s="5" t="n">
        <v>25</v>
      </c>
      <c r="K664" s="9">
        <f>IF(AND(ISNUMBER(I664),ISNUMBER(J664),J664&gt;0),I664/J664,"")</f>
        <v/>
      </c>
      <c r="L664" s="5" t="n">
        <v>0.5</v>
      </c>
      <c r="M664" s="5" t="n"/>
      <c r="N664" s="5" t="n">
        <v>116.6</v>
      </c>
      <c r="O664" s="5" t="inlineStr">
        <is>
          <t>solid fill</t>
        </is>
      </c>
      <c r="P664" s="5" t="inlineStr">
        <is>
          <t>solid fill, rectangle, L &gt; 4 W (EN 1992-1-1 5.3.1(7))</t>
        </is>
      </c>
      <c r="Q664" s="5">
        <f>IF(OR(D664="column",D664="wall"),IF(I664&lt;='P vs V'!$B$3*J664,"column","wall"),"")</f>
        <v/>
      </c>
      <c r="R664" s="5" t="inlineStr"/>
      <c r="S664" s="5" t="inlineStr"/>
      <c r="T664" s="5" t="n"/>
      <c r="U664" s="5" t="inlineStr">
        <is>
          <t>yes</t>
        </is>
      </c>
      <c r="V664" s="5" t="inlineStr">
        <is>
          <t>no</t>
        </is>
      </c>
      <c r="W664" s="5" t="inlineStr">
        <is>
          <t>no</t>
        </is>
      </c>
      <c r="X664" s="5" t="inlineStr">
        <is>
          <t>no</t>
        </is>
      </c>
      <c r="Y664" s="5" t="inlineStr">
        <is>
          <t>yes</t>
        </is>
      </c>
      <c r="Z664" s="5" t="inlineStr">
        <is>
          <t>yes</t>
        </is>
      </c>
      <c r="AA664" s="5" t="n">
        <v>4.09</v>
      </c>
      <c r="AB664" s="5" t="n"/>
      <c r="AC664" s="5" t="n"/>
      <c r="AD664" s="5" t="n"/>
      <c r="AE664" s="5" t="n">
        <v>1824</v>
      </c>
      <c r="AF664" s="5" t="n">
        <v>2732.8</v>
      </c>
      <c r="AG664" s="5" t="n">
        <v>1857.1</v>
      </c>
      <c r="AH664" s="5" t="n">
        <v>2788.9</v>
      </c>
      <c r="AI664" s="5" t="inlineStr">
        <is>
          <t>yes</t>
        </is>
      </c>
      <c r="AJ664" s="5" t="inlineStr">
        <is>
          <t>shear_wall</t>
        </is>
      </c>
      <c r="AK664" s="5" t="inlineStr"/>
      <c r="AL664" s="5" t="inlineStr">
        <is>
          <t>(0.87, 0.0, 0.87)</t>
        </is>
      </c>
      <c r="AM664" s="5" t="inlineStr">
        <is>
          <t>DM-VOILE</t>
        </is>
      </c>
    </row>
    <row r="665">
      <c r="A665" s="5" t="n">
        <v>664</v>
      </c>
      <c r="B665" s="5" t="inlineStr">
        <is>
          <t>128</t>
        </is>
      </c>
      <c r="C665" s="5" t="inlineStr">
        <is>
          <t>own label</t>
        </is>
      </c>
      <c r="D665" s="5" t="inlineStr">
        <is>
          <t>wall</t>
        </is>
      </c>
      <c r="E665" s="5" t="inlineStr">
        <is>
          <t>shear_wall</t>
        </is>
      </c>
      <c r="F665" s="5" t="inlineStr">
        <is>
          <t>V4/128</t>
        </is>
      </c>
      <c r="G665" s="5" t="inlineStr">
        <is>
          <t>V4/128/128</t>
        </is>
      </c>
      <c r="H665" s="5" t="inlineStr">
        <is>
          <t>printed</t>
        </is>
      </c>
      <c r="I665" s="5" t="n">
        <v>200</v>
      </c>
      <c r="J665" s="5" t="n">
        <v>29</v>
      </c>
      <c r="K665" s="9">
        <f>IF(AND(ISNUMBER(I665),ISNUMBER(J665),J665&gt;0),I665/J665,"")</f>
        <v/>
      </c>
      <c r="L665" s="5" t="n">
        <v>0.581</v>
      </c>
      <c r="M665" s="5" t="n"/>
      <c r="N665" s="5" t="n">
        <v>140.9</v>
      </c>
      <c r="O665" s="5" t="inlineStr">
        <is>
          <t>solid fill</t>
        </is>
      </c>
      <c r="P665" s="5" t="inlineStr">
        <is>
          <t>solid fill, rectangle, L &gt; 4 W (EN 1992-1-1 5.3.1(7))</t>
        </is>
      </c>
      <c r="Q665" s="5">
        <f>IF(OR(D665="column",D665="wall"),IF(I665&lt;='P vs V'!$B$3*J665,"column","wall"),"")</f>
        <v/>
      </c>
      <c r="R665" s="5" t="inlineStr">
        <is>
          <t>SC7</t>
        </is>
      </c>
      <c r="S665" s="5" t="inlineStr"/>
      <c r="T665" s="5" t="n"/>
      <c r="U665" s="5" t="inlineStr">
        <is>
          <t>no</t>
        </is>
      </c>
      <c r="V665" s="5" t="inlineStr">
        <is>
          <t>no</t>
        </is>
      </c>
      <c r="W665" s="5" t="inlineStr">
        <is>
          <t>yes</t>
        </is>
      </c>
      <c r="X665" s="5" t="inlineStr">
        <is>
          <t>no</t>
        </is>
      </c>
      <c r="Y665" s="5" t="inlineStr">
        <is>
          <t>yes</t>
        </is>
      </c>
      <c r="Z665" s="5" t="inlineStr">
        <is>
          <t>yes</t>
        </is>
      </c>
      <c r="AA665" s="5" t="n">
        <v>0.13</v>
      </c>
      <c r="AB665" s="5" t="n"/>
      <c r="AC665" s="5" t="n"/>
      <c r="AD665" s="5" t="n"/>
      <c r="AE665" s="5" t="n">
        <v>1190.9</v>
      </c>
      <c r="AF665" s="5" t="n">
        <v>2423</v>
      </c>
      <c r="AG665" s="5" t="n">
        <v>1242.2</v>
      </c>
      <c r="AH665" s="5" t="n">
        <v>2466.9</v>
      </c>
      <c r="AI665" s="5" t="inlineStr">
        <is>
          <t>new</t>
        </is>
      </c>
      <c r="AJ665" s="5" t="inlineStr"/>
      <c r="AK665" s="5" t="inlineStr">
        <is>
          <t>piece of a wall network the colour pipeline left unsplit</t>
        </is>
      </c>
      <c r="AL665" s="5" t="inlineStr">
        <is>
          <t>(0.87, 0.0, 0.87)</t>
        </is>
      </c>
      <c r="AM665" s="5" t="inlineStr">
        <is>
          <t>DM-VOILE</t>
        </is>
      </c>
    </row>
    <row r="666">
      <c r="A666" s="5" t="n">
        <v>665</v>
      </c>
      <c r="B666" s="5" t="inlineStr">
        <is>
          <t>128</t>
        </is>
      </c>
      <c r="C666" s="5" t="inlineStr">
        <is>
          <t>own label</t>
        </is>
      </c>
      <c r="D666" s="5" t="inlineStr">
        <is>
          <t>wall</t>
        </is>
      </c>
      <c r="E666" s="5" t="inlineStr">
        <is>
          <t>shear_wall</t>
        </is>
      </c>
      <c r="F666" s="5" t="inlineStr">
        <is>
          <t>V5/128</t>
        </is>
      </c>
      <c r="G666" s="5" t="inlineStr">
        <is>
          <t>V5/128/128</t>
        </is>
      </c>
      <c r="H666" s="5" t="inlineStr">
        <is>
          <t>printed</t>
        </is>
      </c>
      <c r="I666" s="5" t="n">
        <v>300</v>
      </c>
      <c r="J666" s="5" t="n">
        <v>30</v>
      </c>
      <c r="K666" s="9">
        <f>IF(AND(ISNUMBER(I666),ISNUMBER(J666),J666&gt;0),I666/J666,"")</f>
        <v/>
      </c>
      <c r="L666" s="5" t="n">
        <v>0.899</v>
      </c>
      <c r="M666" s="5" t="n"/>
      <c r="N666" s="5" t="n">
        <v>26.7</v>
      </c>
      <c r="O666" s="5" t="inlineStr">
        <is>
          <t>solid fill</t>
        </is>
      </c>
      <c r="P666" s="5" t="inlineStr">
        <is>
          <t>solid fill, rectangle, L &gt; 4 W (EN 1992-1-1 5.3.1(7))</t>
        </is>
      </c>
      <c r="Q666" s="5">
        <f>IF(OR(D666="column",D666="wall"),IF(I666&lt;='P vs V'!$B$3*J666,"column","wall"),"")</f>
        <v/>
      </c>
      <c r="R666" s="5" t="inlineStr">
        <is>
          <t>S11</t>
        </is>
      </c>
      <c r="S666" s="5" t="inlineStr"/>
      <c r="T666" s="5" t="n"/>
      <c r="U666" s="5" t="inlineStr">
        <is>
          <t>no</t>
        </is>
      </c>
      <c r="V666" s="5" t="inlineStr">
        <is>
          <t>no</t>
        </is>
      </c>
      <c r="W666" s="5" t="inlineStr">
        <is>
          <t>yes</t>
        </is>
      </c>
      <c r="X666" s="5" t="inlineStr">
        <is>
          <t>no</t>
        </is>
      </c>
      <c r="Y666" s="5" t="inlineStr">
        <is>
          <t>yes</t>
        </is>
      </c>
      <c r="Z666" s="5" t="inlineStr">
        <is>
          <t>no</t>
        </is>
      </c>
      <c r="AA666" s="5" t="n">
        <v>1.29</v>
      </c>
      <c r="AB666" s="5" t="n"/>
      <c r="AC666" s="5" t="n"/>
      <c r="AD666" s="5" t="n"/>
      <c r="AE666" s="5" t="n">
        <v>1557.9</v>
      </c>
      <c r="AF666" s="5" t="n">
        <v>2862.7</v>
      </c>
      <c r="AG666" s="5" t="n">
        <v>1641.1</v>
      </c>
      <c r="AH666" s="5" t="n">
        <v>2910.3</v>
      </c>
      <c r="AI666" s="5" t="inlineStr">
        <is>
          <t>new</t>
        </is>
      </c>
      <c r="AJ666" s="5" t="inlineStr"/>
      <c r="AK666" s="5" t="inlineStr"/>
      <c r="AL666" s="5" t="inlineStr">
        <is>
          <t>(1.0, 0.0, 0.0)</t>
        </is>
      </c>
      <c r="AM666" s="5" t="inlineStr">
        <is>
          <t>DM-VOILE</t>
        </is>
      </c>
    </row>
    <row r="667">
      <c r="A667" s="5" t="n">
        <v>666</v>
      </c>
      <c r="B667" s="5" t="inlineStr">
        <is>
          <t>128</t>
        </is>
      </c>
      <c r="C667" s="5" t="inlineStr">
        <is>
          <t>own label</t>
        </is>
      </c>
      <c r="D667" s="5" t="inlineStr">
        <is>
          <t>wall</t>
        </is>
      </c>
      <c r="E667" s="5" t="inlineStr">
        <is>
          <t>shear_wall</t>
        </is>
      </c>
      <c r="F667" s="5" t="inlineStr">
        <is>
          <t>V6/128</t>
        </is>
      </c>
      <c r="G667" s="5" t="inlineStr">
        <is>
          <t>V6/128/128</t>
        </is>
      </c>
      <c r="H667" s="5" t="inlineStr">
        <is>
          <t>printed</t>
        </is>
      </c>
      <c r="I667" s="5" t="n">
        <v>125</v>
      </c>
      <c r="J667" s="5" t="n">
        <v>25</v>
      </c>
      <c r="K667" s="9">
        <f>IF(AND(ISNUMBER(I667),ISNUMBER(J667),J667&gt;0),I667/J667,"")</f>
        <v/>
      </c>
      <c r="L667" s="5" t="n">
        <v>0.312</v>
      </c>
      <c r="M667" s="5" t="n"/>
      <c r="N667" s="5" t="n">
        <v>116.6</v>
      </c>
      <c r="O667" s="5" t="inlineStr">
        <is>
          <t>solid fill</t>
        </is>
      </c>
      <c r="P667" s="5" t="inlineStr">
        <is>
          <t>solid fill, rectangle, L &gt; 4 W (EN 1992-1-1 5.3.1(7))</t>
        </is>
      </c>
      <c r="Q667" s="5">
        <f>IF(OR(D667="column",D667="wall"),IF(I667&lt;='P vs V'!$B$3*J667,"column","wall"),"")</f>
        <v/>
      </c>
      <c r="R667" s="5" t="inlineStr">
        <is>
          <t>SC2</t>
        </is>
      </c>
      <c r="S667" s="5" t="inlineStr"/>
      <c r="T667" s="5" t="n"/>
      <c r="U667" s="5" t="inlineStr">
        <is>
          <t>no</t>
        </is>
      </c>
      <c r="V667" s="5" t="inlineStr">
        <is>
          <t>no</t>
        </is>
      </c>
      <c r="W667" s="5" t="inlineStr">
        <is>
          <t>no</t>
        </is>
      </c>
      <c r="X667" s="5" t="inlineStr">
        <is>
          <t>no</t>
        </is>
      </c>
      <c r="Y667" s="5" t="inlineStr">
        <is>
          <t>yes</t>
        </is>
      </c>
      <c r="Z667" s="5" t="inlineStr">
        <is>
          <t>yes</t>
        </is>
      </c>
      <c r="AA667" s="5" t="n">
        <v>4.09</v>
      </c>
      <c r="AB667" s="5" t="n"/>
      <c r="AC667" s="5" t="n"/>
      <c r="AD667" s="5" t="n"/>
      <c r="AE667" s="5" t="n">
        <v>1943.4</v>
      </c>
      <c r="AF667" s="5" t="n">
        <v>2514.5</v>
      </c>
      <c r="AG667" s="5" t="n">
        <v>1966.6</v>
      </c>
      <c r="AH667" s="5" t="n">
        <v>2550.8</v>
      </c>
      <c r="AI667" s="5" t="inlineStr">
        <is>
          <t>yes</t>
        </is>
      </c>
      <c r="AJ667" s="5" t="inlineStr">
        <is>
          <t>shear_wall</t>
        </is>
      </c>
      <c r="AK667" s="5" t="inlineStr"/>
      <c r="AL667" s="5" t="inlineStr">
        <is>
          <t>(0.87, 0.0, 0.87)</t>
        </is>
      </c>
      <c r="AM667" s="5" t="inlineStr">
        <is>
          <t>DM-VOILE</t>
        </is>
      </c>
    </row>
    <row r="668">
      <c r="A668" s="5" t="n">
        <v>667</v>
      </c>
      <c r="B668" s="5" t="inlineStr">
        <is>
          <t>128</t>
        </is>
      </c>
      <c r="C668" s="5" t="inlineStr">
        <is>
          <t>own label</t>
        </is>
      </c>
      <c r="D668" s="5" t="inlineStr">
        <is>
          <t>wall</t>
        </is>
      </c>
      <c r="E668" s="5" t="inlineStr">
        <is>
          <t>shear_wall</t>
        </is>
      </c>
      <c r="F668" s="5" t="inlineStr">
        <is>
          <t>V6/128</t>
        </is>
      </c>
      <c r="G668" s="5" t="inlineStr">
        <is>
          <t>V6/128/128</t>
        </is>
      </c>
      <c r="H668" s="5" t="inlineStr">
        <is>
          <t>printed</t>
        </is>
      </c>
      <c r="I668" s="5" t="n">
        <v>125</v>
      </c>
      <c r="J668" s="5" t="n">
        <v>25</v>
      </c>
      <c r="K668" s="9">
        <f>IF(AND(ISNUMBER(I668),ISNUMBER(J668),J668&gt;0),I668/J668,"")</f>
        <v/>
      </c>
      <c r="L668" s="5" t="n">
        <v>0.312</v>
      </c>
      <c r="M668" s="5" t="n"/>
      <c r="N668" s="5" t="n">
        <v>141</v>
      </c>
      <c r="O668" s="5" t="inlineStr">
        <is>
          <t>solid fill</t>
        </is>
      </c>
      <c r="P668" s="5" t="inlineStr">
        <is>
          <t>solid fill, rectangle, L &gt; 4 W (EN 1992-1-1 5.3.1(7))</t>
        </is>
      </c>
      <c r="Q668" s="5">
        <f>IF(OR(D668="column",D668="wall"),IF(I668&lt;='P vs V'!$B$3*J668,"column","wall"),"")</f>
        <v/>
      </c>
      <c r="R668" s="5" t="inlineStr">
        <is>
          <t>SC2</t>
        </is>
      </c>
      <c r="S668" s="5" t="inlineStr"/>
      <c r="T668" s="5" t="n"/>
      <c r="U668" s="5" t="inlineStr">
        <is>
          <t>no</t>
        </is>
      </c>
      <c r="V668" s="5" t="inlineStr">
        <is>
          <t>no</t>
        </is>
      </c>
      <c r="W668" s="5" t="inlineStr">
        <is>
          <t>no</t>
        </is>
      </c>
      <c r="X668" s="5" t="inlineStr">
        <is>
          <t>no</t>
        </is>
      </c>
      <c r="Y668" s="5" t="inlineStr">
        <is>
          <t>yes</t>
        </is>
      </c>
      <c r="Z668" s="5" t="inlineStr">
        <is>
          <t>no</t>
        </is>
      </c>
      <c r="AA668" s="5" t="n">
        <v>1.02</v>
      </c>
      <c r="AB668" s="5" t="n"/>
      <c r="AC668" s="5" t="n"/>
      <c r="AD668" s="5" t="n"/>
      <c r="AE668" s="5" t="n">
        <v>1443.9</v>
      </c>
      <c r="AF668" s="5" t="n">
        <v>2231.4</v>
      </c>
      <c r="AG668" s="5" t="n">
        <v>1477.2</v>
      </c>
      <c r="AH668" s="5" t="n">
        <v>2260.4</v>
      </c>
      <c r="AI668" s="5" t="inlineStr">
        <is>
          <t>yes</t>
        </is>
      </c>
      <c r="AJ668" s="5" t="inlineStr">
        <is>
          <t>shear_wall</t>
        </is>
      </c>
      <c r="AK668" s="5" t="inlineStr"/>
      <c r="AL668" s="5" t="inlineStr">
        <is>
          <t>(0.87, 0.0, 0.87)</t>
        </is>
      </c>
      <c r="AM668" s="5" t="inlineStr">
        <is>
          <t>DM-VOILE</t>
        </is>
      </c>
    </row>
    <row r="669">
      <c r="A669" s="5" t="n">
        <v>668</v>
      </c>
      <c r="B669" s="5" t="inlineStr">
        <is>
          <t>128</t>
        </is>
      </c>
      <c r="C669" s="5" t="inlineStr">
        <is>
          <t>own label</t>
        </is>
      </c>
      <c r="D669" s="5" t="inlineStr">
        <is>
          <t>wall</t>
        </is>
      </c>
      <c r="E669" s="5" t="inlineStr">
        <is>
          <t>shear_wall</t>
        </is>
      </c>
      <c r="F669" s="5" t="inlineStr">
        <is>
          <t>V6/128</t>
        </is>
      </c>
      <c r="G669" s="5" t="inlineStr">
        <is>
          <t>V6/128/128</t>
        </is>
      </c>
      <c r="H669" s="5" t="inlineStr">
        <is>
          <t>printed</t>
        </is>
      </c>
      <c r="I669" s="5" t="n">
        <v>125</v>
      </c>
      <c r="J669" s="5" t="n">
        <v>25</v>
      </c>
      <c r="K669" s="9">
        <f>IF(AND(ISNUMBER(I669),ISNUMBER(J669),J669&gt;0),I669/J669,"")</f>
        <v/>
      </c>
      <c r="L669" s="5" t="n">
        <v>0.311</v>
      </c>
      <c r="M669" s="5" t="n"/>
      <c r="N669" s="5" t="n">
        <v>116.7</v>
      </c>
      <c r="O669" s="5" t="inlineStr">
        <is>
          <t>solid fill</t>
        </is>
      </c>
      <c r="P669" s="5" t="inlineStr">
        <is>
          <t>solid fill, rectangle, L &gt; 4 W (EN 1992-1-1 5.3.1(7))</t>
        </is>
      </c>
      <c r="Q669" s="5">
        <f>IF(OR(D669="column",D669="wall"),IF(I669&lt;='P vs V'!$B$3*J669,"column","wall"),"")</f>
        <v/>
      </c>
      <c r="R669" s="5" t="inlineStr">
        <is>
          <t>S2</t>
        </is>
      </c>
      <c r="S669" s="5" t="inlineStr"/>
      <c r="T669" s="5" t="n"/>
      <c r="U669" s="5" t="inlineStr">
        <is>
          <t>no</t>
        </is>
      </c>
      <c r="V669" s="5" t="inlineStr">
        <is>
          <t>no</t>
        </is>
      </c>
      <c r="W669" s="5" t="inlineStr">
        <is>
          <t>no</t>
        </is>
      </c>
      <c r="X669" s="5" t="inlineStr">
        <is>
          <t>no</t>
        </is>
      </c>
      <c r="Y669" s="5" t="inlineStr">
        <is>
          <t>yes</t>
        </is>
      </c>
      <c r="Z669" s="5" t="inlineStr">
        <is>
          <t>yes</t>
        </is>
      </c>
      <c r="AA669" s="5" t="n">
        <v>0</v>
      </c>
      <c r="AB669" s="5" t="n"/>
      <c r="AC669" s="5" t="n"/>
      <c r="AD669" s="5" t="n"/>
      <c r="AE669" s="5" t="n">
        <v>1738.6</v>
      </c>
      <c r="AF669" s="5" t="n">
        <v>2411.8</v>
      </c>
      <c r="AG669" s="5" t="n">
        <v>1761.7</v>
      </c>
      <c r="AH669" s="5" t="n">
        <v>2448.1</v>
      </c>
      <c r="AI669" s="5" t="inlineStr">
        <is>
          <t>yes</t>
        </is>
      </c>
      <c r="AJ669" s="5" t="inlineStr">
        <is>
          <t>shear_wall</t>
        </is>
      </c>
      <c r="AK669" s="5" t="inlineStr"/>
      <c r="AL669" s="5" t="inlineStr">
        <is>
          <t>(0.87, 0.0, 0.87)</t>
        </is>
      </c>
      <c r="AM669" s="5" t="inlineStr">
        <is>
          <t>DM-VOILE</t>
        </is>
      </c>
    </row>
    <row r="670">
      <c r="A670" s="5" t="n">
        <v>669</v>
      </c>
      <c r="B670" s="5" t="inlineStr">
        <is>
          <t>128</t>
        </is>
      </c>
      <c r="C670" s="5" t="inlineStr">
        <is>
          <t>own label</t>
        </is>
      </c>
      <c r="D670" s="5" t="inlineStr">
        <is>
          <t>wall</t>
        </is>
      </c>
      <c r="E670" s="5" t="inlineStr">
        <is>
          <t>shear_wall</t>
        </is>
      </c>
      <c r="F670" s="5" t="inlineStr">
        <is>
          <t>V7a/128</t>
        </is>
      </c>
      <c r="G670" s="5" t="inlineStr">
        <is>
          <t>V7a/128/128</t>
        </is>
      </c>
      <c r="H670" s="5" t="inlineStr">
        <is>
          <t>printed</t>
        </is>
      </c>
      <c r="I670" s="5" t="n">
        <v>170</v>
      </c>
      <c r="J670" s="5" t="n">
        <v>30</v>
      </c>
      <c r="K670" s="9">
        <f>IF(AND(ISNUMBER(I670),ISNUMBER(J670),J670&gt;0),I670/J670,"")</f>
        <v/>
      </c>
      <c r="L670" s="5" t="n">
        <v>0.512</v>
      </c>
      <c r="M670" s="5" t="n"/>
      <c r="N670" s="5" t="n">
        <v>116.7</v>
      </c>
      <c r="O670" s="5" t="inlineStr">
        <is>
          <t>solid fill</t>
        </is>
      </c>
      <c r="P670" s="5" t="inlineStr">
        <is>
          <t>straight stretch of a thin filled outline with bends (pair of parallel faces)</t>
        </is>
      </c>
      <c r="Q670" s="5">
        <f>IF(OR(D670="column",D670="wall"),IF(I670&lt;='P vs V'!$B$3*J670,"column","wall"),"")</f>
        <v/>
      </c>
      <c r="R670" s="5" t="inlineStr"/>
      <c r="S670" s="5" t="inlineStr"/>
      <c r="T670" s="5" t="n"/>
      <c r="U670" s="5" t="inlineStr">
        <is>
          <t>yes</t>
        </is>
      </c>
      <c r="V670" s="5" t="inlineStr">
        <is>
          <t>no</t>
        </is>
      </c>
      <c r="W670" s="5" t="inlineStr">
        <is>
          <t>yes</t>
        </is>
      </c>
      <c r="X670" s="5" t="inlineStr">
        <is>
          <t>no</t>
        </is>
      </c>
      <c r="Y670" s="5" t="inlineStr">
        <is>
          <t>no</t>
        </is>
      </c>
      <c r="Z670" s="5" t="inlineStr">
        <is>
          <t>no</t>
        </is>
      </c>
      <c r="AA670" s="5" t="n">
        <v>0.01</v>
      </c>
      <c r="AB670" s="5" t="n"/>
      <c r="AC670" s="5" t="n"/>
      <c r="AD670" s="5" t="n"/>
      <c r="AE670" s="5" t="n">
        <v>1646.9</v>
      </c>
      <c r="AF670" s="5" t="n">
        <v>2652.5</v>
      </c>
      <c r="AG670" s="5" t="n">
        <v>1677.4</v>
      </c>
      <c r="AH670" s="5" t="n">
        <v>2701.3</v>
      </c>
      <c r="AI670" s="5" t="inlineStr">
        <is>
          <t>new</t>
        </is>
      </c>
      <c r="AJ670" s="5" t="inlineStr"/>
      <c r="AK670" s="5" t="inlineStr">
        <is>
          <t>piece of a wall network the colour pipeline left unsplit</t>
        </is>
      </c>
      <c r="AL670" s="5" t="inlineStr"/>
      <c r="AM670" s="5" t="inlineStr"/>
    </row>
    <row r="671">
      <c r="A671" s="5" t="n">
        <v>670</v>
      </c>
      <c r="B671" s="5" t="inlineStr">
        <is>
          <t>128</t>
        </is>
      </c>
      <c r="C671" s="5" t="inlineStr">
        <is>
          <t>own label</t>
        </is>
      </c>
      <c r="D671" s="5" t="inlineStr">
        <is>
          <t>wall</t>
        </is>
      </c>
      <c r="E671" s="5" t="inlineStr">
        <is>
          <t>shear_wall</t>
        </is>
      </c>
      <c r="F671" s="5" t="inlineStr">
        <is>
          <t>V9/128</t>
        </is>
      </c>
      <c r="G671" s="5" t="inlineStr">
        <is>
          <t>V9/128/128</t>
        </is>
      </c>
      <c r="H671" s="5" t="inlineStr">
        <is>
          <t>printed</t>
        </is>
      </c>
      <c r="I671" s="5" t="n">
        <v>125</v>
      </c>
      <c r="J671" s="5" t="n">
        <v>25</v>
      </c>
      <c r="K671" s="9">
        <f>IF(AND(ISNUMBER(I671),ISNUMBER(J671),J671&gt;0),I671/J671,"")</f>
        <v/>
      </c>
      <c r="L671" s="5" t="n">
        <v>0.313</v>
      </c>
      <c r="M671" s="5" t="n"/>
      <c r="N671" s="5" t="n">
        <v>140.9</v>
      </c>
      <c r="O671" s="5" t="inlineStr">
        <is>
          <t>solid fill</t>
        </is>
      </c>
      <c r="P671" s="5" t="inlineStr">
        <is>
          <t>solid fill, rectangle, L &gt; 4 W (EN 1992-1-1 5.3.1(7))</t>
        </is>
      </c>
      <c r="Q671" s="5">
        <f>IF(OR(D671="column",D671="wall"),IF(I671&lt;='P vs V'!$B$3*J671,"column","wall"),"")</f>
        <v/>
      </c>
      <c r="R671" s="5" t="inlineStr">
        <is>
          <t>SC2</t>
        </is>
      </c>
      <c r="S671" s="5" t="inlineStr"/>
      <c r="T671" s="5" t="n"/>
      <c r="U671" s="5" t="inlineStr">
        <is>
          <t>no</t>
        </is>
      </c>
      <c r="V671" s="5" t="inlineStr">
        <is>
          <t>no</t>
        </is>
      </c>
      <c r="W671" s="5" t="inlineStr">
        <is>
          <t>no</t>
        </is>
      </c>
      <c r="X671" s="5" t="inlineStr">
        <is>
          <t>no</t>
        </is>
      </c>
      <c r="Y671" s="5" t="inlineStr">
        <is>
          <t>yes</t>
        </is>
      </c>
      <c r="Z671" s="5" t="inlineStr">
        <is>
          <t>no</t>
        </is>
      </c>
      <c r="AA671" s="5" t="n">
        <v>1.04</v>
      </c>
      <c r="AB671" s="5" t="n"/>
      <c r="AC671" s="5" t="n"/>
      <c r="AD671" s="5" t="n"/>
      <c r="AE671" s="5" t="n">
        <v>1437.3</v>
      </c>
      <c r="AF671" s="5" t="n">
        <v>2223.4</v>
      </c>
      <c r="AG671" s="5" t="n">
        <v>1470.6</v>
      </c>
      <c r="AH671" s="5" t="n">
        <v>2252.4</v>
      </c>
      <c r="AI671" s="5" t="inlineStr">
        <is>
          <t>yes</t>
        </is>
      </c>
      <c r="AJ671" s="5" t="inlineStr">
        <is>
          <t>shear_wall</t>
        </is>
      </c>
      <c r="AK671" s="5" t="inlineStr"/>
      <c r="AL671" s="5" t="inlineStr">
        <is>
          <t>(0.87, 0.0, 0.87)</t>
        </is>
      </c>
      <c r="AM671" s="5" t="inlineStr">
        <is>
          <t>DM-VOILE</t>
        </is>
      </c>
    </row>
    <row r="672">
      <c r="A672" s="5" t="n">
        <v>671</v>
      </c>
      <c r="B672" s="5" t="inlineStr">
        <is>
          <t>128</t>
        </is>
      </c>
      <c r="C672" s="5" t="inlineStr">
        <is>
          <t>own label</t>
        </is>
      </c>
      <c r="D672" s="5" t="inlineStr">
        <is>
          <t>wall</t>
        </is>
      </c>
      <c r="E672" s="5" t="inlineStr">
        <is>
          <t>shear_wall</t>
        </is>
      </c>
      <c r="F672" s="5" t="inlineStr">
        <is>
          <t>V9/128</t>
        </is>
      </c>
      <c r="G672" s="5" t="inlineStr">
        <is>
          <t>V9/128/128</t>
        </is>
      </c>
      <c r="H672" s="5" t="inlineStr">
        <is>
          <t>printed</t>
        </is>
      </c>
      <c r="I672" s="5" t="n">
        <v>125</v>
      </c>
      <c r="J672" s="5" t="n">
        <v>25</v>
      </c>
      <c r="K672" s="9">
        <f>IF(AND(ISNUMBER(I672),ISNUMBER(J672),J672&gt;0),I672/J672,"")</f>
        <v/>
      </c>
      <c r="L672" s="5" t="n">
        <v>0.313</v>
      </c>
      <c r="M672" s="5" t="n"/>
      <c r="N672" s="5" t="n">
        <v>165.3</v>
      </c>
      <c r="O672" s="5" t="inlineStr">
        <is>
          <t>solid fill</t>
        </is>
      </c>
      <c r="P672" s="5" t="inlineStr">
        <is>
          <t>solid fill, rectangle, L &gt; 4 W (EN 1992-1-1 5.3.1(7))</t>
        </is>
      </c>
      <c r="Q672" s="5">
        <f>IF(OR(D672="column",D672="wall"),IF(I672&lt;='P vs V'!$B$3*J672,"column","wall"),"")</f>
        <v/>
      </c>
      <c r="R672" s="5" t="inlineStr">
        <is>
          <t>S2</t>
        </is>
      </c>
      <c r="S672" s="5" t="inlineStr"/>
      <c r="T672" s="5" t="n"/>
      <c r="U672" s="5" t="inlineStr">
        <is>
          <t>no</t>
        </is>
      </c>
      <c r="V672" s="5" t="inlineStr">
        <is>
          <t>no</t>
        </is>
      </c>
      <c r="W672" s="5" t="inlineStr">
        <is>
          <t>no</t>
        </is>
      </c>
      <c r="X672" s="5" t="inlineStr">
        <is>
          <t>no</t>
        </is>
      </c>
      <c r="Y672" s="5" t="inlineStr">
        <is>
          <t>yes</t>
        </is>
      </c>
      <c r="Z672" s="5" t="inlineStr">
        <is>
          <t>yes</t>
        </is>
      </c>
      <c r="AA672" s="5" t="n">
        <v>7</v>
      </c>
      <c r="AB672" s="5" t="n"/>
      <c r="AC672" s="5" t="n"/>
      <c r="AD672" s="5" t="n"/>
      <c r="AE672" s="5" t="n">
        <v>1281.1</v>
      </c>
      <c r="AF672" s="5" t="n">
        <v>1816.7</v>
      </c>
      <c r="AG672" s="5" t="n">
        <v>1318.8</v>
      </c>
      <c r="AH672" s="5" t="n">
        <v>1833.2</v>
      </c>
      <c r="AI672" s="5" t="inlineStr">
        <is>
          <t>yes</t>
        </is>
      </c>
      <c r="AJ672" s="5" t="inlineStr">
        <is>
          <t>shear_wall</t>
        </is>
      </c>
      <c r="AK672" s="5" t="inlineStr"/>
      <c r="AL672" s="5" t="inlineStr">
        <is>
          <t>(0.87, 0.0, 0.87)</t>
        </is>
      </c>
      <c r="AM672" s="5" t="inlineStr">
        <is>
          <t>DM-VOILE</t>
        </is>
      </c>
    </row>
    <row r="673">
      <c r="A673" s="5" t="n">
        <v>672</v>
      </c>
      <c r="B673" s="5" t="inlineStr">
        <is>
          <t>128</t>
        </is>
      </c>
      <c r="C673" s="5" t="inlineStr">
        <is>
          <t>own label</t>
        </is>
      </c>
      <c r="D673" s="5" t="inlineStr">
        <is>
          <t>wall</t>
        </is>
      </c>
      <c r="E673" s="5" t="inlineStr">
        <is>
          <t>shear_wall</t>
        </is>
      </c>
      <c r="F673" s="5" t="inlineStr">
        <is>
          <t>V9/128</t>
        </is>
      </c>
      <c r="G673" s="5" t="inlineStr">
        <is>
          <t>V9/128/128</t>
        </is>
      </c>
      <c r="H673" s="5" t="inlineStr">
        <is>
          <t>printed</t>
        </is>
      </c>
      <c r="I673" s="5" t="n">
        <v>125</v>
      </c>
      <c r="J673" s="5" t="n">
        <v>25</v>
      </c>
      <c r="K673" s="9">
        <f>IF(AND(ISNUMBER(I673),ISNUMBER(J673),J673&gt;0),I673/J673,"")</f>
        <v/>
      </c>
      <c r="L673" s="5" t="n">
        <v>0.312</v>
      </c>
      <c r="M673" s="5" t="n"/>
      <c r="N673" s="5" t="n">
        <v>165.3</v>
      </c>
      <c r="O673" s="5" t="inlineStr">
        <is>
          <t>solid fill</t>
        </is>
      </c>
      <c r="P673" s="5" t="inlineStr">
        <is>
          <t>solid fill, rectangle, L &gt; 4 W (EN 1992-1-1 5.3.1(7))</t>
        </is>
      </c>
      <c r="Q673" s="5">
        <f>IF(OR(D673="column",D673="wall"),IF(I673&lt;='P vs V'!$B$3*J673,"column","wall"),"")</f>
        <v/>
      </c>
      <c r="R673" s="5" t="inlineStr">
        <is>
          <t>S2</t>
        </is>
      </c>
      <c r="S673" s="5" t="inlineStr"/>
      <c r="T673" s="5" t="n"/>
      <c r="U673" s="5" t="inlineStr">
        <is>
          <t>no</t>
        </is>
      </c>
      <c r="V673" s="5" t="inlineStr">
        <is>
          <t>no</t>
        </is>
      </c>
      <c r="W673" s="5" t="inlineStr">
        <is>
          <t>no</t>
        </is>
      </c>
      <c r="X673" s="5" t="inlineStr">
        <is>
          <t>no</t>
        </is>
      </c>
      <c r="Y673" s="5" t="inlineStr">
        <is>
          <t>yes</t>
        </is>
      </c>
      <c r="Z673" s="5" t="inlineStr">
        <is>
          <t>yes</t>
        </is>
      </c>
      <c r="AA673" s="5" t="n">
        <v>0</v>
      </c>
      <c r="AB673" s="5" t="n"/>
      <c r="AC673" s="5" t="n"/>
      <c r="AD673" s="5" t="n"/>
      <c r="AE673" s="5" t="n">
        <v>1339.6</v>
      </c>
      <c r="AF673" s="5" t="n">
        <v>2037.7</v>
      </c>
      <c r="AG673" s="5" t="n">
        <v>1377.2</v>
      </c>
      <c r="AH673" s="5" t="n">
        <v>2054.2</v>
      </c>
      <c r="AI673" s="5" t="inlineStr">
        <is>
          <t>yes</t>
        </is>
      </c>
      <c r="AJ673" s="5" t="inlineStr">
        <is>
          <t>shear_wall</t>
        </is>
      </c>
      <c r="AK673" s="5" t="inlineStr"/>
      <c r="AL673" s="5" t="inlineStr">
        <is>
          <t>(0.87, 0.0, 0.87)</t>
        </is>
      </c>
      <c r="AM673" s="5" t="inlineStr">
        <is>
          <t>DM-VOILE</t>
        </is>
      </c>
    </row>
    <row r="674">
      <c r="A674" s="5" t="n">
        <v>673</v>
      </c>
      <c r="B674" s="5" t="inlineStr">
        <is>
          <t>128</t>
        </is>
      </c>
      <c r="C674" s="5" t="inlineStr">
        <is>
          <t>own label</t>
        </is>
      </c>
      <c r="D674" s="5" t="inlineStr">
        <is>
          <t>wall</t>
        </is>
      </c>
      <c r="E674" s="5" t="inlineStr">
        <is>
          <t>shear_wall</t>
        </is>
      </c>
      <c r="F674" s="5" t="inlineStr">
        <is>
          <t>V9/128</t>
        </is>
      </c>
      <c r="G674" s="5" t="inlineStr">
        <is>
          <t>V9/128/128</t>
        </is>
      </c>
      <c r="H674" s="5" t="inlineStr">
        <is>
          <t>printed</t>
        </is>
      </c>
      <c r="I674" s="5" t="n">
        <v>125</v>
      </c>
      <c r="J674" s="5" t="n">
        <v>25</v>
      </c>
      <c r="K674" s="9">
        <f>IF(AND(ISNUMBER(I674),ISNUMBER(J674),J674&gt;0),I674/J674,"")</f>
        <v/>
      </c>
      <c r="L674" s="5" t="n">
        <v>0.312</v>
      </c>
      <c r="M674" s="5" t="n"/>
      <c r="N674" s="5" t="n">
        <v>165.3</v>
      </c>
      <c r="O674" s="5" t="inlineStr">
        <is>
          <t>solid fill</t>
        </is>
      </c>
      <c r="P674" s="5" t="inlineStr">
        <is>
          <t>solid fill, rectangle, L &gt; 4 W (EN 1992-1-1 5.3.1(7))</t>
        </is>
      </c>
      <c r="Q674" s="5">
        <f>IF(OR(D674="column",D674="wall"),IF(I674&lt;='P vs V'!$B$3*J674,"column","wall"),"")</f>
        <v/>
      </c>
      <c r="R674" s="5" t="inlineStr">
        <is>
          <t>SC2</t>
        </is>
      </c>
      <c r="S674" s="5" t="inlineStr"/>
      <c r="T674" s="5" t="n"/>
      <c r="U674" s="5" t="inlineStr">
        <is>
          <t>no</t>
        </is>
      </c>
      <c r="V674" s="5" t="inlineStr">
        <is>
          <t>no</t>
        </is>
      </c>
      <c r="W674" s="5" t="inlineStr">
        <is>
          <t>no</t>
        </is>
      </c>
      <c r="X674" s="5" t="inlineStr">
        <is>
          <t>no</t>
        </is>
      </c>
      <c r="Y674" s="5" t="inlineStr">
        <is>
          <t>yes</t>
        </is>
      </c>
      <c r="Z674" s="5" t="inlineStr">
        <is>
          <t>yes</t>
        </is>
      </c>
      <c r="AA674" s="5" t="n">
        <v>6.91</v>
      </c>
      <c r="AB674" s="5" t="n"/>
      <c r="AC674" s="5" t="n"/>
      <c r="AD674" s="5" t="n"/>
      <c r="AE674" s="5" t="n">
        <v>1258.3</v>
      </c>
      <c r="AF674" s="5" t="n">
        <v>1730.4</v>
      </c>
      <c r="AG674" s="5" t="n">
        <v>1295.9</v>
      </c>
      <c r="AH674" s="5" t="n">
        <v>1746.9</v>
      </c>
      <c r="AI674" s="5" t="inlineStr">
        <is>
          <t>yes</t>
        </is>
      </c>
      <c r="AJ674" s="5" t="inlineStr">
        <is>
          <t>shear_wall</t>
        </is>
      </c>
      <c r="AK674" s="5" t="inlineStr"/>
      <c r="AL674" s="5" t="inlineStr">
        <is>
          <t>(0.87, 0.0, 0.87)</t>
        </is>
      </c>
      <c r="AM674" s="5" t="inlineStr">
        <is>
          <t>DM-VOILE</t>
        </is>
      </c>
    </row>
    <row r="675">
      <c r="A675" s="5" t="n">
        <v>674</v>
      </c>
      <c r="B675" s="5" t="inlineStr">
        <is>
          <t>128</t>
        </is>
      </c>
      <c r="C675" s="5" t="inlineStr">
        <is>
          <t>nearest labels (60% agree)</t>
        </is>
      </c>
      <c r="D675" s="5" t="inlineStr">
        <is>
          <t>wall</t>
        </is>
      </c>
      <c r="E675" s="5" t="inlineStr">
        <is>
          <t>shear_wall</t>
        </is>
      </c>
      <c r="F675" s="5" t="inlineStr">
        <is>
          <t>(none)</t>
        </is>
      </c>
      <c r="G675" s="5" t="inlineStr"/>
      <c r="H675" s="5" t="inlineStr">
        <is>
          <t>none</t>
        </is>
      </c>
      <c r="I675" s="5" t="n">
        <v>766</v>
      </c>
      <c r="J675" s="5" t="n">
        <v>20</v>
      </c>
      <c r="K675" s="9">
        <f>IF(AND(ISNUMBER(I675),ISNUMBER(J675),J675&gt;0),I675/J675,"")</f>
        <v/>
      </c>
      <c r="L675" s="5" t="n">
        <v>1.524</v>
      </c>
      <c r="M675" s="5" t="n"/>
      <c r="N675" s="5" t="n">
        <v>140.9</v>
      </c>
      <c r="O675" s="5" t="inlineStr">
        <is>
          <t>solid fill</t>
        </is>
      </c>
      <c r="P675" s="5" t="inlineStr">
        <is>
          <t>solid fill, rectangle, L &gt; 4 W (EN 1992-1-1 5.3.1(7))</t>
        </is>
      </c>
      <c r="Q675" s="5">
        <f>IF(OR(D675="column",D675="wall"),IF(I675&lt;='P vs V'!$B$3*J675,"column","wall"),"")</f>
        <v/>
      </c>
      <c r="R675" s="5" t="inlineStr"/>
      <c r="S675" s="5" t="inlineStr"/>
      <c r="T675" s="5" t="n"/>
      <c r="U675" s="5" t="inlineStr">
        <is>
          <t>no</t>
        </is>
      </c>
      <c r="V675" s="5" t="inlineStr">
        <is>
          <t>no</t>
        </is>
      </c>
      <c r="W675" s="5" t="inlineStr">
        <is>
          <t>yes</t>
        </is>
      </c>
      <c r="X675" s="5" t="inlineStr">
        <is>
          <t>no</t>
        </is>
      </c>
      <c r="Y675" s="5" t="inlineStr">
        <is>
          <t>no</t>
        </is>
      </c>
      <c r="Z675" s="5" t="inlineStr">
        <is>
          <t>no</t>
        </is>
      </c>
      <c r="AA675" s="5" t="n">
        <v>0.32</v>
      </c>
      <c r="AB675" s="5" t="n"/>
      <c r="AC675" s="5" t="n"/>
      <c r="AD675" s="5" t="n"/>
      <c r="AE675" s="5" t="n">
        <v>1032.6</v>
      </c>
      <c r="AF675" s="5" t="n">
        <v>2446.2</v>
      </c>
      <c r="AG675" s="5" t="n">
        <v>1211.8</v>
      </c>
      <c r="AH675" s="5" t="n">
        <v>2593.4</v>
      </c>
      <c r="AI675" s="5" t="inlineStr">
        <is>
          <t>new</t>
        </is>
      </c>
      <c r="AJ675" s="5" t="inlineStr"/>
      <c r="AK675" s="5" t="inlineStr">
        <is>
          <t>piece of a wall network the colour pipeline left unsplit</t>
        </is>
      </c>
      <c r="AL675" s="5" t="inlineStr">
        <is>
          <t>(0.87, 0.0, 0.87)</t>
        </is>
      </c>
      <c r="AM675" s="5" t="inlineStr">
        <is>
          <t>DM-VOILE</t>
        </is>
      </c>
    </row>
    <row r="676">
      <c r="A676" s="5" t="n">
        <v>675</v>
      </c>
      <c r="B676" s="5" t="inlineStr">
        <is>
          <t>128</t>
        </is>
      </c>
      <c r="C676" s="5" t="inlineStr">
        <is>
          <t>nearest labels (60% agree)</t>
        </is>
      </c>
      <c r="D676" s="5" t="inlineStr">
        <is>
          <t>wall</t>
        </is>
      </c>
      <c r="E676" s="5" t="inlineStr">
        <is>
          <t>shear_wall</t>
        </is>
      </c>
      <c r="F676" s="5" t="inlineStr">
        <is>
          <t>(none)</t>
        </is>
      </c>
      <c r="G676" s="5" t="inlineStr"/>
      <c r="H676" s="5" t="inlineStr">
        <is>
          <t>none</t>
        </is>
      </c>
      <c r="I676" s="5" t="n">
        <v>716</v>
      </c>
      <c r="J676" s="5" t="n">
        <v>20</v>
      </c>
      <c r="K676" s="9">
        <f>IF(AND(ISNUMBER(I676),ISNUMBER(J676),J676&gt;0),I676/J676,"")</f>
        <v/>
      </c>
      <c r="L676" s="5" t="n">
        <v>1.43</v>
      </c>
      <c r="M676" s="5" t="n"/>
      <c r="N676" s="5" t="n">
        <v>140.9</v>
      </c>
      <c r="O676" s="5" t="inlineStr">
        <is>
          <t>solid fill</t>
        </is>
      </c>
      <c r="P676" s="5" t="inlineStr">
        <is>
          <t>solid fill, rectangle, L &gt; 4 W (EN 1992-1-1 5.3.1(7))</t>
        </is>
      </c>
      <c r="Q676" s="5">
        <f>IF(OR(D676="column",D676="wall"),IF(I676&lt;='P vs V'!$B$3*J676,"column","wall"),"")</f>
        <v/>
      </c>
      <c r="R676" s="5" t="inlineStr"/>
      <c r="S676" s="5" t="inlineStr"/>
      <c r="T676" s="5" t="n"/>
      <c r="U676" s="5" t="inlineStr">
        <is>
          <t>no</t>
        </is>
      </c>
      <c r="V676" s="5" t="inlineStr">
        <is>
          <t>no</t>
        </is>
      </c>
      <c r="W676" s="5" t="inlineStr">
        <is>
          <t>yes</t>
        </is>
      </c>
      <c r="X676" s="5" t="inlineStr">
        <is>
          <t>no</t>
        </is>
      </c>
      <c r="Y676" s="5" t="inlineStr">
        <is>
          <t>no</t>
        </is>
      </c>
      <c r="Z676" s="5" t="inlineStr">
        <is>
          <t>no</t>
        </is>
      </c>
      <c r="AA676" s="5" t="n">
        <v>0.06</v>
      </c>
      <c r="AB676" s="5" t="n"/>
      <c r="AC676" s="5" t="n"/>
      <c r="AD676" s="5" t="n"/>
      <c r="AE676" s="5" t="n">
        <v>1038.5</v>
      </c>
      <c r="AF676" s="5" t="n">
        <v>2439.4</v>
      </c>
      <c r="AG676" s="5" t="n">
        <v>1206.2</v>
      </c>
      <c r="AH676" s="5" t="n">
        <v>2577.2</v>
      </c>
      <c r="AI676" s="5" t="inlineStr">
        <is>
          <t>new</t>
        </is>
      </c>
      <c r="AJ676" s="5" t="inlineStr"/>
      <c r="AK676" s="5" t="inlineStr">
        <is>
          <t>piece of a wall network the colour pipeline left unsplit</t>
        </is>
      </c>
      <c r="AL676" s="5" t="inlineStr">
        <is>
          <t>(0.87, 0.0, 0.87)</t>
        </is>
      </c>
      <c r="AM676" s="5" t="inlineStr">
        <is>
          <t>DM-VOILE</t>
        </is>
      </c>
    </row>
    <row r="677">
      <c r="A677" s="5" t="n">
        <v>676</v>
      </c>
      <c r="B677" s="5" t="inlineStr">
        <is>
          <t>128</t>
        </is>
      </c>
      <c r="C677" s="5" t="inlineStr">
        <is>
          <t>nearest labels (60% agree)</t>
        </is>
      </c>
      <c r="D677" s="5" t="inlineStr">
        <is>
          <t>wall</t>
        </is>
      </c>
      <c r="E677" s="5" t="inlineStr">
        <is>
          <t>shear_wall</t>
        </is>
      </c>
      <c r="F677" s="5" t="inlineStr">
        <is>
          <t>(none)</t>
        </is>
      </c>
      <c r="G677" s="5" t="inlineStr"/>
      <c r="H677" s="5" t="inlineStr">
        <is>
          <t>none</t>
        </is>
      </c>
      <c r="I677" s="5" t="n">
        <v>250</v>
      </c>
      <c r="J677" s="5" t="n">
        <v>24</v>
      </c>
      <c r="K677" s="9">
        <f>IF(AND(ISNUMBER(I677),ISNUMBER(J677),J677&gt;0),I677/J677,"")</f>
        <v/>
      </c>
      <c r="L677" s="5" t="n">
        <v>0.604</v>
      </c>
      <c r="M677" s="5" t="n"/>
      <c r="N677" s="5" t="n">
        <v>140.9</v>
      </c>
      <c r="O677" s="5" t="inlineStr">
        <is>
          <t>solid fill</t>
        </is>
      </c>
      <c r="P677" s="5" t="inlineStr">
        <is>
          <t>solid fill, rectangle, L &gt; 4 W (EN 1992-1-1 5.3.1(7))</t>
        </is>
      </c>
      <c r="Q677" s="5">
        <f>IF(OR(D677="column",D677="wall"),IF(I677&lt;='P vs V'!$B$3*J677,"column","wall"),"")</f>
        <v/>
      </c>
      <c r="R677" s="5" t="inlineStr">
        <is>
          <t>SC3</t>
        </is>
      </c>
      <c r="S677" s="5" t="inlineStr"/>
      <c r="T677" s="5" t="n"/>
      <c r="U677" s="5" t="inlineStr">
        <is>
          <t>no</t>
        </is>
      </c>
      <c r="V677" s="5" t="inlineStr">
        <is>
          <t>no</t>
        </is>
      </c>
      <c r="W677" s="5" t="inlineStr">
        <is>
          <t>yes</t>
        </is>
      </c>
      <c r="X677" s="5" t="inlineStr">
        <is>
          <t>no</t>
        </is>
      </c>
      <c r="Y677" s="5" t="inlineStr">
        <is>
          <t>no</t>
        </is>
      </c>
      <c r="Z677" s="5" t="inlineStr">
        <is>
          <t>no</t>
        </is>
      </c>
      <c r="AA677" s="5" t="n">
        <v>2.23</v>
      </c>
      <c r="AB677" s="5" t="n"/>
      <c r="AC677" s="5" t="n"/>
      <c r="AD677" s="5" t="n"/>
      <c r="AE677" s="5" t="n">
        <v>986.8</v>
      </c>
      <c r="AF677" s="5" t="n">
        <v>2579.5</v>
      </c>
      <c r="AG677" s="5" t="n">
        <v>1048.6</v>
      </c>
      <c r="AH677" s="5" t="n">
        <v>2631.6</v>
      </c>
      <c r="AI677" s="5" t="inlineStr">
        <is>
          <t>new</t>
        </is>
      </c>
      <c r="AJ677" s="5" t="inlineStr"/>
      <c r="AK677" s="5" t="inlineStr">
        <is>
          <t>piece of a wall network the colour pipeline left unsplit</t>
        </is>
      </c>
      <c r="AL677" s="5" t="inlineStr">
        <is>
          <t>(0.87, 0.0, 0.87)</t>
        </is>
      </c>
      <c r="AM677" s="5" t="inlineStr">
        <is>
          <t>DM-VOILE</t>
        </is>
      </c>
    </row>
    <row r="678">
      <c r="A678" s="5" t="n">
        <v>677</v>
      </c>
      <c r="B678" s="5" t="inlineStr">
        <is>
          <t>128</t>
        </is>
      </c>
      <c r="C678" s="5" t="inlineStr">
        <is>
          <t>nearest labels (80% agree)</t>
        </is>
      </c>
      <c r="D678" s="5" t="inlineStr">
        <is>
          <t>wall</t>
        </is>
      </c>
      <c r="E678" s="5" t="inlineStr">
        <is>
          <t>shear_wall</t>
        </is>
      </c>
      <c r="F678" s="5" t="inlineStr">
        <is>
          <t>(none)</t>
        </is>
      </c>
      <c r="G678" s="5" t="inlineStr"/>
      <c r="H678" s="5" t="inlineStr">
        <is>
          <t>none</t>
        </is>
      </c>
      <c r="I678" s="5" t="n">
        <v>312</v>
      </c>
      <c r="J678" s="5" t="n">
        <v>20</v>
      </c>
      <c r="K678" s="9">
        <f>IF(AND(ISNUMBER(I678),ISNUMBER(J678),J678&gt;0),I678/J678,"")</f>
        <v/>
      </c>
      <c r="L678" s="5" t="n">
        <v>0.624</v>
      </c>
      <c r="M678" s="5" t="n"/>
      <c r="N678" s="5" t="n">
        <v>51.3</v>
      </c>
      <c r="O678" s="5" t="inlineStr">
        <is>
          <t>solid fill</t>
        </is>
      </c>
      <c r="P678" s="5" t="inlineStr">
        <is>
          <t>straight stretch of a thin filled outline with bends (pair of parallel faces)</t>
        </is>
      </c>
      <c r="Q678" s="5">
        <f>IF(OR(D678="column",D678="wall"),IF(I678&lt;='P vs V'!$B$3*J678,"column","wall"),"")</f>
        <v/>
      </c>
      <c r="R678" s="5" t="inlineStr"/>
      <c r="S678" s="5" t="inlineStr"/>
      <c r="T678" s="5" t="n"/>
      <c r="U678" s="5" t="inlineStr">
        <is>
          <t>no</t>
        </is>
      </c>
      <c r="V678" s="5" t="inlineStr">
        <is>
          <t>no</t>
        </is>
      </c>
      <c r="W678" s="5" t="inlineStr">
        <is>
          <t>no</t>
        </is>
      </c>
      <c r="X678" s="5" t="inlineStr">
        <is>
          <t>no</t>
        </is>
      </c>
      <c r="Y678" s="5" t="inlineStr">
        <is>
          <t>no</t>
        </is>
      </c>
      <c r="Z678" s="5" t="inlineStr">
        <is>
          <t>no</t>
        </is>
      </c>
      <c r="AA678" s="5" t="n">
        <v>2.85</v>
      </c>
      <c r="AB678" s="5" t="n"/>
      <c r="AC678" s="5" t="n"/>
      <c r="AD678" s="5" t="n"/>
      <c r="AE678" s="5" t="n">
        <v>848.6</v>
      </c>
      <c r="AF678" s="5" t="n">
        <v>2751.2</v>
      </c>
      <c r="AG678" s="5" t="n">
        <v>910.9</v>
      </c>
      <c r="AH678" s="5" t="n">
        <v>2826.8</v>
      </c>
      <c r="AI678" s="5" t="inlineStr">
        <is>
          <t>new</t>
        </is>
      </c>
      <c r="AJ678" s="5" t="inlineStr"/>
      <c r="AK678" s="5" t="inlineStr">
        <is>
          <t>piece of a wall network the colour pipeline left unsplit</t>
        </is>
      </c>
      <c r="AL678" s="5" t="inlineStr"/>
      <c r="AM678" s="5" t="inlineStr"/>
    </row>
    <row r="679">
      <c r="A679" s="5" t="n">
        <v>678</v>
      </c>
      <c r="B679" s="5" t="inlineStr">
        <is>
          <t>128</t>
        </is>
      </c>
      <c r="C679" s="5" t="inlineStr">
        <is>
          <t>nearest labels (100% agree)</t>
        </is>
      </c>
      <c r="D679" s="5" t="inlineStr">
        <is>
          <t>wall</t>
        </is>
      </c>
      <c r="E679" s="5" t="inlineStr">
        <is>
          <t>core_wall_hatched</t>
        </is>
      </c>
      <c r="F679" s="5" t="inlineStr">
        <is>
          <t>(none)</t>
        </is>
      </c>
      <c r="G679" s="5" t="inlineStr"/>
      <c r="H679" s="5" t="inlineStr">
        <is>
          <t>none</t>
        </is>
      </c>
      <c r="I679" s="5" t="n">
        <v>1035</v>
      </c>
      <c r="J679" s="5" t="n">
        <v>20</v>
      </c>
      <c r="K679" s="9">
        <f>IF(AND(ISNUMBER(I679),ISNUMBER(J679),J679&gt;0),I679/J679,"")</f>
        <v/>
      </c>
      <c r="L679" s="5" t="n">
        <v>2.093</v>
      </c>
      <c r="M679" s="5" t="n">
        <v>10.35</v>
      </c>
      <c r="N679" s="5" t="n">
        <v>127.6</v>
      </c>
      <c r="O679" s="5" t="inlineStr">
        <is>
          <t>cross-hatch</t>
        </is>
      </c>
      <c r="P679" s="5" t="inlineStr">
        <is>
          <t>cross-hatch of short strokes in two perpendicular families</t>
        </is>
      </c>
      <c r="Q679" s="5">
        <f>IF(OR(D679="column",D679="wall"),IF(I679&lt;='P vs V'!$B$3*J679,"column","wall"),"")</f>
        <v/>
      </c>
      <c r="R679" s="5" t="inlineStr"/>
      <c r="S679" s="5" t="inlineStr"/>
      <c r="T679" s="5" t="n"/>
      <c r="U679" s="5" t="inlineStr">
        <is>
          <t>yes</t>
        </is>
      </c>
      <c r="V679" s="5" t="inlineStr">
        <is>
          <t>no</t>
        </is>
      </c>
      <c r="W679" s="5" t="inlineStr">
        <is>
          <t>no</t>
        </is>
      </c>
      <c r="X679" s="5" t="inlineStr">
        <is>
          <t>no</t>
        </is>
      </c>
      <c r="Y679" s="5" t="inlineStr">
        <is>
          <t>no</t>
        </is>
      </c>
      <c r="Z679" s="5" t="inlineStr">
        <is>
          <t>no</t>
        </is>
      </c>
      <c r="AA679" s="5" t="n">
        <v>0.06</v>
      </c>
      <c r="AB679" s="5" t="n">
        <v>0.28</v>
      </c>
      <c r="AC679" s="5" t="n"/>
      <c r="AD679" s="5" t="n"/>
      <c r="AE679" s="5" t="n">
        <v>1297</v>
      </c>
      <c r="AF679" s="5" t="n">
        <v>2598.1</v>
      </c>
      <c r="AG679" s="5" t="n">
        <v>1428.7</v>
      </c>
      <c r="AH679" s="5" t="n">
        <v>2850.4</v>
      </c>
      <c r="AI679" s="5" t="inlineStr">
        <is>
          <t>n/a</t>
        </is>
      </c>
      <c r="AJ679" s="5" t="inlineStr"/>
      <c r="AK679" s="5" t="inlineStr"/>
      <c r="AL679" s="5" t="inlineStr"/>
      <c r="AM679" s="5" t="inlineStr"/>
    </row>
    <row r="680">
      <c r="A680" s="5" t="n">
        <v>679</v>
      </c>
      <c r="B680" s="5" t="inlineStr">
        <is>
          <t>128</t>
        </is>
      </c>
      <c r="C680" s="5" t="inlineStr">
        <is>
          <t>nearest labels (60% agree)</t>
        </is>
      </c>
      <c r="D680" s="5" t="inlineStr">
        <is>
          <t>footing</t>
        </is>
      </c>
      <c r="E680" s="5" t="inlineStr">
        <is>
          <t>combined_footing</t>
        </is>
      </c>
      <c r="F680" s="5" t="inlineStr">
        <is>
          <t>SC1</t>
        </is>
      </c>
      <c r="G680" s="5" t="inlineStr">
        <is>
          <t>SC1-</t>
        </is>
      </c>
      <c r="H680" s="5" t="inlineStr">
        <is>
          <t>printed</t>
        </is>
      </c>
      <c r="I680" s="5" t="n">
        <v>500</v>
      </c>
      <c r="J680" s="5" t="n">
        <v>350</v>
      </c>
      <c r="K680" s="9">
        <f>IF(AND(ISNUMBER(I680),ISNUMBER(J680),J680&gt;0),I680/J680,"")</f>
        <v/>
      </c>
      <c r="L680" s="5" t="n">
        <v>17.503</v>
      </c>
      <c r="M680" s="5" t="n"/>
      <c r="N680" s="5" t="n">
        <v>116.6</v>
      </c>
      <c r="O680" s="5" t="inlineStr">
        <is>
          <t>closed outline</t>
        </is>
      </c>
      <c r="P680" s="5" t="inlineStr">
        <is>
          <t>closed rectangular outline around a column/wall or next to an S/SC label</t>
        </is>
      </c>
      <c r="Q680" s="5">
        <f>IF(OR(D680="column",D680="wall"),IF(I680&lt;='P vs V'!$B$3*J680,"column","wall"),"")</f>
        <v/>
      </c>
      <c r="R680" s="5" t="inlineStr"/>
      <c r="S680" s="5" t="inlineStr">
        <is>
          <t>wall+wall</t>
        </is>
      </c>
      <c r="T680" s="5" t="n">
        <v>13</v>
      </c>
      <c r="U680" s="5" t="inlineStr">
        <is>
          <t>no</t>
        </is>
      </c>
      <c r="V680" s="5" t="inlineStr">
        <is>
          <t>no</t>
        </is>
      </c>
      <c r="W680" s="5" t="inlineStr">
        <is>
          <t>yes</t>
        </is>
      </c>
      <c r="X680" s="5" t="inlineStr">
        <is>
          <t>no</t>
        </is>
      </c>
      <c r="Y680" s="5" t="inlineStr">
        <is>
          <t>yes</t>
        </is>
      </c>
      <c r="Z680" s="5" t="inlineStr">
        <is>
          <t>no</t>
        </is>
      </c>
      <c r="AA680" s="5" t="n">
        <v>1.53</v>
      </c>
      <c r="AB680" s="5" t="n"/>
      <c r="AC680" s="5" t="n"/>
      <c r="AD680" s="5" t="n"/>
      <c r="AE680" s="5" t="n">
        <v>1663.6</v>
      </c>
      <c r="AF680" s="5" t="n">
        <v>2874.6</v>
      </c>
      <c r="AG680" s="5" t="n">
        <v>1822.2</v>
      </c>
      <c r="AH680" s="5" t="n">
        <v>3052.9</v>
      </c>
      <c r="AI680" s="5" t="inlineStr">
        <is>
          <t>yes</t>
        </is>
      </c>
      <c r="AJ680" s="5" t="inlineStr">
        <is>
          <t>combined_footing</t>
        </is>
      </c>
      <c r="AK680" s="5" t="inlineStr"/>
      <c r="AL680" s="5" t="inlineStr">
        <is>
          <t>(0.72, 0.72, 0.0)</t>
        </is>
      </c>
      <c r="AM680" s="5" t="inlineStr">
        <is>
          <t>DM-SEMELLES</t>
        </is>
      </c>
    </row>
    <row r="681">
      <c r="A681" s="5" t="n">
        <v>680</v>
      </c>
      <c r="B681" s="5" t="inlineStr">
        <is>
          <t>128</t>
        </is>
      </c>
      <c r="C681" s="5" t="inlineStr">
        <is>
          <t>nearest labels (80% agree)</t>
        </is>
      </c>
      <c r="D681" s="5" t="inlineStr">
        <is>
          <t>footing</t>
        </is>
      </c>
      <c r="E681" s="5" t="inlineStr">
        <is>
          <t>combined_footing</t>
        </is>
      </c>
      <c r="F681" s="5" t="inlineStr">
        <is>
          <t>SC2</t>
        </is>
      </c>
      <c r="G681" s="5" t="inlineStr">
        <is>
          <t>SC2-</t>
        </is>
      </c>
      <c r="H681" s="5" t="inlineStr">
        <is>
          <t>printed</t>
        </is>
      </c>
      <c r="I681" s="5" t="n">
        <v>350</v>
      </c>
      <c r="J681" s="5" t="n">
        <v>200</v>
      </c>
      <c r="K681" s="9">
        <f>IF(AND(ISNUMBER(I681),ISNUMBER(J681),J681&gt;0),I681/J681,"")</f>
        <v/>
      </c>
      <c r="L681" s="5" t="n">
        <v>7.005</v>
      </c>
      <c r="M681" s="5" t="n"/>
      <c r="N681" s="5" t="n">
        <v>141.3</v>
      </c>
      <c r="O681" s="5" t="inlineStr">
        <is>
          <t>closed outline</t>
        </is>
      </c>
      <c r="P681" s="5" t="inlineStr">
        <is>
          <t>closed rectangular outline around a column/wall or next to an S/SC label</t>
        </is>
      </c>
      <c r="Q681" s="5">
        <f>IF(OR(D681="column",D681="wall"),IF(I681&lt;='P vs V'!$B$3*J681,"column","wall"),"")</f>
        <v/>
      </c>
      <c r="R681" s="5" t="inlineStr"/>
      <c r="S681" s="5" t="inlineStr">
        <is>
          <t>wall+wall</t>
        </is>
      </c>
      <c r="T681" s="5" t="n">
        <v>7</v>
      </c>
      <c r="U681" s="5" t="inlineStr">
        <is>
          <t>no</t>
        </is>
      </c>
      <c r="V681" s="5" t="inlineStr">
        <is>
          <t>no</t>
        </is>
      </c>
      <c r="W681" s="5" t="inlineStr">
        <is>
          <t>yes</t>
        </is>
      </c>
      <c r="X681" s="5" t="inlineStr">
        <is>
          <t>no</t>
        </is>
      </c>
      <c r="Y681" s="5" t="inlineStr">
        <is>
          <t>yes</t>
        </is>
      </c>
      <c r="Z681" s="5" t="inlineStr">
        <is>
          <t>yes</t>
        </is>
      </c>
      <c r="AA681" s="5" t="n">
        <v>1.15</v>
      </c>
      <c r="AB681" s="5" t="n"/>
      <c r="AC681" s="5" t="n"/>
      <c r="AD681" s="5" t="n"/>
      <c r="AE681" s="5" t="n">
        <v>1396.6</v>
      </c>
      <c r="AF681" s="5" t="n">
        <v>2185.5</v>
      </c>
      <c r="AG681" s="5" t="n">
        <v>1514.2</v>
      </c>
      <c r="AH681" s="5" t="n">
        <v>2296.3</v>
      </c>
      <c r="AI681" s="5" t="inlineStr">
        <is>
          <t>yes</t>
        </is>
      </c>
      <c r="AJ681" s="5" t="inlineStr">
        <is>
          <t>combined_footing</t>
        </is>
      </c>
      <c r="AK681" s="5" t="inlineStr"/>
      <c r="AL681" s="5" t="inlineStr">
        <is>
          <t>(0.72, 0.72, 0.0)</t>
        </is>
      </c>
      <c r="AM681" s="5" t="inlineStr">
        <is>
          <t>DM-SEMELLES</t>
        </is>
      </c>
    </row>
    <row r="682">
      <c r="A682" s="5" t="n">
        <v>681</v>
      </c>
      <c r="B682" s="5" t="inlineStr">
        <is>
          <t>128</t>
        </is>
      </c>
      <c r="C682" s="5" t="inlineStr">
        <is>
          <t>nearest labels (60% agree)</t>
        </is>
      </c>
      <c r="D682" s="5" t="inlineStr">
        <is>
          <t>footing</t>
        </is>
      </c>
      <c r="E682" s="5" t="inlineStr">
        <is>
          <t>combined_footing</t>
        </is>
      </c>
      <c r="F682" s="5" t="inlineStr">
        <is>
          <t>SC3</t>
        </is>
      </c>
      <c r="G682" s="5" t="inlineStr">
        <is>
          <t>SC3</t>
        </is>
      </c>
      <c r="H682" s="5" t="inlineStr">
        <is>
          <t>printed</t>
        </is>
      </c>
      <c r="I682" s="5" t="n">
        <v>500</v>
      </c>
      <c r="J682" s="5" t="n">
        <v>450</v>
      </c>
      <c r="K682" s="9">
        <f>IF(AND(ISNUMBER(I682),ISNUMBER(J682),J682&gt;0),I682/J682,"")</f>
        <v/>
      </c>
      <c r="L682" s="5" t="n">
        <v>22.496</v>
      </c>
      <c r="M682" s="5" t="n"/>
      <c r="N682" s="5" t="n">
        <v>140.9</v>
      </c>
      <c r="O682" s="5" t="inlineStr">
        <is>
          <t>closed outline</t>
        </is>
      </c>
      <c r="P682" s="5" t="inlineStr">
        <is>
          <t>closed rectangular outline around a column/wall or next to an S/SC label</t>
        </is>
      </c>
      <c r="Q682" s="5">
        <f>IF(OR(D682="column",D682="wall"),IF(I682&lt;='P vs V'!$B$3*J682,"column","wall"),"")</f>
        <v/>
      </c>
      <c r="R682" s="5" t="inlineStr"/>
      <c r="S682" s="5" t="inlineStr">
        <is>
          <t>wall+wall</t>
        </is>
      </c>
      <c r="T682" s="5" t="n">
        <v>77</v>
      </c>
      <c r="U682" s="5" t="inlineStr">
        <is>
          <t>no</t>
        </is>
      </c>
      <c r="V682" s="5" t="inlineStr">
        <is>
          <t>no</t>
        </is>
      </c>
      <c r="W682" s="5" t="inlineStr">
        <is>
          <t>yes</t>
        </is>
      </c>
      <c r="X682" s="5" t="inlineStr">
        <is>
          <t>no</t>
        </is>
      </c>
      <c r="Y682" s="5" t="inlineStr">
        <is>
          <t>no</t>
        </is>
      </c>
      <c r="Z682" s="5" t="inlineStr">
        <is>
          <t>no</t>
        </is>
      </c>
      <c r="AA682" s="5" t="n">
        <v>1.77</v>
      </c>
      <c r="AB682" s="5" t="n"/>
      <c r="AC682" s="5" t="n"/>
      <c r="AD682" s="5" t="n"/>
      <c r="AE682" s="5" t="n">
        <v>933.2</v>
      </c>
      <c r="AF682" s="5" t="n">
        <v>2489.5</v>
      </c>
      <c r="AG682" s="5" t="n">
        <v>1131.6</v>
      </c>
      <c r="AH682" s="5" t="n">
        <v>2685.7</v>
      </c>
      <c r="AI682" s="5" t="inlineStr">
        <is>
          <t>yes</t>
        </is>
      </c>
      <c r="AJ682" s="5" t="inlineStr">
        <is>
          <t>combined_footing</t>
        </is>
      </c>
      <c r="AK682" s="5" t="inlineStr"/>
      <c r="AL682" s="5" t="inlineStr">
        <is>
          <t>(0.72, 0.72, 0.0)</t>
        </is>
      </c>
      <c r="AM682" s="5" t="inlineStr">
        <is>
          <t>DM-SEMELLES</t>
        </is>
      </c>
    </row>
    <row r="683">
      <c r="A683" s="5" t="n">
        <v>682</v>
      </c>
      <c r="B683" s="5" t="inlineStr">
        <is>
          <t>128</t>
        </is>
      </c>
      <c r="C683" s="5" t="inlineStr">
        <is>
          <t>nearest labels (60% agree)</t>
        </is>
      </c>
      <c r="D683" s="5" t="inlineStr">
        <is>
          <t>footing</t>
        </is>
      </c>
      <c r="E683" s="5" t="inlineStr">
        <is>
          <t>combined_footing</t>
        </is>
      </c>
      <c r="F683" s="5" t="inlineStr">
        <is>
          <t>SC7</t>
        </is>
      </c>
      <c r="G683" s="5" t="inlineStr">
        <is>
          <t>SC7</t>
        </is>
      </c>
      <c r="H683" s="5" t="inlineStr">
        <is>
          <t>printed</t>
        </is>
      </c>
      <c r="I683" s="5" t="n">
        <v>550</v>
      </c>
      <c r="J683" s="5" t="n">
        <v>450</v>
      </c>
      <c r="K683" s="9">
        <f>IF(AND(ISNUMBER(I683),ISNUMBER(J683),J683&gt;0),I683/J683,"")</f>
        <v/>
      </c>
      <c r="L683" s="5" t="n">
        <v>24.754</v>
      </c>
      <c r="M683" s="5" t="n"/>
      <c r="N683" s="5" t="n">
        <v>140.9</v>
      </c>
      <c r="O683" s="5" t="inlineStr">
        <is>
          <t>closed outline</t>
        </is>
      </c>
      <c r="P683" s="5" t="inlineStr">
        <is>
          <t>closed rectangular outline around a column/wall or next to an S/SC label</t>
        </is>
      </c>
      <c r="Q683" s="5">
        <f>IF(OR(D683="column",D683="wall"),IF(I683&lt;='P vs V'!$B$3*J683,"column","wall"),"")</f>
        <v/>
      </c>
      <c r="R683" s="5" t="inlineStr"/>
      <c r="S683" s="5" t="inlineStr">
        <is>
          <t>wall+wall</t>
        </is>
      </c>
      <c r="T683" s="5" t="n">
        <v>7</v>
      </c>
      <c r="U683" s="5" t="inlineStr">
        <is>
          <t>no</t>
        </is>
      </c>
      <c r="V683" s="5" t="inlineStr">
        <is>
          <t>no</t>
        </is>
      </c>
      <c r="W683" s="5" t="inlineStr">
        <is>
          <t>yes</t>
        </is>
      </c>
      <c r="X683" s="5" t="inlineStr">
        <is>
          <t>no</t>
        </is>
      </c>
      <c r="Y683" s="5" t="inlineStr">
        <is>
          <t>yes</t>
        </is>
      </c>
      <c r="Z683" s="5" t="inlineStr">
        <is>
          <t>yes</t>
        </is>
      </c>
      <c r="AA683" s="5" t="n">
        <v>0.23</v>
      </c>
      <c r="AB683" s="5" t="n"/>
      <c r="AC683" s="5" t="n"/>
      <c r="AD683" s="5" t="n"/>
      <c r="AE683" s="5" t="n">
        <v>1107.1</v>
      </c>
      <c r="AF683" s="5" t="n">
        <v>2336.5</v>
      </c>
      <c r="AG683" s="5" t="n">
        <v>1316.9</v>
      </c>
      <c r="AH683" s="5" t="n">
        <v>2542</v>
      </c>
      <c r="AI683" s="5" t="inlineStr">
        <is>
          <t>yes</t>
        </is>
      </c>
      <c r="AJ683" s="5" t="inlineStr">
        <is>
          <t>combined_footing</t>
        </is>
      </c>
      <c r="AK683" s="5" t="inlineStr"/>
      <c r="AL683" s="5" t="inlineStr">
        <is>
          <t>(0.72, 0.72, 0.0)</t>
        </is>
      </c>
      <c r="AM683" s="5" t="inlineStr">
        <is>
          <t>DM-SEMELLES</t>
        </is>
      </c>
    </row>
    <row r="684">
      <c r="A684" s="5" t="n">
        <v>683</v>
      </c>
      <c r="B684" s="5" t="inlineStr">
        <is>
          <t>128</t>
        </is>
      </c>
      <c r="C684" s="5" t="inlineStr">
        <is>
          <t>own label</t>
        </is>
      </c>
      <c r="D684" s="5" t="inlineStr">
        <is>
          <t>footing</t>
        </is>
      </c>
      <c r="E684" s="5" t="inlineStr">
        <is>
          <t>isolated_footing</t>
        </is>
      </c>
      <c r="F684" s="5" t="inlineStr">
        <is>
          <t>S11</t>
        </is>
      </c>
      <c r="G684" s="5" t="inlineStr">
        <is>
          <t>S11-128</t>
        </is>
      </c>
      <c r="H684" s="5" t="inlineStr">
        <is>
          <t>printed</t>
        </is>
      </c>
      <c r="I684" s="5" t="n">
        <v>500</v>
      </c>
      <c r="J684" s="5" t="n">
        <v>400</v>
      </c>
      <c r="K684" s="9">
        <f>IF(AND(ISNUMBER(I684),ISNUMBER(J684),J684&gt;0),I684/J684,"")</f>
        <v/>
      </c>
      <c r="L684" s="5" t="n">
        <v>20.001</v>
      </c>
      <c r="M684" s="5" t="n"/>
      <c r="N684" s="5" t="n">
        <v>26.6</v>
      </c>
      <c r="O684" s="5" t="inlineStr">
        <is>
          <t>closed outline</t>
        </is>
      </c>
      <c r="P684" s="5" t="inlineStr">
        <is>
          <t>closed rectangular outline around a column/wall or next to an S/SC label</t>
        </is>
      </c>
      <c r="Q684" s="5">
        <f>IF(OR(D684="column",D684="wall"),IF(I684&lt;='P vs V'!$B$3*J684,"column","wall"),"")</f>
        <v/>
      </c>
      <c r="R684" s="5" t="inlineStr"/>
      <c r="S684" s="5" t="inlineStr">
        <is>
          <t>wall</t>
        </is>
      </c>
      <c r="T684" s="5" t="n">
        <v>0</v>
      </c>
      <c r="U684" s="5" t="inlineStr">
        <is>
          <t>no</t>
        </is>
      </c>
      <c r="V684" s="5" t="inlineStr">
        <is>
          <t>no</t>
        </is>
      </c>
      <c r="W684" s="5" t="inlineStr">
        <is>
          <t>yes</t>
        </is>
      </c>
      <c r="X684" s="5" t="inlineStr">
        <is>
          <t>no</t>
        </is>
      </c>
      <c r="Y684" s="5" t="inlineStr">
        <is>
          <t>yes</t>
        </is>
      </c>
      <c r="Z684" s="5" t="inlineStr">
        <is>
          <t>yes</t>
        </is>
      </c>
      <c r="AA684" s="5" t="n">
        <v>1.29</v>
      </c>
      <c r="AB684" s="5" t="n"/>
      <c r="AC684" s="5" t="n"/>
      <c r="AD684" s="5" t="n"/>
      <c r="AE684" s="5" t="n">
        <v>1507</v>
      </c>
      <c r="AF684" s="5" t="n">
        <v>2800.6</v>
      </c>
      <c r="AG684" s="5" t="n">
        <v>1691.9</v>
      </c>
      <c r="AH684" s="5" t="n">
        <v>2972.4</v>
      </c>
      <c r="AI684" s="5" t="inlineStr">
        <is>
          <t>yes</t>
        </is>
      </c>
      <c r="AJ684" s="5" t="inlineStr">
        <is>
          <t>isolated_footing</t>
        </is>
      </c>
      <c r="AK684" s="5" t="inlineStr"/>
      <c r="AL684" s="5" t="inlineStr">
        <is>
          <t>(0.72, 0.72, 0.0)</t>
        </is>
      </c>
      <c r="AM684" s="5" t="inlineStr">
        <is>
          <t>DM-SEMELLES</t>
        </is>
      </c>
    </row>
    <row r="685">
      <c r="A685" s="5" t="n">
        <v>684</v>
      </c>
      <c r="B685" s="5" t="inlineStr">
        <is>
          <t>128</t>
        </is>
      </c>
      <c r="C685" s="5" t="inlineStr">
        <is>
          <t>own label</t>
        </is>
      </c>
      <c r="D685" s="5" t="inlineStr">
        <is>
          <t>footing</t>
        </is>
      </c>
      <c r="E685" s="5" t="inlineStr">
        <is>
          <t>isolated_footing</t>
        </is>
      </c>
      <c r="F685" s="5" t="inlineStr">
        <is>
          <t>S2</t>
        </is>
      </c>
      <c r="G685" s="5" t="inlineStr">
        <is>
          <t>S2-128128</t>
        </is>
      </c>
      <c r="H685" s="5" t="inlineStr">
        <is>
          <t>printed</t>
        </is>
      </c>
      <c r="I685" s="5" t="n">
        <v>350</v>
      </c>
      <c r="J685" s="5" t="n">
        <v>200</v>
      </c>
      <c r="K685" s="9">
        <f>IF(AND(ISNUMBER(I685),ISNUMBER(J685),J685&gt;0),I685/J685,"")</f>
        <v/>
      </c>
      <c r="L685" s="5" t="n">
        <v>7.001</v>
      </c>
      <c r="M685" s="5" t="n"/>
      <c r="N685" s="5" t="n">
        <v>116.6</v>
      </c>
      <c r="O685" s="5" t="inlineStr">
        <is>
          <t>closed outline</t>
        </is>
      </c>
      <c r="P685" s="5" t="inlineStr">
        <is>
          <t>closed rectangular outline around a column/wall or next to an S/SC label</t>
        </is>
      </c>
      <c r="Q685" s="5">
        <f>IF(OR(D685="column",D685="wall"),IF(I685&lt;='P vs V'!$B$3*J685,"column","wall"),"")</f>
        <v/>
      </c>
      <c r="R685" s="5" t="inlineStr"/>
      <c r="S685" s="5" t="inlineStr">
        <is>
          <t>wall</t>
        </is>
      </c>
      <c r="T685" s="5" t="n">
        <v>0</v>
      </c>
      <c r="U685" s="5" t="inlineStr">
        <is>
          <t>no</t>
        </is>
      </c>
      <c r="V685" s="5" t="inlineStr">
        <is>
          <t>no</t>
        </is>
      </c>
      <c r="W685" s="5" t="inlineStr">
        <is>
          <t>yes</t>
        </is>
      </c>
      <c r="X685" s="5" t="inlineStr">
        <is>
          <t>no</t>
        </is>
      </c>
      <c r="Y685" s="5" t="inlineStr">
        <is>
          <t>yes</t>
        </is>
      </c>
      <c r="Z685" s="5" t="inlineStr">
        <is>
          <t>yes</t>
        </is>
      </c>
      <c r="AA685" s="5" t="n">
        <v>0</v>
      </c>
      <c r="AB685" s="5" t="n"/>
      <c r="AC685" s="5" t="n"/>
      <c r="AD685" s="5" t="n"/>
      <c r="AE685" s="5" t="n">
        <v>1700.6</v>
      </c>
      <c r="AF685" s="5" t="n">
        <v>2370.5</v>
      </c>
      <c r="AG685" s="5" t="n">
        <v>1799.8</v>
      </c>
      <c r="AH685" s="5" t="n">
        <v>2489.4</v>
      </c>
      <c r="AI685" s="5" t="inlineStr">
        <is>
          <t>yes</t>
        </is>
      </c>
      <c r="AJ685" s="5" t="inlineStr">
        <is>
          <t>isolated_footing</t>
        </is>
      </c>
      <c r="AK685" s="5" t="inlineStr"/>
      <c r="AL685" s="5" t="inlineStr">
        <is>
          <t>(0.72, 0.72, 0.0)</t>
        </is>
      </c>
      <c r="AM685" s="5" t="inlineStr">
        <is>
          <t>DM-SEMELLES</t>
        </is>
      </c>
    </row>
    <row r="686">
      <c r="A686" s="5" t="n">
        <v>685</v>
      </c>
      <c r="B686" s="5" t="inlineStr">
        <is>
          <t>128</t>
        </is>
      </c>
      <c r="C686" s="5" t="inlineStr">
        <is>
          <t>own label</t>
        </is>
      </c>
      <c r="D686" s="5" t="inlineStr">
        <is>
          <t>footing</t>
        </is>
      </c>
      <c r="E686" s="5" t="inlineStr">
        <is>
          <t>isolated_footing</t>
        </is>
      </c>
      <c r="F686" s="5" t="inlineStr">
        <is>
          <t>S5</t>
        </is>
      </c>
      <c r="G686" s="5" t="inlineStr">
        <is>
          <t>S5-128</t>
        </is>
      </c>
      <c r="H686" s="5" t="inlineStr">
        <is>
          <t>printed</t>
        </is>
      </c>
      <c r="I686" s="5" t="n">
        <v>450</v>
      </c>
      <c r="J686" s="5" t="n">
        <v>400</v>
      </c>
      <c r="K686" s="9">
        <f>IF(AND(ISNUMBER(I686),ISNUMBER(J686),J686&gt;0),I686/J686,"")</f>
        <v/>
      </c>
      <c r="L686" s="5" t="n">
        <v>18.004</v>
      </c>
      <c r="M686" s="5" t="n"/>
      <c r="N686" s="5" t="n">
        <v>26.6</v>
      </c>
      <c r="O686" s="5" t="inlineStr">
        <is>
          <t>closed outline</t>
        </is>
      </c>
      <c r="P686" s="5" t="inlineStr">
        <is>
          <t>closed rectangular outline around a column/wall or next to an S/SC label</t>
        </is>
      </c>
      <c r="Q686" s="5">
        <f>IF(OR(D686="column",D686="wall"),IF(I686&lt;='P vs V'!$B$3*J686,"column","wall"),"")</f>
        <v/>
      </c>
      <c r="R686" s="5" t="inlineStr"/>
      <c r="S686" s="5" t="inlineStr">
        <is>
          <t>column</t>
        </is>
      </c>
      <c r="T686" s="5" t="n">
        <v>0</v>
      </c>
      <c r="U686" s="5" t="inlineStr">
        <is>
          <t>no</t>
        </is>
      </c>
      <c r="V686" s="5" t="inlineStr">
        <is>
          <t>no</t>
        </is>
      </c>
      <c r="W686" s="5" t="inlineStr">
        <is>
          <t>yes</t>
        </is>
      </c>
      <c r="X686" s="5" t="inlineStr">
        <is>
          <t>no</t>
        </is>
      </c>
      <c r="Y686" s="5" t="inlineStr">
        <is>
          <t>yes</t>
        </is>
      </c>
      <c r="Z686" s="5" t="inlineStr">
        <is>
          <t>no</t>
        </is>
      </c>
      <c r="AA686" s="5" t="n">
        <v>3.79</v>
      </c>
      <c r="AB686" s="5" t="n"/>
      <c r="AC686" s="5" t="n"/>
      <c r="AD686" s="5" t="n"/>
      <c r="AE686" s="5" t="n">
        <v>883.5</v>
      </c>
      <c r="AF686" s="5" t="n">
        <v>2762.2</v>
      </c>
      <c r="AG686" s="5" t="n">
        <v>1055.2</v>
      </c>
      <c r="AH686" s="5" t="n">
        <v>2927.3</v>
      </c>
      <c r="AI686" s="5" t="inlineStr">
        <is>
          <t>yes</t>
        </is>
      </c>
      <c r="AJ686" s="5" t="inlineStr">
        <is>
          <t>isolated_footing</t>
        </is>
      </c>
      <c r="AK686" s="5" t="inlineStr"/>
      <c r="AL686" s="5" t="inlineStr">
        <is>
          <t>(0.72, 0.72, 0.0)</t>
        </is>
      </c>
      <c r="AM686" s="5" t="inlineStr">
        <is>
          <t>DM-SEMELLES</t>
        </is>
      </c>
    </row>
    <row r="687">
      <c r="A687" s="5" t="n">
        <v>686</v>
      </c>
      <c r="B687" s="5" t="inlineStr">
        <is>
          <t>128</t>
        </is>
      </c>
      <c r="C687" s="5" t="inlineStr">
        <is>
          <t>nearest labels (100% agree)</t>
        </is>
      </c>
      <c r="D687" s="5" t="inlineStr">
        <is>
          <t>mass_concrete_pad</t>
        </is>
      </c>
      <c r="E687" s="5" t="inlineStr">
        <is>
          <t>mass_concrete_pad</t>
        </is>
      </c>
      <c r="F687" s="5" t="inlineStr">
        <is>
          <t>(none)</t>
        </is>
      </c>
      <c r="G687" s="5" t="inlineStr"/>
      <c r="H687" s="5" t="inlineStr">
        <is>
          <t>none</t>
        </is>
      </c>
      <c r="I687" s="5" t="n">
        <v>60</v>
      </c>
      <c r="J687" s="5" t="n">
        <v>60</v>
      </c>
      <c r="K687" s="9">
        <f>IF(AND(ISNUMBER(I687),ISNUMBER(J687),J687&gt;0),I687/J687,"")</f>
        <v/>
      </c>
      <c r="L687" s="5" t="n">
        <v>0.361</v>
      </c>
      <c r="M687" s="5" t="n"/>
      <c r="N687" s="5" t="n">
        <v>116.6</v>
      </c>
      <c r="O687" s="5" t="inlineStr">
        <is>
          <t>closed outline + stipple</t>
        </is>
      </c>
      <c r="P687" s="5" t="inlineStr">
        <is>
          <t>small closed square filled with stipple dots, no label</t>
        </is>
      </c>
      <c r="Q687" s="5">
        <f>IF(OR(D687="column",D687="wall"),IF(I687&lt;='P vs V'!$B$3*J687,"column","wall"),"")</f>
        <v/>
      </c>
      <c r="R687" s="5" t="inlineStr"/>
      <c r="S687" s="5" t="inlineStr"/>
      <c r="T687" s="5" t="n"/>
      <c r="U687" s="5" t="inlineStr">
        <is>
          <t>no</t>
        </is>
      </c>
      <c r="V687" s="5" t="inlineStr">
        <is>
          <t>no</t>
        </is>
      </c>
      <c r="W687" s="5" t="inlineStr">
        <is>
          <t>no</t>
        </is>
      </c>
      <c r="X687" s="5" t="inlineStr">
        <is>
          <t>no</t>
        </is>
      </c>
      <c r="Y687" s="5" t="inlineStr">
        <is>
          <t>yes</t>
        </is>
      </c>
      <c r="Z687" s="5" t="inlineStr">
        <is>
          <t>no</t>
        </is>
      </c>
      <c r="AA687" s="5" t="n">
        <v>2.74</v>
      </c>
      <c r="AB687" s="5" t="n"/>
      <c r="AC687" s="5" t="n">
        <v>91</v>
      </c>
      <c r="AD687" s="5" t="n"/>
      <c r="AE687" s="5" t="n">
        <v>1581.4</v>
      </c>
      <c r="AF687" s="5" t="n">
        <v>2332.8</v>
      </c>
      <c r="AG687" s="5" t="n">
        <v>1605.2</v>
      </c>
      <c r="AH687" s="5" t="n">
        <v>2356.6</v>
      </c>
      <c r="AI687" s="5" t="inlineStr">
        <is>
          <t>yes</t>
        </is>
      </c>
      <c r="AJ687" s="5" t="inlineStr">
        <is>
          <t>mass_concrete_pad</t>
        </is>
      </c>
      <c r="AK687" s="5" t="inlineStr"/>
      <c r="AL687" s="5" t="inlineStr">
        <is>
          <t>(0.5, 0.5, 0.5)</t>
        </is>
      </c>
      <c r="AM687" s="5" t="inlineStr">
        <is>
          <t>DM-MGB</t>
        </is>
      </c>
    </row>
    <row r="688">
      <c r="A688" s="5" t="n">
        <v>687</v>
      </c>
      <c r="B688" s="5" t="inlineStr">
        <is>
          <t>128</t>
        </is>
      </c>
      <c r="C688" s="5" t="inlineStr">
        <is>
          <t>nearest labels (100% agree)</t>
        </is>
      </c>
      <c r="D688" s="5" t="inlineStr">
        <is>
          <t>mass_concrete_pad</t>
        </is>
      </c>
      <c r="E688" s="5" t="inlineStr">
        <is>
          <t>mass_concrete_pad</t>
        </is>
      </c>
      <c r="F688" s="5" t="inlineStr">
        <is>
          <t>(none)</t>
        </is>
      </c>
      <c r="G688" s="5" t="inlineStr"/>
      <c r="H688" s="5" t="inlineStr">
        <is>
          <t>none</t>
        </is>
      </c>
      <c r="I688" s="5" t="n">
        <v>60</v>
      </c>
      <c r="J688" s="5" t="n">
        <v>60</v>
      </c>
      <c r="K688" s="9">
        <f>IF(AND(ISNUMBER(I688),ISNUMBER(J688),J688&gt;0),I688/J688,"")</f>
        <v/>
      </c>
      <c r="L688" s="5" t="n">
        <v>0.359</v>
      </c>
      <c r="M688" s="5" t="n"/>
      <c r="N688" s="5" t="n">
        <v>26.7</v>
      </c>
      <c r="O688" s="5" t="inlineStr">
        <is>
          <t>closed outline + stipple</t>
        </is>
      </c>
      <c r="P688" s="5" t="inlineStr">
        <is>
          <t>small closed square filled with stipple dots, no label</t>
        </is>
      </c>
      <c r="Q688" s="5">
        <f>IF(OR(D688="column",D688="wall"),IF(I688&lt;='P vs V'!$B$3*J688,"column","wall"),"")</f>
        <v/>
      </c>
      <c r="R688" s="5" t="inlineStr"/>
      <c r="S688" s="5" t="inlineStr"/>
      <c r="T688" s="5" t="n"/>
      <c r="U688" s="5" t="inlineStr">
        <is>
          <t>no</t>
        </is>
      </c>
      <c r="V688" s="5" t="inlineStr">
        <is>
          <t>no</t>
        </is>
      </c>
      <c r="W688" s="5" t="inlineStr">
        <is>
          <t>no</t>
        </is>
      </c>
      <c r="X688" s="5" t="inlineStr">
        <is>
          <t>no</t>
        </is>
      </c>
      <c r="Y688" s="5" t="inlineStr">
        <is>
          <t>yes</t>
        </is>
      </c>
      <c r="Z688" s="5" t="inlineStr">
        <is>
          <t>no</t>
        </is>
      </c>
      <c r="AA688" s="5" t="n">
        <v>2.58</v>
      </c>
      <c r="AB688" s="5" t="n"/>
      <c r="AC688" s="5" t="n">
        <v>86</v>
      </c>
      <c r="AD688" s="5" t="n"/>
      <c r="AE688" s="5" t="n">
        <v>1578.7</v>
      </c>
      <c r="AF688" s="5" t="n">
        <v>2338.1</v>
      </c>
      <c r="AG688" s="5" t="n">
        <v>1602.5</v>
      </c>
      <c r="AH688" s="5" t="n">
        <v>2361.9</v>
      </c>
      <c r="AI688" s="5" t="inlineStr">
        <is>
          <t>new</t>
        </is>
      </c>
      <c r="AJ688" s="5" t="inlineStr"/>
      <c r="AK688" s="5" t="inlineStr"/>
      <c r="AL688" s="5" t="inlineStr">
        <is>
          <t>(0.5, 0.5, 0.5)</t>
        </is>
      </c>
      <c r="AM688" s="5" t="inlineStr">
        <is>
          <t>DM-MGB</t>
        </is>
      </c>
    </row>
    <row r="689">
      <c r="A689" s="5" t="n">
        <v>688</v>
      </c>
      <c r="B689" s="5" t="inlineStr">
        <is>
          <t>128</t>
        </is>
      </c>
      <c r="C689" s="5" t="inlineStr">
        <is>
          <t>nearest labels (80% agree)</t>
        </is>
      </c>
      <c r="D689" s="5" t="inlineStr">
        <is>
          <t>grade_beam</t>
        </is>
      </c>
      <c r="E689" s="5" t="inlineStr">
        <is>
          <t>grade_beam</t>
        </is>
      </c>
      <c r="F689" s="5" t="inlineStr">
        <is>
          <t>LG25x40</t>
        </is>
      </c>
      <c r="G689" s="5" t="inlineStr"/>
      <c r="H689" s="5" t="inlineStr">
        <is>
          <t>band width matches label</t>
        </is>
      </c>
      <c r="I689" s="5" t="n">
        <v>243</v>
      </c>
      <c r="J689" s="5" t="n">
        <v>25</v>
      </c>
      <c r="K689" s="9">
        <f>IF(AND(ISNUMBER(I689),ISNUMBER(J689),J689&gt;0),I689/J689,"")</f>
        <v/>
      </c>
      <c r="L689" s="5" t="n">
        <v>0.607</v>
      </c>
      <c r="M689" s="5" t="n">
        <v>2.43</v>
      </c>
      <c r="N689" s="5" t="n">
        <v>116.7</v>
      </c>
      <c r="O689" s="5" t="inlineStr">
        <is>
          <t>parallel line pair</t>
        </is>
      </c>
      <c r="P689" s="5" t="inlineStr">
        <is>
          <t>two parallel lines at the width written in the LG label, empty inside</t>
        </is>
      </c>
      <c r="Q689" s="5">
        <f>IF(OR(D689="column",D689="wall"),IF(I689&lt;='P vs V'!$B$3*J689,"column","wall"),"")</f>
        <v/>
      </c>
      <c r="R689" s="5" t="inlineStr"/>
      <c r="S689" s="5" t="inlineStr"/>
      <c r="T689" s="5" t="n"/>
      <c r="U689" s="5" t="inlineStr">
        <is>
          <t>no</t>
        </is>
      </c>
      <c r="V689" s="5" t="inlineStr">
        <is>
          <t>no</t>
        </is>
      </c>
      <c r="W689" s="5" t="inlineStr">
        <is>
          <t>yes</t>
        </is>
      </c>
      <c r="X689" s="5" t="inlineStr">
        <is>
          <t>no</t>
        </is>
      </c>
      <c r="Y689" s="5" t="inlineStr">
        <is>
          <t>no</t>
        </is>
      </c>
      <c r="Z689" s="5" t="inlineStr">
        <is>
          <t>no</t>
        </is>
      </c>
      <c r="AA689" s="5" t="n">
        <v>2.79</v>
      </c>
      <c r="AB689" s="5" t="n"/>
      <c r="AC689" s="5" t="n"/>
      <c r="AD689" s="5" t="n"/>
      <c r="AE689" s="5" t="n">
        <v>1002.4</v>
      </c>
      <c r="AF689" s="5" t="n">
        <v>2731.2</v>
      </c>
      <c r="AG689" s="5" t="n">
        <v>1041.2</v>
      </c>
      <c r="AH689" s="5" t="n">
        <v>2798.5</v>
      </c>
      <c r="AI689" s="5" t="inlineStr">
        <is>
          <t>n/a</t>
        </is>
      </c>
      <c r="AJ689" s="5" t="inlineStr"/>
      <c r="AK689" s="5" t="inlineStr"/>
      <c r="AL689" s="5" t="inlineStr"/>
      <c r="AM689" s="5" t="inlineStr"/>
    </row>
    <row r="690">
      <c r="A690" s="5" t="n">
        <v>689</v>
      </c>
      <c r="B690" s="5" t="inlineStr">
        <is>
          <t>128</t>
        </is>
      </c>
      <c r="C690" s="5" t="inlineStr">
        <is>
          <t>nearest labels (100% agree)</t>
        </is>
      </c>
      <c r="D690" s="5" t="inlineStr">
        <is>
          <t>grade_beam</t>
        </is>
      </c>
      <c r="E690" s="5" t="inlineStr">
        <is>
          <t>grade_beam</t>
        </is>
      </c>
      <c r="F690" s="5" t="inlineStr">
        <is>
          <t>LG25x40</t>
        </is>
      </c>
      <c r="G690" s="5" t="inlineStr"/>
      <c r="H690" s="5" t="inlineStr">
        <is>
          <t>band width matches label</t>
        </is>
      </c>
      <c r="I690" s="5" t="n">
        <v>144</v>
      </c>
      <c r="J690" s="5" t="n">
        <v>25</v>
      </c>
      <c r="K690" s="9">
        <f>IF(AND(ISNUMBER(I690),ISNUMBER(J690),J690&gt;0),I690/J690,"")</f>
        <v/>
      </c>
      <c r="L690" s="5" t="n">
        <v>0.361</v>
      </c>
      <c r="M690" s="5" t="n">
        <v>1.44</v>
      </c>
      <c r="N690" s="5" t="n">
        <v>51</v>
      </c>
      <c r="O690" s="5" t="inlineStr">
        <is>
          <t>parallel line pair</t>
        </is>
      </c>
      <c r="P690" s="5" t="inlineStr">
        <is>
          <t>two parallel lines at the width written in the LG label, empty inside</t>
        </is>
      </c>
      <c r="Q690" s="5">
        <f>IF(OR(D690="column",D690="wall"),IF(I690&lt;='P vs V'!$B$3*J690,"column","wall"),"")</f>
        <v/>
      </c>
      <c r="R690" s="5" t="inlineStr"/>
      <c r="S690" s="5" t="inlineStr"/>
      <c r="T690" s="5" t="n"/>
      <c r="U690" s="5" t="inlineStr">
        <is>
          <t>no</t>
        </is>
      </c>
      <c r="V690" s="5" t="inlineStr">
        <is>
          <t>no</t>
        </is>
      </c>
      <c r="W690" s="5" t="inlineStr">
        <is>
          <t>no</t>
        </is>
      </c>
      <c r="X690" s="5" t="inlineStr">
        <is>
          <t>no</t>
        </is>
      </c>
      <c r="Y690" s="5" t="inlineStr">
        <is>
          <t>no</t>
        </is>
      </c>
      <c r="Z690" s="5" t="inlineStr">
        <is>
          <t>yes</t>
        </is>
      </c>
      <c r="AA690" s="5" t="n">
        <v>0.79</v>
      </c>
      <c r="AB690" s="5" t="n"/>
      <c r="AC690" s="5" t="n"/>
      <c r="AD690" s="5" t="n"/>
      <c r="AE690" s="5" t="n">
        <v>1271</v>
      </c>
      <c r="AF690" s="5" t="n">
        <v>2472.3</v>
      </c>
      <c r="AG690" s="5" t="n">
        <v>1303.6</v>
      </c>
      <c r="AH690" s="5" t="n">
        <v>2510.1</v>
      </c>
      <c r="AI690" s="5" t="inlineStr">
        <is>
          <t>n/a</t>
        </is>
      </c>
      <c r="AJ690" s="5" t="inlineStr"/>
      <c r="AK690" s="5" t="inlineStr"/>
      <c r="AL690" s="5" t="inlineStr"/>
      <c r="AM690" s="5" t="inlineStr"/>
    </row>
    <row r="691">
      <c r="A691" s="5" t="n">
        <v>690</v>
      </c>
      <c r="B691" s="5" t="inlineStr">
        <is>
          <t>128</t>
        </is>
      </c>
      <c r="C691" s="5" t="inlineStr">
        <is>
          <t>nearest labels (100% agree)</t>
        </is>
      </c>
      <c r="D691" s="5" t="inlineStr">
        <is>
          <t>grade_beam</t>
        </is>
      </c>
      <c r="E691" s="5" t="inlineStr">
        <is>
          <t>grade_beam</t>
        </is>
      </c>
      <c r="F691" s="5" t="inlineStr">
        <is>
          <t>LG25x40</t>
        </is>
      </c>
      <c r="G691" s="5" t="inlineStr"/>
      <c r="H691" s="5" t="inlineStr">
        <is>
          <t>band width matches label</t>
        </is>
      </c>
      <c r="I691" s="5" t="n">
        <v>290</v>
      </c>
      <c r="J691" s="5" t="n">
        <v>25</v>
      </c>
      <c r="K691" s="9">
        <f>IF(AND(ISNUMBER(I691),ISNUMBER(J691),J691&gt;0),I691/J691,"")</f>
        <v/>
      </c>
      <c r="L691" s="5" t="n">
        <v>0.725</v>
      </c>
      <c r="M691" s="5" t="n">
        <v>2.9</v>
      </c>
      <c r="N691" s="5" t="n">
        <v>26.7</v>
      </c>
      <c r="O691" s="5" t="inlineStr">
        <is>
          <t>parallel line pair</t>
        </is>
      </c>
      <c r="P691" s="5" t="inlineStr">
        <is>
          <t>two parallel lines at the width written in the LG label, empty inside</t>
        </is>
      </c>
      <c r="Q691" s="5">
        <f>IF(OR(D691="column",D691="wall"),IF(I691&lt;='P vs V'!$B$3*J691,"column","wall"),"")</f>
        <v/>
      </c>
      <c r="R691" s="5" t="inlineStr"/>
      <c r="S691" s="5" t="inlineStr"/>
      <c r="T691" s="5" t="n"/>
      <c r="U691" s="5" t="inlineStr">
        <is>
          <t>no</t>
        </is>
      </c>
      <c r="V691" s="5" t="inlineStr">
        <is>
          <t>no</t>
        </is>
      </c>
      <c r="W691" s="5" t="inlineStr">
        <is>
          <t>yes</t>
        </is>
      </c>
      <c r="X691" s="5" t="inlineStr">
        <is>
          <t>no</t>
        </is>
      </c>
      <c r="Y691" s="5" t="inlineStr">
        <is>
          <t>no</t>
        </is>
      </c>
      <c r="Z691" s="5" t="inlineStr">
        <is>
          <t>yes</t>
        </is>
      </c>
      <c r="AA691" s="5" t="n">
        <v>1.64</v>
      </c>
      <c r="AB691" s="5" t="n"/>
      <c r="AC691" s="5" t="n"/>
      <c r="AD691" s="5" t="n"/>
      <c r="AE691" s="5" t="n">
        <v>1443.6</v>
      </c>
      <c r="AF691" s="5" t="n">
        <v>2814.8</v>
      </c>
      <c r="AG691" s="5" t="n">
        <v>1523.5</v>
      </c>
      <c r="AH691" s="5" t="n">
        <v>2859.8</v>
      </c>
      <c r="AI691" s="5" t="inlineStr">
        <is>
          <t>n/a</t>
        </is>
      </c>
      <c r="AJ691" s="5" t="inlineStr"/>
      <c r="AK691" s="5" t="inlineStr"/>
      <c r="AL691" s="5" t="inlineStr"/>
      <c r="AM691" s="5" t="inlineStr"/>
    </row>
    <row r="692">
      <c r="A692" s="5" t="n">
        <v>691</v>
      </c>
      <c r="B692" s="5" t="inlineStr">
        <is>
          <t>128</t>
        </is>
      </c>
      <c r="C692" s="5" t="inlineStr">
        <is>
          <t>nearest labels (100% agree)</t>
        </is>
      </c>
      <c r="D692" s="5" t="inlineStr">
        <is>
          <t>grade_beam</t>
        </is>
      </c>
      <c r="E692" s="5" t="inlineStr">
        <is>
          <t>grade_beam</t>
        </is>
      </c>
      <c r="F692" s="5" t="inlineStr">
        <is>
          <t>LG25x40</t>
        </is>
      </c>
      <c r="G692" s="5" t="inlineStr"/>
      <c r="H692" s="5" t="inlineStr">
        <is>
          <t>band width matches label</t>
        </is>
      </c>
      <c r="I692" s="5" t="n">
        <v>171</v>
      </c>
      <c r="J692" s="5" t="n">
        <v>25</v>
      </c>
      <c r="K692" s="9">
        <f>IF(AND(ISNUMBER(I692),ISNUMBER(J692),J692&gt;0),I692/J692,"")</f>
        <v/>
      </c>
      <c r="L692" s="5" t="n">
        <v>0.427</v>
      </c>
      <c r="M692" s="5" t="n">
        <v>1.71</v>
      </c>
      <c r="N692" s="5" t="n">
        <v>116.7</v>
      </c>
      <c r="O692" s="5" t="inlineStr">
        <is>
          <t>parallel line pair</t>
        </is>
      </c>
      <c r="P692" s="5" t="inlineStr">
        <is>
          <t>two parallel lines at the width written in the LG label, empty inside</t>
        </is>
      </c>
      <c r="Q692" s="5">
        <f>IF(OR(D692="column",D692="wall"),IF(I692&lt;='P vs V'!$B$3*J692,"column","wall"),"")</f>
        <v/>
      </c>
      <c r="R692" s="5" t="inlineStr"/>
      <c r="S692" s="5" t="inlineStr"/>
      <c r="T692" s="5" t="n"/>
      <c r="U692" s="5" t="inlineStr">
        <is>
          <t>no</t>
        </is>
      </c>
      <c r="V692" s="5" t="inlineStr">
        <is>
          <t>no</t>
        </is>
      </c>
      <c r="W692" s="5" t="inlineStr">
        <is>
          <t>yes</t>
        </is>
      </c>
      <c r="X692" s="5" t="inlineStr">
        <is>
          <t>no</t>
        </is>
      </c>
      <c r="Y692" s="5" t="inlineStr">
        <is>
          <t>no</t>
        </is>
      </c>
      <c r="Z692" s="5" t="inlineStr">
        <is>
          <t>yes</t>
        </is>
      </c>
      <c r="AA692" s="5" t="n">
        <v>0.47</v>
      </c>
      <c r="AB692" s="5" t="n"/>
      <c r="AC692" s="5" t="n"/>
      <c r="AD692" s="5" t="n"/>
      <c r="AE692" s="5" t="n">
        <v>1449.5</v>
      </c>
      <c r="AF692" s="5" t="n">
        <v>2764.7</v>
      </c>
      <c r="AG692" s="5" t="n">
        <v>1478.7</v>
      </c>
      <c r="AH692" s="5" t="n">
        <v>2813</v>
      </c>
      <c r="AI692" s="5" t="inlineStr">
        <is>
          <t>n/a</t>
        </is>
      </c>
      <c r="AJ692" s="5" t="inlineStr"/>
      <c r="AK692" s="5" t="inlineStr"/>
      <c r="AL692" s="5" t="inlineStr"/>
      <c r="AM692" s="5" t="inlineStr"/>
    </row>
    <row r="693">
      <c r="A693" s="5" t="n">
        <v>692</v>
      </c>
      <c r="B693" s="5" t="inlineStr">
        <is>
          <t>128</t>
        </is>
      </c>
      <c r="C693" s="5" t="inlineStr">
        <is>
          <t>nearest labels (100% agree)</t>
        </is>
      </c>
      <c r="D693" s="5" t="inlineStr">
        <is>
          <t>grade_beam</t>
        </is>
      </c>
      <c r="E693" s="5" t="inlineStr">
        <is>
          <t>grade_beam</t>
        </is>
      </c>
      <c r="F693" s="5" t="inlineStr">
        <is>
          <t>LG25x40</t>
        </is>
      </c>
      <c r="G693" s="5" t="inlineStr"/>
      <c r="H693" s="5" t="inlineStr">
        <is>
          <t>band width matches label</t>
        </is>
      </c>
      <c r="I693" s="5" t="n">
        <v>170</v>
      </c>
      <c r="J693" s="5" t="n">
        <v>25</v>
      </c>
      <c r="K693" s="9">
        <f>IF(AND(ISNUMBER(I693),ISNUMBER(J693),J693&gt;0),I693/J693,"")</f>
        <v/>
      </c>
      <c r="L693" s="5" t="n">
        <v>0.426</v>
      </c>
      <c r="M693" s="5" t="n">
        <v>1.7</v>
      </c>
      <c r="N693" s="5" t="n">
        <v>116.6</v>
      </c>
      <c r="O693" s="5" t="inlineStr">
        <is>
          <t>parallel line pair</t>
        </is>
      </c>
      <c r="P693" s="5" t="inlineStr">
        <is>
          <t>two parallel lines at the width written in the LG label, empty inside</t>
        </is>
      </c>
      <c r="Q693" s="5">
        <f>IF(OR(D693="column",D693="wall"),IF(I693&lt;='P vs V'!$B$3*J693,"column","wall"),"")</f>
        <v/>
      </c>
      <c r="R693" s="5" t="inlineStr"/>
      <c r="S693" s="5" t="inlineStr"/>
      <c r="T693" s="5" t="n"/>
      <c r="U693" s="5" t="inlineStr">
        <is>
          <t>no</t>
        </is>
      </c>
      <c r="V693" s="5" t="inlineStr">
        <is>
          <t>no</t>
        </is>
      </c>
      <c r="W693" s="5" t="inlineStr">
        <is>
          <t>yes</t>
        </is>
      </c>
      <c r="X693" s="5" t="inlineStr">
        <is>
          <t>no</t>
        </is>
      </c>
      <c r="Y693" s="5" t="inlineStr">
        <is>
          <t>no</t>
        </is>
      </c>
      <c r="Z693" s="5" t="inlineStr">
        <is>
          <t>yes</t>
        </is>
      </c>
      <c r="AA693" s="5" t="n">
        <v>0.47</v>
      </c>
      <c r="AB693" s="5" t="n"/>
      <c r="AC693" s="5" t="n"/>
      <c r="AD693" s="5" t="n"/>
      <c r="AE693" s="5" t="n">
        <v>1519.5</v>
      </c>
      <c r="AF693" s="5" t="n">
        <v>2799.8</v>
      </c>
      <c r="AG693" s="5" t="n">
        <v>1548.6</v>
      </c>
      <c r="AH693" s="5" t="n">
        <v>2848.1</v>
      </c>
      <c r="AI693" s="5" t="inlineStr">
        <is>
          <t>n/a</t>
        </is>
      </c>
      <c r="AJ693" s="5" t="inlineStr"/>
      <c r="AK693" s="5" t="inlineStr"/>
      <c r="AL693" s="5" t="inlineStr"/>
      <c r="AM693" s="5" t="inlineStr"/>
    </row>
    <row r="694">
      <c r="A694" s="5" t="n">
        <v>693</v>
      </c>
      <c r="B694" s="5" t="inlineStr">
        <is>
          <t>128</t>
        </is>
      </c>
      <c r="C694" s="5" t="inlineStr">
        <is>
          <t>nearest labels (100% agree)</t>
        </is>
      </c>
      <c r="D694" s="5" t="inlineStr">
        <is>
          <t>grade_beam</t>
        </is>
      </c>
      <c r="E694" s="5" t="inlineStr">
        <is>
          <t>grade_beam</t>
        </is>
      </c>
      <c r="F694" s="5" t="inlineStr">
        <is>
          <t>LG25x40</t>
        </is>
      </c>
      <c r="G694" s="5" t="inlineStr"/>
      <c r="H694" s="5" t="inlineStr">
        <is>
          <t>band width matches label</t>
        </is>
      </c>
      <c r="I694" s="5" t="n">
        <v>87</v>
      </c>
      <c r="J694" s="5" t="n">
        <v>25</v>
      </c>
      <c r="K694" s="9">
        <f>IF(AND(ISNUMBER(I694),ISNUMBER(J694),J694&gt;0),I694/J694,"")</f>
        <v/>
      </c>
      <c r="L694" s="5" t="n">
        <v>0.218</v>
      </c>
      <c r="M694" s="5" t="n">
        <v>0.87</v>
      </c>
      <c r="N694" s="5" t="n">
        <v>116.6</v>
      </c>
      <c r="O694" s="5" t="inlineStr">
        <is>
          <t>parallel line pair</t>
        </is>
      </c>
      <c r="P694" s="5" t="inlineStr">
        <is>
          <t>two parallel lines at the width written in the LG label, empty inside</t>
        </is>
      </c>
      <c r="Q694" s="5">
        <f>IF(OR(D694="column",D694="wall"),IF(I694&lt;='P vs V'!$B$3*J694,"column","wall"),"")</f>
        <v/>
      </c>
      <c r="R694" s="5" t="inlineStr"/>
      <c r="S694" s="5" t="inlineStr"/>
      <c r="T694" s="5" t="n"/>
      <c r="U694" s="5" t="inlineStr">
        <is>
          <t>yes</t>
        </is>
      </c>
      <c r="V694" s="5" t="inlineStr">
        <is>
          <t>no</t>
        </is>
      </c>
      <c r="W694" s="5" t="inlineStr">
        <is>
          <t>yes</t>
        </is>
      </c>
      <c r="X694" s="5" t="inlineStr">
        <is>
          <t>no</t>
        </is>
      </c>
      <c r="Y694" s="5" t="inlineStr">
        <is>
          <t>no</t>
        </is>
      </c>
      <c r="Z694" s="5" t="inlineStr">
        <is>
          <t>no</t>
        </is>
      </c>
      <c r="AA694" s="5" t="n">
        <v>1.36</v>
      </c>
      <c r="AB694" s="5" t="n"/>
      <c r="AC694" s="5" t="n"/>
      <c r="AD694" s="5" t="n"/>
      <c r="AE694" s="5" t="n">
        <v>1409.8</v>
      </c>
      <c r="AF694" s="5" t="n">
        <v>2692.7</v>
      </c>
      <c r="AG694" s="5" t="n">
        <v>1427.9</v>
      </c>
      <c r="AH694" s="5" t="n">
        <v>2719</v>
      </c>
      <c r="AI694" s="5" t="inlineStr">
        <is>
          <t>n/a</t>
        </is>
      </c>
      <c r="AJ694" s="5" t="inlineStr"/>
      <c r="AK694" s="5" t="inlineStr"/>
      <c r="AL694" s="5" t="inlineStr"/>
      <c r="AM694" s="5" t="inlineStr"/>
    </row>
    <row r="695">
      <c r="A695" s="5" t="n">
        <v>694</v>
      </c>
      <c r="B695" s="5" t="inlineStr">
        <is>
          <t>128</t>
        </is>
      </c>
      <c r="C695" s="5" t="inlineStr">
        <is>
          <t>nearest labels (60% agree)</t>
        </is>
      </c>
      <c r="D695" s="5" t="inlineStr">
        <is>
          <t>grade_beam</t>
        </is>
      </c>
      <c r="E695" s="5" t="inlineStr">
        <is>
          <t>grade_beam</t>
        </is>
      </c>
      <c r="F695" s="5" t="inlineStr">
        <is>
          <t>LG40x15</t>
        </is>
      </c>
      <c r="G695" s="5" t="inlineStr"/>
      <c r="H695" s="5" t="inlineStr">
        <is>
          <t>band width matches label</t>
        </is>
      </c>
      <c r="I695" s="5" t="n">
        <v>268</v>
      </c>
      <c r="J695" s="5" t="n">
        <v>40</v>
      </c>
      <c r="K695" s="9">
        <f>IF(AND(ISNUMBER(I695),ISNUMBER(J695),J695&gt;0),I695/J695,"")</f>
        <v/>
      </c>
      <c r="L695" s="5" t="n">
        <v>1.073</v>
      </c>
      <c r="M695" s="5" t="n">
        <v>2.68</v>
      </c>
      <c r="N695" s="5" t="n">
        <v>116.6</v>
      </c>
      <c r="O695" s="5" t="inlineStr">
        <is>
          <t>parallel line pair</t>
        </is>
      </c>
      <c r="P695" s="5" t="inlineStr">
        <is>
          <t>two parallel lines at the width written in the LG label, empty inside</t>
        </is>
      </c>
      <c r="Q695" s="5">
        <f>IF(OR(D695="column",D695="wall"),IF(I695&lt;='P vs V'!$B$3*J695,"column","wall"),"")</f>
        <v/>
      </c>
      <c r="R695" s="5" t="inlineStr"/>
      <c r="S695" s="5" t="inlineStr"/>
      <c r="T695" s="5" t="n"/>
      <c r="U695" s="5" t="inlineStr">
        <is>
          <t>no</t>
        </is>
      </c>
      <c r="V695" s="5" t="inlineStr">
        <is>
          <t>no</t>
        </is>
      </c>
      <c r="W695" s="5" t="inlineStr">
        <is>
          <t>yes</t>
        </is>
      </c>
      <c r="X695" s="5" t="inlineStr">
        <is>
          <t>no</t>
        </is>
      </c>
      <c r="Y695" s="5" t="inlineStr">
        <is>
          <t>no</t>
        </is>
      </c>
      <c r="Z695" s="5" t="inlineStr">
        <is>
          <t>no</t>
        </is>
      </c>
      <c r="AA695" s="5" t="n">
        <v>3.66</v>
      </c>
      <c r="AB695" s="5" t="n"/>
      <c r="AC695" s="5" t="n"/>
      <c r="AD695" s="5" t="n"/>
      <c r="AE695" s="5" t="n">
        <v>1984.1</v>
      </c>
      <c r="AF695" s="5" t="n">
        <v>2418.7</v>
      </c>
      <c r="AG695" s="5" t="n">
        <v>2030.1</v>
      </c>
      <c r="AH695" s="5" t="n">
        <v>2494.7</v>
      </c>
      <c r="AI695" s="5" t="inlineStr">
        <is>
          <t>n/a</t>
        </is>
      </c>
      <c r="AJ695" s="5" t="inlineStr"/>
      <c r="AK695" s="5" t="inlineStr"/>
      <c r="AL695" s="5" t="inlineStr"/>
      <c r="AM695" s="5" t="inlineStr"/>
    </row>
    <row r="696">
      <c r="A696" s="5" t="n">
        <v>695</v>
      </c>
      <c r="B696" s="5" t="inlineStr">
        <is>
          <t>128</t>
        </is>
      </c>
      <c r="C696" s="5" t="inlineStr">
        <is>
          <t>nearest labels (60% agree)</t>
        </is>
      </c>
      <c r="D696" s="5" t="inlineStr">
        <is>
          <t>grade_beam</t>
        </is>
      </c>
      <c r="E696" s="5" t="inlineStr">
        <is>
          <t>grade_beam</t>
        </is>
      </c>
      <c r="F696" s="5" t="inlineStr">
        <is>
          <t>LG40x15</t>
        </is>
      </c>
      <c r="G696" s="5" t="inlineStr"/>
      <c r="H696" s="5" t="inlineStr">
        <is>
          <t>band width matches label</t>
        </is>
      </c>
      <c r="I696" s="5" t="n">
        <v>412</v>
      </c>
      <c r="J696" s="5" t="n">
        <v>40</v>
      </c>
      <c r="K696" s="9">
        <f>IF(AND(ISNUMBER(I696),ISNUMBER(J696),J696&gt;0),I696/J696,"")</f>
        <v/>
      </c>
      <c r="L696" s="5" t="n">
        <v>1.65</v>
      </c>
      <c r="M696" s="5" t="n">
        <v>4.12</v>
      </c>
      <c r="N696" s="5" t="n">
        <v>116.6</v>
      </c>
      <c r="O696" s="5" t="inlineStr">
        <is>
          <t>parallel line pair</t>
        </is>
      </c>
      <c r="P696" s="5" t="inlineStr">
        <is>
          <t>two parallel lines at the width written in the LG label, empty inside</t>
        </is>
      </c>
      <c r="Q696" s="5">
        <f>IF(OR(D696="column",D696="wall"),IF(I696&lt;='P vs V'!$B$3*J696,"column","wall"),"")</f>
        <v/>
      </c>
      <c r="R696" s="5" t="inlineStr"/>
      <c r="S696" s="5" t="inlineStr"/>
      <c r="T696" s="5" t="n"/>
      <c r="U696" s="5" t="inlineStr">
        <is>
          <t>no</t>
        </is>
      </c>
      <c r="V696" s="5" t="inlineStr">
        <is>
          <t>no</t>
        </is>
      </c>
      <c r="W696" s="5" t="inlineStr">
        <is>
          <t>yes</t>
        </is>
      </c>
      <c r="X696" s="5" t="inlineStr">
        <is>
          <t>no</t>
        </is>
      </c>
      <c r="Y696" s="5" t="inlineStr">
        <is>
          <t>no</t>
        </is>
      </c>
      <c r="Z696" s="5" t="inlineStr">
        <is>
          <t>no</t>
        </is>
      </c>
      <c r="AA696" s="5" t="n">
        <v>3.03</v>
      </c>
      <c r="AB696" s="5" t="n"/>
      <c r="AC696" s="5" t="n"/>
      <c r="AD696" s="5" t="n"/>
      <c r="AE696" s="5" t="n">
        <v>1778.6</v>
      </c>
      <c r="AF696" s="5" t="n">
        <v>2790.2</v>
      </c>
      <c r="AG696" s="5" t="n">
        <v>1843.8</v>
      </c>
      <c r="AH696" s="5" t="n">
        <v>2904.4</v>
      </c>
      <c r="AI696" s="5" t="inlineStr">
        <is>
          <t>n/a</t>
        </is>
      </c>
      <c r="AJ696" s="5" t="inlineStr"/>
      <c r="AK696" s="5" t="inlineStr"/>
      <c r="AL696" s="5" t="inlineStr"/>
      <c r="AM696" s="5" t="inlineStr"/>
    </row>
    <row r="697">
      <c r="A697" s="5" t="n">
        <v>696</v>
      </c>
      <c r="B697" s="5" t="inlineStr">
        <is>
          <t>128</t>
        </is>
      </c>
      <c r="C697" s="5" t="inlineStr">
        <is>
          <t>nearest labels (60% agree)</t>
        </is>
      </c>
      <c r="D697" s="5" t="inlineStr">
        <is>
          <t>grade_beam</t>
        </is>
      </c>
      <c r="E697" s="5" t="inlineStr">
        <is>
          <t>grade_beam</t>
        </is>
      </c>
      <c r="F697" s="5" t="inlineStr">
        <is>
          <t>LG40x15</t>
        </is>
      </c>
      <c r="G697" s="5" t="inlineStr"/>
      <c r="H697" s="5" t="inlineStr">
        <is>
          <t>band width matches label</t>
        </is>
      </c>
      <c r="I697" s="5" t="n">
        <v>267</v>
      </c>
      <c r="J697" s="5" t="n">
        <v>40</v>
      </c>
      <c r="K697" s="9">
        <f>IF(AND(ISNUMBER(I697),ISNUMBER(J697),J697&gt;0),I697/J697,"")</f>
        <v/>
      </c>
      <c r="L697" s="5" t="n">
        <v>1.066</v>
      </c>
      <c r="M697" s="5" t="n">
        <v>2.67</v>
      </c>
      <c r="N697" s="5" t="n">
        <v>116.6</v>
      </c>
      <c r="O697" s="5" t="inlineStr">
        <is>
          <t>parallel line pair</t>
        </is>
      </c>
      <c r="P697" s="5" t="inlineStr">
        <is>
          <t>two parallel lines at the width written in the LG label, empty inside</t>
        </is>
      </c>
      <c r="Q697" s="5">
        <f>IF(OR(D697="column",D697="wall"),IF(I697&lt;='P vs V'!$B$3*J697,"column","wall"),"")</f>
        <v/>
      </c>
      <c r="R697" s="5" t="inlineStr"/>
      <c r="S697" s="5" t="inlineStr"/>
      <c r="T697" s="5" t="n"/>
      <c r="U697" s="5" t="inlineStr">
        <is>
          <t>no</t>
        </is>
      </c>
      <c r="V697" s="5" t="inlineStr">
        <is>
          <t>no</t>
        </is>
      </c>
      <c r="W697" s="5" t="inlineStr">
        <is>
          <t>yes</t>
        </is>
      </c>
      <c r="X697" s="5" t="inlineStr">
        <is>
          <t>no</t>
        </is>
      </c>
      <c r="Y697" s="5" t="inlineStr">
        <is>
          <t>no</t>
        </is>
      </c>
      <c r="Z697" s="5" t="inlineStr">
        <is>
          <t>no</t>
        </is>
      </c>
      <c r="AA697" s="5" t="n">
        <v>4.16</v>
      </c>
      <c r="AB697" s="5" t="n"/>
      <c r="AC697" s="5" t="n"/>
      <c r="AD697" s="5" t="n"/>
      <c r="AE697" s="5" t="n">
        <v>1970.9</v>
      </c>
      <c r="AF697" s="5" t="n">
        <v>2412.5</v>
      </c>
      <c r="AG697" s="5" t="n">
        <v>2016.8</v>
      </c>
      <c r="AH697" s="5" t="n">
        <v>2488.1</v>
      </c>
      <c r="AI697" s="5" t="inlineStr">
        <is>
          <t>n/a</t>
        </is>
      </c>
      <c r="AJ697" s="5" t="inlineStr"/>
      <c r="AK697" s="5" t="inlineStr"/>
      <c r="AL697" s="5" t="inlineStr"/>
      <c r="AM697" s="5" t="inlineStr"/>
    </row>
    <row r="698">
      <c r="A698" s="5" t="n">
        <v>697</v>
      </c>
      <c r="B698" s="5" t="inlineStr">
        <is>
          <t>128</t>
        </is>
      </c>
      <c r="C698" s="5" t="inlineStr">
        <is>
          <t>nearest labels (60% agree)</t>
        </is>
      </c>
      <c r="D698" s="5" t="inlineStr">
        <is>
          <t>grade_beam</t>
        </is>
      </c>
      <c r="E698" s="5" t="inlineStr">
        <is>
          <t>grade_beam</t>
        </is>
      </c>
      <c r="F698" s="5" t="inlineStr">
        <is>
          <t>LG40x15</t>
        </is>
      </c>
      <c r="G698" s="5" t="inlineStr"/>
      <c r="H698" s="5" t="inlineStr">
        <is>
          <t>band width matches label</t>
        </is>
      </c>
      <c r="I698" s="5" t="n">
        <v>412</v>
      </c>
      <c r="J698" s="5" t="n">
        <v>40</v>
      </c>
      <c r="K698" s="9">
        <f>IF(AND(ISNUMBER(I698),ISNUMBER(J698),J698&gt;0),I698/J698,"")</f>
        <v/>
      </c>
      <c r="L698" s="5" t="n">
        <v>1.65</v>
      </c>
      <c r="M698" s="5" t="n">
        <v>4.12</v>
      </c>
      <c r="N698" s="5" t="n">
        <v>116.6</v>
      </c>
      <c r="O698" s="5" t="inlineStr">
        <is>
          <t>parallel line pair</t>
        </is>
      </c>
      <c r="P698" s="5" t="inlineStr">
        <is>
          <t>two parallel lines at the width written in the LG label, empty inside</t>
        </is>
      </c>
      <c r="Q698" s="5">
        <f>IF(OR(D698="column",D698="wall"),IF(I698&lt;='P vs V'!$B$3*J698,"column","wall"),"")</f>
        <v/>
      </c>
      <c r="R698" s="5" t="inlineStr"/>
      <c r="S698" s="5" t="inlineStr"/>
      <c r="T698" s="5" t="n"/>
      <c r="U698" s="5" t="inlineStr">
        <is>
          <t>no</t>
        </is>
      </c>
      <c r="V698" s="5" t="inlineStr">
        <is>
          <t>no</t>
        </is>
      </c>
      <c r="W698" s="5" t="inlineStr">
        <is>
          <t>yes</t>
        </is>
      </c>
      <c r="X698" s="5" t="inlineStr">
        <is>
          <t>no</t>
        </is>
      </c>
      <c r="Y698" s="5" t="inlineStr">
        <is>
          <t>no</t>
        </is>
      </c>
      <c r="Z698" s="5" t="inlineStr">
        <is>
          <t>no</t>
        </is>
      </c>
      <c r="AA698" s="5" t="n">
        <v>3.03</v>
      </c>
      <c r="AB698" s="5" t="n"/>
      <c r="AC698" s="5" t="n"/>
      <c r="AD698" s="5" t="n"/>
      <c r="AE698" s="5" t="n">
        <v>1765.4</v>
      </c>
      <c r="AF698" s="5" t="n">
        <v>2783.6</v>
      </c>
      <c r="AG698" s="5" t="n">
        <v>1830.6</v>
      </c>
      <c r="AH698" s="5" t="n">
        <v>2897.8</v>
      </c>
      <c r="AI698" s="5" t="inlineStr">
        <is>
          <t>n/a</t>
        </is>
      </c>
      <c r="AJ698" s="5" t="inlineStr"/>
      <c r="AK698" s="5" t="inlineStr"/>
      <c r="AL698" s="5" t="inlineStr"/>
      <c r="AM698" s="5" t="inlineStr"/>
    </row>
    <row r="699">
      <c r="A699" s="5" t="n">
        <v>698</v>
      </c>
      <c r="B699" s="5" t="inlineStr">
        <is>
          <t>128</t>
        </is>
      </c>
      <c r="C699" s="5" t="inlineStr">
        <is>
          <t>nearest labels (40% agree)</t>
        </is>
      </c>
      <c r="D699" s="5" t="inlineStr">
        <is>
          <t>grade_beam</t>
        </is>
      </c>
      <c r="E699" s="5" t="inlineStr">
        <is>
          <t>grade_beam</t>
        </is>
      </c>
      <c r="F699" s="5" t="inlineStr">
        <is>
          <t>LG40x15</t>
        </is>
      </c>
      <c r="G699" s="5" t="inlineStr"/>
      <c r="H699" s="5" t="inlineStr">
        <is>
          <t>band width matches label</t>
        </is>
      </c>
      <c r="I699" s="5" t="n">
        <v>369</v>
      </c>
      <c r="J699" s="5" t="n">
        <v>40</v>
      </c>
      <c r="K699" s="9">
        <f>IF(AND(ISNUMBER(I699),ISNUMBER(J699),J699&gt;0),I699/J699,"")</f>
        <v/>
      </c>
      <c r="L699" s="5" t="n">
        <v>1.475</v>
      </c>
      <c r="M699" s="5" t="n">
        <v>3.69</v>
      </c>
      <c r="N699" s="5" t="n">
        <v>165.2</v>
      </c>
      <c r="O699" s="5" t="inlineStr">
        <is>
          <t>parallel line pair</t>
        </is>
      </c>
      <c r="P699" s="5" t="inlineStr">
        <is>
          <t>two parallel lines at the width written in the LG label, empty inside</t>
        </is>
      </c>
      <c r="Q699" s="5">
        <f>IF(OR(D699="column",D699="wall"),IF(I699&lt;='P vs V'!$B$3*J699,"column","wall"),"")</f>
        <v/>
      </c>
      <c r="R699" s="5" t="inlineStr"/>
      <c r="S699" s="5" t="inlineStr"/>
      <c r="T699" s="5" t="n"/>
      <c r="U699" s="5" t="inlineStr">
        <is>
          <t>no</t>
        </is>
      </c>
      <c r="V699" s="5" t="inlineStr">
        <is>
          <t>no</t>
        </is>
      </c>
      <c r="W699" s="5" t="inlineStr">
        <is>
          <t>no</t>
        </is>
      </c>
      <c r="X699" s="5" t="inlineStr">
        <is>
          <t>no</t>
        </is>
      </c>
      <c r="Y699" s="5" t="inlineStr">
        <is>
          <t>no</t>
        </is>
      </c>
      <c r="Z699" s="5" t="inlineStr">
        <is>
          <t>no</t>
        </is>
      </c>
      <c r="AA699" s="5" t="n">
        <v>4.34</v>
      </c>
      <c r="AB699" s="5" t="n"/>
      <c r="AC699" s="5" t="n"/>
      <c r="AD699" s="5" t="n"/>
      <c r="AE699" s="5" t="n">
        <v>1120.9</v>
      </c>
      <c r="AF699" s="5" t="n">
        <v>1748.2</v>
      </c>
      <c r="AG699" s="5" t="n">
        <v>1229.2</v>
      </c>
      <c r="AH699" s="5" t="n">
        <v>1787.4</v>
      </c>
      <c r="AI699" s="5" t="inlineStr">
        <is>
          <t>n/a</t>
        </is>
      </c>
      <c r="AJ699" s="5" t="inlineStr"/>
      <c r="AK699" s="5" t="inlineStr"/>
      <c r="AL699" s="5" t="inlineStr"/>
      <c r="AM699" s="5" t="inlineStr"/>
    </row>
    <row r="700">
      <c r="A700" s="5" t="n">
        <v>699</v>
      </c>
      <c r="B700" s="5" t="inlineStr">
        <is>
          <t>128</t>
        </is>
      </c>
      <c r="C700" s="5" t="inlineStr">
        <is>
          <t>nearest labels (100% agree)</t>
        </is>
      </c>
      <c r="D700" s="5" t="inlineStr">
        <is>
          <t>grade_beam</t>
        </is>
      </c>
      <c r="E700" s="5" t="inlineStr">
        <is>
          <t>grade_beam</t>
        </is>
      </c>
      <c r="F700" s="5" t="inlineStr">
        <is>
          <t>LG40x15</t>
        </is>
      </c>
      <c r="G700" s="5" t="inlineStr"/>
      <c r="H700" s="5" t="inlineStr">
        <is>
          <t>band width matches label</t>
        </is>
      </c>
      <c r="I700" s="5" t="n">
        <v>492</v>
      </c>
      <c r="J700" s="5" t="n">
        <v>40</v>
      </c>
      <c r="K700" s="9">
        <f>IF(AND(ISNUMBER(I700),ISNUMBER(J700),J700&gt;0),I700/J700,"")</f>
        <v/>
      </c>
      <c r="L700" s="5" t="n">
        <v>1.968</v>
      </c>
      <c r="M700" s="5" t="n">
        <v>4.92</v>
      </c>
      <c r="N700" s="5" t="n">
        <v>26.6</v>
      </c>
      <c r="O700" s="5" t="inlineStr">
        <is>
          <t>parallel line pair</t>
        </is>
      </c>
      <c r="P700" s="5" t="inlineStr">
        <is>
          <t>two parallel lines at the width written in the LG label, empty inside</t>
        </is>
      </c>
      <c r="Q700" s="5">
        <f>IF(OR(D700="column",D700="wall"),IF(I700&lt;='P vs V'!$B$3*J700,"column","wall"),"")</f>
        <v/>
      </c>
      <c r="R700" s="5" t="inlineStr"/>
      <c r="S700" s="5" t="inlineStr"/>
      <c r="T700" s="5" t="n"/>
      <c r="U700" s="5" t="inlineStr">
        <is>
          <t>no</t>
        </is>
      </c>
      <c r="V700" s="5" t="inlineStr">
        <is>
          <t>no</t>
        </is>
      </c>
      <c r="W700" s="5" t="inlineStr">
        <is>
          <t>no</t>
        </is>
      </c>
      <c r="X700" s="5" t="inlineStr">
        <is>
          <t>no</t>
        </is>
      </c>
      <c r="Y700" s="5" t="inlineStr">
        <is>
          <t>no</t>
        </is>
      </c>
      <c r="Z700" s="5" t="inlineStr">
        <is>
          <t>no</t>
        </is>
      </c>
      <c r="AA700" s="5" t="n">
        <v>1.74</v>
      </c>
      <c r="AB700" s="5" t="n"/>
      <c r="AC700" s="5" t="n"/>
      <c r="AD700" s="5" t="n"/>
      <c r="AE700" s="5" t="n">
        <v>1450.2</v>
      </c>
      <c r="AF700" s="5" t="n">
        <v>2275.6</v>
      </c>
      <c r="AG700" s="5" t="n">
        <v>1585.3</v>
      </c>
      <c r="AH700" s="5" t="n">
        <v>2351.3</v>
      </c>
      <c r="AI700" s="5" t="inlineStr">
        <is>
          <t>n/a</t>
        </is>
      </c>
      <c r="AJ700" s="5" t="inlineStr"/>
      <c r="AK700" s="5" t="inlineStr"/>
      <c r="AL700" s="5" t="inlineStr"/>
      <c r="AM700" s="5" t="inlineStr"/>
    </row>
    <row r="701">
      <c r="A701" s="5" t="n">
        <v>700</v>
      </c>
      <c r="B701" s="5" t="inlineStr">
        <is>
          <t>128</t>
        </is>
      </c>
      <c r="C701" s="5" t="inlineStr">
        <is>
          <t>nearest labels (100% agree)</t>
        </is>
      </c>
      <c r="D701" s="5" t="inlineStr">
        <is>
          <t>grade_beam</t>
        </is>
      </c>
      <c r="E701" s="5" t="inlineStr">
        <is>
          <t>grade_beam</t>
        </is>
      </c>
      <c r="F701" s="5" t="inlineStr">
        <is>
          <t>LG40x15</t>
        </is>
      </c>
      <c r="G701" s="5" t="inlineStr"/>
      <c r="H701" s="5" t="inlineStr">
        <is>
          <t>band width matches label</t>
        </is>
      </c>
      <c r="I701" s="5" t="n">
        <v>474</v>
      </c>
      <c r="J701" s="5" t="n">
        <v>40</v>
      </c>
      <c r="K701" s="9">
        <f>IF(AND(ISNUMBER(I701),ISNUMBER(J701),J701&gt;0),I701/J701,"")</f>
        <v/>
      </c>
      <c r="L701" s="5" t="n">
        <v>1.897</v>
      </c>
      <c r="M701" s="5" t="n">
        <v>4.74</v>
      </c>
      <c r="N701" s="5" t="n">
        <v>26.6</v>
      </c>
      <c r="O701" s="5" t="inlineStr">
        <is>
          <t>parallel line pair</t>
        </is>
      </c>
      <c r="P701" s="5" t="inlineStr">
        <is>
          <t>two parallel lines at the width written in the LG label, empty inside</t>
        </is>
      </c>
      <c r="Q701" s="5">
        <f>IF(OR(D701="column",D701="wall"),IF(I701&lt;='P vs V'!$B$3*J701,"column","wall"),"")</f>
        <v/>
      </c>
      <c r="R701" s="5" t="inlineStr"/>
      <c r="S701" s="5" t="inlineStr"/>
      <c r="T701" s="5" t="n"/>
      <c r="U701" s="5" t="inlineStr">
        <is>
          <t>no</t>
        </is>
      </c>
      <c r="V701" s="5" t="inlineStr">
        <is>
          <t>no</t>
        </is>
      </c>
      <c r="W701" s="5" t="inlineStr">
        <is>
          <t>no</t>
        </is>
      </c>
      <c r="X701" s="5" t="inlineStr">
        <is>
          <t>no</t>
        </is>
      </c>
      <c r="Y701" s="5" t="inlineStr">
        <is>
          <t>no</t>
        </is>
      </c>
      <c r="Z701" s="5" t="inlineStr">
        <is>
          <t>no</t>
        </is>
      </c>
      <c r="AA701" s="5" t="n">
        <v>2.27</v>
      </c>
      <c r="AB701" s="5" t="n"/>
      <c r="AC701" s="5" t="n"/>
      <c r="AD701" s="5" t="n"/>
      <c r="AE701" s="5" t="n">
        <v>1595.9</v>
      </c>
      <c r="AF701" s="5" t="n">
        <v>2348.7</v>
      </c>
      <c r="AG701" s="5" t="n">
        <v>1726.4</v>
      </c>
      <c r="AH701" s="5" t="n">
        <v>2422</v>
      </c>
      <c r="AI701" s="5" t="inlineStr">
        <is>
          <t>n/a</t>
        </is>
      </c>
      <c r="AJ701" s="5" t="inlineStr"/>
      <c r="AK701" s="5" t="inlineStr"/>
      <c r="AL701" s="5" t="inlineStr"/>
      <c r="AM701" s="5" t="inlineStr"/>
    </row>
    <row r="702">
      <c r="A702" s="5" t="n">
        <v>701</v>
      </c>
      <c r="B702" s="5" t="inlineStr">
        <is>
          <t>128</t>
        </is>
      </c>
      <c r="C702" s="5" t="inlineStr">
        <is>
          <t>nearest labels (80% agree)</t>
        </is>
      </c>
      <c r="D702" s="5" t="inlineStr">
        <is>
          <t>grade_beam</t>
        </is>
      </c>
      <c r="E702" s="5" t="inlineStr">
        <is>
          <t>grade_beam</t>
        </is>
      </c>
      <c r="F702" s="5" t="inlineStr">
        <is>
          <t>LG40x15</t>
        </is>
      </c>
      <c r="G702" s="5" t="inlineStr"/>
      <c r="H702" s="5" t="inlineStr">
        <is>
          <t>band width matches label</t>
        </is>
      </c>
      <c r="I702" s="5" t="n">
        <v>594</v>
      </c>
      <c r="J702" s="5" t="n">
        <v>40</v>
      </c>
      <c r="K702" s="9">
        <f>IF(AND(ISNUMBER(I702),ISNUMBER(J702),J702&gt;0),I702/J702,"")</f>
        <v/>
      </c>
      <c r="L702" s="5" t="n">
        <v>2.375</v>
      </c>
      <c r="M702" s="5" t="n">
        <v>5.94</v>
      </c>
      <c r="N702" s="5" t="n">
        <v>26.6</v>
      </c>
      <c r="O702" s="5" t="inlineStr">
        <is>
          <t>parallel line pair</t>
        </is>
      </c>
      <c r="P702" s="5" t="inlineStr">
        <is>
          <t>two parallel lines at the width written in the LG label, empty inside</t>
        </is>
      </c>
      <c r="Q702" s="5">
        <f>IF(OR(D702="column",D702="wall"),IF(I702&lt;='P vs V'!$B$3*J702,"column","wall"),"")</f>
        <v/>
      </c>
      <c r="R702" s="5" t="inlineStr"/>
      <c r="S702" s="5" t="inlineStr"/>
      <c r="T702" s="5" t="n"/>
      <c r="U702" s="5" t="inlineStr">
        <is>
          <t>no</t>
        </is>
      </c>
      <c r="V702" s="5" t="inlineStr">
        <is>
          <t>no</t>
        </is>
      </c>
      <c r="W702" s="5" t="inlineStr">
        <is>
          <t>no</t>
        </is>
      </c>
      <c r="X702" s="5" t="inlineStr">
        <is>
          <t>no</t>
        </is>
      </c>
      <c r="Y702" s="5" t="inlineStr">
        <is>
          <t>no</t>
        </is>
      </c>
      <c r="Z702" s="5" t="inlineStr">
        <is>
          <t>no</t>
        </is>
      </c>
      <c r="AA702" s="5" t="n">
        <v>3.52</v>
      </c>
      <c r="AB702" s="5" t="n"/>
      <c r="AC702" s="5" t="n"/>
      <c r="AD702" s="5" t="n"/>
      <c r="AE702" s="5" t="n">
        <v>1773.9</v>
      </c>
      <c r="AF702" s="5" t="n">
        <v>2438</v>
      </c>
      <c r="AG702" s="5" t="n">
        <v>1935.9</v>
      </c>
      <c r="AH702" s="5" t="n">
        <v>2527.1</v>
      </c>
      <c r="AI702" s="5" t="inlineStr">
        <is>
          <t>n/a</t>
        </is>
      </c>
      <c r="AJ702" s="5" t="inlineStr"/>
      <c r="AK702" s="5" t="inlineStr"/>
      <c r="AL702" s="5" t="inlineStr"/>
      <c r="AM702" s="5" t="inlineStr"/>
    </row>
    <row r="703">
      <c r="A703" s="5" t="n">
        <v>702</v>
      </c>
      <c r="B703" s="5" t="inlineStr">
        <is>
          <t>128</t>
        </is>
      </c>
      <c r="C703" s="5" t="inlineStr">
        <is>
          <t>nearest labels (40% agree)</t>
        </is>
      </c>
      <c r="D703" s="5" t="inlineStr">
        <is>
          <t>grade_beam</t>
        </is>
      </c>
      <c r="E703" s="5" t="inlineStr">
        <is>
          <t>grade_beam</t>
        </is>
      </c>
      <c r="F703" s="5" t="inlineStr">
        <is>
          <t>LG40x15</t>
        </is>
      </c>
      <c r="G703" s="5" t="inlineStr"/>
      <c r="H703" s="5" t="inlineStr">
        <is>
          <t>band width matches label</t>
        </is>
      </c>
      <c r="I703" s="5" t="n">
        <v>125</v>
      </c>
      <c r="J703" s="5" t="n">
        <v>40</v>
      </c>
      <c r="K703" s="9">
        <f>IF(AND(ISNUMBER(I703),ISNUMBER(J703),J703&gt;0),I703/J703,"")</f>
        <v/>
      </c>
      <c r="L703" s="5" t="n">
        <v>0.501</v>
      </c>
      <c r="M703" s="5" t="n">
        <v>1.25</v>
      </c>
      <c r="N703" s="5" t="n">
        <v>75.5</v>
      </c>
      <c r="O703" s="5" t="inlineStr">
        <is>
          <t>parallel line pair</t>
        </is>
      </c>
      <c r="P703" s="5" t="inlineStr">
        <is>
          <t>two parallel lines at the width written in the LG label, empty inside</t>
        </is>
      </c>
      <c r="Q703" s="5">
        <f>IF(OR(D703="column",D703="wall"),IF(I703&lt;='P vs V'!$B$3*J703,"column","wall"),"")</f>
        <v/>
      </c>
      <c r="R703" s="5" t="inlineStr"/>
      <c r="S703" s="5" t="inlineStr"/>
      <c r="T703" s="5" t="n"/>
      <c r="U703" s="5" t="inlineStr">
        <is>
          <t>no</t>
        </is>
      </c>
      <c r="V703" s="5" t="inlineStr">
        <is>
          <t>no</t>
        </is>
      </c>
      <c r="W703" s="5" t="inlineStr">
        <is>
          <t>no</t>
        </is>
      </c>
      <c r="X703" s="5" t="inlineStr">
        <is>
          <t>no</t>
        </is>
      </c>
      <c r="Y703" s="5" t="inlineStr">
        <is>
          <t>no</t>
        </is>
      </c>
      <c r="Z703" s="5" t="inlineStr">
        <is>
          <t>no</t>
        </is>
      </c>
      <c r="AA703" s="5" t="n">
        <v>6.98</v>
      </c>
      <c r="AB703" s="5" t="n"/>
      <c r="AC703" s="5" t="n"/>
      <c r="AD703" s="5" t="n"/>
      <c r="AE703" s="5" t="n">
        <v>1271.4</v>
      </c>
      <c r="AF703" s="5" t="n">
        <v>1760.8</v>
      </c>
      <c r="AG703" s="5" t="n">
        <v>1292</v>
      </c>
      <c r="AH703" s="5" t="n">
        <v>1799.5</v>
      </c>
      <c r="AI703" s="5" t="inlineStr">
        <is>
          <t>n/a</t>
        </is>
      </c>
      <c r="AJ703" s="5" t="inlineStr"/>
      <c r="AK703" s="5" t="inlineStr"/>
      <c r="AL703" s="5" t="inlineStr"/>
      <c r="AM703" s="5" t="inlineStr"/>
    </row>
    <row r="704">
      <c r="A704" s="5" t="n">
        <v>703</v>
      </c>
      <c r="B704" s="5" t="inlineStr">
        <is>
          <t>128</t>
        </is>
      </c>
      <c r="C704" s="5" t="inlineStr">
        <is>
          <t>nearest labels (60% agree)</t>
        </is>
      </c>
      <c r="D704" s="5" t="inlineStr">
        <is>
          <t>grade_beam</t>
        </is>
      </c>
      <c r="E704" s="5" t="inlineStr">
        <is>
          <t>grade_beam</t>
        </is>
      </c>
      <c r="F704" s="5" t="inlineStr">
        <is>
          <t>LG40x15</t>
        </is>
      </c>
      <c r="G704" s="5" t="inlineStr"/>
      <c r="H704" s="5" t="inlineStr">
        <is>
          <t>band width matches label</t>
        </is>
      </c>
      <c r="I704" s="5" t="n">
        <v>593</v>
      </c>
      <c r="J704" s="5" t="n">
        <v>40</v>
      </c>
      <c r="K704" s="9">
        <f>IF(AND(ISNUMBER(I704),ISNUMBER(J704),J704&gt;0),I704/J704,"")</f>
        <v/>
      </c>
      <c r="L704" s="5" t="n">
        <v>2.37</v>
      </c>
      <c r="M704" s="5" t="n">
        <v>5.93</v>
      </c>
      <c r="N704" s="5" t="n">
        <v>75.5</v>
      </c>
      <c r="O704" s="5" t="inlineStr">
        <is>
          <t>parallel line pair</t>
        </is>
      </c>
      <c r="P704" s="5" t="inlineStr">
        <is>
          <t>two parallel lines at the width written in the LG label, empty inside</t>
        </is>
      </c>
      <c r="Q704" s="5">
        <f>IF(OR(D704="column",D704="wall"),IF(I704&lt;='P vs V'!$B$3*J704,"column","wall"),"")</f>
        <v/>
      </c>
      <c r="R704" s="5" t="inlineStr"/>
      <c r="S704" s="5" t="inlineStr"/>
      <c r="T704" s="5" t="n"/>
      <c r="U704" s="5" t="inlineStr">
        <is>
          <t>no</t>
        </is>
      </c>
      <c r="V704" s="5" t="inlineStr">
        <is>
          <t>no</t>
        </is>
      </c>
      <c r="W704" s="5" t="inlineStr">
        <is>
          <t>no</t>
        </is>
      </c>
      <c r="X704" s="5" t="inlineStr">
        <is>
          <t>no</t>
        </is>
      </c>
      <c r="Y704" s="5" t="inlineStr">
        <is>
          <t>no</t>
        </is>
      </c>
      <c r="Z704" s="5" t="inlineStr">
        <is>
          <t>no</t>
        </is>
      </c>
      <c r="AA704" s="5" t="n">
        <v>1.98</v>
      </c>
      <c r="AB704" s="5" t="n"/>
      <c r="AC704" s="5" t="n"/>
      <c r="AD704" s="5" t="n"/>
      <c r="AE704" s="5" t="n">
        <v>1352.6</v>
      </c>
      <c r="AF704" s="5" t="n">
        <v>2075</v>
      </c>
      <c r="AG704" s="5" t="n">
        <v>1407.8</v>
      </c>
      <c r="AH704" s="5" t="n">
        <v>2247.3</v>
      </c>
      <c r="AI704" s="5" t="inlineStr">
        <is>
          <t>n/a</t>
        </is>
      </c>
      <c r="AJ704" s="5" t="inlineStr"/>
      <c r="AK704" s="5" t="inlineStr"/>
      <c r="AL704" s="5" t="inlineStr"/>
      <c r="AM704" s="5" t="inlineStr"/>
    </row>
    <row r="705">
      <c r="A705" s="5" t="n">
        <v>704</v>
      </c>
      <c r="B705" s="5" t="inlineStr">
        <is>
          <t>128</t>
        </is>
      </c>
      <c r="C705" s="5" t="inlineStr">
        <is>
          <t>nearest labels (60% agree)</t>
        </is>
      </c>
      <c r="D705" s="5" t="inlineStr">
        <is>
          <t>grade_beam</t>
        </is>
      </c>
      <c r="E705" s="5" t="inlineStr">
        <is>
          <t>grade_beam</t>
        </is>
      </c>
      <c r="F705" s="5" t="inlineStr">
        <is>
          <t>LG40x15</t>
        </is>
      </c>
      <c r="G705" s="5" t="inlineStr"/>
      <c r="H705" s="5" t="inlineStr">
        <is>
          <t>band width matches label</t>
        </is>
      </c>
      <c r="I705" s="5" t="n">
        <v>559</v>
      </c>
      <c r="J705" s="5" t="n">
        <v>40</v>
      </c>
      <c r="K705" s="9">
        <f>IF(AND(ISNUMBER(I705),ISNUMBER(J705),J705&gt;0),I705/J705,"")</f>
        <v/>
      </c>
      <c r="L705" s="5" t="n">
        <v>2.235</v>
      </c>
      <c r="M705" s="5" t="n">
        <v>5.59</v>
      </c>
      <c r="N705" s="5" t="n">
        <v>165.3</v>
      </c>
      <c r="O705" s="5" t="inlineStr">
        <is>
          <t>parallel line pair</t>
        </is>
      </c>
      <c r="P705" s="5" t="inlineStr">
        <is>
          <t>two parallel lines at the width written in the LG label, empty inside</t>
        </is>
      </c>
      <c r="Q705" s="5">
        <f>IF(OR(D705="column",D705="wall"),IF(I705&lt;='P vs V'!$B$3*J705,"column","wall"),"")</f>
        <v/>
      </c>
      <c r="R705" s="5" t="inlineStr"/>
      <c r="S705" s="5" t="inlineStr"/>
      <c r="T705" s="5" t="n"/>
      <c r="U705" s="5" t="inlineStr">
        <is>
          <t>no</t>
        </is>
      </c>
      <c r="V705" s="5" t="inlineStr">
        <is>
          <t>no</t>
        </is>
      </c>
      <c r="W705" s="5" t="inlineStr">
        <is>
          <t>no</t>
        </is>
      </c>
      <c r="X705" s="5" t="inlineStr">
        <is>
          <t>no</t>
        </is>
      </c>
      <c r="Y705" s="5" t="inlineStr">
        <is>
          <t>no</t>
        </is>
      </c>
      <c r="Z705" s="5" t="inlineStr">
        <is>
          <t>yes</t>
        </is>
      </c>
      <c r="AA705" s="5" t="n">
        <v>4.4</v>
      </c>
      <c r="AB705" s="5" t="n"/>
      <c r="AC705" s="5" t="n"/>
      <c r="AD705" s="5" t="n"/>
      <c r="AE705" s="5" t="n">
        <v>1151.5</v>
      </c>
      <c r="AF705" s="5" t="n">
        <v>1917.7</v>
      </c>
      <c r="AG705" s="5" t="n">
        <v>1314.1</v>
      </c>
      <c r="AH705" s="5" t="n">
        <v>1971</v>
      </c>
      <c r="AI705" s="5" t="inlineStr">
        <is>
          <t>n/a</t>
        </is>
      </c>
      <c r="AJ705" s="5" t="inlineStr"/>
      <c r="AK705" s="5" t="inlineStr"/>
      <c r="AL705" s="5" t="inlineStr"/>
      <c r="AM705" s="5" t="inlineStr"/>
    </row>
    <row r="706">
      <c r="A706" s="5" t="n">
        <v>705</v>
      </c>
      <c r="B706" s="5" t="inlineStr">
        <is>
          <t>128</t>
        </is>
      </c>
      <c r="C706" s="5" t="inlineStr">
        <is>
          <t>nearest labels (80% agree)</t>
        </is>
      </c>
      <c r="D706" s="5" t="inlineStr">
        <is>
          <t>grade_beam</t>
        </is>
      </c>
      <c r="E706" s="5" t="inlineStr">
        <is>
          <t>grade_beam</t>
        </is>
      </c>
      <c r="F706" s="5" t="inlineStr">
        <is>
          <t>LG40x15</t>
        </is>
      </c>
      <c r="G706" s="5" t="inlineStr"/>
      <c r="H706" s="5" t="inlineStr">
        <is>
          <t>band width matches label</t>
        </is>
      </c>
      <c r="I706" s="5" t="n">
        <v>186</v>
      </c>
      <c r="J706" s="5" t="n">
        <v>40</v>
      </c>
      <c r="K706" s="9">
        <f>IF(AND(ISNUMBER(I706),ISNUMBER(J706),J706&gt;0),I706/J706,"")</f>
        <v/>
      </c>
      <c r="L706" s="5" t="n">
        <v>0.746</v>
      </c>
      <c r="M706" s="5" t="n">
        <v>1.86</v>
      </c>
      <c r="N706" s="5" t="n">
        <v>140.9</v>
      </c>
      <c r="O706" s="5" t="inlineStr">
        <is>
          <t>parallel line pair</t>
        </is>
      </c>
      <c r="P706" s="5" t="inlineStr">
        <is>
          <t>two parallel lines at the width written in the LG label, empty inside</t>
        </is>
      </c>
      <c r="Q706" s="5">
        <f>IF(OR(D706="column",D706="wall"),IF(I706&lt;='P vs V'!$B$3*J706,"column","wall"),"")</f>
        <v/>
      </c>
      <c r="R706" s="5" t="inlineStr"/>
      <c r="S706" s="5" t="inlineStr"/>
      <c r="T706" s="5" t="n"/>
      <c r="U706" s="5" t="inlineStr">
        <is>
          <t>no</t>
        </is>
      </c>
      <c r="V706" s="5" t="inlineStr">
        <is>
          <t>no</t>
        </is>
      </c>
      <c r="W706" s="5" t="inlineStr">
        <is>
          <t>yes</t>
        </is>
      </c>
      <c r="X706" s="5" t="inlineStr">
        <is>
          <t>no</t>
        </is>
      </c>
      <c r="Y706" s="5" t="inlineStr">
        <is>
          <t>no</t>
        </is>
      </c>
      <c r="Z706" s="5" t="inlineStr">
        <is>
          <t>no</t>
        </is>
      </c>
      <c r="AA706" s="5" t="n">
        <v>0.33</v>
      </c>
      <c r="AB706" s="5" t="n"/>
      <c r="AC706" s="5" t="n"/>
      <c r="AD706" s="5" t="n"/>
      <c r="AE706" s="5" t="n">
        <v>1497.6</v>
      </c>
      <c r="AF706" s="5" t="n">
        <v>2176.3</v>
      </c>
      <c r="AG706" s="5" t="n">
        <v>1547.8</v>
      </c>
      <c r="AH706" s="5" t="n">
        <v>2220.1</v>
      </c>
      <c r="AI706" s="5" t="inlineStr">
        <is>
          <t>n/a</t>
        </is>
      </c>
      <c r="AJ706" s="5" t="inlineStr"/>
      <c r="AK706" s="5" t="inlineStr"/>
      <c r="AL706" s="5" t="inlineStr"/>
      <c r="AM706" s="5" t="inlineStr"/>
    </row>
    <row r="707">
      <c r="A707" s="5" t="n">
        <v>706</v>
      </c>
      <c r="B707" s="5" t="inlineStr">
        <is>
          <t>128</t>
        </is>
      </c>
      <c r="C707" s="5" t="inlineStr">
        <is>
          <t>nearest labels (100% agree)</t>
        </is>
      </c>
      <c r="D707" s="5" t="inlineStr">
        <is>
          <t>grade_beam</t>
        </is>
      </c>
      <c r="E707" s="5" t="inlineStr">
        <is>
          <t>grade_beam</t>
        </is>
      </c>
      <c r="F707" s="5" t="inlineStr">
        <is>
          <t>LG40x15</t>
        </is>
      </c>
      <c r="G707" s="5" t="inlineStr"/>
      <c r="H707" s="5" t="inlineStr">
        <is>
          <t>band width matches label</t>
        </is>
      </c>
      <c r="I707" s="5" t="n">
        <v>613</v>
      </c>
      <c r="J707" s="5" t="n">
        <v>40</v>
      </c>
      <c r="K707" s="9">
        <f>IF(AND(ISNUMBER(I707),ISNUMBER(J707),J707&gt;0),I707/J707,"")</f>
        <v/>
      </c>
      <c r="L707" s="5" t="n">
        <v>2.453</v>
      </c>
      <c r="M707" s="5" t="n">
        <v>6.13</v>
      </c>
      <c r="N707" s="5" t="n">
        <v>140.9</v>
      </c>
      <c r="O707" s="5" t="inlineStr">
        <is>
          <t>parallel line pair</t>
        </is>
      </c>
      <c r="P707" s="5" t="inlineStr">
        <is>
          <t>two parallel lines at the width written in the LG label, empty inside</t>
        </is>
      </c>
      <c r="Q707" s="5">
        <f>IF(OR(D707="column",D707="wall"),IF(I707&lt;='P vs V'!$B$3*J707,"column","wall"),"")</f>
        <v/>
      </c>
      <c r="R707" s="5" t="inlineStr"/>
      <c r="S707" s="5" t="inlineStr"/>
      <c r="T707" s="5" t="n"/>
      <c r="U707" s="5" t="inlineStr">
        <is>
          <t>no</t>
        </is>
      </c>
      <c r="V707" s="5" t="inlineStr">
        <is>
          <t>no</t>
        </is>
      </c>
      <c r="W707" s="5" t="inlineStr">
        <is>
          <t>no</t>
        </is>
      </c>
      <c r="X707" s="5" t="inlineStr">
        <is>
          <t>no</t>
        </is>
      </c>
      <c r="Y707" s="5" t="inlineStr">
        <is>
          <t>no</t>
        </is>
      </c>
      <c r="Z707" s="5" t="inlineStr">
        <is>
          <t>yes</t>
        </is>
      </c>
      <c r="AA707" s="5" t="n">
        <v>2.94</v>
      </c>
      <c r="AB707" s="5" t="n"/>
      <c r="AC707" s="5" t="n"/>
      <c r="AD707" s="5" t="n"/>
      <c r="AE707" s="5" t="n">
        <v>1276.9</v>
      </c>
      <c r="AF707" s="5" t="n">
        <v>2276.2</v>
      </c>
      <c r="AG707" s="5" t="n">
        <v>1424.9</v>
      </c>
      <c r="AH707" s="5" t="n">
        <v>2399.5</v>
      </c>
      <c r="AI707" s="5" t="inlineStr">
        <is>
          <t>n/a</t>
        </is>
      </c>
      <c r="AJ707" s="5" t="inlineStr"/>
      <c r="AK707" s="5" t="inlineStr"/>
      <c r="AL707" s="5" t="inlineStr"/>
      <c r="AM707" s="5" t="inlineStr"/>
    </row>
    <row r="708">
      <c r="A708" s="5" t="n">
        <v>707</v>
      </c>
      <c r="B708" s="5" t="inlineStr">
        <is>
          <t>128</t>
        </is>
      </c>
      <c r="C708" s="5" t="inlineStr">
        <is>
          <t>nearest labels (80% agree)</t>
        </is>
      </c>
      <c r="D708" s="5" t="inlineStr">
        <is>
          <t>grade_beam</t>
        </is>
      </c>
      <c r="E708" s="5" t="inlineStr">
        <is>
          <t>grade_beam</t>
        </is>
      </c>
      <c r="F708" s="5" t="inlineStr">
        <is>
          <t>LG40x15</t>
        </is>
      </c>
      <c r="G708" s="5" t="inlineStr"/>
      <c r="H708" s="5" t="inlineStr">
        <is>
          <t>band width matches label</t>
        </is>
      </c>
      <c r="I708" s="5" t="n">
        <v>176</v>
      </c>
      <c r="J708" s="5" t="n">
        <v>40</v>
      </c>
      <c r="K708" s="9">
        <f>IF(AND(ISNUMBER(I708),ISNUMBER(J708),J708&gt;0),I708/J708,"")</f>
        <v/>
      </c>
      <c r="L708" s="5" t="n">
        <v>0.702</v>
      </c>
      <c r="M708" s="5" t="n">
        <v>1.76</v>
      </c>
      <c r="N708" s="5" t="n">
        <v>140.9</v>
      </c>
      <c r="O708" s="5" t="inlineStr">
        <is>
          <t>parallel line pair</t>
        </is>
      </c>
      <c r="P708" s="5" t="inlineStr">
        <is>
          <t>two parallel lines at the width written in the LG label, empty inside</t>
        </is>
      </c>
      <c r="Q708" s="5">
        <f>IF(OR(D708="column",D708="wall"),IF(I708&lt;='P vs V'!$B$3*J708,"column","wall"),"")</f>
        <v/>
      </c>
      <c r="R708" s="5" t="inlineStr"/>
      <c r="S708" s="5" t="inlineStr"/>
      <c r="T708" s="5" t="n"/>
      <c r="U708" s="5" t="inlineStr">
        <is>
          <t>no</t>
        </is>
      </c>
      <c r="V708" s="5" t="inlineStr">
        <is>
          <t>no</t>
        </is>
      </c>
      <c r="W708" s="5" t="inlineStr">
        <is>
          <t>yes</t>
        </is>
      </c>
      <c r="X708" s="5" t="inlineStr">
        <is>
          <t>no</t>
        </is>
      </c>
      <c r="Y708" s="5" t="inlineStr">
        <is>
          <t>no</t>
        </is>
      </c>
      <c r="Z708" s="5" t="inlineStr">
        <is>
          <t>no</t>
        </is>
      </c>
      <c r="AA708" s="5" t="n">
        <v>0.11</v>
      </c>
      <c r="AB708" s="5" t="n"/>
      <c r="AC708" s="5" t="n"/>
      <c r="AD708" s="5" t="n"/>
      <c r="AE708" s="5" t="n">
        <v>1488.4</v>
      </c>
      <c r="AF708" s="5" t="n">
        <v>2166.7</v>
      </c>
      <c r="AG708" s="5" t="n">
        <v>1536</v>
      </c>
      <c r="AH708" s="5" t="n">
        <v>2208.6</v>
      </c>
      <c r="AI708" s="5" t="inlineStr">
        <is>
          <t>n/a</t>
        </is>
      </c>
      <c r="AJ708" s="5" t="inlineStr"/>
      <c r="AK708" s="5" t="inlineStr"/>
      <c r="AL708" s="5" t="inlineStr"/>
      <c r="AM708" s="5" t="inlineStr"/>
    </row>
    <row r="709">
      <c r="A709" s="5" t="n">
        <v>708</v>
      </c>
      <c r="B709" s="5" t="inlineStr">
        <is>
          <t>128</t>
        </is>
      </c>
      <c r="C709" s="5" t="inlineStr">
        <is>
          <t>nearest labels (100% agree)</t>
        </is>
      </c>
      <c r="D709" s="5" t="inlineStr">
        <is>
          <t>grade_beam</t>
        </is>
      </c>
      <c r="E709" s="5" t="inlineStr">
        <is>
          <t>grade_beam</t>
        </is>
      </c>
      <c r="F709" s="5" t="inlineStr">
        <is>
          <t>LG40x15</t>
        </is>
      </c>
      <c r="G709" s="5" t="inlineStr"/>
      <c r="H709" s="5" t="inlineStr">
        <is>
          <t>band width matches label</t>
        </is>
      </c>
      <c r="I709" s="5" t="n">
        <v>614</v>
      </c>
      <c r="J709" s="5" t="n">
        <v>40</v>
      </c>
      <c r="K709" s="9">
        <f>IF(AND(ISNUMBER(I709),ISNUMBER(J709),J709&gt;0),I709/J709,"")</f>
        <v/>
      </c>
      <c r="L709" s="5" t="n">
        <v>2.454</v>
      </c>
      <c r="M709" s="5" t="n">
        <v>6.14</v>
      </c>
      <c r="N709" s="5" t="n">
        <v>140.9</v>
      </c>
      <c r="O709" s="5" t="inlineStr">
        <is>
          <t>parallel line pair</t>
        </is>
      </c>
      <c r="P709" s="5" t="inlineStr">
        <is>
          <t>two parallel lines at the width written in the LG label, empty inside</t>
        </is>
      </c>
      <c r="Q709" s="5">
        <f>IF(OR(D709="column",D709="wall"),IF(I709&lt;='P vs V'!$B$3*J709,"column","wall"),"")</f>
        <v/>
      </c>
      <c r="R709" s="5" t="inlineStr"/>
      <c r="S709" s="5" t="inlineStr"/>
      <c r="T709" s="5" t="n"/>
      <c r="U709" s="5" t="inlineStr">
        <is>
          <t>no</t>
        </is>
      </c>
      <c r="V709" s="5" t="inlineStr">
        <is>
          <t>no</t>
        </is>
      </c>
      <c r="W709" s="5" t="inlineStr">
        <is>
          <t>no</t>
        </is>
      </c>
      <c r="X709" s="5" t="inlineStr">
        <is>
          <t>no</t>
        </is>
      </c>
      <c r="Y709" s="5" t="inlineStr">
        <is>
          <t>no</t>
        </is>
      </c>
      <c r="Z709" s="5" t="inlineStr">
        <is>
          <t>yes</t>
        </is>
      </c>
      <c r="AA709" s="5" t="n">
        <v>2.98</v>
      </c>
      <c r="AB709" s="5" t="n"/>
      <c r="AC709" s="5" t="n"/>
      <c r="AD709" s="5" t="n"/>
      <c r="AE709" s="5" t="n">
        <v>1267.5</v>
      </c>
      <c r="AF709" s="5" t="n">
        <v>2264.6</v>
      </c>
      <c r="AG709" s="5" t="n">
        <v>1415.6</v>
      </c>
      <c r="AH709" s="5" t="n">
        <v>2388.1</v>
      </c>
      <c r="AI709" s="5" t="inlineStr">
        <is>
          <t>n/a</t>
        </is>
      </c>
      <c r="AJ709" s="5" t="inlineStr"/>
      <c r="AK709" s="5" t="inlineStr"/>
      <c r="AL709" s="5" t="inlineStr"/>
      <c r="AM709" s="5" t="inlineStr"/>
    </row>
    <row r="710">
      <c r="A710" s="5" t="n">
        <v>709</v>
      </c>
      <c r="B710" s="5" t="inlineStr">
        <is>
          <t>128</t>
        </is>
      </c>
      <c r="C710" s="5" t="inlineStr">
        <is>
          <t>nearest labels (80% agree)</t>
        </is>
      </c>
      <c r="D710" s="5" t="inlineStr">
        <is>
          <t>grade_beam</t>
        </is>
      </c>
      <c r="E710" s="5" t="inlineStr">
        <is>
          <t>grade_beam</t>
        </is>
      </c>
      <c r="F710" s="5" t="inlineStr">
        <is>
          <t>LG40x15</t>
        </is>
      </c>
      <c r="G710" s="5" t="inlineStr"/>
      <c r="H710" s="5" t="inlineStr">
        <is>
          <t>band width matches label</t>
        </is>
      </c>
      <c r="I710" s="5" t="n">
        <v>267</v>
      </c>
      <c r="J710" s="5" t="n">
        <v>40</v>
      </c>
      <c r="K710" s="9">
        <f>IF(AND(ISNUMBER(I710),ISNUMBER(J710),J710&gt;0),I710/J710,"")</f>
        <v/>
      </c>
      <c r="L710" s="5" t="n">
        <v>1.066</v>
      </c>
      <c r="M710" s="5" t="n">
        <v>2.67</v>
      </c>
      <c r="N710" s="5" t="n">
        <v>116.6</v>
      </c>
      <c r="O710" s="5" t="inlineStr">
        <is>
          <t>parallel line pair</t>
        </is>
      </c>
      <c r="P710" s="5" t="inlineStr">
        <is>
          <t>two parallel lines at the width written in the LG label, empty inside</t>
        </is>
      </c>
      <c r="Q710" s="5">
        <f>IF(OR(D710="column",D710="wall"),IF(I710&lt;='P vs V'!$B$3*J710,"column","wall"),"")</f>
        <v/>
      </c>
      <c r="R710" s="5" t="inlineStr"/>
      <c r="S710" s="5" t="inlineStr"/>
      <c r="T710" s="5" t="n"/>
      <c r="U710" s="5" t="inlineStr">
        <is>
          <t>no</t>
        </is>
      </c>
      <c r="V710" s="5" t="inlineStr">
        <is>
          <t>no</t>
        </is>
      </c>
      <c r="W710" s="5" t="inlineStr">
        <is>
          <t>yes</t>
        </is>
      </c>
      <c r="X710" s="5" t="inlineStr">
        <is>
          <t>no</t>
        </is>
      </c>
      <c r="Y710" s="5" t="inlineStr">
        <is>
          <t>no</t>
        </is>
      </c>
      <c r="Z710" s="5" t="inlineStr">
        <is>
          <t>no</t>
        </is>
      </c>
      <c r="AA710" s="5" t="n">
        <v>0.01</v>
      </c>
      <c r="AB710" s="5" t="n"/>
      <c r="AC710" s="5" t="n"/>
      <c r="AD710" s="5" t="n"/>
      <c r="AE710" s="5" t="n">
        <v>1768.1</v>
      </c>
      <c r="AF710" s="5" t="n">
        <v>2310.7</v>
      </c>
      <c r="AG710" s="5" t="n">
        <v>1813.9</v>
      </c>
      <c r="AH710" s="5" t="n">
        <v>2386.4</v>
      </c>
      <c r="AI710" s="5" t="inlineStr">
        <is>
          <t>n/a</t>
        </is>
      </c>
      <c r="AJ710" s="5" t="inlineStr"/>
      <c r="AK710" s="5" t="inlineStr"/>
      <c r="AL710" s="5" t="inlineStr"/>
      <c r="AM710" s="5" t="inlineStr"/>
    </row>
    <row r="711">
      <c r="A711" s="5" t="n">
        <v>710</v>
      </c>
      <c r="B711" s="5" t="inlineStr">
        <is>
          <t>128</t>
        </is>
      </c>
      <c r="C711" s="5" t="inlineStr">
        <is>
          <t>nearest labels (100% agree)</t>
        </is>
      </c>
      <c r="D711" s="5" t="inlineStr">
        <is>
          <t>grade_beam</t>
        </is>
      </c>
      <c r="E711" s="5" t="inlineStr">
        <is>
          <t>grade_beam</t>
        </is>
      </c>
      <c r="F711" s="5" t="inlineStr">
        <is>
          <t>LG40x15</t>
        </is>
      </c>
      <c r="G711" s="5" t="inlineStr"/>
      <c r="H711" s="5" t="inlineStr">
        <is>
          <t>band width matches label</t>
        </is>
      </c>
      <c r="I711" s="5" t="n">
        <v>672</v>
      </c>
      <c r="J711" s="5" t="n">
        <v>40</v>
      </c>
      <c r="K711" s="9">
        <f>IF(AND(ISNUMBER(I711),ISNUMBER(J711),J711&gt;0),I711/J711,"")</f>
        <v/>
      </c>
      <c r="L711" s="5" t="n">
        <v>2.688</v>
      </c>
      <c r="M711" s="5" t="n">
        <v>6.72</v>
      </c>
      <c r="N711" s="5" t="n">
        <v>116.6</v>
      </c>
      <c r="O711" s="5" t="inlineStr">
        <is>
          <t>parallel line pair</t>
        </is>
      </c>
      <c r="P711" s="5" t="inlineStr">
        <is>
          <t>two parallel lines at the width written in the LG label, empty inside</t>
        </is>
      </c>
      <c r="Q711" s="5">
        <f>IF(OR(D711="column",D711="wall"),IF(I711&lt;='P vs V'!$B$3*J711,"column","wall"),"")</f>
        <v/>
      </c>
      <c r="R711" s="5" t="inlineStr"/>
      <c r="S711" s="5" t="inlineStr"/>
      <c r="T711" s="5" t="n"/>
      <c r="U711" s="5" t="inlineStr">
        <is>
          <t>no</t>
        </is>
      </c>
      <c r="V711" s="5" t="inlineStr">
        <is>
          <t>no</t>
        </is>
      </c>
      <c r="W711" s="5" t="inlineStr">
        <is>
          <t>no</t>
        </is>
      </c>
      <c r="X711" s="5" t="inlineStr">
        <is>
          <t>no</t>
        </is>
      </c>
      <c r="Y711" s="5" t="inlineStr">
        <is>
          <t>no</t>
        </is>
      </c>
      <c r="Z711" s="5" t="inlineStr">
        <is>
          <t>yes</t>
        </is>
      </c>
      <c r="AA711" s="5" t="n">
        <v>0</v>
      </c>
      <c r="AB711" s="5" t="n"/>
      <c r="AC711" s="5" t="n"/>
      <c r="AD711" s="5" t="n"/>
      <c r="AE711" s="5" t="n">
        <v>1632.8</v>
      </c>
      <c r="AF711" s="5" t="n">
        <v>2473.5</v>
      </c>
      <c r="AG711" s="5" t="n">
        <v>1732.3</v>
      </c>
      <c r="AH711" s="5" t="n">
        <v>2656.1</v>
      </c>
      <c r="AI711" s="5" t="inlineStr">
        <is>
          <t>n/a</t>
        </is>
      </c>
      <c r="AJ711" s="5" t="inlineStr"/>
      <c r="AK711" s="5" t="inlineStr"/>
      <c r="AL711" s="5" t="inlineStr"/>
      <c r="AM711" s="5" t="inlineStr"/>
    </row>
    <row r="712">
      <c r="A712" s="5" t="n">
        <v>711</v>
      </c>
      <c r="B712" s="5" t="inlineStr">
        <is>
          <t>128</t>
        </is>
      </c>
      <c r="C712" s="5" t="inlineStr">
        <is>
          <t>nearest labels (60% agree)</t>
        </is>
      </c>
      <c r="D712" s="5" t="inlineStr">
        <is>
          <t>grade_beam</t>
        </is>
      </c>
      <c r="E712" s="5" t="inlineStr">
        <is>
          <t>grade_beam</t>
        </is>
      </c>
      <c r="F712" s="5" t="inlineStr">
        <is>
          <t>LG40x15</t>
        </is>
      </c>
      <c r="G712" s="5" t="inlineStr"/>
      <c r="H712" s="5" t="inlineStr">
        <is>
          <t>band width matches label</t>
        </is>
      </c>
      <c r="I712" s="5" t="n">
        <v>278</v>
      </c>
      <c r="J712" s="5" t="n">
        <v>40</v>
      </c>
      <c r="K712" s="9">
        <f>IF(AND(ISNUMBER(I712),ISNUMBER(J712),J712&gt;0),I712/J712,"")</f>
        <v/>
      </c>
      <c r="L712" s="5" t="n">
        <v>1.112</v>
      </c>
      <c r="M712" s="5" t="n">
        <v>2.78</v>
      </c>
      <c r="N712" s="5" t="n">
        <v>165.3</v>
      </c>
      <c r="O712" s="5" t="inlineStr">
        <is>
          <t>parallel line pair</t>
        </is>
      </c>
      <c r="P712" s="5" t="inlineStr">
        <is>
          <t>two parallel lines at the width written in the LG label, empty inside</t>
        </is>
      </c>
      <c r="Q712" s="5">
        <f>IF(OR(D712="column",D712="wall"),IF(I712&lt;='P vs V'!$B$3*J712,"column","wall"),"")</f>
        <v/>
      </c>
      <c r="R712" s="5" t="inlineStr"/>
      <c r="S712" s="5" t="inlineStr"/>
      <c r="T712" s="5" t="n"/>
      <c r="U712" s="5" t="inlineStr">
        <is>
          <t>no</t>
        </is>
      </c>
      <c r="V712" s="5" t="inlineStr">
        <is>
          <t>no</t>
        </is>
      </c>
      <c r="W712" s="5" t="inlineStr">
        <is>
          <t>yes</t>
        </is>
      </c>
      <c r="X712" s="5" t="inlineStr">
        <is>
          <t>no</t>
        </is>
      </c>
      <c r="Y712" s="5" t="inlineStr">
        <is>
          <t>no</t>
        </is>
      </c>
      <c r="Z712" s="5" t="inlineStr">
        <is>
          <t>no</t>
        </is>
      </c>
      <c r="AA712" s="5" t="n">
        <v>0</v>
      </c>
      <c r="AB712" s="5" t="n"/>
      <c r="AC712" s="5" t="n"/>
      <c r="AD712" s="5" t="n"/>
      <c r="AE712" s="5" t="n">
        <v>1406.9</v>
      </c>
      <c r="AF712" s="5" t="n">
        <v>2006.3</v>
      </c>
      <c r="AG712" s="5" t="n">
        <v>1489.3</v>
      </c>
      <c r="AH712" s="5" t="n">
        <v>2038.5</v>
      </c>
      <c r="AI712" s="5" t="inlineStr">
        <is>
          <t>n/a</t>
        </is>
      </c>
      <c r="AJ712" s="5" t="inlineStr"/>
      <c r="AK712" s="5" t="inlineStr"/>
      <c r="AL712" s="5" t="inlineStr"/>
      <c r="AM712" s="5" t="inlineStr"/>
    </row>
    <row r="713">
      <c r="A713" s="5" t="n">
        <v>712</v>
      </c>
      <c r="B713" s="5" t="inlineStr">
        <is>
          <t>128</t>
        </is>
      </c>
      <c r="C713" s="5" t="inlineStr">
        <is>
          <t>nearest labels (100% agree)</t>
        </is>
      </c>
      <c r="D713" s="5" t="inlineStr">
        <is>
          <t>grade_beam</t>
        </is>
      </c>
      <c r="E713" s="5" t="inlineStr">
        <is>
          <t>grade_beam</t>
        </is>
      </c>
      <c r="F713" s="5" t="inlineStr">
        <is>
          <t>LG40x15</t>
        </is>
      </c>
      <c r="G713" s="5" t="inlineStr"/>
      <c r="H713" s="5" t="inlineStr">
        <is>
          <t>band width matches label</t>
        </is>
      </c>
      <c r="I713" s="5" t="n">
        <v>808</v>
      </c>
      <c r="J713" s="5" t="n">
        <v>40</v>
      </c>
      <c r="K713" s="9">
        <f>IF(AND(ISNUMBER(I713),ISNUMBER(J713),J713&gt;0),I713/J713,"")</f>
        <v/>
      </c>
      <c r="L713" s="5" t="n">
        <v>3.231</v>
      </c>
      <c r="M713" s="5" t="n">
        <v>8.08</v>
      </c>
      <c r="N713" s="5" t="n">
        <v>26.6</v>
      </c>
      <c r="O713" s="5" t="inlineStr">
        <is>
          <t>parallel line pair</t>
        </is>
      </c>
      <c r="P713" s="5" t="inlineStr">
        <is>
          <t>two parallel lines at the width written in the LG label, empty inside</t>
        </is>
      </c>
      <c r="Q713" s="5">
        <f>IF(OR(D713="column",D713="wall"),IF(I713&lt;='P vs V'!$B$3*J713,"column","wall"),"")</f>
        <v/>
      </c>
      <c r="R713" s="5" t="inlineStr"/>
      <c r="S713" s="5" t="inlineStr"/>
      <c r="T713" s="5" t="n"/>
      <c r="U713" s="5" t="inlineStr">
        <is>
          <t>no</t>
        </is>
      </c>
      <c r="V713" s="5" t="inlineStr">
        <is>
          <t>no</t>
        </is>
      </c>
      <c r="W713" s="5" t="inlineStr">
        <is>
          <t>yes</t>
        </is>
      </c>
      <c r="X713" s="5" t="inlineStr">
        <is>
          <t>no</t>
        </is>
      </c>
      <c r="Y713" s="5" t="inlineStr">
        <is>
          <t>no</t>
        </is>
      </c>
      <c r="Z713" s="5" t="inlineStr">
        <is>
          <t>yes</t>
        </is>
      </c>
      <c r="AA713" s="5" t="n">
        <v>1.31</v>
      </c>
      <c r="AB713" s="5" t="n"/>
      <c r="AC713" s="5" t="n"/>
      <c r="AD713" s="5" t="n"/>
      <c r="AE713" s="5" t="n">
        <v>1444.2</v>
      </c>
      <c r="AF713" s="5" t="n">
        <v>2558.9</v>
      </c>
      <c r="AG713" s="5" t="n">
        <v>1662.7</v>
      </c>
      <c r="AH713" s="5" t="n">
        <v>2676.4</v>
      </c>
      <c r="AI713" s="5" t="inlineStr">
        <is>
          <t>n/a</t>
        </is>
      </c>
      <c r="AJ713" s="5" t="inlineStr"/>
      <c r="AK713" s="5" t="inlineStr"/>
      <c r="AL713" s="5" t="inlineStr"/>
      <c r="AM713" s="5" t="inlineStr"/>
    </row>
    <row r="714">
      <c r="A714" s="5" t="n">
        <v>713</v>
      </c>
      <c r="B714" s="5" t="inlineStr">
        <is>
          <t>128</t>
        </is>
      </c>
      <c r="C714" s="5" t="inlineStr">
        <is>
          <t>nearest labels (100% agree)</t>
        </is>
      </c>
      <c r="D714" s="5" t="inlineStr">
        <is>
          <t>grade_beam</t>
        </is>
      </c>
      <c r="E714" s="5" t="inlineStr">
        <is>
          <t>grade_beam</t>
        </is>
      </c>
      <c r="F714" s="5" t="inlineStr">
        <is>
          <t>LG40x15</t>
        </is>
      </c>
      <c r="G714" s="5" t="inlineStr"/>
      <c r="H714" s="5" t="inlineStr">
        <is>
          <t>band width matches label</t>
        </is>
      </c>
      <c r="I714" s="5" t="n">
        <v>319</v>
      </c>
      <c r="J714" s="5" t="n">
        <v>40</v>
      </c>
      <c r="K714" s="9">
        <f>IF(AND(ISNUMBER(I714),ISNUMBER(J714),J714&gt;0),I714/J714,"")</f>
        <v/>
      </c>
      <c r="L714" s="5" t="n">
        <v>1.278</v>
      </c>
      <c r="M714" s="5" t="n">
        <v>3.19</v>
      </c>
      <c r="N714" s="5" t="n">
        <v>116.6</v>
      </c>
      <c r="O714" s="5" t="inlineStr">
        <is>
          <t>parallel line pair</t>
        </is>
      </c>
      <c r="P714" s="5" t="inlineStr">
        <is>
          <t>two parallel lines at the width written in the LG label, empty inside</t>
        </is>
      </c>
      <c r="Q714" s="5">
        <f>IF(OR(D714="column",D714="wall"),IF(I714&lt;='P vs V'!$B$3*J714,"column","wall"),"")</f>
        <v/>
      </c>
      <c r="R714" s="5" t="inlineStr"/>
      <c r="S714" s="5" t="inlineStr"/>
      <c r="T714" s="5" t="n"/>
      <c r="U714" s="5" t="inlineStr">
        <is>
          <t>no</t>
        </is>
      </c>
      <c r="V714" s="5" t="inlineStr">
        <is>
          <t>no</t>
        </is>
      </c>
      <c r="W714" s="5" t="inlineStr">
        <is>
          <t>no</t>
        </is>
      </c>
      <c r="X714" s="5" t="inlineStr">
        <is>
          <t>no</t>
        </is>
      </c>
      <c r="Y714" s="5" t="inlineStr">
        <is>
          <t>no</t>
        </is>
      </c>
      <c r="Z714" s="5" t="inlineStr">
        <is>
          <t>no</t>
        </is>
      </c>
      <c r="AA714" s="5" t="n">
        <v>0.02</v>
      </c>
      <c r="AB714" s="5" t="n"/>
      <c r="AC714" s="5" t="n"/>
      <c r="AD714" s="5" t="n"/>
      <c r="AE714" s="5" t="n">
        <v>1586.1</v>
      </c>
      <c r="AF714" s="5" t="n">
        <v>2729.4</v>
      </c>
      <c r="AG714" s="5" t="n">
        <v>1638.9</v>
      </c>
      <c r="AH714" s="5" t="n">
        <v>2819</v>
      </c>
      <c r="AI714" s="5" t="inlineStr">
        <is>
          <t>n/a</t>
        </is>
      </c>
      <c r="AJ714" s="5" t="inlineStr"/>
      <c r="AK714" s="5" t="inlineStr"/>
      <c r="AL714" s="5" t="inlineStr"/>
      <c r="AM714" s="5" t="inlineStr"/>
    </row>
    <row r="715">
      <c r="A715" s="5" t="n">
        <v>714</v>
      </c>
      <c r="B715" s="5" t="inlineStr">
        <is>
          <t>128</t>
        </is>
      </c>
      <c r="C715" s="5" t="inlineStr">
        <is>
          <t>nearest labels (80% agree)</t>
        </is>
      </c>
      <c r="D715" s="5" t="inlineStr">
        <is>
          <t>strip_footing</t>
        </is>
      </c>
      <c r="E715" s="5" t="inlineStr">
        <is>
          <t>strip_footing</t>
        </is>
      </c>
      <c r="F715" s="5" t="inlineStr">
        <is>
          <t>SF1</t>
        </is>
      </c>
      <c r="G715" s="5" t="inlineStr"/>
      <c r="H715" s="5" t="inlineStr">
        <is>
          <t>band width matches label</t>
        </is>
      </c>
      <c r="I715" s="5" t="n">
        <v>1481</v>
      </c>
      <c r="J715" s="5" t="n">
        <v>80</v>
      </c>
      <c r="K715" s="9">
        <f>IF(AND(ISNUMBER(I715),ISNUMBER(J715),J715&gt;0),I715/J715,"")</f>
        <v/>
      </c>
      <c r="L715" s="5" t="n">
        <v>11.846</v>
      </c>
      <c r="M715" s="5" t="n">
        <v>14.81</v>
      </c>
      <c r="N715" s="5" t="n">
        <v>141</v>
      </c>
      <c r="O715" s="5" t="inlineStr">
        <is>
          <t>parallel line pair</t>
        </is>
      </c>
      <c r="P715" s="5" t="inlineStr">
        <is>
          <t>two parallel lines at the width written in the SF label, a wall inside</t>
        </is>
      </c>
      <c r="Q715" s="5">
        <f>IF(OR(D715="column",D715="wall"),IF(I715&lt;='P vs V'!$B$3*J715,"column","wall"),"")</f>
        <v/>
      </c>
      <c r="R715" s="5" t="inlineStr"/>
      <c r="S715" s="5" t="inlineStr"/>
      <c r="T715" s="5" t="n"/>
      <c r="U715" s="5" t="inlineStr">
        <is>
          <t>no</t>
        </is>
      </c>
      <c r="V715" s="5" t="inlineStr">
        <is>
          <t>no</t>
        </is>
      </c>
      <c r="W715" s="5" t="inlineStr">
        <is>
          <t>yes</t>
        </is>
      </c>
      <c r="X715" s="5" t="inlineStr">
        <is>
          <t>yes</t>
        </is>
      </c>
      <c r="Y715" s="5" t="inlineStr">
        <is>
          <t>yes</t>
        </is>
      </c>
      <c r="Z715" s="5" t="inlineStr">
        <is>
          <t>no</t>
        </is>
      </c>
      <c r="AA715" s="5" t="n">
        <v>1.1</v>
      </c>
      <c r="AB715" s="5" t="n"/>
      <c r="AC715" s="5" t="n"/>
      <c r="AD715" s="5" t="n"/>
      <c r="AE715" s="5" t="n">
        <v>967.4</v>
      </c>
      <c r="AF715" s="5" t="n">
        <v>2491.2</v>
      </c>
      <c r="AG715" s="5" t="n">
        <v>1321.9</v>
      </c>
      <c r="AH715" s="5" t="n">
        <v>2784.9</v>
      </c>
      <c r="AI715" s="5" t="inlineStr">
        <is>
          <t>n/a</t>
        </is>
      </c>
      <c r="AJ715" s="5" t="inlineStr"/>
      <c r="AK715" s="5" t="inlineStr"/>
      <c r="AL715" s="5" t="inlineStr"/>
      <c r="AM715" s="5" t="inlineStr"/>
    </row>
    <row r="716">
      <c r="A716" s="5" t="n">
        <v>715</v>
      </c>
      <c r="B716" s="5" t="inlineStr">
        <is>
          <t>128</t>
        </is>
      </c>
      <c r="C716" s="5" t="inlineStr">
        <is>
          <t>nearest labels (100% agree)</t>
        </is>
      </c>
      <c r="D716" s="5" t="inlineStr">
        <is>
          <t>strip_footing</t>
        </is>
      </c>
      <c r="E716" s="5" t="inlineStr">
        <is>
          <t>strip_footing</t>
        </is>
      </c>
      <c r="F716" s="5" t="inlineStr">
        <is>
          <t>SF1</t>
        </is>
      </c>
      <c r="G716" s="5" t="inlineStr"/>
      <c r="H716" s="5" t="inlineStr">
        <is>
          <t>band width matches label</t>
        </is>
      </c>
      <c r="I716" s="5" t="n">
        <v>104</v>
      </c>
      <c r="J716" s="5" t="n">
        <v>80</v>
      </c>
      <c r="K716" s="9">
        <f>IF(AND(ISNUMBER(I716),ISNUMBER(J716),J716&gt;0),I716/J716,"")</f>
        <v/>
      </c>
      <c r="L716" s="5" t="n">
        <v>0.833</v>
      </c>
      <c r="M716" s="5" t="n">
        <v>1.04</v>
      </c>
      <c r="N716" s="5" t="n">
        <v>26.6</v>
      </c>
      <c r="O716" s="5" t="inlineStr">
        <is>
          <t>parallel line pair</t>
        </is>
      </c>
      <c r="P716" s="5" t="inlineStr">
        <is>
          <t>two parallel lines at the width written in the SF label, a wall inside</t>
        </is>
      </c>
      <c r="Q716" s="5">
        <f>IF(OR(D716="column",D716="wall"),IF(I716&lt;='P vs V'!$B$3*J716,"column","wall"),"")</f>
        <v/>
      </c>
      <c r="R716" s="5" t="inlineStr"/>
      <c r="S716" s="5" t="inlineStr"/>
      <c r="T716" s="5" t="n"/>
      <c r="U716" s="5" t="inlineStr">
        <is>
          <t>no</t>
        </is>
      </c>
      <c r="V716" s="5" t="inlineStr">
        <is>
          <t>no</t>
        </is>
      </c>
      <c r="W716" s="5" t="inlineStr">
        <is>
          <t>yes</t>
        </is>
      </c>
      <c r="X716" s="5" t="inlineStr">
        <is>
          <t>yes</t>
        </is>
      </c>
      <c r="Y716" s="5" t="inlineStr">
        <is>
          <t>no</t>
        </is>
      </c>
      <c r="Z716" s="5" t="inlineStr">
        <is>
          <t>yes</t>
        </is>
      </c>
      <c r="AA716" s="5" t="n">
        <v>0.5600000000000001</v>
      </c>
      <c r="AB716" s="5" t="n"/>
      <c r="AC716" s="5" t="n"/>
      <c r="AD716" s="5" t="n"/>
      <c r="AE716" s="5" t="n">
        <v>1415.5</v>
      </c>
      <c r="AF716" s="5" t="n">
        <v>2787.8</v>
      </c>
      <c r="AG716" s="5" t="n">
        <v>1453.6</v>
      </c>
      <c r="AH716" s="5" t="n">
        <v>2822.7</v>
      </c>
      <c r="AI716" s="5" t="inlineStr">
        <is>
          <t>n/a</t>
        </is>
      </c>
      <c r="AJ716" s="5" t="inlineStr"/>
      <c r="AK716" s="5" t="inlineStr"/>
      <c r="AL716" s="5" t="inlineStr"/>
      <c r="AM716" s="5" t="inlineStr"/>
    </row>
    <row r="717">
      <c r="A717" s="5" t="n">
        <v>716</v>
      </c>
      <c r="B717" s="5" t="inlineStr">
        <is>
          <t>128</t>
        </is>
      </c>
      <c r="C717" s="5" t="inlineStr">
        <is>
          <t>nearest labels (100% agree)</t>
        </is>
      </c>
      <c r="D717" s="5" t="inlineStr">
        <is>
          <t>strip_footing</t>
        </is>
      </c>
      <c r="E717" s="5" t="inlineStr">
        <is>
          <t>strip_footing</t>
        </is>
      </c>
      <c r="F717" s="5" t="inlineStr">
        <is>
          <t>SF4</t>
        </is>
      </c>
      <c r="G717" s="5" t="inlineStr"/>
      <c r="H717" s="5" t="inlineStr">
        <is>
          <t>band width matches label</t>
        </is>
      </c>
      <c r="I717" s="5" t="n">
        <v>280</v>
      </c>
      <c r="J717" s="5" t="n">
        <v>120</v>
      </c>
      <c r="K717" s="9">
        <f>IF(AND(ISNUMBER(I717),ISNUMBER(J717),J717&gt;0),I717/J717,"")</f>
        <v/>
      </c>
      <c r="L717" s="5" t="n">
        <v>3.36</v>
      </c>
      <c r="M717" s="5" t="n">
        <v>2.8</v>
      </c>
      <c r="N717" s="5" t="n">
        <v>26.6</v>
      </c>
      <c r="O717" s="5" t="inlineStr">
        <is>
          <t>parallel line pair</t>
        </is>
      </c>
      <c r="P717" s="5" t="inlineStr">
        <is>
          <t>two parallel lines at the width written in the SF label, a wall inside</t>
        </is>
      </c>
      <c r="Q717" s="5">
        <f>IF(OR(D717="column",D717="wall"),IF(I717&lt;='P vs V'!$B$3*J717,"column","wall"),"")</f>
        <v/>
      </c>
      <c r="R717" s="5" t="inlineStr"/>
      <c r="S717" s="5" t="inlineStr"/>
      <c r="T717" s="5" t="n"/>
      <c r="U717" s="5" t="inlineStr">
        <is>
          <t>yes</t>
        </is>
      </c>
      <c r="V717" s="5" t="inlineStr">
        <is>
          <t>no</t>
        </is>
      </c>
      <c r="W717" s="5" t="inlineStr">
        <is>
          <t>yes</t>
        </is>
      </c>
      <c r="X717" s="5" t="inlineStr">
        <is>
          <t>yes</t>
        </is>
      </c>
      <c r="Y717" s="5" t="inlineStr">
        <is>
          <t>no</t>
        </is>
      </c>
      <c r="Z717" s="5" t="inlineStr">
        <is>
          <t>no</t>
        </is>
      </c>
      <c r="AA717" s="5" t="n">
        <v>1.56</v>
      </c>
      <c r="AB717" s="5" t="n"/>
      <c r="AC717" s="5" t="n"/>
      <c r="AD717" s="5" t="n"/>
      <c r="AE717" s="5" t="n">
        <v>1142.4</v>
      </c>
      <c r="AF717" s="5" t="n">
        <v>2940.7</v>
      </c>
      <c r="AG717" s="5" t="n">
        <v>1232.2</v>
      </c>
      <c r="AH717" s="5" t="n">
        <v>3009.4</v>
      </c>
      <c r="AI717" s="5" t="inlineStr">
        <is>
          <t>n/a</t>
        </is>
      </c>
      <c r="AJ717" s="5" t="inlineStr"/>
      <c r="AK717" s="5" t="inlineStr"/>
      <c r="AL717" s="5" t="inlineStr"/>
      <c r="AM717" s="5" t="inlineStr"/>
    </row>
    <row r="718">
      <c r="A718" s="5" t="n">
        <v>717</v>
      </c>
      <c r="B718" s="5" t="inlineStr">
        <is>
          <t>128</t>
        </is>
      </c>
      <c r="C718" s="5" t="inlineStr">
        <is>
          <t>nearest labels (100% agree)</t>
        </is>
      </c>
      <c r="D718" s="5" t="inlineStr">
        <is>
          <t>strip_footing</t>
        </is>
      </c>
      <c r="E718" s="5" t="inlineStr">
        <is>
          <t>strip_footing</t>
        </is>
      </c>
      <c r="F718" s="5" t="inlineStr">
        <is>
          <t>SF4</t>
        </is>
      </c>
      <c r="G718" s="5" t="inlineStr"/>
      <c r="H718" s="5" t="inlineStr">
        <is>
          <t>band width matches label</t>
        </is>
      </c>
      <c r="I718" s="5" t="n">
        <v>100</v>
      </c>
      <c r="J718" s="5" t="n">
        <v>120</v>
      </c>
      <c r="K718" s="9">
        <f>IF(AND(ISNUMBER(I718),ISNUMBER(J718),J718&gt;0),I718/J718,"")</f>
        <v/>
      </c>
      <c r="L718" s="5" t="n">
        <v>1.201</v>
      </c>
      <c r="M718" s="5" t="n">
        <v>1</v>
      </c>
      <c r="N718" s="5" t="n">
        <v>26.6</v>
      </c>
      <c r="O718" s="5" t="inlineStr">
        <is>
          <t>parallel line pair</t>
        </is>
      </c>
      <c r="P718" s="5" t="inlineStr">
        <is>
          <t>two parallel lines at the width written in the SF label, a wall inside</t>
        </is>
      </c>
      <c r="Q718" s="5">
        <f>IF(OR(D718="column",D718="wall"),IF(I718&lt;='P vs V'!$B$3*J718,"column","wall"),"")</f>
        <v/>
      </c>
      <c r="R718" s="5" t="inlineStr"/>
      <c r="S718" s="5" t="inlineStr"/>
      <c r="T718" s="5" t="n"/>
      <c r="U718" s="5" t="inlineStr">
        <is>
          <t>yes</t>
        </is>
      </c>
      <c r="V718" s="5" t="inlineStr">
        <is>
          <t>yes</t>
        </is>
      </c>
      <c r="W718" s="5" t="inlineStr">
        <is>
          <t>yes</t>
        </is>
      </c>
      <c r="X718" s="5" t="inlineStr">
        <is>
          <t>yes</t>
        </is>
      </c>
      <c r="Y718" s="5" t="inlineStr">
        <is>
          <t>no</t>
        </is>
      </c>
      <c r="Z718" s="5" t="inlineStr">
        <is>
          <t>no</t>
        </is>
      </c>
      <c r="AA718" s="5" t="n">
        <v>0.42</v>
      </c>
      <c r="AB718" s="5" t="n"/>
      <c r="AC718" s="5" t="n"/>
      <c r="AD718" s="5" t="n"/>
      <c r="AE718" s="5" t="n">
        <v>1364.9</v>
      </c>
      <c r="AF718" s="5" t="n">
        <v>2699.8</v>
      </c>
      <c r="AG718" s="5" t="n">
        <v>1409.8</v>
      </c>
      <c r="AH718" s="5" t="n">
        <v>2742.1</v>
      </c>
      <c r="AI718" s="5" t="inlineStr">
        <is>
          <t>n/a</t>
        </is>
      </c>
      <c r="AJ718" s="5" t="inlineStr"/>
      <c r="AK718" s="5" t="inlineStr"/>
      <c r="AL718" s="5" t="inlineStr"/>
      <c r="AM718" s="5" t="inlineStr"/>
    </row>
    <row r="719">
      <c r="A719" s="5" t="n">
        <v>718</v>
      </c>
      <c r="B719" s="5" t="inlineStr">
        <is>
          <t>128</t>
        </is>
      </c>
      <c r="C719" s="5" t="inlineStr">
        <is>
          <t>nearest labels (100% agree)</t>
        </is>
      </c>
      <c r="D719" s="5" t="inlineStr">
        <is>
          <t>raft</t>
        </is>
      </c>
      <c r="E719" s="5" t="inlineStr">
        <is>
          <t>raft</t>
        </is>
      </c>
      <c r="F719" s="5" t="inlineStr">
        <is>
          <t>Radier 100</t>
        </is>
      </c>
      <c r="G719" s="5" t="inlineStr">
        <is>
          <t>Radier</t>
        </is>
      </c>
      <c r="H719" s="5" t="inlineStr">
        <is>
          <t>printed</t>
        </is>
      </c>
      <c r="I719" s="5" t="n">
        <v>1950</v>
      </c>
      <c r="J719" s="5" t="n">
        <v>618</v>
      </c>
      <c r="K719" s="9">
        <f>IF(AND(ISNUMBER(I719),ISNUMBER(J719),J719&gt;0),I719/J719,"")</f>
        <v/>
      </c>
      <c r="L719" s="5" t="n">
        <v>114.973</v>
      </c>
      <c r="M719" s="5" t="n"/>
      <c r="N719" s="5" t="n">
        <v>120.8</v>
      </c>
      <c r="O719" s="5" t="inlineStr">
        <is>
          <t>stamp + corner diagonals</t>
        </is>
      </c>
      <c r="P719" s="5" t="inlineStr">
        <is>
          <t>'Radier' stamp; extent from the corner diagonals that stop at the stamp</t>
        </is>
      </c>
      <c r="Q719" s="5">
        <f>IF(OR(D719="column",D719="wall"),IF(I719&lt;='P vs V'!$B$3*J719,"column","wall"),"")</f>
        <v/>
      </c>
      <c r="R719" s="5" t="inlineStr"/>
      <c r="S719" s="5" t="inlineStr"/>
      <c r="T719" s="5" t="n"/>
      <c r="U719" s="5" t="inlineStr">
        <is>
          <t>no</t>
        </is>
      </c>
      <c r="V719" s="5" t="inlineStr">
        <is>
          <t>yes</t>
        </is>
      </c>
      <c r="W719" s="5" t="inlineStr">
        <is>
          <t>yes</t>
        </is>
      </c>
      <c r="X719" s="5" t="inlineStr">
        <is>
          <t>no</t>
        </is>
      </c>
      <c r="Y719" s="5" t="inlineStr">
        <is>
          <t>yes</t>
        </is>
      </c>
      <c r="Z719" s="5" t="inlineStr">
        <is>
          <t>yes</t>
        </is>
      </c>
      <c r="AA719" s="5" t="n">
        <v>0.9</v>
      </c>
      <c r="AB719" s="5" t="n"/>
      <c r="AC719" s="5" t="n"/>
      <c r="AD719" s="5" t="n">
        <v>100</v>
      </c>
      <c r="AE719" s="5" t="n">
        <v>1094.9</v>
      </c>
      <c r="AF719" s="5" t="n">
        <v>2469.4</v>
      </c>
      <c r="AG719" s="5" t="n">
        <v>1546.6</v>
      </c>
      <c r="AH719" s="5" t="n">
        <v>3030.7</v>
      </c>
      <c r="AI719" s="5" t="inlineStr">
        <is>
          <t>n/a</t>
        </is>
      </c>
      <c r="AJ719" s="5" t="inlineStr"/>
      <c r="AK719" s="5" t="inlineStr"/>
      <c r="AL719" s="5" t="inlineStr"/>
      <c r="AM719" s="5" t="inlineStr"/>
    </row>
    <row r="720">
      <c r="A720" s="5" t="n">
        <v>719</v>
      </c>
      <c r="B720" s="5" t="inlineStr">
        <is>
          <t>128</t>
        </is>
      </c>
      <c r="C720" s="5" t="inlineStr">
        <is>
          <t>nearest labels (80% agree)</t>
        </is>
      </c>
      <c r="D720" s="5" t="inlineStr">
        <is>
          <t>raft</t>
        </is>
      </c>
      <c r="E720" s="5" t="inlineStr">
        <is>
          <t>raft</t>
        </is>
      </c>
      <c r="F720" s="5" t="inlineStr">
        <is>
          <t>Radier 100</t>
        </is>
      </c>
      <c r="G720" s="5" t="inlineStr">
        <is>
          <t>Radier1</t>
        </is>
      </c>
      <c r="H720" s="5" t="inlineStr">
        <is>
          <t>printed</t>
        </is>
      </c>
      <c r="I720" s="5" t="n">
        <v>1005</v>
      </c>
      <c r="J720" s="5" t="n">
        <v>450</v>
      </c>
      <c r="K720" s="9">
        <f>IF(AND(ISNUMBER(I720),ISNUMBER(J720),J720&gt;0),I720/J720,"")</f>
        <v/>
      </c>
      <c r="L720" s="5" t="n">
        <v>45.036</v>
      </c>
      <c r="M720" s="5" t="n"/>
      <c r="N720" s="5" t="n">
        <v>26.6</v>
      </c>
      <c r="O720" s="5" t="inlineStr">
        <is>
          <t>stamp + corner diagonals</t>
        </is>
      </c>
      <c r="P720" s="5" t="inlineStr">
        <is>
          <t>'Radier' stamp; extent from the corner diagonals that stop at the stamp</t>
        </is>
      </c>
      <c r="Q720" s="5">
        <f>IF(OR(D720="column",D720="wall"),IF(I720&lt;='P vs V'!$B$3*J720,"column","wall"),"")</f>
        <v/>
      </c>
      <c r="R720" s="5" t="inlineStr"/>
      <c r="S720" s="5" t="inlineStr"/>
      <c r="T720" s="5" t="n"/>
      <c r="U720" s="5" t="inlineStr">
        <is>
          <t>no</t>
        </is>
      </c>
      <c r="V720" s="5" t="inlineStr">
        <is>
          <t>no</t>
        </is>
      </c>
      <c r="W720" s="5" t="inlineStr">
        <is>
          <t>yes</t>
        </is>
      </c>
      <c r="X720" s="5" t="inlineStr">
        <is>
          <t>no</t>
        </is>
      </c>
      <c r="Y720" s="5" t="inlineStr">
        <is>
          <t>yes</t>
        </is>
      </c>
      <c r="Z720" s="5" t="inlineStr">
        <is>
          <t>yes</t>
        </is>
      </c>
      <c r="AA720" s="5" t="n">
        <v>3.5</v>
      </c>
      <c r="AB720" s="5" t="n"/>
      <c r="AC720" s="5" t="n"/>
      <c r="AD720" s="5" t="n">
        <v>100</v>
      </c>
      <c r="AE720" s="5" t="n">
        <v>1594</v>
      </c>
      <c r="AF720" s="5" t="n">
        <v>2594</v>
      </c>
      <c r="AG720" s="5" t="n">
        <v>1918.9</v>
      </c>
      <c r="AH720" s="5" t="n">
        <v>2844.5</v>
      </c>
      <c r="AI720" s="5" t="inlineStr">
        <is>
          <t>n/a</t>
        </is>
      </c>
      <c r="AJ720" s="5" t="inlineStr"/>
      <c r="AK720" s="5" t="inlineStr"/>
      <c r="AL720" s="5" t="inlineStr"/>
      <c r="AM720" s="5" t="inlineStr"/>
    </row>
    <row r="721">
      <c r="A721" s="5" t="n">
        <v>720</v>
      </c>
      <c r="B721" s="5" t="inlineStr">
        <is>
          <t>128</t>
        </is>
      </c>
      <c r="C721" s="5" t="inlineStr">
        <is>
          <t>nearest labels (100% agree)</t>
        </is>
      </c>
      <c r="D721" s="5" t="inlineStr">
        <is>
          <t>sump_pit</t>
        </is>
      </c>
      <c r="E721" s="5" t="inlineStr">
        <is>
          <t>sump_pit</t>
        </is>
      </c>
      <c r="F721" s="5" t="inlineStr">
        <is>
          <t>Fosse 2.00x1.50x1.50</t>
        </is>
      </c>
      <c r="G721" s="5" t="inlineStr">
        <is>
          <t>FOSSE DE RELEVAGE2.00x1.50x1.50</t>
        </is>
      </c>
      <c r="H721" s="5" t="inlineStr">
        <is>
          <t>printed</t>
        </is>
      </c>
      <c r="I721" s="5" t="n">
        <v>200</v>
      </c>
      <c r="J721" s="5" t="n">
        <v>150</v>
      </c>
      <c r="K721" s="9">
        <f>IF(AND(ISNUMBER(I721),ISNUMBER(J721),J721&gt;0),I721/J721,"")</f>
        <v/>
      </c>
      <c r="L721" s="5" t="n">
        <v>3</v>
      </c>
      <c r="M721" s="5" t="n"/>
      <c r="N721" s="5" t="n">
        <v>19.7</v>
      </c>
      <c r="O721" s="5" t="inlineStr">
        <is>
          <t>text</t>
        </is>
      </c>
      <c r="P721" s="5" t="inlineStr">
        <is>
          <t>'FOSSE DE RELEVAGE LxWxH' text (size read from the text)</t>
        </is>
      </c>
      <c r="Q721" s="5">
        <f>IF(OR(D721="column",D721="wall"),IF(I721&lt;='P vs V'!$B$3*J721,"column","wall"),"")</f>
        <v/>
      </c>
      <c r="R721" s="5" t="inlineStr"/>
      <c r="S721" s="5" t="inlineStr"/>
      <c r="T721" s="5" t="n"/>
      <c r="U721" s="5" t="inlineStr">
        <is>
          <t>no</t>
        </is>
      </c>
      <c r="V721" s="5" t="inlineStr">
        <is>
          <t>no</t>
        </is>
      </c>
      <c r="W721" s="5" t="inlineStr">
        <is>
          <t>no</t>
        </is>
      </c>
      <c r="X721" s="5" t="inlineStr">
        <is>
          <t>no</t>
        </is>
      </c>
      <c r="Y721" s="5" t="inlineStr">
        <is>
          <t>no</t>
        </is>
      </c>
      <c r="Z721" s="5" t="inlineStr">
        <is>
          <t>no</t>
        </is>
      </c>
      <c r="AA721" s="5" t="n">
        <v>0.43</v>
      </c>
      <c r="AB721" s="5" t="n"/>
      <c r="AC721" s="5" t="n"/>
      <c r="AD721" s="5" t="n"/>
      <c r="AE721" s="5" t="n">
        <v>1504</v>
      </c>
      <c r="AF721" s="5" t="n">
        <v>2771.7</v>
      </c>
      <c r="AG721" s="5" t="n">
        <v>1533.5</v>
      </c>
      <c r="AH721" s="5" t="n">
        <v>2801.2</v>
      </c>
      <c r="AI721" s="5" t="inlineStr">
        <is>
          <t>n/a</t>
        </is>
      </c>
      <c r="AJ721" s="5" t="inlineStr"/>
      <c r="AK721" s="5" t="inlineStr"/>
      <c r="AL721" s="5" t="inlineStr"/>
      <c r="AM721" s="5" t="inlineStr"/>
    </row>
    <row r="722">
      <c r="A722" s="5" t="n">
        <v>721</v>
      </c>
      <c r="B722" s="5" t="inlineStr">
        <is>
          <t>129</t>
        </is>
      </c>
      <c r="C722" s="5" t="inlineStr">
        <is>
          <t>own label</t>
        </is>
      </c>
      <c r="D722" s="5" t="inlineStr">
        <is>
          <t>column</t>
        </is>
      </c>
      <c r="E722" s="5" t="inlineStr">
        <is>
          <t>column</t>
        </is>
      </c>
      <c r="F722" s="5" t="inlineStr">
        <is>
          <t>P1/129</t>
        </is>
      </c>
      <c r="G722" s="5" t="inlineStr">
        <is>
          <t>P1/129/129</t>
        </is>
      </c>
      <c r="H722" s="5" t="inlineStr">
        <is>
          <t>printed</t>
        </is>
      </c>
      <c r="I722" s="5" t="n">
        <v>100</v>
      </c>
      <c r="J722" s="5" t="n">
        <v>25</v>
      </c>
      <c r="K722" s="9">
        <f>IF(AND(ISNUMBER(I722),ISNUMBER(J722),J722&gt;0),I722/J722,"")</f>
        <v/>
      </c>
      <c r="L722" s="5" t="n">
        <v>0.251</v>
      </c>
      <c r="M722" s="5" t="n"/>
      <c r="N722" s="5" t="n">
        <v>165.4</v>
      </c>
      <c r="O722" s="5" t="inlineStr">
        <is>
          <t>solid fill</t>
        </is>
      </c>
      <c r="P722" s="5" t="inlineStr">
        <is>
          <t>solid fill, rectangle, L &lt;= 4 W (EN 1992-1-1 5.3.1(7))</t>
        </is>
      </c>
      <c r="Q722" s="5">
        <f>IF(OR(D722="column",D722="wall"),IF(I722&lt;='P vs V'!$B$3*J722,"column","wall"),"")</f>
        <v/>
      </c>
      <c r="R722" s="5" t="inlineStr"/>
      <c r="S722" s="5" t="inlineStr"/>
      <c r="T722" s="5" t="n"/>
      <c r="U722" s="5" t="inlineStr">
        <is>
          <t>yes</t>
        </is>
      </c>
      <c r="V722" s="5" t="inlineStr">
        <is>
          <t>yes</t>
        </is>
      </c>
      <c r="W722" s="5" t="inlineStr">
        <is>
          <t>no</t>
        </is>
      </c>
      <c r="X722" s="5" t="inlineStr">
        <is>
          <t>no</t>
        </is>
      </c>
      <c r="Y722" s="5" t="inlineStr">
        <is>
          <t>no</t>
        </is>
      </c>
      <c r="Z722" s="5" t="inlineStr">
        <is>
          <t>no</t>
        </is>
      </c>
      <c r="AA722" s="5" t="n">
        <v>0.18</v>
      </c>
      <c r="AB722" s="5" t="n"/>
      <c r="AC722" s="5" t="n"/>
      <c r="AD722" s="5" t="n"/>
      <c r="AE722" s="5" t="n">
        <v>1014.7</v>
      </c>
      <c r="AF722" s="5" t="n">
        <v>2255.9</v>
      </c>
      <c r="AG722" s="5" t="n">
        <v>1045.1</v>
      </c>
      <c r="AH722" s="5" t="n">
        <v>2270.5</v>
      </c>
      <c r="AI722" s="5" t="inlineStr">
        <is>
          <t>yes</t>
        </is>
      </c>
      <c r="AJ722" s="5" t="inlineStr">
        <is>
          <t>column</t>
        </is>
      </c>
      <c r="AK722" s="5" t="inlineStr"/>
      <c r="AL722" s="5" t="inlineStr">
        <is>
          <t>(0.0, 0.0, 1.0)</t>
        </is>
      </c>
      <c r="AM722" s="5" t="inlineStr">
        <is>
          <t>DM-Poteaux</t>
        </is>
      </c>
    </row>
    <row r="723">
      <c r="A723" s="5" t="n">
        <v>722</v>
      </c>
      <c r="B723" s="5" t="inlineStr">
        <is>
          <t>129</t>
        </is>
      </c>
      <c r="C723" s="5" t="inlineStr">
        <is>
          <t>own label</t>
        </is>
      </c>
      <c r="D723" s="5" t="inlineStr">
        <is>
          <t>column</t>
        </is>
      </c>
      <c r="E723" s="5" t="inlineStr">
        <is>
          <t>column</t>
        </is>
      </c>
      <c r="F723" s="5" t="inlineStr">
        <is>
          <t>P1/129</t>
        </is>
      </c>
      <c r="G723" s="5" t="inlineStr">
        <is>
          <t>P1/129/129</t>
        </is>
      </c>
      <c r="H723" s="5" t="inlineStr">
        <is>
          <t>printed</t>
        </is>
      </c>
      <c r="I723" s="5" t="n">
        <v>100</v>
      </c>
      <c r="J723" s="5" t="n">
        <v>25</v>
      </c>
      <c r="K723" s="9">
        <f>IF(AND(ISNUMBER(I723),ISNUMBER(J723),J723&gt;0),I723/J723,"")</f>
        <v/>
      </c>
      <c r="L723" s="5" t="n">
        <v>0.249</v>
      </c>
      <c r="M723" s="5" t="n"/>
      <c r="N723" s="5" t="n">
        <v>165.3</v>
      </c>
      <c r="O723" s="5" t="inlineStr">
        <is>
          <t>solid fill</t>
        </is>
      </c>
      <c r="P723" s="5" t="inlineStr">
        <is>
          <t>solid fill, rectangle, L &lt;= 4 W (EN 1992-1-1 5.3.1(7))</t>
        </is>
      </c>
      <c r="Q723" s="5">
        <f>IF(OR(D723="column",D723="wall"),IF(I723&lt;='P vs V'!$B$3*J723,"column","wall"),"")</f>
        <v/>
      </c>
      <c r="R723" s="5" t="inlineStr"/>
      <c r="S723" s="5" t="inlineStr"/>
      <c r="T723" s="5" t="n"/>
      <c r="U723" s="5" t="inlineStr">
        <is>
          <t>yes</t>
        </is>
      </c>
      <c r="V723" s="5" t="inlineStr">
        <is>
          <t>yes</t>
        </is>
      </c>
      <c r="W723" s="5" t="inlineStr">
        <is>
          <t>no</t>
        </is>
      </c>
      <c r="X723" s="5" t="inlineStr">
        <is>
          <t>no</t>
        </is>
      </c>
      <c r="Y723" s="5" t="inlineStr">
        <is>
          <t>no</t>
        </is>
      </c>
      <c r="Z723" s="5" t="inlineStr">
        <is>
          <t>no</t>
        </is>
      </c>
      <c r="AA723" s="5" t="n">
        <v>0.01</v>
      </c>
      <c r="AB723" s="5" t="n"/>
      <c r="AC723" s="5" t="n"/>
      <c r="AD723" s="5" t="n"/>
      <c r="AE723" s="5" t="n">
        <v>968</v>
      </c>
      <c r="AF723" s="5" t="n">
        <v>2196.5</v>
      </c>
      <c r="AG723" s="5" t="n">
        <v>998.4</v>
      </c>
      <c r="AH723" s="5" t="n">
        <v>2211.1</v>
      </c>
      <c r="AI723" s="5" t="inlineStr">
        <is>
          <t>yes</t>
        </is>
      </c>
      <c r="AJ723" s="5" t="inlineStr">
        <is>
          <t>column</t>
        </is>
      </c>
      <c r="AK723" s="5" t="inlineStr"/>
      <c r="AL723" s="5" t="inlineStr">
        <is>
          <t>(0.0, 0.0, 1.0)</t>
        </is>
      </c>
      <c r="AM723" s="5" t="inlineStr">
        <is>
          <t>DM-Poteaux</t>
        </is>
      </c>
    </row>
    <row r="724">
      <c r="A724" s="5" t="n">
        <v>723</v>
      </c>
      <c r="B724" s="5" t="inlineStr">
        <is>
          <t>129</t>
        </is>
      </c>
      <c r="C724" s="5" t="inlineStr">
        <is>
          <t>own label</t>
        </is>
      </c>
      <c r="D724" s="5" t="inlineStr">
        <is>
          <t>column</t>
        </is>
      </c>
      <c r="E724" s="5" t="inlineStr">
        <is>
          <t>column</t>
        </is>
      </c>
      <c r="F724" s="5" t="inlineStr">
        <is>
          <t>P2/129</t>
        </is>
      </c>
      <c r="G724" s="5" t="inlineStr">
        <is>
          <t>P2/129/129</t>
        </is>
      </c>
      <c r="H724" s="5" t="inlineStr">
        <is>
          <t>printed</t>
        </is>
      </c>
      <c r="I724" s="5" t="n">
        <v>100</v>
      </c>
      <c r="J724" s="5" t="n">
        <v>45</v>
      </c>
      <c r="K724" s="9">
        <f>IF(AND(ISNUMBER(I724),ISNUMBER(J724),J724&gt;0),I724/J724,"")</f>
        <v/>
      </c>
      <c r="L724" s="5" t="n">
        <v>0.45</v>
      </c>
      <c r="M724" s="5" t="n"/>
      <c r="N724" s="5" t="n">
        <v>75.3</v>
      </c>
      <c r="O724" s="5" t="inlineStr">
        <is>
          <t>solid fill</t>
        </is>
      </c>
      <c r="P724" s="5" t="inlineStr">
        <is>
          <t>solid fill, rectangle, L &lt;= 4 W (EN 1992-1-1 5.3.1(7))</t>
        </is>
      </c>
      <c r="Q724" s="5">
        <f>IF(OR(D724="column",D724="wall"),IF(I724&lt;='P vs V'!$B$3*J724,"column","wall"),"")</f>
        <v/>
      </c>
      <c r="R724" s="5" t="inlineStr">
        <is>
          <t>S19</t>
        </is>
      </c>
      <c r="S724" s="5" t="inlineStr"/>
      <c r="T724" s="5" t="n"/>
      <c r="U724" s="5" t="inlineStr">
        <is>
          <t>no</t>
        </is>
      </c>
      <c r="V724" s="5" t="inlineStr">
        <is>
          <t>no</t>
        </is>
      </c>
      <c r="W724" s="5" t="inlineStr">
        <is>
          <t>no</t>
        </is>
      </c>
      <c r="X724" s="5" t="inlineStr">
        <is>
          <t>no</t>
        </is>
      </c>
      <c r="Y724" s="5" t="inlineStr">
        <is>
          <t>yes</t>
        </is>
      </c>
      <c r="Z724" s="5" t="inlineStr">
        <is>
          <t>no</t>
        </is>
      </c>
      <c r="AA724" s="5" t="n">
        <v>0.32</v>
      </c>
      <c r="AB724" s="5" t="n"/>
      <c r="AC724" s="5" t="n"/>
      <c r="AD724" s="5" t="n"/>
      <c r="AE724" s="5" t="n">
        <v>756.1</v>
      </c>
      <c r="AF724" s="5" t="n">
        <v>2577.3</v>
      </c>
      <c r="AG724" s="5" t="n">
        <v>776.5</v>
      </c>
      <c r="AH724" s="5" t="n">
        <v>2609.2</v>
      </c>
      <c r="AI724" s="5" t="inlineStr">
        <is>
          <t>yes</t>
        </is>
      </c>
      <c r="AJ724" s="5" t="inlineStr">
        <is>
          <t>column</t>
        </is>
      </c>
      <c r="AK724" s="5" t="inlineStr"/>
      <c r="AL724" s="5" t="inlineStr">
        <is>
          <t>(0.0, 0.0, 1.0)</t>
        </is>
      </c>
      <c r="AM724" s="5" t="inlineStr">
        <is>
          <t>DM-Poteaux</t>
        </is>
      </c>
    </row>
    <row r="725">
      <c r="A725" s="5" t="n">
        <v>724</v>
      </c>
      <c r="B725" s="5" t="inlineStr">
        <is>
          <t>129</t>
        </is>
      </c>
      <c r="C725" s="5" t="inlineStr">
        <is>
          <t>nearest labels (100% agree)</t>
        </is>
      </c>
      <c r="D725" s="5" t="inlineStr">
        <is>
          <t>wall</t>
        </is>
      </c>
      <c r="E725" s="5" t="inlineStr">
        <is>
          <t>core_wall_solid</t>
        </is>
      </c>
      <c r="F725" s="5" t="inlineStr">
        <is>
          <t>(none)</t>
        </is>
      </c>
      <c r="G725" s="5" t="inlineStr"/>
      <c r="H725" s="5" t="inlineStr">
        <is>
          <t>none</t>
        </is>
      </c>
      <c r="I725" s="5" t="n">
        <v>132</v>
      </c>
      <c r="J725" s="5" t="n">
        <v>20</v>
      </c>
      <c r="K725" s="9">
        <f>IF(AND(ISNUMBER(I725),ISNUMBER(J725),J725&gt;0),I725/J725,"")</f>
        <v/>
      </c>
      <c r="L725" s="5" t="n">
        <v>0.264</v>
      </c>
      <c r="M725" s="5" t="n"/>
      <c r="N725" s="5" t="n">
        <v>75.2</v>
      </c>
      <c r="O725" s="5" t="inlineStr">
        <is>
          <t>solid fill</t>
        </is>
      </c>
      <c r="P725" s="5" t="inlineStr">
        <is>
          <t>straight stretch of a thin filled outline with bends (pair of parallel faces)</t>
        </is>
      </c>
      <c r="Q725" s="5">
        <f>IF(OR(D725="column",D725="wall"),IF(I725&lt;='P vs V'!$B$3*J725,"column","wall"),"")</f>
        <v/>
      </c>
      <c r="R725" s="5" t="inlineStr"/>
      <c r="S725" s="5" t="inlineStr"/>
      <c r="T725" s="5" t="n"/>
      <c r="U725" s="5" t="inlineStr">
        <is>
          <t>yes</t>
        </is>
      </c>
      <c r="V725" s="5" t="inlineStr">
        <is>
          <t>yes</t>
        </is>
      </c>
      <c r="W725" s="5" t="inlineStr">
        <is>
          <t>yes</t>
        </is>
      </c>
      <c r="X725" s="5" t="inlineStr">
        <is>
          <t>no</t>
        </is>
      </c>
      <c r="Y725" s="5" t="inlineStr">
        <is>
          <t>no</t>
        </is>
      </c>
      <c r="Z725" s="5" t="inlineStr">
        <is>
          <t>no</t>
        </is>
      </c>
      <c r="AA725" s="5" t="n">
        <v>0.01</v>
      </c>
      <c r="AB725" s="5" t="n"/>
      <c r="AC725" s="5" t="n"/>
      <c r="AD725" s="5" t="n"/>
      <c r="AE725" s="5" t="n">
        <v>802.9</v>
      </c>
      <c r="AF725" s="5" t="n">
        <v>2205.4</v>
      </c>
      <c r="AG725" s="5" t="n">
        <v>818.5</v>
      </c>
      <c r="AH725" s="5" t="n">
        <v>2244.6</v>
      </c>
      <c r="AI725" s="5" t="inlineStr">
        <is>
          <t>new</t>
        </is>
      </c>
      <c r="AJ725" s="5" t="inlineStr"/>
      <c r="AK725" s="5" t="inlineStr">
        <is>
          <t>piece of a wall network the colour pipeline left unsplit</t>
        </is>
      </c>
      <c r="AL725" s="5" t="inlineStr"/>
      <c r="AM725" s="5" t="inlineStr"/>
    </row>
    <row r="726">
      <c r="A726" s="5" t="n">
        <v>725</v>
      </c>
      <c r="B726" s="5" t="inlineStr">
        <is>
          <t>129</t>
        </is>
      </c>
      <c r="C726" s="5" t="inlineStr">
        <is>
          <t>nearest labels (100% agree)</t>
        </is>
      </c>
      <c r="D726" s="5" t="inlineStr">
        <is>
          <t>wall</t>
        </is>
      </c>
      <c r="E726" s="5" t="inlineStr">
        <is>
          <t>core_wall_solid</t>
        </is>
      </c>
      <c r="F726" s="5" t="inlineStr">
        <is>
          <t>(none)</t>
        </is>
      </c>
      <c r="G726" s="5" t="inlineStr"/>
      <c r="H726" s="5" t="inlineStr">
        <is>
          <t>none</t>
        </is>
      </c>
      <c r="I726" s="5" t="n">
        <v>293</v>
      </c>
      <c r="J726" s="5" t="n">
        <v>20</v>
      </c>
      <c r="K726" s="9">
        <f>IF(AND(ISNUMBER(I726),ISNUMBER(J726),J726&gt;0),I726/J726,"")</f>
        <v/>
      </c>
      <c r="L726" s="5" t="n">
        <v>0.586</v>
      </c>
      <c r="M726" s="5" t="n"/>
      <c r="N726" s="5" t="n">
        <v>165.3</v>
      </c>
      <c r="O726" s="5" t="inlineStr">
        <is>
          <t>solid fill</t>
        </is>
      </c>
      <c r="P726" s="5" t="inlineStr">
        <is>
          <t>straight stretch of a thin filled outline with bends (pair of parallel faces)</t>
        </is>
      </c>
      <c r="Q726" s="5">
        <f>IF(OR(D726="column",D726="wall"),IF(I726&lt;='P vs V'!$B$3*J726,"column","wall"),"")</f>
        <v/>
      </c>
      <c r="R726" s="5" t="inlineStr"/>
      <c r="S726" s="5" t="inlineStr"/>
      <c r="T726" s="5" t="n"/>
      <c r="U726" s="5" t="inlineStr">
        <is>
          <t>yes</t>
        </is>
      </c>
      <c r="V726" s="5" t="inlineStr">
        <is>
          <t>no</t>
        </is>
      </c>
      <c r="W726" s="5" t="inlineStr">
        <is>
          <t>yes</t>
        </is>
      </c>
      <c r="X726" s="5" t="inlineStr">
        <is>
          <t>no</t>
        </is>
      </c>
      <c r="Y726" s="5" t="inlineStr">
        <is>
          <t>no</t>
        </is>
      </c>
      <c r="Z726" s="5" t="inlineStr">
        <is>
          <t>no</t>
        </is>
      </c>
      <c r="AA726" s="5" t="n">
        <v>0.03</v>
      </c>
      <c r="AB726" s="5" t="n"/>
      <c r="AC726" s="5" t="n"/>
      <c r="AD726" s="5" t="n"/>
      <c r="AE726" s="5" t="n">
        <v>856.3</v>
      </c>
      <c r="AF726" s="5" t="n">
        <v>2337.9</v>
      </c>
      <c r="AG726" s="5" t="n">
        <v>941.5</v>
      </c>
      <c r="AH726" s="5" t="n">
        <v>2365.5</v>
      </c>
      <c r="AI726" s="5" t="inlineStr">
        <is>
          <t>new</t>
        </is>
      </c>
      <c r="AJ726" s="5" t="inlineStr"/>
      <c r="AK726" s="5" t="inlineStr">
        <is>
          <t>piece of a wall network the colour pipeline left unsplit</t>
        </is>
      </c>
      <c r="AL726" s="5" t="inlineStr"/>
      <c r="AM726" s="5" t="inlineStr"/>
    </row>
    <row r="727">
      <c r="A727" s="5" t="n">
        <v>726</v>
      </c>
      <c r="B727" s="5" t="inlineStr">
        <is>
          <t>129</t>
        </is>
      </c>
      <c r="C727" s="5" t="inlineStr">
        <is>
          <t>nearest labels (100% agree)</t>
        </is>
      </c>
      <c r="D727" s="5" t="inlineStr">
        <is>
          <t>wall</t>
        </is>
      </c>
      <c r="E727" s="5" t="inlineStr">
        <is>
          <t>core_wall_solid</t>
        </is>
      </c>
      <c r="F727" s="5" t="inlineStr">
        <is>
          <t>(none)</t>
        </is>
      </c>
      <c r="G727" s="5" t="inlineStr"/>
      <c r="H727" s="5" t="inlineStr">
        <is>
          <t>none</t>
        </is>
      </c>
      <c r="I727" s="5" t="n">
        <v>60</v>
      </c>
      <c r="J727" s="5" t="n">
        <v>20</v>
      </c>
      <c r="K727" s="9">
        <f>IF(AND(ISNUMBER(I727),ISNUMBER(J727),J727&gt;0),I727/J727,"")</f>
        <v/>
      </c>
      <c r="L727" s="5" t="n">
        <v>0.121</v>
      </c>
      <c r="M727" s="5" t="n"/>
      <c r="N727" s="5" t="n">
        <v>75.40000000000001</v>
      </c>
      <c r="O727" s="5" t="inlineStr">
        <is>
          <t>solid fill</t>
        </is>
      </c>
      <c r="P727" s="5" t="inlineStr">
        <is>
          <t>straight stretch of a thin filled outline with bends (pair of parallel faces)</t>
        </is>
      </c>
      <c r="Q727" s="5">
        <f>IF(OR(D727="column",D727="wall"),IF(I727&lt;='P vs V'!$B$3*J727,"column","wall"),"")</f>
        <v/>
      </c>
      <c r="R727" s="5" t="inlineStr"/>
      <c r="S727" s="5" t="inlineStr"/>
      <c r="T727" s="5" t="n"/>
      <c r="U727" s="5" t="inlineStr">
        <is>
          <t>yes</t>
        </is>
      </c>
      <c r="V727" s="5" t="inlineStr">
        <is>
          <t>no</t>
        </is>
      </c>
      <c r="W727" s="5" t="inlineStr">
        <is>
          <t>yes</t>
        </is>
      </c>
      <c r="X727" s="5" t="inlineStr">
        <is>
          <t>no</t>
        </is>
      </c>
      <c r="Y727" s="5" t="inlineStr">
        <is>
          <t>no</t>
        </is>
      </c>
      <c r="Z727" s="5" t="inlineStr">
        <is>
          <t>no</t>
        </is>
      </c>
      <c r="AA727" s="5" t="n">
        <v>0</v>
      </c>
      <c r="AB727" s="5" t="n"/>
      <c r="AC727" s="5" t="n"/>
      <c r="AD727" s="5" t="n"/>
      <c r="AE727" s="5" t="n">
        <v>838.3</v>
      </c>
      <c r="AF727" s="5" t="n">
        <v>2339.4</v>
      </c>
      <c r="AG727" s="5" t="n">
        <v>848.6</v>
      </c>
      <c r="AH727" s="5" t="n">
        <v>2358</v>
      </c>
      <c r="AI727" s="5" t="inlineStr">
        <is>
          <t>new</t>
        </is>
      </c>
      <c r="AJ727" s="5" t="inlineStr"/>
      <c r="AK727" s="5" t="inlineStr">
        <is>
          <t>piece of a wall network the colour pipeline left unsplit</t>
        </is>
      </c>
      <c r="AL727" s="5" t="inlineStr"/>
      <c r="AM727" s="5" t="inlineStr"/>
    </row>
    <row r="728">
      <c r="A728" s="5" t="n">
        <v>727</v>
      </c>
      <c r="B728" s="5" t="inlineStr">
        <is>
          <t>129</t>
        </is>
      </c>
      <c r="C728" s="5" t="inlineStr">
        <is>
          <t>nearest labels (100% agree)</t>
        </is>
      </c>
      <c r="D728" s="5" t="inlineStr">
        <is>
          <t>wall</t>
        </is>
      </c>
      <c r="E728" s="5" t="inlineStr">
        <is>
          <t>core_wall_solid</t>
        </is>
      </c>
      <c r="F728" s="5" t="inlineStr">
        <is>
          <t>(none)</t>
        </is>
      </c>
      <c r="G728" s="5" t="inlineStr"/>
      <c r="H728" s="5" t="inlineStr">
        <is>
          <t>none</t>
        </is>
      </c>
      <c r="I728" s="5" t="n">
        <v>291</v>
      </c>
      <c r="J728" s="5" t="n">
        <v>20</v>
      </c>
      <c r="K728" s="9">
        <f>IF(AND(ISNUMBER(I728),ISNUMBER(J728),J728&gt;0),I728/J728,"")</f>
        <v/>
      </c>
      <c r="L728" s="5" t="n">
        <v>0.583</v>
      </c>
      <c r="M728" s="5" t="n"/>
      <c r="N728" s="5" t="n">
        <v>165.2</v>
      </c>
      <c r="O728" s="5" t="inlineStr">
        <is>
          <t>solid fill</t>
        </is>
      </c>
      <c r="P728" s="5" t="inlineStr">
        <is>
          <t>straight stretch of a thin filled outline with bends (pair of parallel faces)</t>
        </is>
      </c>
      <c r="Q728" s="5">
        <f>IF(OR(D728="column",D728="wall"),IF(I728&lt;='P vs V'!$B$3*J728,"column","wall"),"")</f>
        <v/>
      </c>
      <c r="R728" s="5" t="inlineStr"/>
      <c r="S728" s="5" t="inlineStr"/>
      <c r="T728" s="5" t="n"/>
      <c r="U728" s="5" t="inlineStr">
        <is>
          <t>yes</t>
        </is>
      </c>
      <c r="V728" s="5" t="inlineStr">
        <is>
          <t>no</t>
        </is>
      </c>
      <c r="W728" s="5" t="inlineStr">
        <is>
          <t>yes</t>
        </is>
      </c>
      <c r="X728" s="5" t="inlineStr">
        <is>
          <t>no</t>
        </is>
      </c>
      <c r="Y728" s="5" t="inlineStr">
        <is>
          <t>no</t>
        </is>
      </c>
      <c r="Z728" s="5" t="inlineStr">
        <is>
          <t>no</t>
        </is>
      </c>
      <c r="AA728" s="5" t="n">
        <v>1.11</v>
      </c>
      <c r="AB728" s="5" t="n"/>
      <c r="AC728" s="5" t="n"/>
      <c r="AD728" s="5" t="n"/>
      <c r="AE728" s="5" t="n">
        <v>745.9</v>
      </c>
      <c r="AF728" s="5" t="n">
        <v>2332</v>
      </c>
      <c r="AG728" s="5" t="n">
        <v>830.5</v>
      </c>
      <c r="AH728" s="5" t="n">
        <v>2359.7</v>
      </c>
      <c r="AI728" s="5" t="inlineStr">
        <is>
          <t>new</t>
        </is>
      </c>
      <c r="AJ728" s="5" t="inlineStr"/>
      <c r="AK728" s="5" t="inlineStr">
        <is>
          <t>piece of a wall network the colour pipeline left unsplit</t>
        </is>
      </c>
      <c r="AL728" s="5" t="inlineStr"/>
      <c r="AM728" s="5" t="inlineStr"/>
    </row>
    <row r="729">
      <c r="A729" s="5" t="n">
        <v>728</v>
      </c>
      <c r="B729" s="5" t="inlineStr">
        <is>
          <t>129</t>
        </is>
      </c>
      <c r="C729" s="5" t="inlineStr">
        <is>
          <t>nearest labels (100% agree)</t>
        </is>
      </c>
      <c r="D729" s="5" t="inlineStr">
        <is>
          <t>wall</t>
        </is>
      </c>
      <c r="E729" s="5" t="inlineStr">
        <is>
          <t>core_wall_solid</t>
        </is>
      </c>
      <c r="F729" s="5" t="inlineStr">
        <is>
          <t>(none)</t>
        </is>
      </c>
      <c r="G729" s="5" t="inlineStr"/>
      <c r="H729" s="5" t="inlineStr">
        <is>
          <t>none</t>
        </is>
      </c>
      <c r="I729" s="5" t="n">
        <v>118</v>
      </c>
      <c r="J729" s="5" t="n">
        <v>20</v>
      </c>
      <c r="K729" s="9">
        <f>IF(AND(ISNUMBER(I729),ISNUMBER(J729),J729&gt;0),I729/J729,"")</f>
        <v/>
      </c>
      <c r="L729" s="5" t="n">
        <v>0.237</v>
      </c>
      <c r="M729" s="5" t="n"/>
      <c r="N729" s="5" t="n">
        <v>165.1</v>
      </c>
      <c r="O729" s="5" t="inlineStr">
        <is>
          <t>solid fill</t>
        </is>
      </c>
      <c r="P729" s="5" t="inlineStr">
        <is>
          <t>straight stretch of a thin filled outline with bends (pair of parallel faces)</t>
        </is>
      </c>
      <c r="Q729" s="5">
        <f>IF(OR(D729="column",D729="wall"),IF(I729&lt;='P vs V'!$B$3*J729,"column","wall"),"")</f>
        <v/>
      </c>
      <c r="R729" s="5" t="inlineStr"/>
      <c r="S729" s="5" t="inlineStr"/>
      <c r="T729" s="5" t="n"/>
      <c r="U729" s="5" t="inlineStr">
        <is>
          <t>yes</t>
        </is>
      </c>
      <c r="V729" s="5" t="inlineStr">
        <is>
          <t>no</t>
        </is>
      </c>
      <c r="W729" s="5" t="inlineStr">
        <is>
          <t>yes</t>
        </is>
      </c>
      <c r="X729" s="5" t="inlineStr">
        <is>
          <t>no</t>
        </is>
      </c>
      <c r="Y729" s="5" t="inlineStr">
        <is>
          <t>no</t>
        </is>
      </c>
      <c r="Z729" s="5" t="inlineStr">
        <is>
          <t>no</t>
        </is>
      </c>
      <c r="AA729" s="5" t="n">
        <v>1.11</v>
      </c>
      <c r="AB729" s="5" t="n"/>
      <c r="AC729" s="5" t="n"/>
      <c r="AD729" s="5" t="n"/>
      <c r="AE729" s="5" t="n">
        <v>705.8</v>
      </c>
      <c r="AF729" s="5" t="n">
        <v>2355.7</v>
      </c>
      <c r="AG729" s="5" t="n">
        <v>741</v>
      </c>
      <c r="AH729" s="5" t="n">
        <v>2370.4</v>
      </c>
      <c r="AI729" s="5" t="inlineStr">
        <is>
          <t>new</t>
        </is>
      </c>
      <c r="AJ729" s="5" t="inlineStr"/>
      <c r="AK729" s="5" t="inlineStr">
        <is>
          <t>piece of a wall network the colour pipeline left unsplit</t>
        </is>
      </c>
      <c r="AL729" s="5" t="inlineStr"/>
      <c r="AM729" s="5" t="inlineStr"/>
    </row>
    <row r="730">
      <c r="A730" s="5" t="n">
        <v>729</v>
      </c>
      <c r="B730" s="5" t="inlineStr">
        <is>
          <t>129</t>
        </is>
      </c>
      <c r="C730" s="5" t="inlineStr">
        <is>
          <t>nearest labels (100% agree)</t>
        </is>
      </c>
      <c r="D730" s="5" t="inlineStr">
        <is>
          <t>wall</t>
        </is>
      </c>
      <c r="E730" s="5" t="inlineStr">
        <is>
          <t>core_wall_solid</t>
        </is>
      </c>
      <c r="F730" s="5" t="inlineStr">
        <is>
          <t>(none)</t>
        </is>
      </c>
      <c r="G730" s="5" t="inlineStr"/>
      <c r="H730" s="5" t="inlineStr">
        <is>
          <t>none</t>
        </is>
      </c>
      <c r="I730" s="5" t="n">
        <v>447</v>
      </c>
      <c r="J730" s="5" t="n">
        <v>25</v>
      </c>
      <c r="K730" s="9">
        <f>IF(AND(ISNUMBER(I730),ISNUMBER(J730),J730&gt;0),I730/J730,"")</f>
        <v/>
      </c>
      <c r="L730" s="5" t="n">
        <v>1.115</v>
      </c>
      <c r="M730" s="5" t="n"/>
      <c r="N730" s="5" t="n">
        <v>165.3</v>
      </c>
      <c r="O730" s="5" t="inlineStr">
        <is>
          <t>solid fill</t>
        </is>
      </c>
      <c r="P730" s="5" t="inlineStr">
        <is>
          <t>straight stretch of a thin filled outline with bends (pair of parallel faces)</t>
        </is>
      </c>
      <c r="Q730" s="5">
        <f>IF(OR(D730="column",D730="wall"),IF(I730&lt;='P vs V'!$B$3*J730,"column","wall"),"")</f>
        <v/>
      </c>
      <c r="R730" s="5" t="inlineStr"/>
      <c r="S730" s="5" t="inlineStr"/>
      <c r="T730" s="5" t="n"/>
      <c r="U730" s="5" t="inlineStr">
        <is>
          <t>yes</t>
        </is>
      </c>
      <c r="V730" s="5" t="inlineStr">
        <is>
          <t>no</t>
        </is>
      </c>
      <c r="W730" s="5" t="inlineStr">
        <is>
          <t>yes</t>
        </is>
      </c>
      <c r="X730" s="5" t="inlineStr">
        <is>
          <t>no</t>
        </is>
      </c>
      <c r="Y730" s="5" t="inlineStr">
        <is>
          <t>no</t>
        </is>
      </c>
      <c r="Z730" s="5" t="inlineStr">
        <is>
          <t>no</t>
        </is>
      </c>
      <c r="AA730" s="5" t="n">
        <v>1.14</v>
      </c>
      <c r="AB730" s="5" t="n"/>
      <c r="AC730" s="5" t="n"/>
      <c r="AD730" s="5" t="n"/>
      <c r="AE730" s="5" t="n">
        <v>699.4</v>
      </c>
      <c r="AF730" s="5" t="n">
        <v>2331</v>
      </c>
      <c r="AG730" s="5" t="n">
        <v>828.9</v>
      </c>
      <c r="AH730" s="5" t="n">
        <v>2371.5</v>
      </c>
      <c r="AI730" s="5" t="inlineStr">
        <is>
          <t>new</t>
        </is>
      </c>
      <c r="AJ730" s="5" t="inlineStr"/>
      <c r="AK730" s="5" t="inlineStr">
        <is>
          <t>piece of a wall network the colour pipeline left unsplit</t>
        </is>
      </c>
      <c r="AL730" s="5" t="inlineStr"/>
      <c r="AM730" s="5" t="inlineStr"/>
    </row>
    <row r="731">
      <c r="A731" s="5" t="n">
        <v>730</v>
      </c>
      <c r="B731" s="5" t="inlineStr">
        <is>
          <t>129</t>
        </is>
      </c>
      <c r="C731" s="5" t="inlineStr">
        <is>
          <t>nearest labels (100% agree)</t>
        </is>
      </c>
      <c r="D731" s="5" t="inlineStr">
        <is>
          <t>wall</t>
        </is>
      </c>
      <c r="E731" s="5" t="inlineStr">
        <is>
          <t>core_wall_solid</t>
        </is>
      </c>
      <c r="F731" s="5" t="inlineStr">
        <is>
          <t>(none)</t>
        </is>
      </c>
      <c r="G731" s="5" t="inlineStr"/>
      <c r="H731" s="5" t="inlineStr">
        <is>
          <t>none</t>
        </is>
      </c>
      <c r="I731" s="5" t="n">
        <v>77</v>
      </c>
      <c r="J731" s="5" t="n">
        <v>25</v>
      </c>
      <c r="K731" s="9">
        <f>IF(AND(ISNUMBER(I731),ISNUMBER(J731),J731&gt;0),I731/J731,"")</f>
        <v/>
      </c>
      <c r="L731" s="5" t="n">
        <v>0.193</v>
      </c>
      <c r="M731" s="5" t="n"/>
      <c r="N731" s="5" t="n">
        <v>165.2</v>
      </c>
      <c r="O731" s="5" t="inlineStr">
        <is>
          <t>solid fill</t>
        </is>
      </c>
      <c r="P731" s="5" t="inlineStr">
        <is>
          <t>straight stretch of a thin filled outline with bends (pair of parallel faces)</t>
        </is>
      </c>
      <c r="Q731" s="5">
        <f>IF(OR(D731="column",D731="wall"),IF(I731&lt;='P vs V'!$B$3*J731,"column","wall"),"")</f>
        <v/>
      </c>
      <c r="R731" s="5" t="inlineStr"/>
      <c r="S731" s="5" t="inlineStr"/>
      <c r="T731" s="5" t="n"/>
      <c r="U731" s="5" t="inlineStr">
        <is>
          <t>yes</t>
        </is>
      </c>
      <c r="V731" s="5" t="inlineStr">
        <is>
          <t>no</t>
        </is>
      </c>
      <c r="W731" s="5" t="inlineStr">
        <is>
          <t>yes</t>
        </is>
      </c>
      <c r="X731" s="5" t="inlineStr">
        <is>
          <t>no</t>
        </is>
      </c>
      <c r="Y731" s="5" t="inlineStr">
        <is>
          <t>no</t>
        </is>
      </c>
      <c r="Z731" s="5" t="inlineStr">
        <is>
          <t>no</t>
        </is>
      </c>
      <c r="AA731" s="5" t="n">
        <v>0</v>
      </c>
      <c r="AB731" s="5" t="n"/>
      <c r="AC731" s="5" t="n"/>
      <c r="AD731" s="5" t="n"/>
      <c r="AE731" s="5" t="n">
        <v>851</v>
      </c>
      <c r="AF731" s="5" t="n">
        <v>2353.9</v>
      </c>
      <c r="AG731" s="5" t="n">
        <v>874.8</v>
      </c>
      <c r="AH731" s="5" t="n">
        <v>2366.9</v>
      </c>
      <c r="AI731" s="5" t="inlineStr">
        <is>
          <t>new</t>
        </is>
      </c>
      <c r="AJ731" s="5" t="inlineStr"/>
      <c r="AK731" s="5" t="inlineStr">
        <is>
          <t>piece of a wall network the colour pipeline left unsplit</t>
        </is>
      </c>
      <c r="AL731" s="5" t="inlineStr"/>
      <c r="AM731" s="5" t="inlineStr"/>
    </row>
    <row r="732">
      <c r="A732" s="5" t="n">
        <v>731</v>
      </c>
      <c r="B732" s="5" t="inlineStr">
        <is>
          <t>129</t>
        </is>
      </c>
      <c r="C732" s="5" t="inlineStr">
        <is>
          <t>nearest labels (100% agree)</t>
        </is>
      </c>
      <c r="D732" s="5" t="inlineStr">
        <is>
          <t>wall</t>
        </is>
      </c>
      <c r="E732" s="5" t="inlineStr">
        <is>
          <t>core_wall_solid</t>
        </is>
      </c>
      <c r="F732" s="5" t="inlineStr">
        <is>
          <t>(none)</t>
        </is>
      </c>
      <c r="G732" s="5" t="inlineStr"/>
      <c r="H732" s="5" t="inlineStr">
        <is>
          <t>none</t>
        </is>
      </c>
      <c r="I732" s="5" t="n">
        <v>67</v>
      </c>
      <c r="J732" s="5" t="n">
        <v>26</v>
      </c>
      <c r="K732" s="9">
        <f>IF(AND(ISNUMBER(I732),ISNUMBER(J732),J732&gt;0),I732/J732,"")</f>
        <v/>
      </c>
      <c r="L732" s="5" t="n">
        <v>0.173</v>
      </c>
      <c r="M732" s="5" t="n"/>
      <c r="N732" s="5" t="n">
        <v>75</v>
      </c>
      <c r="O732" s="5" t="inlineStr">
        <is>
          <t>solid fill</t>
        </is>
      </c>
      <c r="P732" s="5" t="inlineStr">
        <is>
          <t>straight stretch of a thin filled outline with bends (pair of parallel faces)</t>
        </is>
      </c>
      <c r="Q732" s="5">
        <f>IF(OR(D732="column",D732="wall"),IF(I732&lt;='P vs V'!$B$3*J732,"column","wall"),"")</f>
        <v/>
      </c>
      <c r="R732" s="5" t="inlineStr"/>
      <c r="S732" s="5" t="inlineStr"/>
      <c r="T732" s="5" t="n"/>
      <c r="U732" s="5" t="inlineStr">
        <is>
          <t>yes</t>
        </is>
      </c>
      <c r="V732" s="5" t="inlineStr">
        <is>
          <t>no</t>
        </is>
      </c>
      <c r="W732" s="5" t="inlineStr">
        <is>
          <t>yes</t>
        </is>
      </c>
      <c r="X732" s="5" t="inlineStr">
        <is>
          <t>no</t>
        </is>
      </c>
      <c r="Y732" s="5" t="inlineStr">
        <is>
          <t>no</t>
        </is>
      </c>
      <c r="Z732" s="5" t="inlineStr">
        <is>
          <t>no</t>
        </is>
      </c>
      <c r="AA732" s="5" t="n">
        <v>0.02</v>
      </c>
      <c r="AB732" s="5" t="n"/>
      <c r="AC732" s="5" t="n"/>
      <c r="AD732" s="5" t="n"/>
      <c r="AE732" s="5" t="n">
        <v>838.5</v>
      </c>
      <c r="AF732" s="5" t="n">
        <v>2340.4</v>
      </c>
      <c r="AG732" s="5" t="n">
        <v>850.9</v>
      </c>
      <c r="AH732" s="5" t="n">
        <v>2361.6</v>
      </c>
      <c r="AI732" s="5" t="inlineStr">
        <is>
          <t>new</t>
        </is>
      </c>
      <c r="AJ732" s="5" t="inlineStr"/>
      <c r="AK732" s="5" t="inlineStr">
        <is>
          <t>piece of a wall network the colour pipeline left unsplit</t>
        </is>
      </c>
      <c r="AL732" s="5" t="inlineStr"/>
      <c r="AM732" s="5" t="inlineStr"/>
    </row>
    <row r="733">
      <c r="A733" s="5" t="n">
        <v>732</v>
      </c>
      <c r="B733" s="5" t="inlineStr">
        <is>
          <t>129</t>
        </is>
      </c>
      <c r="C733" s="5" t="inlineStr">
        <is>
          <t>nearest labels (60% agree)</t>
        </is>
      </c>
      <c r="D733" s="5" t="inlineStr">
        <is>
          <t>wall</t>
        </is>
      </c>
      <c r="E733" s="5" t="inlineStr">
        <is>
          <t>retaining_wall</t>
        </is>
      </c>
      <c r="F733" s="5" t="inlineStr">
        <is>
          <t>VP20</t>
        </is>
      </c>
      <c r="G733" s="5" t="inlineStr"/>
      <c r="H733" s="5" t="inlineStr">
        <is>
          <t>thickness matches a VP type</t>
        </is>
      </c>
      <c r="I733" s="5" t="n">
        <v>1716</v>
      </c>
      <c r="J733" s="5" t="n">
        <v>20</v>
      </c>
      <c r="K733" s="9">
        <f>IF(AND(ISNUMBER(I733),ISNUMBER(J733),J733&gt;0),I733/J733,"")</f>
        <v/>
      </c>
      <c r="L733" s="5" t="n">
        <v>3.358</v>
      </c>
      <c r="M733" s="5" t="n"/>
      <c r="N733" s="5" t="n">
        <v>140.9</v>
      </c>
      <c r="O733" s="5" t="inlineStr">
        <is>
          <t>solid fill</t>
        </is>
      </c>
      <c r="P733" s="5" t="inlineStr">
        <is>
          <t>solid fill, rectangle, L &gt; 4 W (EN 1992-1-1 5.3.1(7))</t>
        </is>
      </c>
      <c r="Q733" s="5">
        <f>IF(OR(D733="column",D733="wall"),IF(I733&lt;='P vs V'!$B$3*J733,"column","wall"),"")</f>
        <v/>
      </c>
      <c r="R733" s="5" t="inlineStr"/>
      <c r="S733" s="5" t="inlineStr"/>
      <c r="T733" s="5" t="n"/>
      <c r="U733" s="5" t="inlineStr">
        <is>
          <t>no</t>
        </is>
      </c>
      <c r="V733" s="5" t="inlineStr">
        <is>
          <t>no</t>
        </is>
      </c>
      <c r="W733" s="5" t="inlineStr">
        <is>
          <t>yes</t>
        </is>
      </c>
      <c r="X733" s="5" t="inlineStr">
        <is>
          <t>yes</t>
        </is>
      </c>
      <c r="Y733" s="5" t="inlineStr">
        <is>
          <t>yes</t>
        </is>
      </c>
      <c r="Z733" s="5" t="inlineStr">
        <is>
          <t>no</t>
        </is>
      </c>
      <c r="AA733" s="5" t="n">
        <v>1.87</v>
      </c>
      <c r="AB733" s="5" t="n"/>
      <c r="AC733" s="5" t="n"/>
      <c r="AD733" s="5" t="n"/>
      <c r="AE733" s="5" t="n">
        <v>774.2</v>
      </c>
      <c r="AF733" s="5" t="n">
        <v>2330.7</v>
      </c>
      <c r="AG733" s="5" t="n">
        <v>1169.2</v>
      </c>
      <c r="AH733" s="5" t="n">
        <v>2654.7</v>
      </c>
      <c r="AI733" s="5" t="inlineStr">
        <is>
          <t>new</t>
        </is>
      </c>
      <c r="AJ733" s="5" t="inlineStr"/>
      <c r="AK733" s="5" t="inlineStr">
        <is>
          <t>piece of a wall network the colour pipeline left unsplit</t>
        </is>
      </c>
      <c r="AL733" s="5" t="inlineStr">
        <is>
          <t>(0.87, 0.0, 0.87)</t>
        </is>
      </c>
      <c r="AM733" s="5" t="inlineStr">
        <is>
          <t>DM-VOILE</t>
        </is>
      </c>
    </row>
    <row r="734">
      <c r="A734" s="5" t="n">
        <v>733</v>
      </c>
      <c r="B734" s="5" t="inlineStr">
        <is>
          <t>129</t>
        </is>
      </c>
      <c r="C734" s="5" t="inlineStr">
        <is>
          <t>nearest labels (60% agree)</t>
        </is>
      </c>
      <c r="D734" s="5" t="inlineStr">
        <is>
          <t>wall</t>
        </is>
      </c>
      <c r="E734" s="5" t="inlineStr">
        <is>
          <t>retaining_wall</t>
        </is>
      </c>
      <c r="F734" s="5" t="inlineStr">
        <is>
          <t>VP20</t>
        </is>
      </c>
      <c r="G734" s="5" t="inlineStr"/>
      <c r="H734" s="5" t="inlineStr">
        <is>
          <t>thickness matches a VP type</t>
        </is>
      </c>
      <c r="I734" s="5" t="n">
        <v>714</v>
      </c>
      <c r="J734" s="5" t="n">
        <v>20</v>
      </c>
      <c r="K734" s="9">
        <f>IF(AND(ISNUMBER(I734),ISNUMBER(J734),J734&gt;0),I734/J734,"")</f>
        <v/>
      </c>
      <c r="L734" s="5" t="n">
        <v>1.432</v>
      </c>
      <c r="M734" s="5" t="n"/>
      <c r="N734" s="5" t="n">
        <v>140.9</v>
      </c>
      <c r="O734" s="5" t="inlineStr">
        <is>
          <t>solid fill</t>
        </is>
      </c>
      <c r="P734" s="5" t="inlineStr">
        <is>
          <t>solid fill, rectangle, L &gt; 4 W (EN 1992-1-1 5.3.1(7))</t>
        </is>
      </c>
      <c r="Q734" s="5">
        <f>IF(OR(D734="column",D734="wall"),IF(I734&lt;='P vs V'!$B$3*J734,"column","wall"),"")</f>
        <v/>
      </c>
      <c r="R734" s="5" t="inlineStr"/>
      <c r="S734" s="5" t="inlineStr"/>
      <c r="T734" s="5" t="n"/>
      <c r="U734" s="5" t="inlineStr">
        <is>
          <t>no</t>
        </is>
      </c>
      <c r="V734" s="5" t="inlineStr">
        <is>
          <t>no</t>
        </is>
      </c>
      <c r="W734" s="5" t="inlineStr">
        <is>
          <t>yes</t>
        </is>
      </c>
      <c r="X734" s="5" t="inlineStr">
        <is>
          <t>yes</t>
        </is>
      </c>
      <c r="Y734" s="5" t="inlineStr">
        <is>
          <t>no</t>
        </is>
      </c>
      <c r="Z734" s="5" t="inlineStr">
        <is>
          <t>no</t>
        </is>
      </c>
      <c r="AA734" s="5" t="n">
        <v>0.21</v>
      </c>
      <c r="AB734" s="5" t="n"/>
      <c r="AC734" s="5" t="n"/>
      <c r="AD734" s="5" t="n"/>
      <c r="AE734" s="5" t="n">
        <v>840.4</v>
      </c>
      <c r="AF734" s="5" t="n">
        <v>2612.1</v>
      </c>
      <c r="AG734" s="5" t="n">
        <v>1007.7</v>
      </c>
      <c r="AH734" s="5" t="n">
        <v>2749.6</v>
      </c>
      <c r="AI734" s="5" t="inlineStr">
        <is>
          <t>new</t>
        </is>
      </c>
      <c r="AJ734" s="5" t="inlineStr"/>
      <c r="AK734" s="5" t="inlineStr">
        <is>
          <t>piece of a wall network the colour pipeline left unsplit</t>
        </is>
      </c>
      <c r="AL734" s="5" t="inlineStr">
        <is>
          <t>(0.87, 0.0, 0.87)</t>
        </is>
      </c>
      <c r="AM734" s="5" t="inlineStr">
        <is>
          <t>DM-VOILE</t>
        </is>
      </c>
    </row>
    <row r="735">
      <c r="A735" s="5" t="n">
        <v>734</v>
      </c>
      <c r="B735" s="5" t="inlineStr">
        <is>
          <t>129</t>
        </is>
      </c>
      <c r="C735" s="5" t="inlineStr">
        <is>
          <t>nearest labels (60% agree)</t>
        </is>
      </c>
      <c r="D735" s="5" t="inlineStr">
        <is>
          <t>wall</t>
        </is>
      </c>
      <c r="E735" s="5" t="inlineStr">
        <is>
          <t>retaining_wall</t>
        </is>
      </c>
      <c r="F735" s="5" t="inlineStr">
        <is>
          <t>VP20</t>
        </is>
      </c>
      <c r="G735" s="5" t="inlineStr"/>
      <c r="H735" s="5" t="inlineStr">
        <is>
          <t>thickness matches a VP type</t>
        </is>
      </c>
      <c r="I735" s="5" t="n">
        <v>639</v>
      </c>
      <c r="J735" s="5" t="n">
        <v>20</v>
      </c>
      <c r="K735" s="9">
        <f>IF(AND(ISNUMBER(I735),ISNUMBER(J735),J735&gt;0),I735/J735,"")</f>
        <v/>
      </c>
      <c r="L735" s="5" t="n">
        <v>1.282</v>
      </c>
      <c r="M735" s="5" t="n"/>
      <c r="N735" s="5" t="n">
        <v>140.9</v>
      </c>
      <c r="O735" s="5" t="inlineStr">
        <is>
          <t>solid fill</t>
        </is>
      </c>
      <c r="P735" s="5" t="inlineStr">
        <is>
          <t>solid fill, rectangle, L &gt; 4 W (EN 1992-1-1 5.3.1(7))</t>
        </is>
      </c>
      <c r="Q735" s="5">
        <f>IF(OR(D735="column",D735="wall"),IF(I735&lt;='P vs V'!$B$3*J735,"column","wall"),"")</f>
        <v/>
      </c>
      <c r="R735" s="5" t="inlineStr"/>
      <c r="S735" s="5" t="inlineStr"/>
      <c r="T735" s="5" t="n"/>
      <c r="U735" s="5" t="inlineStr">
        <is>
          <t>no</t>
        </is>
      </c>
      <c r="V735" s="5" t="inlineStr">
        <is>
          <t>no</t>
        </is>
      </c>
      <c r="W735" s="5" t="inlineStr">
        <is>
          <t>yes</t>
        </is>
      </c>
      <c r="X735" s="5" t="inlineStr">
        <is>
          <t>yes</t>
        </is>
      </c>
      <c r="Y735" s="5" t="inlineStr">
        <is>
          <t>no</t>
        </is>
      </c>
      <c r="Z735" s="5" t="inlineStr">
        <is>
          <t>no</t>
        </is>
      </c>
      <c r="AA735" s="5" t="n">
        <v>0.67</v>
      </c>
      <c r="AB735" s="5" t="n"/>
      <c r="AC735" s="5" t="n"/>
      <c r="AD735" s="5" t="n"/>
      <c r="AE735" s="5" t="n">
        <v>834.9</v>
      </c>
      <c r="AF735" s="5" t="n">
        <v>2619.2</v>
      </c>
      <c r="AG735" s="5" t="n">
        <v>984.9</v>
      </c>
      <c r="AH735" s="5" t="n">
        <v>2742.8</v>
      </c>
      <c r="AI735" s="5" t="inlineStr">
        <is>
          <t>new</t>
        </is>
      </c>
      <c r="AJ735" s="5" t="inlineStr"/>
      <c r="AK735" s="5" t="inlineStr">
        <is>
          <t>piece of a wall network the colour pipeline left unsplit</t>
        </is>
      </c>
      <c r="AL735" s="5" t="inlineStr">
        <is>
          <t>(0.87, 0.0, 0.87)</t>
        </is>
      </c>
      <c r="AM735" s="5" t="inlineStr">
        <is>
          <t>DM-VOILE</t>
        </is>
      </c>
    </row>
    <row r="736">
      <c r="A736" s="5" t="n">
        <v>735</v>
      </c>
      <c r="B736" s="5" t="inlineStr">
        <is>
          <t>129</t>
        </is>
      </c>
      <c r="C736" s="5" t="inlineStr">
        <is>
          <t>nearest labels (80% agree)</t>
        </is>
      </c>
      <c r="D736" s="5" t="inlineStr">
        <is>
          <t>wall</t>
        </is>
      </c>
      <c r="E736" s="5" t="inlineStr">
        <is>
          <t>retaining_wall</t>
        </is>
      </c>
      <c r="F736" s="5" t="inlineStr">
        <is>
          <t>VP20</t>
        </is>
      </c>
      <c r="G736" s="5" t="inlineStr"/>
      <c r="H736" s="5" t="inlineStr">
        <is>
          <t>thickness matches a VP type</t>
        </is>
      </c>
      <c r="I736" s="5" t="n">
        <v>492</v>
      </c>
      <c r="J736" s="5" t="n">
        <v>20</v>
      </c>
      <c r="K736" s="9">
        <f>IF(AND(ISNUMBER(I736),ISNUMBER(J736),J736&gt;0),I736/J736,"")</f>
        <v/>
      </c>
      <c r="L736" s="5" t="n">
        <v>0.951</v>
      </c>
      <c r="M736" s="5" t="n"/>
      <c r="N736" s="5" t="n">
        <v>75.3</v>
      </c>
      <c r="O736" s="5" t="inlineStr">
        <is>
          <t>solid fill</t>
        </is>
      </c>
      <c r="P736" s="5" t="inlineStr">
        <is>
          <t>solid fill, rectangle, L &gt; 4 W (EN 1992-1-1 5.3.1(7))</t>
        </is>
      </c>
      <c r="Q736" s="5">
        <f>IF(OR(D736="column",D736="wall"),IF(I736&lt;='P vs V'!$B$3*J736,"column","wall"),"")</f>
        <v/>
      </c>
      <c r="R736" s="5" t="inlineStr"/>
      <c r="S736" s="5" t="inlineStr"/>
      <c r="T736" s="5" t="n"/>
      <c r="U736" s="5" t="inlineStr">
        <is>
          <t>no</t>
        </is>
      </c>
      <c r="V736" s="5" t="inlineStr">
        <is>
          <t>no</t>
        </is>
      </c>
      <c r="W736" s="5" t="inlineStr">
        <is>
          <t>yes</t>
        </is>
      </c>
      <c r="X736" s="5" t="inlineStr">
        <is>
          <t>yes</t>
        </is>
      </c>
      <c r="Y736" s="5" t="inlineStr">
        <is>
          <t>no</t>
        </is>
      </c>
      <c r="Z736" s="5" t="inlineStr">
        <is>
          <t>no</t>
        </is>
      </c>
      <c r="AA736" s="5" t="n">
        <v>2.6</v>
      </c>
      <c r="AB736" s="5" t="n"/>
      <c r="AC736" s="5" t="n"/>
      <c r="AD736" s="5" t="n"/>
      <c r="AE736" s="5" t="n">
        <v>948</v>
      </c>
      <c r="AF736" s="5" t="n">
        <v>2341.9</v>
      </c>
      <c r="AG736" s="5" t="n">
        <v>990.4</v>
      </c>
      <c r="AH736" s="5" t="n">
        <v>2481.2</v>
      </c>
      <c r="AI736" s="5" t="inlineStr">
        <is>
          <t>new</t>
        </is>
      </c>
      <c r="AJ736" s="5" t="inlineStr"/>
      <c r="AK736" s="5" t="inlineStr">
        <is>
          <t>piece of a wall network the colour pipeline left unsplit</t>
        </is>
      </c>
      <c r="AL736" s="5" t="inlineStr">
        <is>
          <t>(0.87, 0.0, 0.87)</t>
        </is>
      </c>
      <c r="AM736" s="5" t="inlineStr">
        <is>
          <t>DM-VOILE</t>
        </is>
      </c>
    </row>
    <row r="737">
      <c r="A737" s="5" t="n">
        <v>736</v>
      </c>
      <c r="B737" s="5" t="inlineStr">
        <is>
          <t>129</t>
        </is>
      </c>
      <c r="C737" s="5" t="inlineStr">
        <is>
          <t>nearest labels (100% agree)</t>
        </is>
      </c>
      <c r="D737" s="5" t="inlineStr">
        <is>
          <t>wall</t>
        </is>
      </c>
      <c r="E737" s="5" t="inlineStr">
        <is>
          <t>retaining_wall</t>
        </is>
      </c>
      <c r="F737" s="5" t="inlineStr">
        <is>
          <t>VP20</t>
        </is>
      </c>
      <c r="G737" s="5" t="inlineStr"/>
      <c r="H737" s="5" t="inlineStr">
        <is>
          <t>thickness matches a VP type</t>
        </is>
      </c>
      <c r="I737" s="5" t="n">
        <v>494</v>
      </c>
      <c r="J737" s="5" t="n">
        <v>20</v>
      </c>
      <c r="K737" s="9">
        <f>IF(AND(ISNUMBER(I737),ISNUMBER(J737),J737&gt;0),I737/J737,"")</f>
        <v/>
      </c>
      <c r="L737" s="5" t="n">
        <v>0.9409999999999999</v>
      </c>
      <c r="M737" s="5" t="n"/>
      <c r="N737" s="5" t="n">
        <v>165.3</v>
      </c>
      <c r="O737" s="5" t="inlineStr">
        <is>
          <t>solid fill</t>
        </is>
      </c>
      <c r="P737" s="5" t="inlineStr">
        <is>
          <t>solid fill, rectangle, L &gt; 4 W (EN 1992-1-1 5.3.1(7))</t>
        </is>
      </c>
      <c r="Q737" s="5">
        <f>IF(OR(D737="column",D737="wall"),IF(I737&lt;='P vs V'!$B$3*J737,"column","wall"),"")</f>
        <v/>
      </c>
      <c r="R737" s="5" t="inlineStr"/>
      <c r="S737" s="5" t="inlineStr"/>
      <c r="T737" s="5" t="n"/>
      <c r="U737" s="5" t="inlineStr">
        <is>
          <t>yes</t>
        </is>
      </c>
      <c r="V737" s="5" t="inlineStr">
        <is>
          <t>yes</t>
        </is>
      </c>
      <c r="W737" s="5" t="inlineStr">
        <is>
          <t>yes</t>
        </is>
      </c>
      <c r="X737" s="5" t="inlineStr">
        <is>
          <t>yes</t>
        </is>
      </c>
      <c r="Y737" s="5" t="inlineStr">
        <is>
          <t>no</t>
        </is>
      </c>
      <c r="Z737" s="5" t="inlineStr">
        <is>
          <t>no</t>
        </is>
      </c>
      <c r="AA737" s="5" t="n">
        <v>0.03</v>
      </c>
      <c r="AB737" s="5" t="n"/>
      <c r="AC737" s="5" t="n"/>
      <c r="AD737" s="5" t="n"/>
      <c r="AE737" s="5" t="n">
        <v>677.4</v>
      </c>
      <c r="AF737" s="5" t="n">
        <v>2244.9</v>
      </c>
      <c r="AG737" s="5" t="n">
        <v>820.1</v>
      </c>
      <c r="AH737" s="5" t="n">
        <v>2284.2</v>
      </c>
      <c r="AI737" s="5" t="inlineStr">
        <is>
          <t>new</t>
        </is>
      </c>
      <c r="AJ737" s="5" t="inlineStr"/>
      <c r="AK737" s="5" t="inlineStr">
        <is>
          <t>piece of a wall network the colour pipeline left unsplit</t>
        </is>
      </c>
      <c r="AL737" s="5" t="inlineStr">
        <is>
          <t>(0.87, 0.0, 0.87)</t>
        </is>
      </c>
      <c r="AM737" s="5" t="inlineStr">
        <is>
          <t>DM-VOILE</t>
        </is>
      </c>
    </row>
    <row r="738">
      <c r="A738" s="5" t="n">
        <v>737</v>
      </c>
      <c r="B738" s="5" t="inlineStr">
        <is>
          <t>129</t>
        </is>
      </c>
      <c r="C738" s="5" t="inlineStr">
        <is>
          <t>nearest labels (60% agree)</t>
        </is>
      </c>
      <c r="D738" s="5" t="inlineStr">
        <is>
          <t>wall</t>
        </is>
      </c>
      <c r="E738" s="5" t="inlineStr">
        <is>
          <t>retaining_wall</t>
        </is>
      </c>
      <c r="F738" s="5" t="inlineStr">
        <is>
          <t>VP20</t>
        </is>
      </c>
      <c r="G738" s="5" t="inlineStr"/>
      <c r="H738" s="5" t="inlineStr">
        <is>
          <t>thickness matches a VP type</t>
        </is>
      </c>
      <c r="I738" s="5" t="n">
        <v>1117</v>
      </c>
      <c r="J738" s="5" t="n">
        <v>20</v>
      </c>
      <c r="K738" s="9">
        <f>IF(AND(ISNUMBER(I738),ISNUMBER(J738),J738&gt;0),I738/J738,"")</f>
        <v/>
      </c>
      <c r="L738" s="5" t="n">
        <v>2.237</v>
      </c>
      <c r="M738" s="5" t="n"/>
      <c r="N738" s="5" t="n">
        <v>75.3</v>
      </c>
      <c r="O738" s="5" t="inlineStr">
        <is>
          <t>solid fill</t>
        </is>
      </c>
      <c r="P738" s="5" t="inlineStr">
        <is>
          <t>straight stretch of a thin filled outline with bends (pair of parallel faces)</t>
        </is>
      </c>
      <c r="Q738" s="5">
        <f>IF(OR(D738="column",D738="wall"),IF(I738&lt;='P vs V'!$B$3*J738,"column","wall"),"")</f>
        <v/>
      </c>
      <c r="R738" s="5" t="inlineStr"/>
      <c r="S738" s="5" t="inlineStr"/>
      <c r="T738" s="5" t="n"/>
      <c r="U738" s="5" t="inlineStr">
        <is>
          <t>no</t>
        </is>
      </c>
      <c r="V738" s="5" t="inlineStr">
        <is>
          <t>no</t>
        </is>
      </c>
      <c r="W738" s="5" t="inlineStr">
        <is>
          <t>yes</t>
        </is>
      </c>
      <c r="X738" s="5" t="inlineStr">
        <is>
          <t>no</t>
        </is>
      </c>
      <c r="Y738" s="5" t="inlineStr">
        <is>
          <t>yes</t>
        </is>
      </c>
      <c r="Z738" s="5" t="inlineStr">
        <is>
          <t>no</t>
        </is>
      </c>
      <c r="AA738" s="5" t="n">
        <v>2.46</v>
      </c>
      <c r="AB738" s="5" t="n"/>
      <c r="AC738" s="5" t="n"/>
      <c r="AD738" s="5" t="n"/>
      <c r="AE738" s="5" t="n">
        <v>821.3</v>
      </c>
      <c r="AF738" s="5" t="n">
        <v>1853.4</v>
      </c>
      <c r="AG738" s="5" t="n">
        <v>910.9</v>
      </c>
      <c r="AH738" s="5" t="n">
        <v>2173.8</v>
      </c>
      <c r="AI738" s="5" t="inlineStr">
        <is>
          <t>new</t>
        </is>
      </c>
      <c r="AJ738" s="5" t="inlineStr"/>
      <c r="AK738" s="5" t="inlineStr">
        <is>
          <t>piece of a wall network the colour pipeline left unsplit</t>
        </is>
      </c>
      <c r="AL738" s="5" t="inlineStr"/>
      <c r="AM738" s="5" t="inlineStr"/>
    </row>
    <row r="739">
      <c r="A739" s="5" t="n">
        <v>738</v>
      </c>
      <c r="B739" s="5" t="inlineStr">
        <is>
          <t>129</t>
        </is>
      </c>
      <c r="C739" s="5" t="inlineStr">
        <is>
          <t>nearest labels (100% agree)</t>
        </is>
      </c>
      <c r="D739" s="5" t="inlineStr">
        <is>
          <t>wall</t>
        </is>
      </c>
      <c r="E739" s="5" t="inlineStr">
        <is>
          <t>retaining_wall</t>
        </is>
      </c>
      <c r="F739" s="5" t="inlineStr">
        <is>
          <t>VP20</t>
        </is>
      </c>
      <c r="G739" s="5" t="inlineStr"/>
      <c r="H739" s="5" t="inlineStr">
        <is>
          <t>thickness matches a VP type</t>
        </is>
      </c>
      <c r="I739" s="5" t="n">
        <v>104</v>
      </c>
      <c r="J739" s="5" t="n">
        <v>20</v>
      </c>
      <c r="K739" s="9">
        <f>IF(AND(ISNUMBER(I739),ISNUMBER(J739),J739&gt;0),I739/J739,"")</f>
        <v/>
      </c>
      <c r="L739" s="5" t="n">
        <v>0.211</v>
      </c>
      <c r="M739" s="5" t="n"/>
      <c r="N739" s="5" t="n">
        <v>75.3</v>
      </c>
      <c r="O739" s="5" t="inlineStr">
        <is>
          <t>solid fill</t>
        </is>
      </c>
      <c r="P739" s="5" t="inlineStr">
        <is>
          <t>straight stretch of a thin filled outline with bends (pair of parallel faces)</t>
        </is>
      </c>
      <c r="Q739" s="5">
        <f>IF(OR(D739="column",D739="wall"),IF(I739&lt;='P vs V'!$B$3*J739,"column","wall"),"")</f>
        <v/>
      </c>
      <c r="R739" s="5" t="inlineStr"/>
      <c r="S739" s="5" t="inlineStr"/>
      <c r="T739" s="5" t="n"/>
      <c r="U739" s="5" t="inlineStr">
        <is>
          <t>yes</t>
        </is>
      </c>
      <c r="V739" s="5" t="inlineStr">
        <is>
          <t>no</t>
        </is>
      </c>
      <c r="W739" s="5" t="inlineStr">
        <is>
          <t>yes</t>
        </is>
      </c>
      <c r="X739" s="5" t="inlineStr">
        <is>
          <t>yes</t>
        </is>
      </c>
      <c r="Y739" s="5" t="inlineStr">
        <is>
          <t>no</t>
        </is>
      </c>
      <c r="Z739" s="5" t="inlineStr">
        <is>
          <t>no</t>
        </is>
      </c>
      <c r="AA739" s="5" t="n">
        <v>1.73</v>
      </c>
      <c r="AB739" s="5" t="n"/>
      <c r="AC739" s="5" t="n"/>
      <c r="AD739" s="5" t="n"/>
      <c r="AE739" s="5" t="n">
        <v>692.1</v>
      </c>
      <c r="AF739" s="5" t="n">
        <v>2334.8</v>
      </c>
      <c r="AG739" s="5" t="n">
        <v>705.7</v>
      </c>
      <c r="AH739" s="5" t="n">
        <v>2366.1</v>
      </c>
      <c r="AI739" s="5" t="inlineStr">
        <is>
          <t>new</t>
        </is>
      </c>
      <c r="AJ739" s="5" t="inlineStr"/>
      <c r="AK739" s="5" t="inlineStr">
        <is>
          <t>piece of a wall network the colour pipeline left unsplit</t>
        </is>
      </c>
      <c r="AL739" s="5" t="inlineStr"/>
      <c r="AM739" s="5" t="inlineStr"/>
    </row>
    <row r="740">
      <c r="A740" s="5" t="n">
        <v>739</v>
      </c>
      <c r="B740" s="5" t="inlineStr">
        <is>
          <t>129</t>
        </is>
      </c>
      <c r="C740" s="5" t="inlineStr">
        <is>
          <t>nearest labels (100% agree)</t>
        </is>
      </c>
      <c r="D740" s="5" t="inlineStr">
        <is>
          <t>wall</t>
        </is>
      </c>
      <c r="E740" s="5" t="inlineStr">
        <is>
          <t>retaining_wall</t>
        </is>
      </c>
      <c r="F740" s="5" t="inlineStr">
        <is>
          <t>VP25</t>
        </is>
      </c>
      <c r="G740" s="5" t="inlineStr"/>
      <c r="H740" s="5" t="inlineStr">
        <is>
          <t>thickness matches a VP type</t>
        </is>
      </c>
      <c r="I740" s="5" t="n">
        <v>270</v>
      </c>
      <c r="J740" s="5" t="n">
        <v>25</v>
      </c>
      <c r="K740" s="9">
        <f>IF(AND(ISNUMBER(I740),ISNUMBER(J740),J740&gt;0),I740/J740,"")</f>
        <v/>
      </c>
      <c r="L740" s="5" t="n">
        <v>0.681</v>
      </c>
      <c r="M740" s="5" t="n"/>
      <c r="N740" s="5" t="n">
        <v>75.3</v>
      </c>
      <c r="O740" s="5" t="inlineStr">
        <is>
          <t>solid fill</t>
        </is>
      </c>
      <c r="P740" s="5" t="inlineStr">
        <is>
          <t>straight stretch of a thin filled outline with bends (pair of parallel faces)</t>
        </is>
      </c>
      <c r="Q740" s="5">
        <f>IF(OR(D740="column",D740="wall"),IF(I740&lt;='P vs V'!$B$3*J740,"column","wall"),"")</f>
        <v/>
      </c>
      <c r="R740" s="5" t="inlineStr"/>
      <c r="S740" s="5" t="inlineStr"/>
      <c r="T740" s="5" t="n"/>
      <c r="U740" s="5" t="inlineStr">
        <is>
          <t>yes</t>
        </is>
      </c>
      <c r="V740" s="5" t="inlineStr">
        <is>
          <t>no</t>
        </is>
      </c>
      <c r="W740" s="5" t="inlineStr">
        <is>
          <t>yes</t>
        </is>
      </c>
      <c r="X740" s="5" t="inlineStr">
        <is>
          <t>yes</t>
        </is>
      </c>
      <c r="Y740" s="5" t="inlineStr">
        <is>
          <t>no</t>
        </is>
      </c>
      <c r="Z740" s="5" t="inlineStr">
        <is>
          <t>no</t>
        </is>
      </c>
      <c r="AA740" s="5" t="n">
        <v>1.48</v>
      </c>
      <c r="AB740" s="5" t="n"/>
      <c r="AC740" s="5" t="n"/>
      <c r="AD740" s="5" t="n"/>
      <c r="AE740" s="5" t="n">
        <v>679.2</v>
      </c>
      <c r="AF740" s="5" t="n">
        <v>2285.4</v>
      </c>
      <c r="AG740" s="5" t="n">
        <v>706.6</v>
      </c>
      <c r="AH740" s="5" t="n">
        <v>2364.4</v>
      </c>
      <c r="AI740" s="5" t="inlineStr">
        <is>
          <t>new</t>
        </is>
      </c>
      <c r="AJ740" s="5" t="inlineStr"/>
      <c r="AK740" s="5" t="inlineStr">
        <is>
          <t>piece of a wall network the colour pipeline left unsplit</t>
        </is>
      </c>
      <c r="AL740" s="5" t="inlineStr"/>
      <c r="AM740" s="5" t="inlineStr"/>
    </row>
    <row r="741">
      <c r="A741" s="5" t="n">
        <v>740</v>
      </c>
      <c r="B741" s="5" t="inlineStr">
        <is>
          <t>129</t>
        </is>
      </c>
      <c r="C741" s="5" t="inlineStr">
        <is>
          <t>own label</t>
        </is>
      </c>
      <c r="D741" s="5" t="inlineStr">
        <is>
          <t>wall</t>
        </is>
      </c>
      <c r="E741" s="5" t="inlineStr">
        <is>
          <t>shear_wall</t>
        </is>
      </c>
      <c r="F741" s="5" t="inlineStr">
        <is>
          <t>V1/129</t>
        </is>
      </c>
      <c r="G741" s="5" t="inlineStr">
        <is>
          <t>V1/129/129</t>
        </is>
      </c>
      <c r="H741" s="5" t="inlineStr">
        <is>
          <t>printed</t>
        </is>
      </c>
      <c r="I741" s="5" t="n">
        <v>125</v>
      </c>
      <c r="J741" s="5" t="n">
        <v>25</v>
      </c>
      <c r="K741" s="9">
        <f>IF(AND(ISNUMBER(I741),ISNUMBER(J741),J741&gt;0),I741/J741,"")</f>
        <v/>
      </c>
      <c r="L741" s="5" t="n">
        <v>0.314</v>
      </c>
      <c r="M741" s="5" t="n"/>
      <c r="N741" s="5" t="n">
        <v>165.3</v>
      </c>
      <c r="O741" s="5" t="inlineStr">
        <is>
          <t>solid fill</t>
        </is>
      </c>
      <c r="P741" s="5" t="inlineStr">
        <is>
          <t>solid fill, rectangle, L &gt; 4 W (EN 1992-1-1 5.3.1(7))</t>
        </is>
      </c>
      <c r="Q741" s="5">
        <f>IF(OR(D741="column",D741="wall"),IF(I741&lt;='P vs V'!$B$3*J741,"column","wall"),"")</f>
        <v/>
      </c>
      <c r="R741" s="5" t="inlineStr">
        <is>
          <t>SC9</t>
        </is>
      </c>
      <c r="S741" s="5" t="inlineStr"/>
      <c r="T741" s="5" t="n"/>
      <c r="U741" s="5" t="inlineStr">
        <is>
          <t>no</t>
        </is>
      </c>
      <c r="V741" s="5" t="inlineStr">
        <is>
          <t>no</t>
        </is>
      </c>
      <c r="W741" s="5" t="inlineStr">
        <is>
          <t>yes</t>
        </is>
      </c>
      <c r="X741" s="5" t="inlineStr">
        <is>
          <t>no</t>
        </is>
      </c>
      <c r="Y741" s="5" t="inlineStr">
        <is>
          <t>yes</t>
        </is>
      </c>
      <c r="Z741" s="5" t="inlineStr">
        <is>
          <t>no</t>
        </is>
      </c>
      <c r="AA741" s="5" t="n">
        <v>3</v>
      </c>
      <c r="AB741" s="5" t="n"/>
      <c r="AC741" s="5" t="n"/>
      <c r="AD741" s="5" t="n"/>
      <c r="AE741" s="5" t="n">
        <v>799.9</v>
      </c>
      <c r="AF741" s="5" t="n">
        <v>1851</v>
      </c>
      <c r="AG741" s="5" t="n">
        <v>837.4</v>
      </c>
      <c r="AH741" s="5" t="n">
        <v>1867.6</v>
      </c>
      <c r="AI741" s="5" t="inlineStr">
        <is>
          <t>new</t>
        </is>
      </c>
      <c r="AJ741" s="5" t="inlineStr"/>
      <c r="AK741" s="5" t="inlineStr">
        <is>
          <t>piece of a wall network the colour pipeline left unsplit</t>
        </is>
      </c>
      <c r="AL741" s="5" t="inlineStr">
        <is>
          <t>(0.87, 0.0, 0.87)</t>
        </is>
      </c>
      <c r="AM741" s="5" t="inlineStr">
        <is>
          <t>DM-VOILE</t>
        </is>
      </c>
    </row>
    <row r="742">
      <c r="A742" s="5" t="n">
        <v>741</v>
      </c>
      <c r="B742" s="5" t="inlineStr">
        <is>
          <t>129</t>
        </is>
      </c>
      <c r="C742" s="5" t="inlineStr">
        <is>
          <t>own label</t>
        </is>
      </c>
      <c r="D742" s="5" t="inlineStr">
        <is>
          <t>wall</t>
        </is>
      </c>
      <c r="E742" s="5" t="inlineStr">
        <is>
          <t>shear_wall</t>
        </is>
      </c>
      <c r="F742" s="5" t="inlineStr">
        <is>
          <t>V1/129</t>
        </is>
      </c>
      <c r="G742" s="5" t="inlineStr">
        <is>
          <t>V1/129/129</t>
        </is>
      </c>
      <c r="H742" s="5" t="inlineStr">
        <is>
          <t>printed</t>
        </is>
      </c>
      <c r="I742" s="5" t="n">
        <v>125</v>
      </c>
      <c r="J742" s="5" t="n">
        <v>25</v>
      </c>
      <c r="K742" s="9">
        <f>IF(AND(ISNUMBER(I742),ISNUMBER(J742),J742&gt;0),I742/J742,"")</f>
        <v/>
      </c>
      <c r="L742" s="5" t="n">
        <v>0.313</v>
      </c>
      <c r="M742" s="5" t="n"/>
      <c r="N742" s="5" t="n">
        <v>141</v>
      </c>
      <c r="O742" s="5" t="inlineStr">
        <is>
          <t>solid fill</t>
        </is>
      </c>
      <c r="P742" s="5" t="inlineStr">
        <is>
          <t>solid fill, rectangle, L &gt; 4 W (EN 1992-1-1 5.3.1(7))</t>
        </is>
      </c>
      <c r="Q742" s="5">
        <f>IF(OR(D742="column",D742="wall"),IF(I742&lt;='P vs V'!$B$3*J742,"column","wall"),"")</f>
        <v/>
      </c>
      <c r="R742" s="5" t="inlineStr">
        <is>
          <t>SC1</t>
        </is>
      </c>
      <c r="S742" s="5" t="inlineStr"/>
      <c r="T742" s="5" t="n"/>
      <c r="U742" s="5" t="inlineStr">
        <is>
          <t>no</t>
        </is>
      </c>
      <c r="V742" s="5" t="inlineStr">
        <is>
          <t>no</t>
        </is>
      </c>
      <c r="W742" s="5" t="inlineStr">
        <is>
          <t>yes</t>
        </is>
      </c>
      <c r="X742" s="5" t="inlineStr">
        <is>
          <t>no</t>
        </is>
      </c>
      <c r="Y742" s="5" t="inlineStr">
        <is>
          <t>no</t>
        </is>
      </c>
      <c r="Z742" s="5" t="inlineStr">
        <is>
          <t>no</t>
        </is>
      </c>
      <c r="AA742" s="5" t="n">
        <v>4.17</v>
      </c>
      <c r="AB742" s="5" t="n"/>
      <c r="AC742" s="5" t="n"/>
      <c r="AD742" s="5" t="n"/>
      <c r="AE742" s="5" t="n">
        <v>805.2</v>
      </c>
      <c r="AF742" s="5" t="n">
        <v>2737</v>
      </c>
      <c r="AG742" s="5" t="n">
        <v>838.6</v>
      </c>
      <c r="AH742" s="5" t="n">
        <v>2766</v>
      </c>
      <c r="AI742" s="5" t="inlineStr">
        <is>
          <t>new</t>
        </is>
      </c>
      <c r="AJ742" s="5" t="inlineStr"/>
      <c r="AK742" s="5" t="inlineStr">
        <is>
          <t>piece of a wall network the colour pipeline left unsplit</t>
        </is>
      </c>
      <c r="AL742" s="5" t="inlineStr">
        <is>
          <t>(0.87, 0.0, 0.87)</t>
        </is>
      </c>
      <c r="AM742" s="5" t="inlineStr">
        <is>
          <t>DM-VOILE</t>
        </is>
      </c>
    </row>
    <row r="743">
      <c r="A743" s="5" t="n">
        <v>742</v>
      </c>
      <c r="B743" s="5" t="inlineStr">
        <is>
          <t>129</t>
        </is>
      </c>
      <c r="C743" s="5" t="inlineStr">
        <is>
          <t>own label</t>
        </is>
      </c>
      <c r="D743" s="5" t="inlineStr">
        <is>
          <t>wall</t>
        </is>
      </c>
      <c r="E743" s="5" t="inlineStr">
        <is>
          <t>shear_wall</t>
        </is>
      </c>
      <c r="F743" s="5" t="inlineStr">
        <is>
          <t>V1/129</t>
        </is>
      </c>
      <c r="G743" s="5" t="inlineStr">
        <is>
          <t>V1/129/129</t>
        </is>
      </c>
      <c r="H743" s="5" t="inlineStr">
        <is>
          <t>printed</t>
        </is>
      </c>
      <c r="I743" s="5" t="n">
        <v>125</v>
      </c>
      <c r="J743" s="5" t="n">
        <v>25</v>
      </c>
      <c r="K743" s="9">
        <f>IF(AND(ISNUMBER(I743),ISNUMBER(J743),J743&gt;0),I743/J743,"")</f>
        <v/>
      </c>
      <c r="L743" s="5" t="n">
        <v>0.312</v>
      </c>
      <c r="M743" s="5" t="n"/>
      <c r="N743" s="5" t="n">
        <v>165.3</v>
      </c>
      <c r="O743" s="5" t="inlineStr">
        <is>
          <t>solid fill</t>
        </is>
      </c>
      <c r="P743" s="5" t="inlineStr">
        <is>
          <t>solid fill, rectangle, L &gt; 4 W (EN 1992-1-1 5.3.1(7))</t>
        </is>
      </c>
      <c r="Q743" s="5">
        <f>IF(OR(D743="column",D743="wall"),IF(I743&lt;='P vs V'!$B$3*J743,"column","wall"),"")</f>
        <v/>
      </c>
      <c r="R743" s="5" t="inlineStr">
        <is>
          <t>SC1</t>
        </is>
      </c>
      <c r="S743" s="5" t="inlineStr"/>
      <c r="T743" s="5" t="n"/>
      <c r="U743" s="5" t="inlineStr">
        <is>
          <t>no</t>
        </is>
      </c>
      <c r="V743" s="5" t="inlineStr">
        <is>
          <t>no</t>
        </is>
      </c>
      <c r="W743" s="5" t="inlineStr">
        <is>
          <t>no</t>
        </is>
      </c>
      <c r="X743" s="5" t="inlineStr">
        <is>
          <t>no</t>
        </is>
      </c>
      <c r="Y743" s="5" t="inlineStr">
        <is>
          <t>yes</t>
        </is>
      </c>
      <c r="Z743" s="5" t="inlineStr">
        <is>
          <t>yes</t>
        </is>
      </c>
      <c r="AA743" s="5" t="n">
        <v>0.01</v>
      </c>
      <c r="AB743" s="5" t="n"/>
      <c r="AC743" s="5" t="n"/>
      <c r="AD743" s="5" t="n"/>
      <c r="AE743" s="5" t="n">
        <v>1031.6</v>
      </c>
      <c r="AF743" s="5" t="n">
        <v>1790</v>
      </c>
      <c r="AG743" s="5" t="n">
        <v>1069.2</v>
      </c>
      <c r="AH743" s="5" t="n">
        <v>1806.5</v>
      </c>
      <c r="AI743" s="5" t="inlineStr">
        <is>
          <t>yes</t>
        </is>
      </c>
      <c r="AJ743" s="5" t="inlineStr">
        <is>
          <t>shear_wall</t>
        </is>
      </c>
      <c r="AK743" s="5" t="inlineStr"/>
      <c r="AL743" s="5" t="inlineStr">
        <is>
          <t>(0.87, 0.0, 0.87)</t>
        </is>
      </c>
      <c r="AM743" s="5" t="inlineStr">
        <is>
          <t>DM-VOILE</t>
        </is>
      </c>
    </row>
    <row r="744">
      <c r="A744" s="5" t="n">
        <v>743</v>
      </c>
      <c r="B744" s="5" t="inlineStr">
        <is>
          <t>129</t>
        </is>
      </c>
      <c r="C744" s="5" t="inlineStr">
        <is>
          <t>own label</t>
        </is>
      </c>
      <c r="D744" s="5" t="inlineStr">
        <is>
          <t>wall</t>
        </is>
      </c>
      <c r="E744" s="5" t="inlineStr">
        <is>
          <t>shear_wall</t>
        </is>
      </c>
      <c r="F744" s="5" t="inlineStr">
        <is>
          <t>V3/129</t>
        </is>
      </c>
      <c r="G744" s="5" t="inlineStr">
        <is>
          <t>V3/129/129</t>
        </is>
      </c>
      <c r="H744" s="5" t="inlineStr">
        <is>
          <t>printed</t>
        </is>
      </c>
      <c r="I744" s="5" t="n">
        <v>200</v>
      </c>
      <c r="J744" s="5" t="n">
        <v>30</v>
      </c>
      <c r="K744" s="9">
        <f>IF(AND(ISNUMBER(I744),ISNUMBER(J744),J744&gt;0),I744/J744,"")</f>
        <v/>
      </c>
      <c r="L744" s="5" t="n">
        <v>0.6</v>
      </c>
      <c r="M744" s="5" t="n"/>
      <c r="N744" s="5" t="n">
        <v>165.3</v>
      </c>
      <c r="O744" s="5" t="inlineStr">
        <is>
          <t>solid fill</t>
        </is>
      </c>
      <c r="P744" s="5" t="inlineStr">
        <is>
          <t>solid fill, rectangle, L &gt; 4 W (EN 1992-1-1 5.3.1(7))</t>
        </is>
      </c>
      <c r="Q744" s="5">
        <f>IF(OR(D744="column",D744="wall"),IF(I744&lt;='P vs V'!$B$3*J744,"column","wall"),"")</f>
        <v/>
      </c>
      <c r="R744" s="5" t="inlineStr">
        <is>
          <t>S11</t>
        </is>
      </c>
      <c r="S744" s="5" t="inlineStr"/>
      <c r="T744" s="5" t="n"/>
      <c r="U744" s="5" t="inlineStr">
        <is>
          <t>no</t>
        </is>
      </c>
      <c r="V744" s="5" t="inlineStr">
        <is>
          <t>no</t>
        </is>
      </c>
      <c r="W744" s="5" t="inlineStr">
        <is>
          <t>no</t>
        </is>
      </c>
      <c r="X744" s="5" t="inlineStr">
        <is>
          <t>no</t>
        </is>
      </c>
      <c r="Y744" s="5" t="inlineStr">
        <is>
          <t>yes</t>
        </is>
      </c>
      <c r="Z744" s="5" t="inlineStr">
        <is>
          <t>yes</t>
        </is>
      </c>
      <c r="AA744" s="5" t="n">
        <v>0.58</v>
      </c>
      <c r="AB744" s="5" t="n"/>
      <c r="AC744" s="5" t="n"/>
      <c r="AD744" s="5" t="n"/>
      <c r="AE744" s="5" t="n">
        <v>1052.2</v>
      </c>
      <c r="AF744" s="5" t="n">
        <v>1973.2</v>
      </c>
      <c r="AG744" s="5" t="n">
        <v>1111.6</v>
      </c>
      <c r="AH744" s="5" t="n">
        <v>1996.7</v>
      </c>
      <c r="AI744" s="5" t="inlineStr">
        <is>
          <t>yes</t>
        </is>
      </c>
      <c r="AJ744" s="5" t="inlineStr">
        <is>
          <t>shear_wall</t>
        </is>
      </c>
      <c r="AK744" s="5" t="inlineStr"/>
      <c r="AL744" s="5" t="inlineStr">
        <is>
          <t>(0.87, 0.0, 0.87)</t>
        </is>
      </c>
      <c r="AM744" s="5" t="inlineStr">
        <is>
          <t>DM-VOILE</t>
        </is>
      </c>
    </row>
    <row r="745">
      <c r="A745" s="5" t="n">
        <v>744</v>
      </c>
      <c r="B745" s="5" t="inlineStr">
        <is>
          <t>129</t>
        </is>
      </c>
      <c r="C745" s="5" t="inlineStr">
        <is>
          <t>own label</t>
        </is>
      </c>
      <c r="D745" s="5" t="inlineStr">
        <is>
          <t>wall</t>
        </is>
      </c>
      <c r="E745" s="5" t="inlineStr">
        <is>
          <t>shear_wall</t>
        </is>
      </c>
      <c r="F745" s="5" t="inlineStr">
        <is>
          <t>V5/129</t>
        </is>
      </c>
      <c r="G745" s="5" t="inlineStr">
        <is>
          <t>V5/129/129</t>
        </is>
      </c>
      <c r="H745" s="5" t="inlineStr">
        <is>
          <t>printed</t>
        </is>
      </c>
      <c r="I745" s="5" t="n">
        <v>200</v>
      </c>
      <c r="J745" s="5" t="n">
        <v>30</v>
      </c>
      <c r="K745" s="9">
        <f>IF(AND(ISNUMBER(I745),ISNUMBER(J745),J745&gt;0),I745/J745,"")</f>
        <v/>
      </c>
      <c r="L745" s="5" t="n">
        <v>0.6</v>
      </c>
      <c r="M745" s="5" t="n"/>
      <c r="N745" s="5" t="n">
        <v>165.3</v>
      </c>
      <c r="O745" s="5" t="inlineStr">
        <is>
          <t>solid fill</t>
        </is>
      </c>
      <c r="P745" s="5" t="inlineStr">
        <is>
          <t>solid fill, rectangle, L &gt; 4 W (EN 1992-1-1 5.3.1(7))</t>
        </is>
      </c>
      <c r="Q745" s="5">
        <f>IF(OR(D745="column",D745="wall"),IF(I745&lt;='P vs V'!$B$3*J745,"column","wall"),"")</f>
        <v/>
      </c>
      <c r="R745" s="5" t="inlineStr"/>
      <c r="S745" s="5" t="inlineStr"/>
      <c r="T745" s="5" t="n"/>
      <c r="U745" s="5" t="inlineStr">
        <is>
          <t>yes</t>
        </is>
      </c>
      <c r="V745" s="5" t="inlineStr">
        <is>
          <t>no</t>
        </is>
      </c>
      <c r="W745" s="5" t="inlineStr">
        <is>
          <t>no</t>
        </is>
      </c>
      <c r="X745" s="5" t="inlineStr">
        <is>
          <t>no</t>
        </is>
      </c>
      <c r="Y745" s="5" t="inlineStr">
        <is>
          <t>yes</t>
        </is>
      </c>
      <c r="Z745" s="5" t="inlineStr">
        <is>
          <t>no</t>
        </is>
      </c>
      <c r="AA745" s="5" t="n">
        <v>0.04</v>
      </c>
      <c r="AB745" s="5" t="n"/>
      <c r="AC745" s="5" t="n"/>
      <c r="AD745" s="5" t="n"/>
      <c r="AE745" s="5" t="n">
        <v>1104.1</v>
      </c>
      <c r="AF745" s="5" t="n">
        <v>2151.8</v>
      </c>
      <c r="AG745" s="5" t="n">
        <v>1163.5</v>
      </c>
      <c r="AH745" s="5" t="n">
        <v>2175.4</v>
      </c>
      <c r="AI745" s="5" t="inlineStr">
        <is>
          <t>yes</t>
        </is>
      </c>
      <c r="AJ745" s="5" t="inlineStr">
        <is>
          <t>shear_wall</t>
        </is>
      </c>
      <c r="AK745" s="5" t="inlineStr"/>
      <c r="AL745" s="5" t="inlineStr">
        <is>
          <t>(0.87, 0.0, 0.87)</t>
        </is>
      </c>
      <c r="AM745" s="5" t="inlineStr">
        <is>
          <t>DM-VOILE</t>
        </is>
      </c>
    </row>
    <row r="746">
      <c r="A746" s="5" t="n">
        <v>745</v>
      </c>
      <c r="B746" s="5" t="inlineStr">
        <is>
          <t>129</t>
        </is>
      </c>
      <c r="C746" s="5" t="inlineStr">
        <is>
          <t>own label</t>
        </is>
      </c>
      <c r="D746" s="5" t="inlineStr">
        <is>
          <t>wall</t>
        </is>
      </c>
      <c r="E746" s="5" t="inlineStr">
        <is>
          <t>shear_wall</t>
        </is>
      </c>
      <c r="F746" s="5" t="inlineStr">
        <is>
          <t>V6/129</t>
        </is>
      </c>
      <c r="G746" s="5" t="inlineStr">
        <is>
          <t>V6/129/129</t>
        </is>
      </c>
      <c r="H746" s="5" t="inlineStr">
        <is>
          <t>printed</t>
        </is>
      </c>
      <c r="I746" s="5" t="n">
        <v>300</v>
      </c>
      <c r="J746" s="5" t="n">
        <v>25</v>
      </c>
      <c r="K746" s="9">
        <f>IF(AND(ISNUMBER(I746),ISNUMBER(J746),J746&gt;0),I746/J746,"")</f>
        <v/>
      </c>
      <c r="L746" s="5" t="n">
        <v>0.753</v>
      </c>
      <c r="M746" s="5" t="n"/>
      <c r="N746" s="5" t="n">
        <v>75.3</v>
      </c>
      <c r="O746" s="5" t="inlineStr">
        <is>
          <t>solid fill</t>
        </is>
      </c>
      <c r="P746" s="5" t="inlineStr">
        <is>
          <t>solid fill, rectangle, L &gt; 4 W (EN 1992-1-1 5.3.1(7))</t>
        </is>
      </c>
      <c r="Q746" s="5">
        <f>IF(OR(D746="column",D746="wall"),IF(I746&lt;='P vs V'!$B$3*J746,"column","wall"),"")</f>
        <v/>
      </c>
      <c r="R746" s="5" t="inlineStr">
        <is>
          <t>S18</t>
        </is>
      </c>
      <c r="S746" s="5" t="inlineStr"/>
      <c r="T746" s="5" t="n"/>
      <c r="U746" s="5" t="inlineStr">
        <is>
          <t>no</t>
        </is>
      </c>
      <c r="V746" s="5" t="inlineStr">
        <is>
          <t>no</t>
        </is>
      </c>
      <c r="W746" s="5" t="inlineStr">
        <is>
          <t>yes</t>
        </is>
      </c>
      <c r="X746" s="5" t="inlineStr">
        <is>
          <t>no</t>
        </is>
      </c>
      <c r="Y746" s="5" t="inlineStr">
        <is>
          <t>yes</t>
        </is>
      </c>
      <c r="Z746" s="5" t="inlineStr">
        <is>
          <t>no</t>
        </is>
      </c>
      <c r="AA746" s="5" t="n">
        <v>2.47</v>
      </c>
      <c r="AB746" s="5" t="n"/>
      <c r="AC746" s="5" t="n"/>
      <c r="AD746" s="5" t="n"/>
      <c r="AE746" s="5" t="n">
        <v>852.2</v>
      </c>
      <c r="AF746" s="5" t="n">
        <v>1970</v>
      </c>
      <c r="AG746" s="5" t="n">
        <v>881.8</v>
      </c>
      <c r="AH746" s="5" t="n">
        <v>2057.6</v>
      </c>
      <c r="AI746" s="5" t="inlineStr">
        <is>
          <t>new</t>
        </is>
      </c>
      <c r="AJ746" s="5" t="inlineStr"/>
      <c r="AK746" s="5" t="inlineStr">
        <is>
          <t>piece of a wall network the colour pipeline left unsplit</t>
        </is>
      </c>
      <c r="AL746" s="5" t="inlineStr">
        <is>
          <t>(0.87, 0.0, 0.87)</t>
        </is>
      </c>
      <c r="AM746" s="5" t="inlineStr">
        <is>
          <t>DM-VOILE</t>
        </is>
      </c>
    </row>
    <row r="747">
      <c r="A747" s="5" t="n">
        <v>746</v>
      </c>
      <c r="B747" s="5" t="inlineStr">
        <is>
          <t>129</t>
        </is>
      </c>
      <c r="C747" s="5" t="inlineStr">
        <is>
          <t>own label</t>
        </is>
      </c>
      <c r="D747" s="5" t="inlineStr">
        <is>
          <t>wall</t>
        </is>
      </c>
      <c r="E747" s="5" t="inlineStr">
        <is>
          <t>shear_wall</t>
        </is>
      </c>
      <c r="F747" s="5" t="inlineStr">
        <is>
          <t>V8/129</t>
        </is>
      </c>
      <c r="G747" s="5" t="inlineStr">
        <is>
          <t>V8/129/129</t>
        </is>
      </c>
      <c r="H747" s="5" t="inlineStr">
        <is>
          <t>printed</t>
        </is>
      </c>
      <c r="I747" s="5" t="n">
        <v>250</v>
      </c>
      <c r="J747" s="5" t="n">
        <v>25</v>
      </c>
      <c r="K747" s="9">
        <f>IF(AND(ISNUMBER(I747),ISNUMBER(J747),J747&gt;0),I747/J747,"")</f>
        <v/>
      </c>
      <c r="L747" s="5" t="n">
        <v>0.625</v>
      </c>
      <c r="M747" s="5" t="n"/>
      <c r="N747" s="5" t="n">
        <v>140.9</v>
      </c>
      <c r="O747" s="5" t="inlineStr">
        <is>
          <t>solid fill</t>
        </is>
      </c>
      <c r="P747" s="5" t="inlineStr">
        <is>
          <t>solid fill, rectangle, L &gt; 4 W (EN 1992-1-1 5.3.1(7))</t>
        </is>
      </c>
      <c r="Q747" s="5">
        <f>IF(OR(D747="column",D747="wall"),IF(I747&lt;='P vs V'!$B$3*J747,"column","wall"),"")</f>
        <v/>
      </c>
      <c r="R747" s="5" t="inlineStr">
        <is>
          <t>SC3</t>
        </is>
      </c>
      <c r="S747" s="5" t="inlineStr"/>
      <c r="T747" s="5" t="n"/>
      <c r="U747" s="5" t="inlineStr">
        <is>
          <t>no</t>
        </is>
      </c>
      <c r="V747" s="5" t="inlineStr">
        <is>
          <t>no</t>
        </is>
      </c>
      <c r="W747" s="5" t="inlineStr">
        <is>
          <t>yes</t>
        </is>
      </c>
      <c r="X747" s="5" t="inlineStr">
        <is>
          <t>no</t>
        </is>
      </c>
      <c r="Y747" s="5" t="inlineStr">
        <is>
          <t>no</t>
        </is>
      </c>
      <c r="Z747" s="5" t="inlineStr">
        <is>
          <t>no</t>
        </is>
      </c>
      <c r="AA747" s="5" t="n">
        <v>1.92</v>
      </c>
      <c r="AB747" s="5" t="n"/>
      <c r="AC747" s="5" t="n"/>
      <c r="AD747" s="5" t="n"/>
      <c r="AE747" s="5" t="n">
        <v>980.2</v>
      </c>
      <c r="AF747" s="5" t="n">
        <v>2571.5</v>
      </c>
      <c r="AG747" s="5" t="n">
        <v>1042.2</v>
      </c>
      <c r="AH747" s="5" t="n">
        <v>2623.8</v>
      </c>
      <c r="AI747" s="5" t="inlineStr">
        <is>
          <t>new</t>
        </is>
      </c>
      <c r="AJ747" s="5" t="inlineStr"/>
      <c r="AK747" s="5" t="inlineStr">
        <is>
          <t>piece of a wall network the colour pipeline left unsplit</t>
        </is>
      </c>
      <c r="AL747" s="5" t="inlineStr">
        <is>
          <t>(0.87, 0.0, 0.87)</t>
        </is>
      </c>
      <c r="AM747" s="5" t="inlineStr">
        <is>
          <t>DM-VOILE</t>
        </is>
      </c>
    </row>
    <row r="748">
      <c r="A748" s="5" t="n">
        <v>747</v>
      </c>
      <c r="B748" s="5" t="inlineStr">
        <is>
          <t>129</t>
        </is>
      </c>
      <c r="C748" s="5" t="inlineStr">
        <is>
          <t>nearest labels (60% agree)</t>
        </is>
      </c>
      <c r="D748" s="5" t="inlineStr">
        <is>
          <t>wall</t>
        </is>
      </c>
      <c r="E748" s="5" t="inlineStr">
        <is>
          <t>shear_wall</t>
        </is>
      </c>
      <c r="F748" s="5" t="inlineStr">
        <is>
          <t>(none)</t>
        </is>
      </c>
      <c r="G748" s="5" t="inlineStr"/>
      <c r="H748" s="5" t="inlineStr">
        <is>
          <t>none</t>
        </is>
      </c>
      <c r="I748" s="5" t="n">
        <v>125</v>
      </c>
      <c r="J748" s="5" t="n">
        <v>25</v>
      </c>
      <c r="K748" s="9">
        <f>IF(AND(ISNUMBER(I748),ISNUMBER(J748),J748&gt;0),I748/J748,"")</f>
        <v/>
      </c>
      <c r="L748" s="5" t="n">
        <v>0.313</v>
      </c>
      <c r="M748" s="5" t="n"/>
      <c r="N748" s="5" t="n">
        <v>140.8</v>
      </c>
      <c r="O748" s="5" t="inlineStr">
        <is>
          <t>solid fill</t>
        </is>
      </c>
      <c r="P748" s="5" t="inlineStr">
        <is>
          <t>solid fill, rectangle, L &gt; 4 W (EN 1992-1-1 5.3.1(7))</t>
        </is>
      </c>
      <c r="Q748" s="5">
        <f>IF(OR(D748="column",D748="wall"),IF(I748&lt;='P vs V'!$B$3*J748,"column","wall"),"")</f>
        <v/>
      </c>
      <c r="R748" s="5" t="inlineStr">
        <is>
          <t>SC1</t>
        </is>
      </c>
      <c r="S748" s="5" t="inlineStr"/>
      <c r="T748" s="5" t="n"/>
      <c r="U748" s="5" t="inlineStr">
        <is>
          <t>no</t>
        </is>
      </c>
      <c r="V748" s="5" t="inlineStr">
        <is>
          <t>no</t>
        </is>
      </c>
      <c r="W748" s="5" t="inlineStr">
        <is>
          <t>yes</t>
        </is>
      </c>
      <c r="X748" s="5" t="inlineStr">
        <is>
          <t>no</t>
        </is>
      </c>
      <c r="Y748" s="5" t="inlineStr">
        <is>
          <t>no</t>
        </is>
      </c>
      <c r="Z748" s="5" t="inlineStr">
        <is>
          <t>no</t>
        </is>
      </c>
      <c r="AA748" s="5" t="n">
        <v>4.02</v>
      </c>
      <c r="AB748" s="5" t="n"/>
      <c r="AC748" s="5" t="n"/>
      <c r="AD748" s="5" t="n"/>
      <c r="AE748" s="5" t="n">
        <v>811.8</v>
      </c>
      <c r="AF748" s="5" t="n">
        <v>2745</v>
      </c>
      <c r="AG748" s="5" t="n">
        <v>845.1</v>
      </c>
      <c r="AH748" s="5" t="n">
        <v>2774</v>
      </c>
      <c r="AI748" s="5" t="inlineStr">
        <is>
          <t>new</t>
        </is>
      </c>
      <c r="AJ748" s="5" t="inlineStr"/>
      <c r="AK748" s="5" t="inlineStr">
        <is>
          <t>piece of a wall network the colour pipeline left unsplit</t>
        </is>
      </c>
      <c r="AL748" s="5" t="inlineStr">
        <is>
          <t>(0.87, 0.0, 0.87)</t>
        </is>
      </c>
      <c r="AM748" s="5" t="inlineStr">
        <is>
          <t>DM-VOILE</t>
        </is>
      </c>
    </row>
    <row r="749">
      <c r="A749" s="5" t="n">
        <v>748</v>
      </c>
      <c r="B749" s="5" t="inlineStr">
        <is>
          <t>129</t>
        </is>
      </c>
      <c r="C749" s="5" t="inlineStr">
        <is>
          <t>nearest labels (100% agree)</t>
        </is>
      </c>
      <c r="D749" s="5" t="inlineStr">
        <is>
          <t>wall</t>
        </is>
      </c>
      <c r="E749" s="5" t="inlineStr">
        <is>
          <t>shear_wall</t>
        </is>
      </c>
      <c r="F749" s="5" t="inlineStr">
        <is>
          <t>(none)</t>
        </is>
      </c>
      <c r="G749" s="5" t="inlineStr"/>
      <c r="H749" s="5" t="inlineStr">
        <is>
          <t>none</t>
        </is>
      </c>
      <c r="I749" s="5" t="n">
        <v>344</v>
      </c>
      <c r="J749" s="5" t="n">
        <v>20</v>
      </c>
      <c r="K749" s="9">
        <f>IF(AND(ISNUMBER(I749),ISNUMBER(J749),J749&gt;0),I749/J749,"")</f>
        <v/>
      </c>
      <c r="L749" s="5" t="n">
        <v>0.6850000000000001</v>
      </c>
      <c r="M749" s="5" t="n"/>
      <c r="N749" s="5" t="n">
        <v>165.2</v>
      </c>
      <c r="O749" s="5" t="inlineStr">
        <is>
          <t>solid fill</t>
        </is>
      </c>
      <c r="P749" s="5" t="inlineStr">
        <is>
          <t>straight stretch of a thin filled outline with bends (pair of parallel faces)</t>
        </is>
      </c>
      <c r="Q749" s="5">
        <f>IF(OR(D749="column",D749="wall"),IF(I749&lt;='P vs V'!$B$3*J749,"column","wall"),"")</f>
        <v/>
      </c>
      <c r="R749" s="5" t="inlineStr"/>
      <c r="S749" s="5" t="inlineStr"/>
      <c r="T749" s="5" t="n"/>
      <c r="U749" s="5" t="inlineStr">
        <is>
          <t>no</t>
        </is>
      </c>
      <c r="V749" s="5" t="inlineStr">
        <is>
          <t>no</t>
        </is>
      </c>
      <c r="W749" s="5" t="inlineStr">
        <is>
          <t>yes</t>
        </is>
      </c>
      <c r="X749" s="5" t="inlineStr">
        <is>
          <t>no</t>
        </is>
      </c>
      <c r="Y749" s="5" t="inlineStr">
        <is>
          <t>no</t>
        </is>
      </c>
      <c r="Z749" s="5" t="inlineStr">
        <is>
          <t>no</t>
        </is>
      </c>
      <c r="AA749" s="5" t="n">
        <v>0.4</v>
      </c>
      <c r="AB749" s="5" t="n"/>
      <c r="AC749" s="5" t="n"/>
      <c r="AD749" s="5" t="n"/>
      <c r="AE749" s="5" t="n">
        <v>807.1</v>
      </c>
      <c r="AF749" s="5" t="n">
        <v>2173.8</v>
      </c>
      <c r="AG749" s="5" t="n">
        <v>906.7</v>
      </c>
      <c r="AH749" s="5" t="n">
        <v>2205.4</v>
      </c>
      <c r="AI749" s="5" t="inlineStr">
        <is>
          <t>new</t>
        </is>
      </c>
      <c r="AJ749" s="5" t="inlineStr"/>
      <c r="AK749" s="5" t="inlineStr">
        <is>
          <t>piece of a wall network the colour pipeline left unsplit</t>
        </is>
      </c>
      <c r="AL749" s="5" t="inlineStr"/>
      <c r="AM749" s="5" t="inlineStr"/>
    </row>
    <row r="750">
      <c r="A750" s="5" t="n">
        <v>749</v>
      </c>
      <c r="B750" s="5" t="inlineStr">
        <is>
          <t>129</t>
        </is>
      </c>
      <c r="C750" s="5" t="inlineStr">
        <is>
          <t>nearest labels (80% agree)</t>
        </is>
      </c>
      <c r="D750" s="5" t="inlineStr">
        <is>
          <t>wall</t>
        </is>
      </c>
      <c r="E750" s="5" t="inlineStr">
        <is>
          <t>shear_wall</t>
        </is>
      </c>
      <c r="F750" s="5" t="inlineStr">
        <is>
          <t>(none)</t>
        </is>
      </c>
      <c r="G750" s="5" t="inlineStr"/>
      <c r="H750" s="5" t="inlineStr">
        <is>
          <t>none</t>
        </is>
      </c>
      <c r="I750" s="5" t="n">
        <v>365</v>
      </c>
      <c r="J750" s="5" t="n">
        <v>20</v>
      </c>
      <c r="K750" s="9">
        <f>IF(AND(ISNUMBER(I750),ISNUMBER(J750),J750&gt;0),I750/J750,"")</f>
        <v/>
      </c>
      <c r="L750" s="5" t="n">
        <v>0.731</v>
      </c>
      <c r="M750" s="5" t="n"/>
      <c r="N750" s="5" t="n">
        <v>51.3</v>
      </c>
      <c r="O750" s="5" t="inlineStr">
        <is>
          <t>solid fill</t>
        </is>
      </c>
      <c r="P750" s="5" t="inlineStr">
        <is>
          <t>straight stretch of a thin filled outline with bends (pair of parallel faces)</t>
        </is>
      </c>
      <c r="Q750" s="5">
        <f>IF(OR(D750="column",D750="wall"),IF(I750&lt;='P vs V'!$B$3*J750,"column","wall"),"")</f>
        <v/>
      </c>
      <c r="R750" s="5" t="inlineStr"/>
      <c r="S750" s="5" t="inlineStr"/>
      <c r="T750" s="5" t="n"/>
      <c r="U750" s="5" t="inlineStr">
        <is>
          <t>no</t>
        </is>
      </c>
      <c r="V750" s="5" t="inlineStr">
        <is>
          <t>no</t>
        </is>
      </c>
      <c r="W750" s="5" t="inlineStr">
        <is>
          <t>yes</t>
        </is>
      </c>
      <c r="X750" s="5" t="inlineStr">
        <is>
          <t>no</t>
        </is>
      </c>
      <c r="Y750" s="5" t="inlineStr">
        <is>
          <t>yes</t>
        </is>
      </c>
      <c r="Z750" s="5" t="inlineStr">
        <is>
          <t>no</t>
        </is>
      </c>
      <c r="AA750" s="5" t="n">
        <v>3.48</v>
      </c>
      <c r="AB750" s="5" t="n"/>
      <c r="AC750" s="5" t="n"/>
      <c r="AD750" s="5" t="n"/>
      <c r="AE750" s="5" t="n">
        <v>771.3</v>
      </c>
      <c r="AF750" s="5" t="n">
        <v>2654.7</v>
      </c>
      <c r="AG750" s="5" t="n">
        <v>843.4</v>
      </c>
      <c r="AH750" s="5" t="n">
        <v>2742.5</v>
      </c>
      <c r="AI750" s="5" t="inlineStr">
        <is>
          <t>new</t>
        </is>
      </c>
      <c r="AJ750" s="5" t="inlineStr"/>
      <c r="AK750" s="5" t="inlineStr">
        <is>
          <t>piece of a wall network the colour pipeline left unsplit</t>
        </is>
      </c>
      <c r="AL750" s="5" t="inlineStr"/>
      <c r="AM750" s="5" t="inlineStr"/>
    </row>
    <row r="751">
      <c r="A751" s="5" t="n">
        <v>750</v>
      </c>
      <c r="B751" s="5" t="inlineStr">
        <is>
          <t>129</t>
        </is>
      </c>
      <c r="C751" s="5" t="inlineStr">
        <is>
          <t>nearest labels (100% agree)</t>
        </is>
      </c>
      <c r="D751" s="5" t="inlineStr">
        <is>
          <t>wall</t>
        </is>
      </c>
      <c r="E751" s="5" t="inlineStr">
        <is>
          <t>core_wall_hatched</t>
        </is>
      </c>
      <c r="F751" s="5" t="inlineStr">
        <is>
          <t>(none)</t>
        </is>
      </c>
      <c r="G751" s="5" t="inlineStr"/>
      <c r="H751" s="5" t="inlineStr">
        <is>
          <t>none</t>
        </is>
      </c>
      <c r="I751" s="5" t="n">
        <v>1020</v>
      </c>
      <c r="J751" s="5" t="n">
        <v>20</v>
      </c>
      <c r="K751" s="9">
        <f>IF(AND(ISNUMBER(I751),ISNUMBER(J751),J751&gt;0),I751/J751,"")</f>
        <v/>
      </c>
      <c r="L751" s="5" t="n">
        <v>2.061</v>
      </c>
      <c r="M751" s="5" t="n">
        <v>10.2</v>
      </c>
      <c r="N751" s="5" t="n">
        <v>162.5</v>
      </c>
      <c r="O751" s="5" t="inlineStr">
        <is>
          <t>cross-hatch</t>
        </is>
      </c>
      <c r="P751" s="5" t="inlineStr">
        <is>
          <t>cross-hatch of short strokes in two perpendicular families</t>
        </is>
      </c>
      <c r="Q751" s="5">
        <f>IF(OR(D751="column",D751="wall"),IF(I751&lt;='P vs V'!$B$3*J751,"column","wall"),"")</f>
        <v/>
      </c>
      <c r="R751" s="5" t="inlineStr"/>
      <c r="S751" s="5" t="inlineStr"/>
      <c r="T751" s="5" t="n"/>
      <c r="U751" s="5" t="inlineStr">
        <is>
          <t>yes</t>
        </is>
      </c>
      <c r="V751" s="5" t="inlineStr">
        <is>
          <t>no</t>
        </is>
      </c>
      <c r="W751" s="5" t="inlineStr">
        <is>
          <t>yes</t>
        </is>
      </c>
      <c r="X751" s="5" t="inlineStr">
        <is>
          <t>no</t>
        </is>
      </c>
      <c r="Y751" s="5" t="inlineStr">
        <is>
          <t>no</t>
        </is>
      </c>
      <c r="Z751" s="5" t="inlineStr">
        <is>
          <t>no</t>
        </is>
      </c>
      <c r="AA751" s="5" t="n">
        <v>0.15</v>
      </c>
      <c r="AB751" s="5" t="n">
        <v>0.24</v>
      </c>
      <c r="AC751" s="5" t="n"/>
      <c r="AD751" s="5" t="n"/>
      <c r="AE751" s="5" t="n">
        <v>810.3</v>
      </c>
      <c r="AF751" s="5" t="n">
        <v>2202.9</v>
      </c>
      <c r="AG751" s="5" t="n">
        <v>969.9</v>
      </c>
      <c r="AH751" s="5" t="n">
        <v>2294.2</v>
      </c>
      <c r="AI751" s="5" t="inlineStr">
        <is>
          <t>n/a</t>
        </is>
      </c>
      <c r="AJ751" s="5" t="inlineStr"/>
      <c r="AK751" s="5" t="inlineStr"/>
      <c r="AL751" s="5" t="inlineStr"/>
      <c r="AM751" s="5" t="inlineStr"/>
    </row>
    <row r="752">
      <c r="A752" s="5" t="n">
        <v>751</v>
      </c>
      <c r="B752" s="5" t="inlineStr">
        <is>
          <t>129</t>
        </is>
      </c>
      <c r="C752" s="5" t="inlineStr">
        <is>
          <t>nearest labels (100% agree)</t>
        </is>
      </c>
      <c r="D752" s="5" t="inlineStr">
        <is>
          <t>wall</t>
        </is>
      </c>
      <c r="E752" s="5" t="inlineStr">
        <is>
          <t>core_wall_hatched</t>
        </is>
      </c>
      <c r="F752" s="5" t="inlineStr">
        <is>
          <t>(none)</t>
        </is>
      </c>
      <c r="G752" s="5" t="inlineStr"/>
      <c r="H752" s="5" t="inlineStr">
        <is>
          <t>none</t>
        </is>
      </c>
      <c r="I752" s="5" t="n">
        <v>263</v>
      </c>
      <c r="J752" s="5" t="n">
        <v>20</v>
      </c>
      <c r="K752" s="9">
        <f>IF(AND(ISNUMBER(I752),ISNUMBER(J752),J752&gt;0),I752/J752,"")</f>
        <v/>
      </c>
      <c r="L752" s="5" t="n">
        <v>0.531</v>
      </c>
      <c r="M752" s="5" t="n">
        <v>2.63</v>
      </c>
      <c r="N752" s="5" t="n">
        <v>165.3</v>
      </c>
      <c r="O752" s="5" t="inlineStr">
        <is>
          <t>cross-hatch</t>
        </is>
      </c>
      <c r="P752" s="5" t="inlineStr">
        <is>
          <t>cross-hatch of short strokes in two perpendicular families</t>
        </is>
      </c>
      <c r="Q752" s="5">
        <f>IF(OR(D752="column",D752="wall"),IF(I752&lt;='P vs V'!$B$3*J752,"column","wall"),"")</f>
        <v/>
      </c>
      <c r="R752" s="5" t="inlineStr"/>
      <c r="S752" s="5" t="inlineStr"/>
      <c r="T752" s="5" t="n"/>
      <c r="U752" s="5" t="inlineStr">
        <is>
          <t>yes</t>
        </is>
      </c>
      <c r="V752" s="5" t="inlineStr">
        <is>
          <t>no</t>
        </is>
      </c>
      <c r="W752" s="5" t="inlineStr">
        <is>
          <t>no</t>
        </is>
      </c>
      <c r="X752" s="5" t="inlineStr">
        <is>
          <t>no</t>
        </is>
      </c>
      <c r="Y752" s="5" t="inlineStr">
        <is>
          <t>no</t>
        </is>
      </c>
      <c r="Z752" s="5" t="inlineStr">
        <is>
          <t>no</t>
        </is>
      </c>
      <c r="AA752" s="5" t="n">
        <v>1.78</v>
      </c>
      <c r="AB752" s="5" t="n">
        <v>0.24</v>
      </c>
      <c r="AC752" s="5" t="n"/>
      <c r="AD752" s="5" t="n"/>
      <c r="AE752" s="5" t="n">
        <v>839.1</v>
      </c>
      <c r="AF752" s="5" t="n">
        <v>2285.2</v>
      </c>
      <c r="AG752" s="5" t="n">
        <v>935.3</v>
      </c>
      <c r="AH752" s="5" t="n">
        <v>2314.2</v>
      </c>
      <c r="AI752" s="5" t="inlineStr">
        <is>
          <t>n/a</t>
        </is>
      </c>
      <c r="AJ752" s="5" t="inlineStr"/>
      <c r="AK752" s="5" t="inlineStr"/>
      <c r="AL752" s="5" t="inlineStr"/>
      <c r="AM752" s="5" t="inlineStr"/>
    </row>
    <row r="753">
      <c r="A753" s="5" t="n">
        <v>752</v>
      </c>
      <c r="B753" s="5" t="inlineStr">
        <is>
          <t>129</t>
        </is>
      </c>
      <c r="C753" s="5" t="inlineStr">
        <is>
          <t>nearest labels (100% agree)</t>
        </is>
      </c>
      <c r="D753" s="5" t="inlineStr">
        <is>
          <t>wall</t>
        </is>
      </c>
      <c r="E753" s="5" t="inlineStr">
        <is>
          <t>core_wall_hatched</t>
        </is>
      </c>
      <c r="F753" s="5" t="inlineStr">
        <is>
          <t>(none)</t>
        </is>
      </c>
      <c r="G753" s="5" t="inlineStr"/>
      <c r="H753" s="5" t="inlineStr">
        <is>
          <t>none</t>
        </is>
      </c>
      <c r="I753" s="5" t="n">
        <v>689</v>
      </c>
      <c r="J753" s="5" t="n">
        <v>20</v>
      </c>
      <c r="K753" s="9">
        <f>IF(AND(ISNUMBER(I753),ISNUMBER(J753),J753&gt;0),I753/J753,"")</f>
        <v/>
      </c>
      <c r="L753" s="5" t="n">
        <v>1.39</v>
      </c>
      <c r="M753" s="5" t="n">
        <v>6.89</v>
      </c>
      <c r="N753" s="5" t="n">
        <v>165.3</v>
      </c>
      <c r="O753" s="5" t="inlineStr">
        <is>
          <t>cross-hatch</t>
        </is>
      </c>
      <c r="P753" s="5" t="inlineStr">
        <is>
          <t>cross-hatch of short strokes in two perpendicular families</t>
        </is>
      </c>
      <c r="Q753" s="5">
        <f>IF(OR(D753="column",D753="wall"),IF(I753&lt;='P vs V'!$B$3*J753,"column","wall"),"")</f>
        <v/>
      </c>
      <c r="R753" s="5" t="inlineStr"/>
      <c r="S753" s="5" t="inlineStr"/>
      <c r="T753" s="5" t="n"/>
      <c r="U753" s="5" t="inlineStr">
        <is>
          <t>yes</t>
        </is>
      </c>
      <c r="V753" s="5" t="inlineStr">
        <is>
          <t>no</t>
        </is>
      </c>
      <c r="W753" s="5" t="inlineStr">
        <is>
          <t>yes</t>
        </is>
      </c>
      <c r="X753" s="5" t="inlineStr">
        <is>
          <t>no</t>
        </is>
      </c>
      <c r="Y753" s="5" t="inlineStr">
        <is>
          <t>no</t>
        </is>
      </c>
      <c r="Z753" s="5" t="inlineStr">
        <is>
          <t>no</t>
        </is>
      </c>
      <c r="AA753" s="5" t="n">
        <v>0.4</v>
      </c>
      <c r="AB753" s="5" t="n">
        <v>0.24</v>
      </c>
      <c r="AC753" s="5" t="n"/>
      <c r="AD753" s="5" t="n"/>
      <c r="AE753" s="5" t="n">
        <v>995.7</v>
      </c>
      <c r="AF753" s="5" t="n">
        <v>2176.2</v>
      </c>
      <c r="AG753" s="5" t="n">
        <v>1070</v>
      </c>
      <c r="AH753" s="5" t="n">
        <v>2258.3</v>
      </c>
      <c r="AI753" s="5" t="inlineStr">
        <is>
          <t>n/a</t>
        </is>
      </c>
      <c r="AJ753" s="5" t="inlineStr"/>
      <c r="AK753" s="5" t="inlineStr"/>
      <c r="AL753" s="5" t="inlineStr"/>
      <c r="AM753" s="5" t="inlineStr"/>
    </row>
    <row r="754">
      <c r="A754" s="5" t="n">
        <v>753</v>
      </c>
      <c r="B754" s="5" t="inlineStr">
        <is>
          <t>129</t>
        </is>
      </c>
      <c r="C754" s="5" t="inlineStr">
        <is>
          <t>nearest labels (100% agree)</t>
        </is>
      </c>
      <c r="D754" s="5" t="inlineStr">
        <is>
          <t>wall</t>
        </is>
      </c>
      <c r="E754" s="5" t="inlineStr">
        <is>
          <t>core_wall_hatched</t>
        </is>
      </c>
      <c r="F754" s="5" t="inlineStr">
        <is>
          <t>(none)</t>
        </is>
      </c>
      <c r="G754" s="5" t="inlineStr"/>
      <c r="H754" s="5" t="inlineStr">
        <is>
          <t>none</t>
        </is>
      </c>
      <c r="I754" s="5" t="n">
        <v>307</v>
      </c>
      <c r="J754" s="5" t="n">
        <v>20</v>
      </c>
      <c r="K754" s="9">
        <f>IF(AND(ISNUMBER(I754),ISNUMBER(J754),J754&gt;0),I754/J754,"")</f>
        <v/>
      </c>
      <c r="L754" s="5" t="n">
        <v>0.62</v>
      </c>
      <c r="M754" s="5" t="n">
        <v>3.07</v>
      </c>
      <c r="N754" s="5" t="n">
        <v>165.3</v>
      </c>
      <c r="O754" s="5" t="inlineStr">
        <is>
          <t>cross-hatch</t>
        </is>
      </c>
      <c r="P754" s="5" t="inlineStr">
        <is>
          <t>cross-hatch of short strokes in two perpendicular families</t>
        </is>
      </c>
      <c r="Q754" s="5">
        <f>IF(OR(D754="column",D754="wall"),IF(I754&lt;='P vs V'!$B$3*J754,"column","wall"),"")</f>
        <v/>
      </c>
      <c r="R754" s="5" t="inlineStr"/>
      <c r="S754" s="5" t="inlineStr"/>
      <c r="T754" s="5" t="n"/>
      <c r="U754" s="5" t="inlineStr">
        <is>
          <t>yes</t>
        </is>
      </c>
      <c r="V754" s="5" t="inlineStr">
        <is>
          <t>no</t>
        </is>
      </c>
      <c r="W754" s="5" t="inlineStr">
        <is>
          <t>no</t>
        </is>
      </c>
      <c r="X754" s="5" t="inlineStr">
        <is>
          <t>no</t>
        </is>
      </c>
      <c r="Y754" s="5" t="inlineStr">
        <is>
          <t>no</t>
        </is>
      </c>
      <c r="Z754" s="5" t="inlineStr">
        <is>
          <t>no</t>
        </is>
      </c>
      <c r="AA754" s="5" t="n">
        <v>1.84</v>
      </c>
      <c r="AB754" s="5" t="n">
        <v>0.24</v>
      </c>
      <c r="AC754" s="5" t="n"/>
      <c r="AD754" s="5" t="n"/>
      <c r="AE754" s="5" t="n">
        <v>944</v>
      </c>
      <c r="AF754" s="5" t="n">
        <v>2223.3</v>
      </c>
      <c r="AG754" s="5" t="n">
        <v>1011.1</v>
      </c>
      <c r="AH754" s="5" t="n">
        <v>2286.7</v>
      </c>
      <c r="AI754" s="5" t="inlineStr">
        <is>
          <t>n/a</t>
        </is>
      </c>
      <c r="AJ754" s="5" t="inlineStr"/>
      <c r="AK754" s="5" t="inlineStr"/>
      <c r="AL754" s="5" t="inlineStr"/>
      <c r="AM754" s="5" t="inlineStr"/>
    </row>
    <row r="755">
      <c r="A755" s="5" t="n">
        <v>754</v>
      </c>
      <c r="B755" s="5" t="inlineStr">
        <is>
          <t>129</t>
        </is>
      </c>
      <c r="C755" s="5" t="inlineStr">
        <is>
          <t>nearest labels (60% agree)</t>
        </is>
      </c>
      <c r="D755" s="5" t="inlineStr">
        <is>
          <t>footing</t>
        </is>
      </c>
      <c r="E755" s="5" t="inlineStr">
        <is>
          <t>combined_footing</t>
        </is>
      </c>
      <c r="F755" s="5" t="inlineStr">
        <is>
          <t>SC1</t>
        </is>
      </c>
      <c r="G755" s="5" t="inlineStr">
        <is>
          <t>SC1-</t>
        </is>
      </c>
      <c r="H755" s="5" t="inlineStr">
        <is>
          <t>printed</t>
        </is>
      </c>
      <c r="I755" s="5" t="n">
        <v>500</v>
      </c>
      <c r="J755" s="5" t="n">
        <v>350</v>
      </c>
      <c r="K755" s="9">
        <f>IF(AND(ISNUMBER(I755),ISNUMBER(J755),J755&gt;0),I755/J755,"")</f>
        <v/>
      </c>
      <c r="L755" s="5" t="n">
        <v>17.501</v>
      </c>
      <c r="M755" s="5" t="n"/>
      <c r="N755" s="5" t="n">
        <v>140.9</v>
      </c>
      <c r="O755" s="5" t="inlineStr">
        <is>
          <t>closed outline</t>
        </is>
      </c>
      <c r="P755" s="5" t="inlineStr">
        <is>
          <t>closed rectangular outline around a column/wall or next to an S/SC label</t>
        </is>
      </c>
      <c r="Q755" s="5">
        <f>IF(OR(D755="column",D755="wall"),IF(I755&lt;='P vs V'!$B$3*J755,"column","wall"),"")</f>
        <v/>
      </c>
      <c r="R755" s="5" t="inlineStr"/>
      <c r="S755" s="5" t="inlineStr">
        <is>
          <t>wall+wall</t>
        </is>
      </c>
      <c r="T755" s="5" t="n">
        <v>26</v>
      </c>
      <c r="U755" s="5" t="inlineStr">
        <is>
          <t>no</t>
        </is>
      </c>
      <c r="V755" s="5" t="inlineStr">
        <is>
          <t>no</t>
        </is>
      </c>
      <c r="W755" s="5" t="inlineStr">
        <is>
          <t>yes</t>
        </is>
      </c>
      <c r="X755" s="5" t="inlineStr">
        <is>
          <t>no</t>
        </is>
      </c>
      <c r="Y755" s="5" t="inlineStr">
        <is>
          <t>yes</t>
        </is>
      </c>
      <c r="Z755" s="5" t="inlineStr">
        <is>
          <t>no</t>
        </is>
      </c>
      <c r="AA755" s="5" t="n">
        <v>3.86</v>
      </c>
      <c r="AB755" s="5" t="n"/>
      <c r="AC755" s="5" t="n"/>
      <c r="AD755" s="5" t="n"/>
      <c r="AE755" s="5" t="n">
        <v>740.9</v>
      </c>
      <c r="AF755" s="5" t="n">
        <v>2663.9</v>
      </c>
      <c r="AG755" s="5" t="n">
        <v>920.7</v>
      </c>
      <c r="AH755" s="5" t="n">
        <v>2837.2</v>
      </c>
      <c r="AI755" s="5" t="inlineStr">
        <is>
          <t>yes</t>
        </is>
      </c>
      <c r="AJ755" s="5" t="inlineStr">
        <is>
          <t>combined_footing</t>
        </is>
      </c>
      <c r="AK755" s="5" t="inlineStr"/>
      <c r="AL755" s="5" t="inlineStr">
        <is>
          <t>(0.72, 0.72, 0.0)</t>
        </is>
      </c>
      <c r="AM755" s="5" t="inlineStr">
        <is>
          <t>DM-SEMELLES</t>
        </is>
      </c>
    </row>
    <row r="756">
      <c r="A756" s="5" t="n">
        <v>755</v>
      </c>
      <c r="B756" s="5" t="inlineStr">
        <is>
          <t>129</t>
        </is>
      </c>
      <c r="C756" s="5" t="inlineStr">
        <is>
          <t>own label</t>
        </is>
      </c>
      <c r="D756" s="5" t="inlineStr">
        <is>
          <t>footing</t>
        </is>
      </c>
      <c r="E756" s="5" t="inlineStr">
        <is>
          <t>isolated_footing</t>
        </is>
      </c>
      <c r="F756" s="5" t="inlineStr">
        <is>
          <t>S11</t>
        </is>
      </c>
      <c r="G756" s="5" t="inlineStr">
        <is>
          <t>S11-129129</t>
        </is>
      </c>
      <c r="H756" s="5" t="inlineStr">
        <is>
          <t>printed</t>
        </is>
      </c>
      <c r="I756" s="5" t="n">
        <v>500</v>
      </c>
      <c r="J756" s="5" t="n">
        <v>400</v>
      </c>
      <c r="K756" s="9">
        <f>IF(AND(ISNUMBER(I756),ISNUMBER(J756),J756&gt;0),I756/J756,"")</f>
        <v/>
      </c>
      <c r="L756" s="5" t="n">
        <v>20.002</v>
      </c>
      <c r="M756" s="5" t="n"/>
      <c r="N756" s="5" t="n">
        <v>165.3</v>
      </c>
      <c r="O756" s="5" t="inlineStr">
        <is>
          <t>closed outline</t>
        </is>
      </c>
      <c r="P756" s="5" t="inlineStr">
        <is>
          <t>closed rectangular outline around a column/wall or next to an S/SC label</t>
        </is>
      </c>
      <c r="Q756" s="5">
        <f>IF(OR(D756="column",D756="wall"),IF(I756&lt;='P vs V'!$B$3*J756,"column","wall"),"")</f>
        <v/>
      </c>
      <c r="R756" s="5" t="inlineStr"/>
      <c r="S756" s="5" t="inlineStr">
        <is>
          <t>wall</t>
        </is>
      </c>
      <c r="T756" s="5" t="n">
        <v>0</v>
      </c>
      <c r="U756" s="5" t="inlineStr">
        <is>
          <t>no</t>
        </is>
      </c>
      <c r="V756" s="5" t="inlineStr">
        <is>
          <t>no</t>
        </is>
      </c>
      <c r="W756" s="5" t="inlineStr">
        <is>
          <t>yes</t>
        </is>
      </c>
      <c r="X756" s="5" t="inlineStr">
        <is>
          <t>no</t>
        </is>
      </c>
      <c r="Y756" s="5" t="inlineStr">
        <is>
          <t>yes</t>
        </is>
      </c>
      <c r="Z756" s="5" t="inlineStr">
        <is>
          <t>yes</t>
        </is>
      </c>
      <c r="AA756" s="5" t="n">
        <v>0.58</v>
      </c>
      <c r="AB756" s="5" t="n"/>
      <c r="AC756" s="5" t="n"/>
      <c r="AD756" s="5" t="n"/>
      <c r="AE756" s="5" t="n">
        <v>995.5</v>
      </c>
      <c r="AF756" s="5" t="n">
        <v>1909.1</v>
      </c>
      <c r="AG756" s="5" t="n">
        <v>1168.3</v>
      </c>
      <c r="AH756" s="5" t="n">
        <v>2060.8</v>
      </c>
      <c r="AI756" s="5" t="inlineStr">
        <is>
          <t>yes</t>
        </is>
      </c>
      <c r="AJ756" s="5" t="inlineStr">
        <is>
          <t>isolated_footing</t>
        </is>
      </c>
      <c r="AK756" s="5" t="inlineStr"/>
      <c r="AL756" s="5" t="inlineStr">
        <is>
          <t>(0.72, 0.72, 0.0)</t>
        </is>
      </c>
      <c r="AM756" s="5" t="inlineStr">
        <is>
          <t>DM-SEMELLES</t>
        </is>
      </c>
    </row>
    <row r="757">
      <c r="A757" s="5" t="n">
        <v>756</v>
      </c>
      <c r="B757" s="5" t="inlineStr">
        <is>
          <t>129</t>
        </is>
      </c>
      <c r="C757" s="5" t="inlineStr">
        <is>
          <t>own label</t>
        </is>
      </c>
      <c r="D757" s="5" t="inlineStr">
        <is>
          <t>footing</t>
        </is>
      </c>
      <c r="E757" s="5" t="inlineStr">
        <is>
          <t>isolated_footing</t>
        </is>
      </c>
      <c r="F757" s="5" t="inlineStr">
        <is>
          <t>S18</t>
        </is>
      </c>
      <c r="G757" s="5" t="inlineStr">
        <is>
          <t>S18-129129</t>
        </is>
      </c>
      <c r="H757" s="5" t="inlineStr">
        <is>
          <t>printed</t>
        </is>
      </c>
      <c r="I757" s="5" t="n">
        <v>500</v>
      </c>
      <c r="J757" s="5" t="n">
        <v>350</v>
      </c>
      <c r="K757" s="9">
        <f>IF(AND(ISNUMBER(I757),ISNUMBER(J757),J757&gt;0),I757/J757,"")</f>
        <v/>
      </c>
      <c r="L757" s="5" t="n">
        <v>17.498</v>
      </c>
      <c r="M757" s="5" t="n"/>
      <c r="N757" s="5" t="n">
        <v>75.3</v>
      </c>
      <c r="O757" s="5" t="inlineStr">
        <is>
          <t>closed outline</t>
        </is>
      </c>
      <c r="P757" s="5" t="inlineStr">
        <is>
          <t>closed rectangular outline around a column/wall or next to an S/SC label</t>
        </is>
      </c>
      <c r="Q757" s="5">
        <f>IF(OR(D757="column",D757="wall"),IF(I757&lt;='P vs V'!$B$3*J757,"column","wall"),"")</f>
        <v/>
      </c>
      <c r="R757" s="5" t="inlineStr"/>
      <c r="S757" s="5" t="inlineStr">
        <is>
          <t>wall</t>
        </is>
      </c>
      <c r="T757" s="5" t="n">
        <v>12</v>
      </c>
      <c r="U757" s="5" t="inlineStr">
        <is>
          <t>no</t>
        </is>
      </c>
      <c r="V757" s="5" t="inlineStr">
        <is>
          <t>no</t>
        </is>
      </c>
      <c r="W757" s="5" t="inlineStr">
        <is>
          <t>yes</t>
        </is>
      </c>
      <c r="X757" s="5" t="inlineStr">
        <is>
          <t>no</t>
        </is>
      </c>
      <c r="Y757" s="5" t="inlineStr">
        <is>
          <t>yes</t>
        </is>
      </c>
      <c r="Z757" s="5" t="inlineStr">
        <is>
          <t>no</t>
        </is>
      </c>
      <c r="AA757" s="5" t="n">
        <v>2.47</v>
      </c>
      <c r="AB757" s="5" t="n"/>
      <c r="AC757" s="5" t="n"/>
      <c r="AD757" s="5" t="n"/>
      <c r="AE757" s="5" t="n">
        <v>801.8</v>
      </c>
      <c r="AF757" s="5" t="n">
        <v>1928.4</v>
      </c>
      <c r="AG757" s="5" t="n">
        <v>939.3</v>
      </c>
      <c r="AH757" s="5" t="n">
        <v>2097.4</v>
      </c>
      <c r="AI757" s="5" t="inlineStr">
        <is>
          <t>yes</t>
        </is>
      </c>
      <c r="AJ757" s="5" t="inlineStr">
        <is>
          <t>isolated_footing</t>
        </is>
      </c>
      <c r="AK757" s="5" t="inlineStr"/>
      <c r="AL757" s="5" t="inlineStr">
        <is>
          <t>(0.72, 0.72, 0.0)</t>
        </is>
      </c>
      <c r="AM757" s="5" t="inlineStr">
        <is>
          <t>DM-SEMELLES</t>
        </is>
      </c>
    </row>
    <row r="758">
      <c r="A758" s="5" t="n">
        <v>757</v>
      </c>
      <c r="B758" s="5" t="inlineStr">
        <is>
          <t>129</t>
        </is>
      </c>
      <c r="C758" s="5" t="inlineStr">
        <is>
          <t>own label</t>
        </is>
      </c>
      <c r="D758" s="5" t="inlineStr">
        <is>
          <t>footing</t>
        </is>
      </c>
      <c r="E758" s="5" t="inlineStr">
        <is>
          <t>isolated_footing</t>
        </is>
      </c>
      <c r="F758" s="5" t="inlineStr">
        <is>
          <t>S19</t>
        </is>
      </c>
      <c r="G758" s="5" t="inlineStr">
        <is>
          <t>S19-129</t>
        </is>
      </c>
      <c r="H758" s="5" t="inlineStr">
        <is>
          <t>printed</t>
        </is>
      </c>
      <c r="I758" s="5" t="n">
        <v>380</v>
      </c>
      <c r="J758" s="5" t="n">
        <v>380</v>
      </c>
      <c r="K758" s="9">
        <f>IF(AND(ISNUMBER(I758),ISNUMBER(J758),J758&gt;0),I758/J758,"")</f>
        <v/>
      </c>
      <c r="L758" s="5" t="n">
        <v>14.447</v>
      </c>
      <c r="M758" s="5" t="n"/>
      <c r="N758" s="5" t="n">
        <v>165.3</v>
      </c>
      <c r="O758" s="5" t="inlineStr">
        <is>
          <t>closed outline</t>
        </is>
      </c>
      <c r="P758" s="5" t="inlineStr">
        <is>
          <t>closed rectangular outline around a column/wall or next to an S/SC label</t>
        </is>
      </c>
      <c r="Q758" s="5">
        <f>IF(OR(D758="column",D758="wall"),IF(I758&lt;='P vs V'!$B$3*J758,"column","wall"),"")</f>
        <v/>
      </c>
      <c r="R758" s="5" t="inlineStr"/>
      <c r="S758" s="5" t="inlineStr">
        <is>
          <t>column</t>
        </is>
      </c>
      <c r="T758" s="5" t="n">
        <v>0</v>
      </c>
      <c r="U758" s="5" t="inlineStr">
        <is>
          <t>no</t>
        </is>
      </c>
      <c r="V758" s="5" t="inlineStr">
        <is>
          <t>no</t>
        </is>
      </c>
      <c r="W758" s="5" t="inlineStr">
        <is>
          <t>yes</t>
        </is>
      </c>
      <c r="X758" s="5" t="inlineStr">
        <is>
          <t>no</t>
        </is>
      </c>
      <c r="Y758" s="5" t="inlineStr">
        <is>
          <t>yes</t>
        </is>
      </c>
      <c r="Z758" s="5" t="inlineStr">
        <is>
          <t>no</t>
        </is>
      </c>
      <c r="AA758" s="5" t="n">
        <v>0.32</v>
      </c>
      <c r="AB758" s="5" t="n"/>
      <c r="AC758" s="5" t="n"/>
      <c r="AD758" s="5" t="n"/>
      <c r="AE758" s="5" t="n">
        <v>697.8</v>
      </c>
      <c r="AF758" s="5" t="n">
        <v>2524.8</v>
      </c>
      <c r="AG758" s="5" t="n">
        <v>834.8</v>
      </c>
      <c r="AH758" s="5" t="n">
        <v>2661.8</v>
      </c>
      <c r="AI758" s="5" t="inlineStr">
        <is>
          <t>yes</t>
        </is>
      </c>
      <c r="AJ758" s="5" t="inlineStr">
        <is>
          <t>isolated_footing</t>
        </is>
      </c>
      <c r="AK758" s="5" t="inlineStr"/>
      <c r="AL758" s="5" t="inlineStr">
        <is>
          <t>(0.72, 0.72, 0.0)</t>
        </is>
      </c>
      <c r="AM758" s="5" t="inlineStr">
        <is>
          <t>DM-SEMELLES</t>
        </is>
      </c>
    </row>
    <row r="759">
      <c r="A759" s="5" t="n">
        <v>758</v>
      </c>
      <c r="B759" s="5" t="inlineStr">
        <is>
          <t>129</t>
        </is>
      </c>
      <c r="C759" s="5" t="inlineStr">
        <is>
          <t>own label</t>
        </is>
      </c>
      <c r="D759" s="5" t="inlineStr">
        <is>
          <t>footing</t>
        </is>
      </c>
      <c r="E759" s="5" t="inlineStr">
        <is>
          <t>isolated_footing</t>
        </is>
      </c>
      <c r="F759" s="5" t="inlineStr">
        <is>
          <t>S2</t>
        </is>
      </c>
      <c r="G759" s="5" t="inlineStr">
        <is>
          <t>S2-129129</t>
        </is>
      </c>
      <c r="H759" s="5" t="inlineStr">
        <is>
          <t>printed</t>
        </is>
      </c>
      <c r="I759" s="5" t="n">
        <v>350</v>
      </c>
      <c r="J759" s="5" t="n">
        <v>200</v>
      </c>
      <c r="K759" s="9">
        <f>IF(AND(ISNUMBER(I759),ISNUMBER(J759),J759&gt;0),I759/J759,"")</f>
        <v/>
      </c>
      <c r="L759" s="5" t="n">
        <v>7.004</v>
      </c>
      <c r="M759" s="5" t="n"/>
      <c r="N759" s="5" t="n">
        <v>165.3</v>
      </c>
      <c r="O759" s="5" t="inlineStr">
        <is>
          <t>closed outline</t>
        </is>
      </c>
      <c r="P759" s="5" t="inlineStr">
        <is>
          <t>closed rectangular outline around a column/wall or next to an S/SC label</t>
        </is>
      </c>
      <c r="Q759" s="5">
        <f>IF(OR(D759="column",D759="wall"),IF(I759&lt;='P vs V'!$B$3*J759,"column","wall"),"")</f>
        <v/>
      </c>
      <c r="R759" s="5" t="inlineStr"/>
      <c r="S759" s="5" t="inlineStr">
        <is>
          <t>wall</t>
        </is>
      </c>
      <c r="T759" s="5" t="n">
        <v>0</v>
      </c>
      <c r="U759" s="5" t="inlineStr">
        <is>
          <t>no</t>
        </is>
      </c>
      <c r="V759" s="5" t="inlineStr">
        <is>
          <t>no</t>
        </is>
      </c>
      <c r="W759" s="5" t="inlineStr">
        <is>
          <t>yes</t>
        </is>
      </c>
      <c r="X759" s="5" t="inlineStr">
        <is>
          <t>no</t>
        </is>
      </c>
      <c r="Y759" s="5" t="inlineStr">
        <is>
          <t>yes</t>
        </is>
      </c>
      <c r="Z759" s="5" t="inlineStr">
        <is>
          <t>yes</t>
        </is>
      </c>
      <c r="AA759" s="5" t="n">
        <v>7</v>
      </c>
      <c r="AB759" s="5" t="n"/>
      <c r="AC759" s="5" t="n"/>
      <c r="AD759" s="5" t="n"/>
      <c r="AE759" s="5" t="n">
        <v>1242.4</v>
      </c>
      <c r="AF759" s="5" t="n">
        <v>1783.3</v>
      </c>
      <c r="AG759" s="5" t="n">
        <v>1357.4</v>
      </c>
      <c r="AH759" s="5" t="n">
        <v>1866.7</v>
      </c>
      <c r="AI759" s="5" t="inlineStr">
        <is>
          <t>yes</t>
        </is>
      </c>
      <c r="AJ759" s="5" t="inlineStr">
        <is>
          <t>isolated_footing</t>
        </is>
      </c>
      <c r="AK759" s="5" t="inlineStr"/>
      <c r="AL759" s="5" t="inlineStr">
        <is>
          <t>(0.72, 0.72, 0.0)</t>
        </is>
      </c>
      <c r="AM759" s="5" t="inlineStr">
        <is>
          <t>DM-SEMELLES</t>
        </is>
      </c>
    </row>
    <row r="760">
      <c r="A760" s="5" t="n">
        <v>759</v>
      </c>
      <c r="B760" s="5" t="inlineStr">
        <is>
          <t>129</t>
        </is>
      </c>
      <c r="C760" s="5" t="inlineStr">
        <is>
          <t>own label</t>
        </is>
      </c>
      <c r="D760" s="5" t="inlineStr">
        <is>
          <t>footing</t>
        </is>
      </c>
      <c r="E760" s="5" t="inlineStr">
        <is>
          <t>isolated_footing</t>
        </is>
      </c>
      <c r="F760" s="5" t="inlineStr">
        <is>
          <t>S2</t>
        </is>
      </c>
      <c r="G760" s="5" t="inlineStr">
        <is>
          <t>S2-129129</t>
        </is>
      </c>
      <c r="H760" s="5" t="inlineStr">
        <is>
          <t>printed</t>
        </is>
      </c>
      <c r="I760" s="5" t="n">
        <v>350</v>
      </c>
      <c r="J760" s="5" t="n">
        <v>200</v>
      </c>
      <c r="K760" s="9">
        <f>IF(AND(ISNUMBER(I760),ISNUMBER(J760),J760&gt;0),I760/J760,"")</f>
        <v/>
      </c>
      <c r="L760" s="5" t="n">
        <v>7.003</v>
      </c>
      <c r="M760" s="5" t="n"/>
      <c r="N760" s="5" t="n">
        <v>165.3</v>
      </c>
      <c r="O760" s="5" t="inlineStr">
        <is>
          <t>closed outline</t>
        </is>
      </c>
      <c r="P760" s="5" t="inlineStr">
        <is>
          <t>closed rectangular outline around a column/wall or next to an S/SC label</t>
        </is>
      </c>
      <c r="Q760" s="5">
        <f>IF(OR(D760="column",D760="wall"),IF(I760&lt;='P vs V'!$B$3*J760,"column","wall"),"")</f>
        <v/>
      </c>
      <c r="R760" s="5" t="inlineStr"/>
      <c r="S760" s="5" t="inlineStr">
        <is>
          <t>wall</t>
        </is>
      </c>
      <c r="T760" s="5" t="n">
        <v>0</v>
      </c>
      <c r="U760" s="5" t="inlineStr">
        <is>
          <t>no</t>
        </is>
      </c>
      <c r="V760" s="5" t="inlineStr">
        <is>
          <t>no</t>
        </is>
      </c>
      <c r="W760" s="5" t="inlineStr">
        <is>
          <t>yes</t>
        </is>
      </c>
      <c r="X760" s="5" t="inlineStr">
        <is>
          <t>no</t>
        </is>
      </c>
      <c r="Y760" s="5" t="inlineStr">
        <is>
          <t>yes</t>
        </is>
      </c>
      <c r="Z760" s="5" t="inlineStr">
        <is>
          <t>yes</t>
        </is>
      </c>
      <c r="AA760" s="5" t="n">
        <v>0</v>
      </c>
      <c r="AB760" s="5" t="n"/>
      <c r="AC760" s="5" t="n"/>
      <c r="AD760" s="5" t="n"/>
      <c r="AE760" s="5" t="n">
        <v>1300.9</v>
      </c>
      <c r="AF760" s="5" t="n">
        <v>2004.2</v>
      </c>
      <c r="AG760" s="5" t="n">
        <v>1415.9</v>
      </c>
      <c r="AH760" s="5" t="n">
        <v>2087.6</v>
      </c>
      <c r="AI760" s="5" t="inlineStr">
        <is>
          <t>yes</t>
        </is>
      </c>
      <c r="AJ760" s="5" t="inlineStr">
        <is>
          <t>isolated_footing</t>
        </is>
      </c>
      <c r="AK760" s="5" t="inlineStr"/>
      <c r="AL760" s="5" t="inlineStr">
        <is>
          <t>(0.72, 0.72, 0.0)</t>
        </is>
      </c>
      <c r="AM760" s="5" t="inlineStr">
        <is>
          <t>DM-SEMELLES</t>
        </is>
      </c>
    </row>
    <row r="761">
      <c r="A761" s="5" t="n">
        <v>760</v>
      </c>
      <c r="B761" s="5" t="inlineStr">
        <is>
          <t>129</t>
        </is>
      </c>
      <c r="C761" s="5" t="inlineStr">
        <is>
          <t>nearest labels (80% agree)</t>
        </is>
      </c>
      <c r="D761" s="5" t="inlineStr">
        <is>
          <t>grade_beam</t>
        </is>
      </c>
      <c r="E761" s="5" t="inlineStr">
        <is>
          <t>grade_beam</t>
        </is>
      </c>
      <c r="F761" s="5" t="inlineStr">
        <is>
          <t>LG25x40</t>
        </is>
      </c>
      <c r="G761" s="5" t="inlineStr"/>
      <c r="H761" s="5" t="inlineStr">
        <is>
          <t>band width matches label</t>
        </is>
      </c>
      <c r="I761" s="5" t="n">
        <v>186</v>
      </c>
      <c r="J761" s="5" t="n">
        <v>25</v>
      </c>
      <c r="K761" s="9">
        <f>IF(AND(ISNUMBER(I761),ISNUMBER(J761),J761&gt;0),I761/J761,"")</f>
        <v/>
      </c>
      <c r="L761" s="5" t="n">
        <v>0.464</v>
      </c>
      <c r="M761" s="5" t="n">
        <v>1.86</v>
      </c>
      <c r="N761" s="5" t="n">
        <v>165.3</v>
      </c>
      <c r="O761" s="5" t="inlineStr">
        <is>
          <t>parallel line pair</t>
        </is>
      </c>
      <c r="P761" s="5" t="inlineStr">
        <is>
          <t>two parallel lines at the width written in the LG label, empty inside</t>
        </is>
      </c>
      <c r="Q761" s="5">
        <f>IF(OR(D761="column",D761="wall"),IF(I761&lt;='P vs V'!$B$3*J761,"column","wall"),"")</f>
        <v/>
      </c>
      <c r="R761" s="5" t="inlineStr"/>
      <c r="S761" s="5" t="inlineStr"/>
      <c r="T761" s="5" t="n"/>
      <c r="U761" s="5" t="inlineStr">
        <is>
          <t>no</t>
        </is>
      </c>
      <c r="V761" s="5" t="inlineStr">
        <is>
          <t>no</t>
        </is>
      </c>
      <c r="W761" s="5" t="inlineStr">
        <is>
          <t>yes</t>
        </is>
      </c>
      <c r="X761" s="5" t="inlineStr">
        <is>
          <t>no</t>
        </is>
      </c>
      <c r="Y761" s="5" t="inlineStr">
        <is>
          <t>no</t>
        </is>
      </c>
      <c r="Z761" s="5" t="inlineStr">
        <is>
          <t>no</t>
        </is>
      </c>
      <c r="AA761" s="5" t="n">
        <v>0.37</v>
      </c>
      <c r="AB761" s="5" t="n"/>
      <c r="AC761" s="5" t="n"/>
      <c r="AD761" s="5" t="n"/>
      <c r="AE761" s="5" t="n">
        <v>819.3</v>
      </c>
      <c r="AF761" s="5" t="n">
        <v>2560.2</v>
      </c>
      <c r="AG761" s="5" t="n">
        <v>874.2</v>
      </c>
      <c r="AH761" s="5" t="n">
        <v>2581.3</v>
      </c>
      <c r="AI761" s="5" t="inlineStr">
        <is>
          <t>n/a</t>
        </is>
      </c>
      <c r="AJ761" s="5" t="inlineStr"/>
      <c r="AK761" s="5" t="inlineStr"/>
      <c r="AL761" s="5" t="inlineStr"/>
      <c r="AM761" s="5" t="inlineStr"/>
    </row>
    <row r="762">
      <c r="A762" s="5" t="n">
        <v>761</v>
      </c>
      <c r="B762" s="5" t="inlineStr">
        <is>
          <t>129</t>
        </is>
      </c>
      <c r="C762" s="5" t="inlineStr">
        <is>
          <t>nearest labels (60% agree)</t>
        </is>
      </c>
      <c r="D762" s="5" t="inlineStr">
        <is>
          <t>grade_beam</t>
        </is>
      </c>
      <c r="E762" s="5" t="inlineStr">
        <is>
          <t>grade_beam</t>
        </is>
      </c>
      <c r="F762" s="5" t="inlineStr">
        <is>
          <t>LG25x40</t>
        </is>
      </c>
      <c r="G762" s="5" t="inlineStr"/>
      <c r="H762" s="5" t="inlineStr">
        <is>
          <t>band width matches label</t>
        </is>
      </c>
      <c r="I762" s="5" t="n">
        <v>140</v>
      </c>
      <c r="J762" s="5" t="n">
        <v>25</v>
      </c>
      <c r="K762" s="9">
        <f>IF(AND(ISNUMBER(I762),ISNUMBER(J762),J762&gt;0),I762/J762,"")</f>
        <v/>
      </c>
      <c r="L762" s="5" t="n">
        <v>0.35</v>
      </c>
      <c r="M762" s="5" t="n">
        <v>1.4</v>
      </c>
      <c r="N762" s="5" t="n">
        <v>51</v>
      </c>
      <c r="O762" s="5" t="inlineStr">
        <is>
          <t>parallel line pair</t>
        </is>
      </c>
      <c r="P762" s="5" t="inlineStr">
        <is>
          <t>two parallel lines at the width written in the LG label, empty inside</t>
        </is>
      </c>
      <c r="Q762" s="5">
        <f>IF(OR(D762="column",D762="wall"),IF(I762&lt;='P vs V'!$B$3*J762,"column","wall"),"")</f>
        <v/>
      </c>
      <c r="R762" s="5" t="inlineStr"/>
      <c r="S762" s="5" t="inlineStr"/>
      <c r="T762" s="5" t="n"/>
      <c r="U762" s="5" t="inlineStr">
        <is>
          <t>no</t>
        </is>
      </c>
      <c r="V762" s="5" t="inlineStr">
        <is>
          <t>no</t>
        </is>
      </c>
      <c r="W762" s="5" t="inlineStr">
        <is>
          <t>yes</t>
        </is>
      </c>
      <c r="X762" s="5" t="inlineStr">
        <is>
          <t>no</t>
        </is>
      </c>
      <c r="Y762" s="5" t="inlineStr">
        <is>
          <t>no</t>
        </is>
      </c>
      <c r="Z762" s="5" t="inlineStr">
        <is>
          <t>no</t>
        </is>
      </c>
      <c r="AA762" s="5" t="n">
        <v>0.65</v>
      </c>
      <c r="AB762" s="5" t="n"/>
      <c r="AC762" s="5" t="n"/>
      <c r="AD762" s="5" t="n"/>
      <c r="AE762" s="5" t="n">
        <v>1161.3</v>
      </c>
      <c r="AF762" s="5" t="n">
        <v>2337</v>
      </c>
      <c r="AG762" s="5" t="n">
        <v>1193</v>
      </c>
      <c r="AH762" s="5" t="n">
        <v>2373.7</v>
      </c>
      <c r="AI762" s="5" t="inlineStr">
        <is>
          <t>n/a</t>
        </is>
      </c>
      <c r="AJ762" s="5" t="inlineStr"/>
      <c r="AK762" s="5" t="inlineStr"/>
      <c r="AL762" s="5" t="inlineStr"/>
      <c r="AM762" s="5" t="inlineStr"/>
    </row>
    <row r="763">
      <c r="A763" s="5" t="n">
        <v>762</v>
      </c>
      <c r="B763" s="5" t="inlineStr">
        <is>
          <t>129</t>
        </is>
      </c>
      <c r="C763" s="5" t="inlineStr">
        <is>
          <t>nearest labels (80% agree)</t>
        </is>
      </c>
      <c r="D763" s="5" t="inlineStr">
        <is>
          <t>grade_beam</t>
        </is>
      </c>
      <c r="E763" s="5" t="inlineStr">
        <is>
          <t>grade_beam</t>
        </is>
      </c>
      <c r="F763" s="5" t="inlineStr">
        <is>
          <t>LG25x40</t>
        </is>
      </c>
      <c r="G763" s="5" t="inlineStr"/>
      <c r="H763" s="5" t="inlineStr">
        <is>
          <t>band width matches label</t>
        </is>
      </c>
      <c r="I763" s="5" t="n">
        <v>191</v>
      </c>
      <c r="J763" s="5" t="n">
        <v>25</v>
      </c>
      <c r="K763" s="9">
        <f>IF(AND(ISNUMBER(I763),ISNUMBER(J763),J763&gt;0),I763/J763,"")</f>
        <v/>
      </c>
      <c r="L763" s="5" t="n">
        <v>0.477</v>
      </c>
      <c r="M763" s="5" t="n">
        <v>1.91</v>
      </c>
      <c r="N763" s="5" t="n">
        <v>140.9</v>
      </c>
      <c r="O763" s="5" t="inlineStr">
        <is>
          <t>parallel line pair</t>
        </is>
      </c>
      <c r="P763" s="5" t="inlineStr">
        <is>
          <t>two parallel lines at the width written in the LG label, empty inside</t>
        </is>
      </c>
      <c r="Q763" s="5">
        <f>IF(OR(D763="column",D763="wall"),IF(I763&lt;='P vs V'!$B$3*J763,"column","wall"),"")</f>
        <v/>
      </c>
      <c r="R763" s="5" t="inlineStr"/>
      <c r="S763" s="5" t="inlineStr"/>
      <c r="T763" s="5" t="n"/>
      <c r="U763" s="5" t="inlineStr">
        <is>
          <t>no</t>
        </is>
      </c>
      <c r="V763" s="5" t="inlineStr">
        <is>
          <t>no</t>
        </is>
      </c>
      <c r="W763" s="5" t="inlineStr">
        <is>
          <t>yes</t>
        </is>
      </c>
      <c r="X763" s="5" t="inlineStr">
        <is>
          <t>no</t>
        </is>
      </c>
      <c r="Y763" s="5" t="inlineStr">
        <is>
          <t>no</t>
        </is>
      </c>
      <c r="Z763" s="5" t="inlineStr">
        <is>
          <t>no</t>
        </is>
      </c>
      <c r="AA763" s="5" t="n">
        <v>3.04</v>
      </c>
      <c r="AB763" s="5" t="n"/>
      <c r="AC763" s="5" t="n"/>
      <c r="AD763" s="5" t="n"/>
      <c r="AE763" s="5" t="n">
        <v>807.1</v>
      </c>
      <c r="AF763" s="5" t="n">
        <v>2658.2</v>
      </c>
      <c r="AG763" s="5" t="n">
        <v>855.5</v>
      </c>
      <c r="AH763" s="5" t="n">
        <v>2699.4</v>
      </c>
      <c r="AI763" s="5" t="inlineStr">
        <is>
          <t>n/a</t>
        </is>
      </c>
      <c r="AJ763" s="5" t="inlineStr"/>
      <c r="AK763" s="5" t="inlineStr"/>
      <c r="AL763" s="5" t="inlineStr"/>
      <c r="AM763" s="5" t="inlineStr"/>
    </row>
    <row r="764">
      <c r="A764" s="5" t="n">
        <v>763</v>
      </c>
      <c r="B764" s="5" t="inlineStr">
        <is>
          <t>129</t>
        </is>
      </c>
      <c r="C764" s="5" t="inlineStr">
        <is>
          <t>nearest labels (80% agree)</t>
        </is>
      </c>
      <c r="D764" s="5" t="inlineStr">
        <is>
          <t>grade_beam</t>
        </is>
      </c>
      <c r="E764" s="5" t="inlineStr">
        <is>
          <t>grade_beam</t>
        </is>
      </c>
      <c r="F764" s="5" t="inlineStr">
        <is>
          <t>LG25x40</t>
        </is>
      </c>
      <c r="G764" s="5" t="inlineStr"/>
      <c r="H764" s="5" t="inlineStr">
        <is>
          <t>band width matches label</t>
        </is>
      </c>
      <c r="I764" s="5" t="n">
        <v>33</v>
      </c>
      <c r="J764" s="5" t="n">
        <v>25</v>
      </c>
      <c r="K764" s="9">
        <f>IF(AND(ISNUMBER(I764),ISNUMBER(J764),J764&gt;0),I764/J764,"")</f>
        <v/>
      </c>
      <c r="L764" s="5" t="n">
        <v>0.082</v>
      </c>
      <c r="M764" s="5" t="n">
        <v>0.33</v>
      </c>
      <c r="N764" s="5" t="n">
        <v>140.9</v>
      </c>
      <c r="O764" s="5" t="inlineStr">
        <is>
          <t>parallel line pair</t>
        </is>
      </c>
      <c r="P764" s="5" t="inlineStr">
        <is>
          <t>two parallel lines at the width written in the LG label, empty inside</t>
        </is>
      </c>
      <c r="Q764" s="5">
        <f>IF(OR(D764="column",D764="wall"),IF(I764&lt;='P vs V'!$B$3*J764,"column","wall"),"")</f>
        <v/>
      </c>
      <c r="R764" s="5" t="inlineStr"/>
      <c r="S764" s="5" t="inlineStr"/>
      <c r="T764" s="5" t="n"/>
      <c r="U764" s="5" t="inlineStr">
        <is>
          <t>no</t>
        </is>
      </c>
      <c r="V764" s="5" t="inlineStr">
        <is>
          <t>no</t>
        </is>
      </c>
      <c r="W764" s="5" t="inlineStr">
        <is>
          <t>yes</t>
        </is>
      </c>
      <c r="X764" s="5" t="inlineStr">
        <is>
          <t>no</t>
        </is>
      </c>
      <c r="Y764" s="5" t="inlineStr">
        <is>
          <t>no</t>
        </is>
      </c>
      <c r="Z764" s="5" t="inlineStr">
        <is>
          <t>no</t>
        </is>
      </c>
      <c r="AA764" s="5" t="n">
        <v>3.58</v>
      </c>
      <c r="AB764" s="5" t="n"/>
      <c r="AC764" s="5" t="n"/>
      <c r="AD764" s="5" t="n"/>
      <c r="AE764" s="5" t="n">
        <v>795.1</v>
      </c>
      <c r="AF764" s="5" t="n">
        <v>2697.4</v>
      </c>
      <c r="AG764" s="5" t="n">
        <v>807.2</v>
      </c>
      <c r="AH764" s="5" t="n">
        <v>2709.2</v>
      </c>
      <c r="AI764" s="5" t="inlineStr">
        <is>
          <t>n/a</t>
        </is>
      </c>
      <c r="AJ764" s="5" t="inlineStr"/>
      <c r="AK764" s="5" t="inlineStr"/>
      <c r="AL764" s="5" t="inlineStr"/>
      <c r="AM764" s="5" t="inlineStr"/>
    </row>
    <row r="765">
      <c r="A765" s="5" t="n">
        <v>764</v>
      </c>
      <c r="B765" s="5" t="inlineStr">
        <is>
          <t>129</t>
        </is>
      </c>
      <c r="C765" s="5" t="inlineStr">
        <is>
          <t>nearest labels (60% agree)</t>
        </is>
      </c>
      <c r="D765" s="5" t="inlineStr">
        <is>
          <t>grade_beam</t>
        </is>
      </c>
      <c r="E765" s="5" t="inlineStr">
        <is>
          <t>grade_beam</t>
        </is>
      </c>
      <c r="F765" s="5" t="inlineStr">
        <is>
          <t>LG40x15</t>
        </is>
      </c>
      <c r="G765" s="5" t="inlineStr"/>
      <c r="H765" s="5" t="inlineStr">
        <is>
          <t>band width matches label</t>
        </is>
      </c>
      <c r="I765" s="5" t="n">
        <v>574</v>
      </c>
      <c r="J765" s="5" t="n">
        <v>40</v>
      </c>
      <c r="K765" s="9">
        <f>IF(AND(ISNUMBER(I765),ISNUMBER(J765),J765&gt;0),I765/J765,"")</f>
        <v/>
      </c>
      <c r="L765" s="5" t="n">
        <v>2.296</v>
      </c>
      <c r="M765" s="5" t="n">
        <v>5.74</v>
      </c>
      <c r="N765" s="5" t="n">
        <v>75.5</v>
      </c>
      <c r="O765" s="5" t="inlineStr">
        <is>
          <t>parallel line pair</t>
        </is>
      </c>
      <c r="P765" s="5" t="inlineStr">
        <is>
          <t>two parallel lines at the width written in the LG label, empty inside</t>
        </is>
      </c>
      <c r="Q765" s="5">
        <f>IF(OR(D765="column",D765="wall"),IF(I765&lt;='P vs V'!$B$3*J765,"column","wall"),"")</f>
        <v/>
      </c>
      <c r="R765" s="5" t="inlineStr"/>
      <c r="S765" s="5" t="inlineStr"/>
      <c r="T765" s="5" t="n"/>
      <c r="U765" s="5" t="inlineStr">
        <is>
          <t>no</t>
        </is>
      </c>
      <c r="V765" s="5" t="inlineStr">
        <is>
          <t>no</t>
        </is>
      </c>
      <c r="W765" s="5" t="inlineStr">
        <is>
          <t>no</t>
        </is>
      </c>
      <c r="X765" s="5" t="inlineStr">
        <is>
          <t>no</t>
        </is>
      </c>
      <c r="Y765" s="5" t="inlineStr">
        <is>
          <t>no</t>
        </is>
      </c>
      <c r="Z765" s="5" t="inlineStr">
        <is>
          <t>yes</t>
        </is>
      </c>
      <c r="AA765" s="5" t="n">
        <v>3.87</v>
      </c>
      <c r="AB765" s="5" t="n"/>
      <c r="AC765" s="5" t="n"/>
      <c r="AD765" s="5" t="n"/>
      <c r="AE765" s="5" t="n">
        <v>1295.4</v>
      </c>
      <c r="AF765" s="5" t="n">
        <v>1853.7</v>
      </c>
      <c r="AG765" s="5" t="n">
        <v>1349.2</v>
      </c>
      <c r="AH765" s="5" t="n">
        <v>2020.8</v>
      </c>
      <c r="AI765" s="5" t="inlineStr">
        <is>
          <t>n/a</t>
        </is>
      </c>
      <c r="AJ765" s="5" t="inlineStr"/>
      <c r="AK765" s="5" t="inlineStr"/>
      <c r="AL765" s="5" t="inlineStr"/>
      <c r="AM765" s="5" t="inlineStr"/>
    </row>
    <row r="766">
      <c r="A766" s="5" t="n">
        <v>765</v>
      </c>
      <c r="B766" s="5" t="inlineStr">
        <is>
          <t>129</t>
        </is>
      </c>
      <c r="C766" s="5" t="inlineStr">
        <is>
          <t>nearest labels (100% agree)</t>
        </is>
      </c>
      <c r="D766" s="5" t="inlineStr">
        <is>
          <t>grade_beam</t>
        </is>
      </c>
      <c r="E766" s="5" t="inlineStr">
        <is>
          <t>grade_beam</t>
        </is>
      </c>
      <c r="F766" s="5" t="inlineStr">
        <is>
          <t>LG40x15</t>
        </is>
      </c>
      <c r="G766" s="5" t="inlineStr"/>
      <c r="H766" s="5" t="inlineStr">
        <is>
          <t>band width matches label</t>
        </is>
      </c>
      <c r="I766" s="5" t="n">
        <v>291</v>
      </c>
      <c r="J766" s="5" t="n">
        <v>40</v>
      </c>
      <c r="K766" s="9">
        <f>IF(AND(ISNUMBER(I766),ISNUMBER(J766),J766&gt;0),I766/J766,"")</f>
        <v/>
      </c>
      <c r="L766" s="5" t="n">
        <v>1.165</v>
      </c>
      <c r="M766" s="5" t="n">
        <v>2.91</v>
      </c>
      <c r="N766" s="5" t="n">
        <v>165.3</v>
      </c>
      <c r="O766" s="5" t="inlineStr">
        <is>
          <t>parallel line pair</t>
        </is>
      </c>
      <c r="P766" s="5" t="inlineStr">
        <is>
          <t>two parallel lines at the width written in the LG label, empty inside</t>
        </is>
      </c>
      <c r="Q766" s="5">
        <f>IF(OR(D766="column",D766="wall"),IF(I766&lt;='P vs V'!$B$3*J766,"column","wall"),"")</f>
        <v/>
      </c>
      <c r="R766" s="5" t="inlineStr"/>
      <c r="S766" s="5" t="inlineStr"/>
      <c r="T766" s="5" t="n"/>
      <c r="U766" s="5" t="inlineStr">
        <is>
          <t>no</t>
        </is>
      </c>
      <c r="V766" s="5" t="inlineStr">
        <is>
          <t>no</t>
        </is>
      </c>
      <c r="W766" s="5" t="inlineStr">
        <is>
          <t>no</t>
        </is>
      </c>
      <c r="X766" s="5" t="inlineStr">
        <is>
          <t>no</t>
        </is>
      </c>
      <c r="Y766" s="5" t="inlineStr">
        <is>
          <t>no</t>
        </is>
      </c>
      <c r="Z766" s="5" t="inlineStr">
        <is>
          <t>no</t>
        </is>
      </c>
      <c r="AA766" s="5" t="n">
        <v>0.04</v>
      </c>
      <c r="AB766" s="5" t="n"/>
      <c r="AC766" s="5" t="n"/>
      <c r="AD766" s="5" t="n"/>
      <c r="AE766" s="5" t="n">
        <v>925.6</v>
      </c>
      <c r="AF766" s="5" t="n">
        <v>1997</v>
      </c>
      <c r="AG766" s="5" t="n">
        <v>1011.7</v>
      </c>
      <c r="AH766" s="5" t="n">
        <v>2030.2</v>
      </c>
      <c r="AI766" s="5" t="inlineStr">
        <is>
          <t>n/a</t>
        </is>
      </c>
      <c r="AJ766" s="5" t="inlineStr"/>
      <c r="AK766" s="5" t="inlineStr"/>
      <c r="AL766" s="5" t="inlineStr"/>
      <c r="AM766" s="5" t="inlineStr"/>
    </row>
    <row r="767">
      <c r="A767" s="5" t="n">
        <v>766</v>
      </c>
      <c r="B767" s="5" t="inlineStr">
        <is>
          <t>129</t>
        </is>
      </c>
      <c r="C767" s="5" t="inlineStr">
        <is>
          <t>nearest labels (80% agree)</t>
        </is>
      </c>
      <c r="D767" s="5" t="inlineStr">
        <is>
          <t>grade_beam</t>
        </is>
      </c>
      <c r="E767" s="5" t="inlineStr">
        <is>
          <t>grade_beam</t>
        </is>
      </c>
      <c r="F767" s="5" t="inlineStr">
        <is>
          <t>LG40x15</t>
        </is>
      </c>
      <c r="G767" s="5" t="inlineStr"/>
      <c r="H767" s="5" t="inlineStr">
        <is>
          <t>band width matches label</t>
        </is>
      </c>
      <c r="I767" s="5" t="n">
        <v>641</v>
      </c>
      <c r="J767" s="5" t="n">
        <v>40</v>
      </c>
      <c r="K767" s="9">
        <f>IF(AND(ISNUMBER(I767),ISNUMBER(J767),J767&gt;0),I767/J767,"")</f>
        <v/>
      </c>
      <c r="L767" s="5" t="n">
        <v>2.562</v>
      </c>
      <c r="M767" s="5" t="n">
        <v>6.41</v>
      </c>
      <c r="N767" s="5" t="n">
        <v>165.3</v>
      </c>
      <c r="O767" s="5" t="inlineStr">
        <is>
          <t>parallel line pair</t>
        </is>
      </c>
      <c r="P767" s="5" t="inlineStr">
        <is>
          <t>two parallel lines at the width written in the LG label, empty inside</t>
        </is>
      </c>
      <c r="Q767" s="5">
        <f>IF(OR(D767="column",D767="wall"),IF(I767&lt;='P vs V'!$B$3*J767,"column","wall"),"")</f>
        <v/>
      </c>
      <c r="R767" s="5" t="inlineStr"/>
      <c r="S767" s="5" t="inlineStr"/>
      <c r="T767" s="5" t="n"/>
      <c r="U767" s="5" t="inlineStr">
        <is>
          <t>no</t>
        </is>
      </c>
      <c r="V767" s="5" t="inlineStr">
        <is>
          <t>no</t>
        </is>
      </c>
      <c r="W767" s="5" t="inlineStr">
        <is>
          <t>no</t>
        </is>
      </c>
      <c r="X767" s="5" t="inlineStr">
        <is>
          <t>no</t>
        </is>
      </c>
      <c r="Y767" s="5" t="inlineStr">
        <is>
          <t>no</t>
        </is>
      </c>
      <c r="Z767" s="5" t="inlineStr">
        <is>
          <t>yes</t>
        </is>
      </c>
      <c r="AA767" s="5" t="n">
        <v>0</v>
      </c>
      <c r="AB767" s="5" t="n"/>
      <c r="AC767" s="5" t="n"/>
      <c r="AD767" s="5" t="n"/>
      <c r="AE767" s="5" t="n">
        <v>1124</v>
      </c>
      <c r="AF767" s="5" t="n">
        <v>2053.3</v>
      </c>
      <c r="AG767" s="5" t="n">
        <v>1309.9</v>
      </c>
      <c r="AH767" s="5" t="n">
        <v>2112.7</v>
      </c>
      <c r="AI767" s="5" t="inlineStr">
        <is>
          <t>n/a</t>
        </is>
      </c>
      <c r="AJ767" s="5" t="inlineStr"/>
      <c r="AK767" s="5" t="inlineStr"/>
      <c r="AL767" s="5" t="inlineStr"/>
      <c r="AM767" s="5" t="inlineStr"/>
    </row>
    <row r="768">
      <c r="A768" s="5" t="n">
        <v>767</v>
      </c>
      <c r="B768" s="5" t="inlineStr">
        <is>
          <t>129</t>
        </is>
      </c>
      <c r="C768" s="5" t="inlineStr">
        <is>
          <t>nearest labels (60% agree)</t>
        </is>
      </c>
      <c r="D768" s="5" t="inlineStr">
        <is>
          <t>grade_beam</t>
        </is>
      </c>
      <c r="E768" s="5" t="inlineStr">
        <is>
          <t>grade_beam</t>
        </is>
      </c>
      <c r="F768" s="5" t="inlineStr">
        <is>
          <t>LG40x15</t>
        </is>
      </c>
      <c r="G768" s="5" t="inlineStr"/>
      <c r="H768" s="5" t="inlineStr">
        <is>
          <t>band width matches label</t>
        </is>
      </c>
      <c r="I768" s="5" t="n">
        <v>286</v>
      </c>
      <c r="J768" s="5" t="n">
        <v>40</v>
      </c>
      <c r="K768" s="9">
        <f>IF(AND(ISNUMBER(I768),ISNUMBER(J768),J768&gt;0),I768/J768,"")</f>
        <v/>
      </c>
      <c r="L768" s="5" t="n">
        <v>1.144</v>
      </c>
      <c r="M768" s="5" t="n">
        <v>2.86</v>
      </c>
      <c r="N768" s="5" t="n">
        <v>75.09999999999999</v>
      </c>
      <c r="O768" s="5" t="inlineStr">
        <is>
          <t>parallel line pair</t>
        </is>
      </c>
      <c r="P768" s="5" t="inlineStr">
        <is>
          <t>two parallel lines at the width written in the LG label, empty inside</t>
        </is>
      </c>
      <c r="Q768" s="5">
        <f>IF(OR(D768="column",D768="wall"),IF(I768&lt;='P vs V'!$B$3*J768,"column","wall"),"")</f>
        <v/>
      </c>
      <c r="R768" s="5" t="inlineStr"/>
      <c r="S768" s="5" t="inlineStr"/>
      <c r="T768" s="5" t="n"/>
      <c r="U768" s="5" t="inlineStr">
        <is>
          <t>no</t>
        </is>
      </c>
      <c r="V768" s="5" t="inlineStr">
        <is>
          <t>no</t>
        </is>
      </c>
      <c r="W768" s="5" t="inlineStr">
        <is>
          <t>no</t>
        </is>
      </c>
      <c r="X768" s="5" t="inlineStr">
        <is>
          <t>no</t>
        </is>
      </c>
      <c r="Y768" s="5" t="inlineStr">
        <is>
          <t>no</t>
        </is>
      </c>
      <c r="Z768" s="5" t="inlineStr">
        <is>
          <t>no</t>
        </is>
      </c>
      <c r="AA768" s="5" t="n">
        <v>0.05</v>
      </c>
      <c r="AB768" s="5" t="n"/>
      <c r="AC768" s="5" t="n"/>
      <c r="AD768" s="5" t="n"/>
      <c r="AE768" s="5" t="n">
        <v>1044.1</v>
      </c>
      <c r="AF768" s="5" t="n">
        <v>1843.5</v>
      </c>
      <c r="AG768" s="5" t="n">
        <v>1077.2</v>
      </c>
      <c r="AH768" s="5" t="n">
        <v>1928.1</v>
      </c>
      <c r="AI768" s="5" t="inlineStr">
        <is>
          <t>n/a</t>
        </is>
      </c>
      <c r="AJ768" s="5" t="inlineStr"/>
      <c r="AK768" s="5" t="inlineStr"/>
      <c r="AL768" s="5" t="inlineStr"/>
      <c r="AM768" s="5" t="inlineStr"/>
    </row>
    <row r="769">
      <c r="A769" s="5" t="n">
        <v>768</v>
      </c>
      <c r="B769" s="5" t="inlineStr">
        <is>
          <t>129</t>
        </is>
      </c>
      <c r="C769" s="5" t="inlineStr">
        <is>
          <t>nearest labels (100% agree)</t>
        </is>
      </c>
      <c r="D769" s="5" t="inlineStr">
        <is>
          <t>grade_beam</t>
        </is>
      </c>
      <c r="E769" s="5" t="inlineStr">
        <is>
          <t>grade_beam</t>
        </is>
      </c>
      <c r="F769" s="5" t="inlineStr">
        <is>
          <t>LG40x15</t>
        </is>
      </c>
      <c r="G769" s="5" t="inlineStr"/>
      <c r="H769" s="5" t="inlineStr">
        <is>
          <t>band width matches label</t>
        </is>
      </c>
      <c r="I769" s="5" t="n">
        <v>415</v>
      </c>
      <c r="J769" s="5" t="n">
        <v>40</v>
      </c>
      <c r="K769" s="9">
        <f>IF(AND(ISNUMBER(I769),ISNUMBER(J769),J769&gt;0),I769/J769,"")</f>
        <v/>
      </c>
      <c r="L769" s="5" t="n">
        <v>1.659</v>
      </c>
      <c r="M769" s="5" t="n">
        <v>4.15</v>
      </c>
      <c r="N769" s="5" t="n">
        <v>75.09999999999999</v>
      </c>
      <c r="O769" s="5" t="inlineStr">
        <is>
          <t>parallel line pair</t>
        </is>
      </c>
      <c r="P769" s="5" t="inlineStr">
        <is>
          <t>two parallel lines at the width written in the LG label, empty inside</t>
        </is>
      </c>
      <c r="Q769" s="5">
        <f>IF(OR(D769="column",D769="wall"),IF(I769&lt;='P vs V'!$B$3*J769,"column","wall"),"")</f>
        <v/>
      </c>
      <c r="R769" s="5" t="inlineStr"/>
      <c r="S769" s="5" t="inlineStr"/>
      <c r="T769" s="5" t="n"/>
      <c r="U769" s="5" t="inlineStr">
        <is>
          <t>no</t>
        </is>
      </c>
      <c r="V769" s="5" t="inlineStr">
        <is>
          <t>no</t>
        </is>
      </c>
      <c r="W769" s="5" t="inlineStr">
        <is>
          <t>yes</t>
        </is>
      </c>
      <c r="X769" s="5" t="inlineStr">
        <is>
          <t>no</t>
        </is>
      </c>
      <c r="Y769" s="5" t="inlineStr">
        <is>
          <t>no</t>
        </is>
      </c>
      <c r="Z769" s="5" t="inlineStr">
        <is>
          <t>yes</t>
        </is>
      </c>
      <c r="AA769" s="5" t="n">
        <v>0.3</v>
      </c>
      <c r="AB769" s="5" t="n"/>
      <c r="AC769" s="5" t="n"/>
      <c r="AD769" s="5" t="n"/>
      <c r="AE769" s="5" t="n">
        <v>1096.1</v>
      </c>
      <c r="AF769" s="5" t="n">
        <v>2039.3</v>
      </c>
      <c r="AG769" s="5" t="n">
        <v>1138.9</v>
      </c>
      <c r="AH769" s="5" t="n">
        <v>2160.7</v>
      </c>
      <c r="AI769" s="5" t="inlineStr">
        <is>
          <t>n/a</t>
        </is>
      </c>
      <c r="AJ769" s="5" t="inlineStr"/>
      <c r="AK769" s="5" t="inlineStr"/>
      <c r="AL769" s="5" t="inlineStr"/>
      <c r="AM769" s="5" t="inlineStr"/>
    </row>
    <row r="770">
      <c r="A770" s="5" t="n">
        <v>769</v>
      </c>
      <c r="B770" s="5" t="inlineStr">
        <is>
          <t>129</t>
        </is>
      </c>
      <c r="C770" s="5" t="inlineStr">
        <is>
          <t>nearest labels (40% agree)</t>
        </is>
      </c>
      <c r="D770" s="5" t="inlineStr">
        <is>
          <t>grade_beam</t>
        </is>
      </c>
      <c r="E770" s="5" t="inlineStr">
        <is>
          <t>grade_beam</t>
        </is>
      </c>
      <c r="F770" s="5" t="inlineStr">
        <is>
          <t>LG40x15</t>
        </is>
      </c>
      <c r="G770" s="5" t="inlineStr"/>
      <c r="H770" s="5" t="inlineStr">
        <is>
          <t>band width matches label</t>
        </is>
      </c>
      <c r="I770" s="5" t="n">
        <v>279</v>
      </c>
      <c r="J770" s="5" t="n">
        <v>40</v>
      </c>
      <c r="K770" s="9">
        <f>IF(AND(ISNUMBER(I770),ISNUMBER(J770),J770&gt;0),I770/J770,"")</f>
        <v/>
      </c>
      <c r="L770" s="5" t="n">
        <v>1.115</v>
      </c>
      <c r="M770" s="5" t="n">
        <v>2.79</v>
      </c>
      <c r="N770" s="5" t="n">
        <v>165.3</v>
      </c>
      <c r="O770" s="5" t="inlineStr">
        <is>
          <t>parallel line pair</t>
        </is>
      </c>
      <c r="P770" s="5" t="inlineStr">
        <is>
          <t>two parallel lines at the width written in the LG label, empty inside</t>
        </is>
      </c>
      <c r="Q770" s="5">
        <f>IF(OR(D770="column",D770="wall"),IF(I770&lt;='P vs V'!$B$3*J770,"column","wall"),"")</f>
        <v/>
      </c>
      <c r="R770" s="5" t="inlineStr"/>
      <c r="S770" s="5" t="inlineStr"/>
      <c r="T770" s="5" t="n"/>
      <c r="U770" s="5" t="inlineStr">
        <is>
          <t>no</t>
        </is>
      </c>
      <c r="V770" s="5" t="inlineStr">
        <is>
          <t>no</t>
        </is>
      </c>
      <c r="W770" s="5" t="inlineStr">
        <is>
          <t>yes</t>
        </is>
      </c>
      <c r="X770" s="5" t="inlineStr">
        <is>
          <t>no</t>
        </is>
      </c>
      <c r="Y770" s="5" t="inlineStr">
        <is>
          <t>no</t>
        </is>
      </c>
      <c r="Z770" s="5" t="inlineStr">
        <is>
          <t>no</t>
        </is>
      </c>
      <c r="AA770" s="5" t="n">
        <v>7.74</v>
      </c>
      <c r="AB770" s="5" t="n"/>
      <c r="AC770" s="5" t="n"/>
      <c r="AD770" s="5" t="n"/>
      <c r="AE770" s="5" t="n">
        <v>1348.4</v>
      </c>
      <c r="AF770" s="5" t="n">
        <v>1785.3</v>
      </c>
      <c r="AG770" s="5" t="n">
        <v>1431</v>
      </c>
      <c r="AH770" s="5" t="n">
        <v>1817.6</v>
      </c>
      <c r="AI770" s="5" t="inlineStr">
        <is>
          <t>n/a</t>
        </is>
      </c>
      <c r="AJ770" s="5" t="inlineStr"/>
      <c r="AK770" s="5" t="inlineStr"/>
      <c r="AL770" s="5" t="inlineStr"/>
      <c r="AM770" s="5" t="inlineStr"/>
    </row>
    <row r="771">
      <c r="A771" s="5" t="n">
        <v>770</v>
      </c>
      <c r="B771" s="5" t="inlineStr">
        <is>
          <t>129</t>
        </is>
      </c>
      <c r="C771" s="5" t="inlineStr">
        <is>
          <t>nearest labels (60% agree)</t>
        </is>
      </c>
      <c r="D771" s="5" t="inlineStr">
        <is>
          <t>strip_footing</t>
        </is>
      </c>
      <c r="E771" s="5" t="inlineStr">
        <is>
          <t>strip_footing</t>
        </is>
      </c>
      <c r="F771" s="5" t="inlineStr">
        <is>
          <t>SF1</t>
        </is>
      </c>
      <c r="G771" s="5" t="inlineStr"/>
      <c r="H771" s="5" t="inlineStr">
        <is>
          <t>band width matches label</t>
        </is>
      </c>
      <c r="I771" s="5" t="n">
        <v>754</v>
      </c>
      <c r="J771" s="5" t="n">
        <v>80</v>
      </c>
      <c r="K771" s="9">
        <f>IF(AND(ISNUMBER(I771),ISNUMBER(J771),J771&gt;0),I771/J771,"")</f>
        <v/>
      </c>
      <c r="L771" s="5" t="n">
        <v>6.034</v>
      </c>
      <c r="M771" s="5" t="n">
        <v>7.54</v>
      </c>
      <c r="N771" s="5" t="n">
        <v>140.9</v>
      </c>
      <c r="O771" s="5" t="inlineStr">
        <is>
          <t>parallel line pair</t>
        </is>
      </c>
      <c r="P771" s="5" t="inlineStr">
        <is>
          <t>two parallel lines at the width written in the SF label, a wall inside</t>
        </is>
      </c>
      <c r="Q771" s="5">
        <f>IF(OR(D771="column",D771="wall"),IF(I771&lt;='P vs V'!$B$3*J771,"column","wall"),"")</f>
        <v/>
      </c>
      <c r="R771" s="5" t="inlineStr"/>
      <c r="S771" s="5" t="inlineStr"/>
      <c r="T771" s="5" t="n"/>
      <c r="U771" s="5" t="inlineStr">
        <is>
          <t>no</t>
        </is>
      </c>
      <c r="V771" s="5" t="inlineStr">
        <is>
          <t>no</t>
        </is>
      </c>
      <c r="W771" s="5" t="inlineStr">
        <is>
          <t>yes</t>
        </is>
      </c>
      <c r="X771" s="5" t="inlineStr">
        <is>
          <t>yes</t>
        </is>
      </c>
      <c r="Y771" s="5" t="inlineStr">
        <is>
          <t>yes</t>
        </is>
      </c>
      <c r="Z771" s="5" t="inlineStr">
        <is>
          <t>no</t>
        </is>
      </c>
      <c r="AA771" s="5" t="n">
        <v>0.5600000000000001</v>
      </c>
      <c r="AB771" s="5" t="n"/>
      <c r="AC771" s="5" t="n"/>
      <c r="AD771" s="5" t="n"/>
      <c r="AE771" s="5" t="n">
        <v>993.9</v>
      </c>
      <c r="AF771" s="5" t="n">
        <v>2318.2</v>
      </c>
      <c r="AG771" s="5" t="n">
        <v>1181.7</v>
      </c>
      <c r="AH771" s="5" t="n">
        <v>2476.9</v>
      </c>
      <c r="AI771" s="5" t="inlineStr">
        <is>
          <t>n/a</t>
        </is>
      </c>
      <c r="AJ771" s="5" t="inlineStr"/>
      <c r="AK771" s="5" t="inlineStr"/>
      <c r="AL771" s="5" t="inlineStr"/>
      <c r="AM771" s="5" t="inlineStr"/>
    </row>
    <row r="772">
      <c r="A772" s="5" t="n">
        <v>771</v>
      </c>
      <c r="B772" s="5" t="inlineStr">
        <is>
          <t>129</t>
        </is>
      </c>
      <c r="C772" s="5" t="inlineStr">
        <is>
          <t>nearest labels (80% agree)</t>
        </is>
      </c>
      <c r="D772" s="5" t="inlineStr">
        <is>
          <t>strip_footing</t>
        </is>
      </c>
      <c r="E772" s="5" t="inlineStr">
        <is>
          <t>strip_footing</t>
        </is>
      </c>
      <c r="F772" s="5" t="inlineStr">
        <is>
          <t>SF1</t>
        </is>
      </c>
      <c r="G772" s="5" t="inlineStr"/>
      <c r="H772" s="5" t="inlineStr">
        <is>
          <t>band width matches label</t>
        </is>
      </c>
      <c r="I772" s="5" t="n">
        <v>636</v>
      </c>
      <c r="J772" s="5" t="n">
        <v>80</v>
      </c>
      <c r="K772" s="9">
        <f>IF(AND(ISNUMBER(I772),ISNUMBER(J772),J772&gt;0),I772/J772,"")</f>
        <v/>
      </c>
      <c r="L772" s="5" t="n">
        <v>5.09</v>
      </c>
      <c r="M772" s="5" t="n">
        <v>6.36</v>
      </c>
      <c r="N772" s="5" t="n">
        <v>140.9</v>
      </c>
      <c r="O772" s="5" t="inlineStr">
        <is>
          <t>parallel line pair</t>
        </is>
      </c>
      <c r="P772" s="5" t="inlineStr">
        <is>
          <t>two parallel lines at the width written in the SF label, a wall inside</t>
        </is>
      </c>
      <c r="Q772" s="5">
        <f>IF(OR(D772="column",D772="wall"),IF(I772&lt;='P vs V'!$B$3*J772,"column","wall"),"")</f>
        <v/>
      </c>
      <c r="R772" s="5" t="inlineStr"/>
      <c r="S772" s="5" t="inlineStr"/>
      <c r="T772" s="5" t="n"/>
      <c r="U772" s="5" t="inlineStr">
        <is>
          <t>no</t>
        </is>
      </c>
      <c r="V772" s="5" t="inlineStr">
        <is>
          <t>no</t>
        </is>
      </c>
      <c r="W772" s="5" t="inlineStr">
        <is>
          <t>yes</t>
        </is>
      </c>
      <c r="X772" s="5" t="inlineStr">
        <is>
          <t>yes</t>
        </is>
      </c>
      <c r="Y772" s="5" t="inlineStr">
        <is>
          <t>yes</t>
        </is>
      </c>
      <c r="Z772" s="5" t="inlineStr">
        <is>
          <t>no</t>
        </is>
      </c>
      <c r="AA772" s="5" t="n">
        <v>0.46</v>
      </c>
      <c r="AB772" s="5" t="n"/>
      <c r="AC772" s="5" t="n"/>
      <c r="AD772" s="5" t="n"/>
      <c r="AE772" s="5" t="n">
        <v>828</v>
      </c>
      <c r="AF772" s="5" t="n">
        <v>2474.9</v>
      </c>
      <c r="AG772" s="5" t="n">
        <v>988.7</v>
      </c>
      <c r="AH772" s="5" t="n">
        <v>2611.7</v>
      </c>
      <c r="AI772" s="5" t="inlineStr">
        <is>
          <t>n/a</t>
        </is>
      </c>
      <c r="AJ772" s="5" t="inlineStr"/>
      <c r="AK772" s="5" t="inlineStr"/>
      <c r="AL772" s="5" t="inlineStr"/>
      <c r="AM772" s="5" t="inlineStr"/>
    </row>
    <row r="773">
      <c r="A773" s="5" t="n">
        <v>772</v>
      </c>
      <c r="B773" s="5" t="inlineStr">
        <is>
          <t>129</t>
        </is>
      </c>
      <c r="C773" s="5" t="inlineStr">
        <is>
          <t>nearest labels (80% agree)</t>
        </is>
      </c>
      <c r="D773" s="5" t="inlineStr">
        <is>
          <t>strip_footing</t>
        </is>
      </c>
      <c r="E773" s="5" t="inlineStr">
        <is>
          <t>strip_footing</t>
        </is>
      </c>
      <c r="F773" s="5" t="inlineStr">
        <is>
          <t>SF1</t>
        </is>
      </c>
      <c r="G773" s="5" t="inlineStr"/>
      <c r="H773" s="5" t="inlineStr">
        <is>
          <t>band width matches label</t>
        </is>
      </c>
      <c r="I773" s="5" t="n">
        <v>336</v>
      </c>
      <c r="J773" s="5" t="n">
        <v>80</v>
      </c>
      <c r="K773" s="9">
        <f>IF(AND(ISNUMBER(I773),ISNUMBER(J773),J773&gt;0),I773/J773,"")</f>
        <v/>
      </c>
      <c r="L773" s="5" t="n">
        <v>2.692</v>
      </c>
      <c r="M773" s="5" t="n">
        <v>3.36</v>
      </c>
      <c r="N773" s="5" t="n">
        <v>75.3</v>
      </c>
      <c r="O773" s="5" t="inlineStr">
        <is>
          <t>parallel line pair</t>
        </is>
      </c>
      <c r="P773" s="5" t="inlineStr">
        <is>
          <t>two parallel lines at the width written in the SF label, a wall inside</t>
        </is>
      </c>
      <c r="Q773" s="5">
        <f>IF(OR(D773="column",D773="wall"),IF(I773&lt;='P vs V'!$B$3*J773,"column","wall"),"")</f>
        <v/>
      </c>
      <c r="R773" s="5" t="inlineStr"/>
      <c r="S773" s="5" t="inlineStr"/>
      <c r="T773" s="5" t="n"/>
      <c r="U773" s="5" t="inlineStr">
        <is>
          <t>no</t>
        </is>
      </c>
      <c r="V773" s="5" t="inlineStr">
        <is>
          <t>no</t>
        </is>
      </c>
      <c r="W773" s="5" t="inlineStr">
        <is>
          <t>yes</t>
        </is>
      </c>
      <c r="X773" s="5" t="inlineStr">
        <is>
          <t>yes</t>
        </is>
      </c>
      <c r="Y773" s="5" t="inlineStr">
        <is>
          <t>no</t>
        </is>
      </c>
      <c r="Z773" s="5" t="inlineStr">
        <is>
          <t>no</t>
        </is>
      </c>
      <c r="AA773" s="5" t="n">
        <v>2.66</v>
      </c>
      <c r="AB773" s="5" t="n"/>
      <c r="AC773" s="5" t="n"/>
      <c r="AD773" s="5" t="n"/>
      <c r="AE773" s="5" t="n">
        <v>945.8</v>
      </c>
      <c r="AF773" s="5" t="n">
        <v>2362.5</v>
      </c>
      <c r="AG773" s="5" t="n">
        <v>993.9</v>
      </c>
      <c r="AH773" s="5" t="n">
        <v>2464.6</v>
      </c>
      <c r="AI773" s="5" t="inlineStr">
        <is>
          <t>n/a</t>
        </is>
      </c>
      <c r="AJ773" s="5" t="inlineStr"/>
      <c r="AK773" s="5" t="inlineStr"/>
      <c r="AL773" s="5" t="inlineStr"/>
      <c r="AM773" s="5" t="inlineStr"/>
    </row>
    <row r="774">
      <c r="A774" s="5" t="n">
        <v>773</v>
      </c>
      <c r="B774" s="5" t="inlineStr">
        <is>
          <t>129</t>
        </is>
      </c>
      <c r="C774" s="5" t="inlineStr">
        <is>
          <t>nearest labels (100% agree)</t>
        </is>
      </c>
      <c r="D774" s="5" t="inlineStr">
        <is>
          <t>strip_footing</t>
        </is>
      </c>
      <c r="E774" s="5" t="inlineStr">
        <is>
          <t>strip_footing</t>
        </is>
      </c>
      <c r="F774" s="5" t="inlineStr">
        <is>
          <t>SF1</t>
        </is>
      </c>
      <c r="G774" s="5" t="inlineStr"/>
      <c r="H774" s="5" t="inlineStr">
        <is>
          <t>band width matches label</t>
        </is>
      </c>
      <c r="I774" s="5" t="n">
        <v>290</v>
      </c>
      <c r="J774" s="5" t="n">
        <v>80</v>
      </c>
      <c r="K774" s="9">
        <f>IF(AND(ISNUMBER(I774),ISNUMBER(J774),J774&gt;0),I774/J774,"")</f>
        <v/>
      </c>
      <c r="L774" s="5" t="n">
        <v>2.316</v>
      </c>
      <c r="M774" s="5" t="n">
        <v>2.9</v>
      </c>
      <c r="N774" s="5" t="n">
        <v>75.3</v>
      </c>
      <c r="O774" s="5" t="inlineStr">
        <is>
          <t>parallel line pair</t>
        </is>
      </c>
      <c r="P774" s="5" t="inlineStr">
        <is>
          <t>two parallel lines at the width written in the SF label, a wall inside</t>
        </is>
      </c>
      <c r="Q774" s="5">
        <f>IF(OR(D774="column",D774="wall"),IF(I774&lt;='P vs V'!$B$3*J774,"column","wall"),"")</f>
        <v/>
      </c>
      <c r="R774" s="5" t="inlineStr"/>
      <c r="S774" s="5" t="inlineStr"/>
      <c r="T774" s="5" t="n"/>
      <c r="U774" s="5" t="inlineStr">
        <is>
          <t>no</t>
        </is>
      </c>
      <c r="V774" s="5" t="inlineStr">
        <is>
          <t>no</t>
        </is>
      </c>
      <c r="W774" s="5" t="inlineStr">
        <is>
          <t>yes</t>
        </is>
      </c>
      <c r="X774" s="5" t="inlineStr">
        <is>
          <t>yes</t>
        </is>
      </c>
      <c r="Y774" s="5" t="inlineStr">
        <is>
          <t>no</t>
        </is>
      </c>
      <c r="Z774" s="5" t="inlineStr">
        <is>
          <t>no</t>
        </is>
      </c>
      <c r="AA774" s="5" t="n">
        <v>1.33</v>
      </c>
      <c r="AB774" s="5" t="n"/>
      <c r="AC774" s="5" t="n"/>
      <c r="AD774" s="5" t="n"/>
      <c r="AE774" s="5" t="n">
        <v>873.7</v>
      </c>
      <c r="AF774" s="5" t="n">
        <v>2082.4</v>
      </c>
      <c r="AG774" s="5" t="n">
        <v>918.3</v>
      </c>
      <c r="AH774" s="5" t="n">
        <v>2171</v>
      </c>
      <c r="AI774" s="5" t="inlineStr">
        <is>
          <t>n/a</t>
        </is>
      </c>
      <c r="AJ774" s="5" t="inlineStr"/>
      <c r="AK774" s="5" t="inlineStr"/>
      <c r="AL774" s="5" t="inlineStr"/>
      <c r="AM774" s="5" t="inlineStr"/>
    </row>
    <row r="775">
      <c r="A775" s="5" t="n">
        <v>774</v>
      </c>
      <c r="B775" s="5" t="inlineStr">
        <is>
          <t>129</t>
        </is>
      </c>
      <c r="C775" s="5" t="inlineStr">
        <is>
          <t>nearest labels (60% agree)</t>
        </is>
      </c>
      <c r="D775" s="5" t="inlineStr">
        <is>
          <t>strip_footing</t>
        </is>
      </c>
      <c r="E775" s="5" t="inlineStr">
        <is>
          <t>strip_footing</t>
        </is>
      </c>
      <c r="F775" s="5" t="inlineStr">
        <is>
          <t>SF4</t>
        </is>
      </c>
      <c r="G775" s="5" t="inlineStr"/>
      <c r="H775" s="5" t="inlineStr">
        <is>
          <t>band width matches label</t>
        </is>
      </c>
      <c r="I775" s="5" t="n">
        <v>378</v>
      </c>
      <c r="J775" s="5" t="n">
        <v>120</v>
      </c>
      <c r="K775" s="9">
        <f>IF(AND(ISNUMBER(I775),ISNUMBER(J775),J775&gt;0),I775/J775,"")</f>
        <v/>
      </c>
      <c r="L775" s="5" t="n">
        <v>4.533</v>
      </c>
      <c r="M775" s="5" t="n">
        <v>3.78</v>
      </c>
      <c r="N775" s="5" t="n">
        <v>140.9</v>
      </c>
      <c r="O775" s="5" t="inlineStr">
        <is>
          <t>parallel line pair</t>
        </is>
      </c>
      <c r="P775" s="5" t="inlineStr">
        <is>
          <t>two parallel lines at the width written in the SF label, a wall inside</t>
        </is>
      </c>
      <c r="Q775" s="5">
        <f>IF(OR(D775="column",D775="wall"),IF(I775&lt;='P vs V'!$B$3*J775,"column","wall"),"")</f>
        <v/>
      </c>
      <c r="R775" s="5" t="inlineStr"/>
      <c r="S775" s="5" t="inlineStr"/>
      <c r="T775" s="5" t="n"/>
      <c r="U775" s="5" t="inlineStr">
        <is>
          <t>no</t>
        </is>
      </c>
      <c r="V775" s="5" t="inlineStr">
        <is>
          <t>no</t>
        </is>
      </c>
      <c r="W775" s="5" t="inlineStr">
        <is>
          <t>yes</t>
        </is>
      </c>
      <c r="X775" s="5" t="inlineStr">
        <is>
          <t>yes</t>
        </is>
      </c>
      <c r="Y775" s="5" t="inlineStr">
        <is>
          <t>no</t>
        </is>
      </c>
      <c r="Z775" s="5" t="inlineStr">
        <is>
          <t>no</t>
        </is>
      </c>
      <c r="AA775" s="5" t="n">
        <v>0.14</v>
      </c>
      <c r="AB775" s="5" t="n"/>
      <c r="AC775" s="5" t="n"/>
      <c r="AD775" s="5" t="n"/>
      <c r="AE775" s="5" t="n">
        <v>877.1</v>
      </c>
      <c r="AF775" s="5" t="n">
        <v>2620.1</v>
      </c>
      <c r="AG775" s="5" t="n">
        <v>986</v>
      </c>
      <c r="AH775" s="5" t="n">
        <v>2718</v>
      </c>
      <c r="AI775" s="5" t="inlineStr">
        <is>
          <t>n/a</t>
        </is>
      </c>
      <c r="AJ775" s="5" t="inlineStr"/>
      <c r="AK775" s="5" t="inlineStr"/>
      <c r="AL775" s="5" t="inlineStr"/>
      <c r="AM775" s="5" t="inlineStr"/>
    </row>
    <row r="776">
      <c r="A776" s="5" t="n">
        <v>775</v>
      </c>
      <c r="B776" s="5" t="inlineStr">
        <is>
          <t>129</t>
        </is>
      </c>
      <c r="C776" s="5" t="inlineStr">
        <is>
          <t>nearest labels (100% agree)</t>
        </is>
      </c>
      <c r="D776" s="5" t="inlineStr">
        <is>
          <t>strip_footing</t>
        </is>
      </c>
      <c r="E776" s="5" t="inlineStr">
        <is>
          <t>strip_footing</t>
        </is>
      </c>
      <c r="F776" s="5" t="inlineStr">
        <is>
          <t>SF4</t>
        </is>
      </c>
      <c r="G776" s="5" t="inlineStr"/>
      <c r="H776" s="5" t="inlineStr">
        <is>
          <t>band width matches label</t>
        </is>
      </c>
      <c r="I776" s="5" t="n">
        <v>281</v>
      </c>
      <c r="J776" s="5" t="n">
        <v>120</v>
      </c>
      <c r="K776" s="9">
        <f>IF(AND(ISNUMBER(I776),ISNUMBER(J776),J776&gt;0),I776/J776,"")</f>
        <v/>
      </c>
      <c r="L776" s="5" t="n">
        <v>3.375</v>
      </c>
      <c r="M776" s="5" t="n">
        <v>2.81</v>
      </c>
      <c r="N776" s="5" t="n">
        <v>75.3</v>
      </c>
      <c r="O776" s="5" t="inlineStr">
        <is>
          <t>parallel line pair</t>
        </is>
      </c>
      <c r="P776" s="5" t="inlineStr">
        <is>
          <t>two parallel lines at the width written in the SF label, a wall inside</t>
        </is>
      </c>
      <c r="Q776" s="5">
        <f>IF(OR(D776="column",D776="wall"),IF(I776&lt;='P vs V'!$B$3*J776,"column","wall"),"")</f>
        <v/>
      </c>
      <c r="R776" s="5" t="inlineStr"/>
      <c r="S776" s="5" t="inlineStr"/>
      <c r="T776" s="5" t="n"/>
      <c r="U776" s="5" t="inlineStr">
        <is>
          <t>yes</t>
        </is>
      </c>
      <c r="V776" s="5" t="inlineStr">
        <is>
          <t>no</t>
        </is>
      </c>
      <c r="W776" s="5" t="inlineStr">
        <is>
          <t>yes</t>
        </is>
      </c>
      <c r="X776" s="5" t="inlineStr">
        <is>
          <t>yes</t>
        </is>
      </c>
      <c r="Y776" s="5" t="inlineStr">
        <is>
          <t>no</t>
        </is>
      </c>
      <c r="Z776" s="5" t="inlineStr">
        <is>
          <t>no</t>
        </is>
      </c>
      <c r="AA776" s="5" t="n">
        <v>1.48</v>
      </c>
      <c r="AB776" s="5" t="n"/>
      <c r="AC776" s="5" t="n"/>
      <c r="AD776" s="5" t="n"/>
      <c r="AE776" s="5" t="n">
        <v>650.2</v>
      </c>
      <c r="AF776" s="5" t="n">
        <v>2284.4</v>
      </c>
      <c r="AG776" s="5" t="n">
        <v>705.6</v>
      </c>
      <c r="AH776" s="5" t="n">
        <v>2373.7</v>
      </c>
      <c r="AI776" s="5" t="inlineStr">
        <is>
          <t>n/a</t>
        </is>
      </c>
      <c r="AJ776" s="5" t="inlineStr"/>
      <c r="AK776" s="5" t="inlineStr"/>
      <c r="AL776" s="5" t="inlineStr"/>
      <c r="AM776" s="5" t="inlineStr"/>
    </row>
    <row r="777">
      <c r="A777" s="5" t="n">
        <v>776</v>
      </c>
      <c r="B777" s="5" t="inlineStr">
        <is>
          <t>129</t>
        </is>
      </c>
      <c r="C777" s="5" t="inlineStr">
        <is>
          <t>nearest labels (100% agree)</t>
        </is>
      </c>
      <c r="D777" s="5" t="inlineStr">
        <is>
          <t>strip_footing</t>
        </is>
      </c>
      <c r="E777" s="5" t="inlineStr">
        <is>
          <t>strip_footing</t>
        </is>
      </c>
      <c r="F777" s="5" t="inlineStr">
        <is>
          <t>SF4</t>
        </is>
      </c>
      <c r="G777" s="5" t="inlineStr"/>
      <c r="H777" s="5" t="inlineStr">
        <is>
          <t>band width matches label</t>
        </is>
      </c>
      <c r="I777" s="5" t="n">
        <v>250</v>
      </c>
      <c r="J777" s="5" t="n">
        <v>120</v>
      </c>
      <c r="K777" s="9">
        <f>IF(AND(ISNUMBER(I777),ISNUMBER(J777),J777&gt;0),I777/J777,"")</f>
        <v/>
      </c>
      <c r="L777" s="5" t="n">
        <v>2.997</v>
      </c>
      <c r="M777" s="5" t="n">
        <v>2.5</v>
      </c>
      <c r="N777" s="5" t="n">
        <v>165.3</v>
      </c>
      <c r="O777" s="5" t="inlineStr">
        <is>
          <t>parallel line pair</t>
        </is>
      </c>
      <c r="P777" s="5" t="inlineStr">
        <is>
          <t>two parallel lines at the width written in the SF label, a wall inside</t>
        </is>
      </c>
      <c r="Q777" s="5">
        <f>IF(OR(D777="column",D777="wall"),IF(I777&lt;='P vs V'!$B$3*J777,"column","wall"),"")</f>
        <v/>
      </c>
      <c r="R777" s="5" t="inlineStr"/>
      <c r="S777" s="5" t="inlineStr"/>
      <c r="T777" s="5" t="n"/>
      <c r="U777" s="5" t="inlineStr">
        <is>
          <t>yes</t>
        </is>
      </c>
      <c r="V777" s="5" t="inlineStr">
        <is>
          <t>yes</t>
        </is>
      </c>
      <c r="W777" s="5" t="inlineStr">
        <is>
          <t>yes</t>
        </is>
      </c>
      <c r="X777" s="5" t="inlineStr">
        <is>
          <t>yes</t>
        </is>
      </c>
      <c r="Y777" s="5" t="inlineStr">
        <is>
          <t>no</t>
        </is>
      </c>
      <c r="Z777" s="5" t="inlineStr">
        <is>
          <t>no</t>
        </is>
      </c>
      <c r="AA777" s="5" t="n">
        <v>0.54</v>
      </c>
      <c r="AB777" s="5" t="n"/>
      <c r="AC777" s="5" t="n"/>
      <c r="AD777" s="5" t="n"/>
      <c r="AE777" s="5" t="n">
        <v>989.1</v>
      </c>
      <c r="AF777" s="5" t="n">
        <v>2149.2</v>
      </c>
      <c r="AG777" s="5" t="n">
        <v>1069.4</v>
      </c>
      <c r="AH777" s="5" t="n">
        <v>2202.2</v>
      </c>
      <c r="AI777" s="5" t="inlineStr">
        <is>
          <t>n/a</t>
        </is>
      </c>
      <c r="AJ777" s="5" t="inlineStr"/>
      <c r="AK777" s="5" t="inlineStr"/>
      <c r="AL777" s="5" t="inlineStr"/>
      <c r="AM777" s="5" t="inlineStr"/>
    </row>
    <row r="778">
      <c r="A778" s="5" t="n">
        <v>777</v>
      </c>
      <c r="B778" s="5" t="inlineStr">
        <is>
          <t>129</t>
        </is>
      </c>
      <c r="C778" s="5" t="inlineStr">
        <is>
          <t>nearest labels (100% agree)</t>
        </is>
      </c>
      <c r="D778" s="5" t="inlineStr">
        <is>
          <t>strip_footing</t>
        </is>
      </c>
      <c r="E778" s="5" t="inlineStr">
        <is>
          <t>strip_footing</t>
        </is>
      </c>
      <c r="F778" s="5" t="inlineStr">
        <is>
          <t>SF4</t>
        </is>
      </c>
      <c r="G778" s="5" t="inlineStr"/>
      <c r="H778" s="5" t="inlineStr">
        <is>
          <t>band width matches label</t>
        </is>
      </c>
      <c r="I778" s="5" t="n">
        <v>242</v>
      </c>
      <c r="J778" s="5" t="n">
        <v>120</v>
      </c>
      <c r="K778" s="9">
        <f>IF(AND(ISNUMBER(I778),ISNUMBER(J778),J778&gt;0),I778/J778,"")</f>
        <v/>
      </c>
      <c r="L778" s="5" t="n">
        <v>2.903</v>
      </c>
      <c r="M778" s="5" t="n">
        <v>2.42</v>
      </c>
      <c r="N778" s="5" t="n">
        <v>165.3</v>
      </c>
      <c r="O778" s="5" t="inlineStr">
        <is>
          <t>parallel line pair</t>
        </is>
      </c>
      <c r="P778" s="5" t="inlineStr">
        <is>
          <t>two parallel lines at the width written in the SF label, a wall inside</t>
        </is>
      </c>
      <c r="Q778" s="5">
        <f>IF(OR(D778="column",D778="wall"),IF(I778&lt;='P vs V'!$B$3*J778,"column","wall"),"")</f>
        <v/>
      </c>
      <c r="R778" s="5" t="inlineStr"/>
      <c r="S778" s="5" t="inlineStr"/>
      <c r="T778" s="5" t="n"/>
      <c r="U778" s="5" t="inlineStr">
        <is>
          <t>yes</t>
        </is>
      </c>
      <c r="V778" s="5" t="inlineStr">
        <is>
          <t>no</t>
        </is>
      </c>
      <c r="W778" s="5" t="inlineStr">
        <is>
          <t>yes</t>
        </is>
      </c>
      <c r="X778" s="5" t="inlineStr">
        <is>
          <t>yes</t>
        </is>
      </c>
      <c r="Y778" s="5" t="inlineStr">
        <is>
          <t>no</t>
        </is>
      </c>
      <c r="Z778" s="5" t="inlineStr">
        <is>
          <t>no</t>
        </is>
      </c>
      <c r="AA778" s="5" t="n">
        <v>0.52</v>
      </c>
      <c r="AB778" s="5" t="n"/>
      <c r="AC778" s="5" t="n"/>
      <c r="AD778" s="5" t="n"/>
      <c r="AE778" s="5" t="n">
        <v>675.6</v>
      </c>
      <c r="AF778" s="5" t="n">
        <v>2232</v>
      </c>
      <c r="AG778" s="5" t="n">
        <v>753.7</v>
      </c>
      <c r="AH778" s="5" t="n">
        <v>2284.4</v>
      </c>
      <c r="AI778" s="5" t="inlineStr">
        <is>
          <t>n/a</t>
        </is>
      </c>
      <c r="AJ778" s="5" t="inlineStr"/>
      <c r="AK778" s="5" t="inlineStr"/>
      <c r="AL778" s="5" t="inlineStr"/>
      <c r="AM778" s="5" t="inlineStr"/>
    </row>
    <row r="779">
      <c r="A779" s="5" t="n">
        <v>778</v>
      </c>
      <c r="B779" s="5" t="inlineStr">
        <is>
          <t>129</t>
        </is>
      </c>
      <c r="C779" s="5" t="inlineStr">
        <is>
          <t>nearest labels (100% agree)</t>
        </is>
      </c>
      <c r="D779" s="5" t="inlineStr">
        <is>
          <t>strip_footing</t>
        </is>
      </c>
      <c r="E779" s="5" t="inlineStr">
        <is>
          <t>strip_footing</t>
        </is>
      </c>
      <c r="F779" s="5" t="inlineStr">
        <is>
          <t>SF4</t>
        </is>
      </c>
      <c r="G779" s="5" t="inlineStr"/>
      <c r="H779" s="5" t="inlineStr">
        <is>
          <t>band width matches label</t>
        </is>
      </c>
      <c r="I779" s="5" t="n">
        <v>115</v>
      </c>
      <c r="J779" s="5" t="n">
        <v>120</v>
      </c>
      <c r="K779" s="9">
        <f>IF(AND(ISNUMBER(I779),ISNUMBER(J779),J779&gt;0),I779/J779,"")</f>
        <v/>
      </c>
      <c r="L779" s="5" t="n">
        <v>1.382</v>
      </c>
      <c r="M779" s="5" t="n">
        <v>1.15</v>
      </c>
      <c r="N779" s="5" t="n">
        <v>75.3</v>
      </c>
      <c r="O779" s="5" t="inlineStr">
        <is>
          <t>parallel line pair</t>
        </is>
      </c>
      <c r="P779" s="5" t="inlineStr">
        <is>
          <t>two parallel lines at the width written in the SF label, a wall inside</t>
        </is>
      </c>
      <c r="Q779" s="5">
        <f>IF(OR(D779="column",D779="wall"),IF(I779&lt;='P vs V'!$B$3*J779,"column","wall"),"")</f>
        <v/>
      </c>
      <c r="R779" s="5" t="inlineStr"/>
      <c r="S779" s="5" t="inlineStr"/>
      <c r="T779" s="5" t="n"/>
      <c r="U779" s="5" t="inlineStr">
        <is>
          <t>yes</t>
        </is>
      </c>
      <c r="V779" s="5" t="inlineStr">
        <is>
          <t>yes</t>
        </is>
      </c>
      <c r="W779" s="5" t="inlineStr">
        <is>
          <t>yes</t>
        </is>
      </c>
      <c r="X779" s="5" t="inlineStr">
        <is>
          <t>yes</t>
        </is>
      </c>
      <c r="Y779" s="5" t="inlineStr">
        <is>
          <t>no</t>
        </is>
      </c>
      <c r="Z779" s="5" t="inlineStr">
        <is>
          <t>no</t>
        </is>
      </c>
      <c r="AA779" s="5" t="n">
        <v>0.54</v>
      </c>
      <c r="AB779" s="5" t="n"/>
      <c r="AC779" s="5" t="n"/>
      <c r="AD779" s="5" t="n"/>
      <c r="AE779" s="5" t="n">
        <v>927.6</v>
      </c>
      <c r="AF779" s="5" t="n">
        <v>2175.4</v>
      </c>
      <c r="AG779" s="5" t="n">
        <v>969.5</v>
      </c>
      <c r="AH779" s="5" t="n">
        <v>2218.3</v>
      </c>
      <c r="AI779" s="5" t="inlineStr">
        <is>
          <t>n/a</t>
        </is>
      </c>
      <c r="AJ779" s="5" t="inlineStr"/>
      <c r="AK779" s="5" t="inlineStr"/>
      <c r="AL779" s="5" t="inlineStr"/>
      <c r="AM779" s="5" t="inlineStr"/>
    </row>
    <row r="780">
      <c r="A780" s="5" t="n">
        <v>779</v>
      </c>
      <c r="B780" s="5" t="inlineStr">
        <is>
          <t>129</t>
        </is>
      </c>
      <c r="C780" s="5" t="inlineStr">
        <is>
          <t>nearest labels (100% agree)</t>
        </is>
      </c>
      <c r="D780" s="5" t="inlineStr">
        <is>
          <t>raft</t>
        </is>
      </c>
      <c r="E780" s="5" t="inlineStr">
        <is>
          <t>raft</t>
        </is>
      </c>
      <c r="F780" s="5" t="inlineStr">
        <is>
          <t>Radier 100</t>
        </is>
      </c>
      <c r="G780" s="5" t="inlineStr">
        <is>
          <t>Radier</t>
        </is>
      </c>
      <c r="H780" s="5" t="inlineStr">
        <is>
          <t>printed</t>
        </is>
      </c>
      <c r="I780" s="5" t="n">
        <v>1864</v>
      </c>
      <c r="J780" s="5" t="n">
        <v>620</v>
      </c>
      <c r="K780" s="9">
        <f>IF(AND(ISNUMBER(I780),ISNUMBER(J780),J780&gt;0),I780/J780,"")</f>
        <v/>
      </c>
      <c r="L780" s="5" t="n">
        <v>93.27</v>
      </c>
      <c r="M780" s="5" t="n"/>
      <c r="N780" s="5" t="n">
        <v>165.3</v>
      </c>
      <c r="O780" s="5" t="inlineStr">
        <is>
          <t>stamp + corner diagonals</t>
        </is>
      </c>
      <c r="P780" s="5" t="inlineStr">
        <is>
          <t>'Radier' stamp; extent from the corner diagonals that stop at the stamp</t>
        </is>
      </c>
      <c r="Q780" s="5">
        <f>IF(OR(D780="column",D780="wall"),IF(I780&lt;='P vs V'!$B$3*J780,"column","wall"),"")</f>
        <v/>
      </c>
      <c r="R780" s="5" t="inlineStr"/>
      <c r="S780" s="5" t="inlineStr"/>
      <c r="T780" s="5" t="n"/>
      <c r="U780" s="5" t="inlineStr">
        <is>
          <t>no</t>
        </is>
      </c>
      <c r="V780" s="5" t="inlineStr">
        <is>
          <t>yes</t>
        </is>
      </c>
      <c r="W780" s="5" t="inlineStr">
        <is>
          <t>yes</t>
        </is>
      </c>
      <c r="X780" s="5" t="inlineStr">
        <is>
          <t>no</t>
        </is>
      </c>
      <c r="Y780" s="5" t="inlineStr">
        <is>
          <t>yes</t>
        </is>
      </c>
      <c r="Z780" s="5" t="inlineStr">
        <is>
          <t>no</t>
        </is>
      </c>
      <c r="AA780" s="5" t="n">
        <v>1.42</v>
      </c>
      <c r="AB780" s="5" t="n"/>
      <c r="AC780" s="5" t="n"/>
      <c r="AD780" s="5" t="n">
        <v>100</v>
      </c>
      <c r="AE780" s="5" t="n">
        <v>641.2</v>
      </c>
      <c r="AF780" s="5" t="n">
        <v>2119.5</v>
      </c>
      <c r="AG780" s="5" t="n">
        <v>1202.1</v>
      </c>
      <c r="AH780" s="5" t="n">
        <v>2436.3</v>
      </c>
      <c r="AI780" s="5" t="inlineStr">
        <is>
          <t>n/a</t>
        </is>
      </c>
      <c r="AJ780" s="5" t="inlineStr"/>
      <c r="AK780" s="5" t="inlineStr"/>
      <c r="AL780" s="5" t="inlineStr"/>
      <c r="AM780" s="5" t="inlineStr"/>
    </row>
    <row r="781">
      <c r="A781" s="5" t="n">
        <v>780</v>
      </c>
      <c r="B781" s="5" t="inlineStr">
        <is>
          <t>130</t>
        </is>
      </c>
      <c r="C781" s="5" t="inlineStr">
        <is>
          <t>own label</t>
        </is>
      </c>
      <c r="D781" s="5" t="inlineStr">
        <is>
          <t>column</t>
        </is>
      </c>
      <c r="E781" s="5" t="inlineStr">
        <is>
          <t>column</t>
        </is>
      </c>
      <c r="F781" s="5" t="inlineStr">
        <is>
          <t>P1/130</t>
        </is>
      </c>
      <c r="G781" s="5" t="inlineStr">
        <is>
          <t>P1/130/130</t>
        </is>
      </c>
      <c r="H781" s="5" t="inlineStr">
        <is>
          <t>printed</t>
        </is>
      </c>
      <c r="I781" s="5" t="n">
        <v>80</v>
      </c>
      <c r="J781" s="5" t="n">
        <v>25</v>
      </c>
      <c r="K781" s="9">
        <f>IF(AND(ISNUMBER(I781),ISNUMBER(J781),J781&gt;0),I781/J781,"")</f>
        <v/>
      </c>
      <c r="L781" s="5" t="n">
        <v>0.2</v>
      </c>
      <c r="M781" s="5" t="n"/>
      <c r="N781" s="5" t="n">
        <v>165.3</v>
      </c>
      <c r="O781" s="5" t="inlineStr">
        <is>
          <t>solid fill</t>
        </is>
      </c>
      <c r="P781" s="5" t="inlineStr">
        <is>
          <t>solid fill, rectangle, L &lt;= 4 W (EN 1992-1-1 5.3.1(7))</t>
        </is>
      </c>
      <c r="Q781" s="5">
        <f>IF(OR(D781="column",D781="wall"),IF(I781&lt;='P vs V'!$B$3*J781,"column","wall"),"")</f>
        <v/>
      </c>
      <c r="R781" s="5" t="inlineStr"/>
      <c r="S781" s="5" t="inlineStr"/>
      <c r="T781" s="5" t="n"/>
      <c r="U781" s="5" t="inlineStr">
        <is>
          <t>yes</t>
        </is>
      </c>
      <c r="V781" s="5" t="inlineStr">
        <is>
          <t>yes</t>
        </is>
      </c>
      <c r="W781" s="5" t="inlineStr">
        <is>
          <t>no</t>
        </is>
      </c>
      <c r="X781" s="5" t="inlineStr">
        <is>
          <t>no</t>
        </is>
      </c>
      <c r="Y781" s="5" t="inlineStr">
        <is>
          <t>no</t>
        </is>
      </c>
      <c r="Z781" s="5" t="inlineStr">
        <is>
          <t>no</t>
        </is>
      </c>
      <c r="AA781" s="5" t="n">
        <v>1.66</v>
      </c>
      <c r="AB781" s="5" t="n"/>
      <c r="AC781" s="5" t="n"/>
      <c r="AD781" s="5" t="n"/>
      <c r="AE781" s="5" t="n">
        <v>762.9</v>
      </c>
      <c r="AF781" s="5" t="n">
        <v>1459</v>
      </c>
      <c r="AG781" s="5" t="n">
        <v>787.7</v>
      </c>
      <c r="AH781" s="5" t="n">
        <v>1472.2</v>
      </c>
      <c r="AI781" s="5" t="inlineStr">
        <is>
          <t>yes</t>
        </is>
      </c>
      <c r="AJ781" s="5" t="inlineStr">
        <is>
          <t>column</t>
        </is>
      </c>
      <c r="AK781" s="5" t="inlineStr"/>
      <c r="AL781" s="5" t="inlineStr">
        <is>
          <t>(0.0, 0.0, 1.0)</t>
        </is>
      </c>
      <c r="AM781" s="5" t="inlineStr">
        <is>
          <t>DM-Poteaux</t>
        </is>
      </c>
    </row>
    <row r="782">
      <c r="A782" s="5" t="n">
        <v>781</v>
      </c>
      <c r="B782" s="5" t="inlineStr">
        <is>
          <t>130</t>
        </is>
      </c>
      <c r="C782" s="5" t="inlineStr">
        <is>
          <t>own label</t>
        </is>
      </c>
      <c r="D782" s="5" t="inlineStr">
        <is>
          <t>column</t>
        </is>
      </c>
      <c r="E782" s="5" t="inlineStr">
        <is>
          <t>column</t>
        </is>
      </c>
      <c r="F782" s="5" t="inlineStr">
        <is>
          <t>P1/130</t>
        </is>
      </c>
      <c r="G782" s="5" t="inlineStr">
        <is>
          <t>P1/130/130</t>
        </is>
      </c>
      <c r="H782" s="5" t="inlineStr">
        <is>
          <t>printed</t>
        </is>
      </c>
      <c r="I782" s="5" t="n">
        <v>80</v>
      </c>
      <c r="J782" s="5" t="n">
        <v>25</v>
      </c>
      <c r="K782" s="9">
        <f>IF(AND(ISNUMBER(I782),ISNUMBER(J782),J782&gt;0),I782/J782,"")</f>
        <v/>
      </c>
      <c r="L782" s="5" t="n">
        <v>0.2</v>
      </c>
      <c r="M782" s="5" t="n"/>
      <c r="N782" s="5" t="n">
        <v>165.3</v>
      </c>
      <c r="O782" s="5" t="inlineStr">
        <is>
          <t>solid fill</t>
        </is>
      </c>
      <c r="P782" s="5" t="inlineStr">
        <is>
          <t>solid fill, rectangle, L &lt;= 4 W (EN 1992-1-1 5.3.1(7))</t>
        </is>
      </c>
      <c r="Q782" s="5">
        <f>IF(OR(D782="column",D782="wall"),IF(I782&lt;='P vs V'!$B$3*J782,"column","wall"),"")</f>
        <v/>
      </c>
      <c r="R782" s="5" t="inlineStr"/>
      <c r="S782" s="5" t="inlineStr"/>
      <c r="T782" s="5" t="n"/>
      <c r="U782" s="5" t="inlineStr">
        <is>
          <t>yes</t>
        </is>
      </c>
      <c r="V782" s="5" t="inlineStr">
        <is>
          <t>no</t>
        </is>
      </c>
      <c r="W782" s="5" t="inlineStr">
        <is>
          <t>no</t>
        </is>
      </c>
      <c r="X782" s="5" t="inlineStr">
        <is>
          <t>no</t>
        </is>
      </c>
      <c r="Y782" s="5" t="inlineStr">
        <is>
          <t>no</t>
        </is>
      </c>
      <c r="Z782" s="5" t="inlineStr">
        <is>
          <t>no</t>
        </is>
      </c>
      <c r="AA782" s="5" t="n">
        <v>0.01</v>
      </c>
      <c r="AB782" s="5" t="n"/>
      <c r="AC782" s="5" t="n"/>
      <c r="AD782" s="5" t="n"/>
      <c r="AE782" s="5" t="n">
        <v>792.9</v>
      </c>
      <c r="AF782" s="5" t="n">
        <v>1379.5</v>
      </c>
      <c r="AG782" s="5" t="n">
        <v>817.6</v>
      </c>
      <c r="AH782" s="5" t="n">
        <v>1392.6</v>
      </c>
      <c r="AI782" s="5" t="inlineStr">
        <is>
          <t>yes</t>
        </is>
      </c>
      <c r="AJ782" s="5" t="inlineStr">
        <is>
          <t>column</t>
        </is>
      </c>
      <c r="AK782" s="5" t="inlineStr"/>
      <c r="AL782" s="5" t="inlineStr">
        <is>
          <t>(0.0, 0.0, 1.0)</t>
        </is>
      </c>
      <c r="AM782" s="5" t="inlineStr">
        <is>
          <t>DM-Poteaux</t>
        </is>
      </c>
    </row>
    <row r="783">
      <c r="A783" s="5" t="n">
        <v>782</v>
      </c>
      <c r="B783" s="5" t="inlineStr">
        <is>
          <t>130</t>
        </is>
      </c>
      <c r="C783" s="5" t="inlineStr">
        <is>
          <t>own label</t>
        </is>
      </c>
      <c r="D783" s="5" t="inlineStr">
        <is>
          <t>column</t>
        </is>
      </c>
      <c r="E783" s="5" t="inlineStr">
        <is>
          <t>column</t>
        </is>
      </c>
      <c r="F783" s="5" t="inlineStr">
        <is>
          <t>P3/130</t>
        </is>
      </c>
      <c r="G783" s="5" t="inlineStr">
        <is>
          <t>P3/130/130</t>
        </is>
      </c>
      <c r="H783" s="5" t="inlineStr">
        <is>
          <t>printed</t>
        </is>
      </c>
      <c r="I783" s="5" t="n">
        <v>40</v>
      </c>
      <c r="J783" s="5" t="n">
        <v>25</v>
      </c>
      <c r="K783" s="9">
        <f>IF(AND(ISNUMBER(I783),ISNUMBER(J783),J783&gt;0),I783/J783,"")</f>
        <v/>
      </c>
      <c r="L783" s="5" t="n">
        <v>0.101</v>
      </c>
      <c r="M783" s="5" t="n"/>
      <c r="N783" s="5" t="n">
        <v>165.3</v>
      </c>
      <c r="O783" s="5" t="inlineStr">
        <is>
          <t>solid fill</t>
        </is>
      </c>
      <c r="P783" s="5" t="inlineStr">
        <is>
          <t>solid fill, rectangle, L &lt;= 4 W (EN 1992-1-1 5.3.1(7))</t>
        </is>
      </c>
      <c r="Q783" s="5">
        <f>IF(OR(D783="column",D783="wall"),IF(I783&lt;='P vs V'!$B$3*J783,"column","wall"),"")</f>
        <v/>
      </c>
      <c r="R783" s="5" t="inlineStr">
        <is>
          <t>S20</t>
        </is>
      </c>
      <c r="S783" s="5" t="inlineStr"/>
      <c r="T783" s="5" t="n"/>
      <c r="U783" s="5" t="inlineStr">
        <is>
          <t>no</t>
        </is>
      </c>
      <c r="V783" s="5" t="inlineStr">
        <is>
          <t>no</t>
        </is>
      </c>
      <c r="W783" s="5" t="inlineStr">
        <is>
          <t>no</t>
        </is>
      </c>
      <c r="X783" s="5" t="inlineStr">
        <is>
          <t>no</t>
        </is>
      </c>
      <c r="Y783" s="5" t="inlineStr">
        <is>
          <t>yes</t>
        </is>
      </c>
      <c r="Z783" s="5" t="inlineStr">
        <is>
          <t>yes</t>
        </is>
      </c>
      <c r="AA783" s="5" t="n">
        <v>2.03</v>
      </c>
      <c r="AB783" s="5" t="n"/>
      <c r="AC783" s="5" t="n"/>
      <c r="AD783" s="5" t="n"/>
      <c r="AE783" s="5" t="n">
        <v>709.4</v>
      </c>
      <c r="AF783" s="5" t="n">
        <v>1278.5</v>
      </c>
      <c r="AG783" s="5" t="n">
        <v>722.7</v>
      </c>
      <c r="AH783" s="5" t="n">
        <v>1288.7</v>
      </c>
      <c r="AI783" s="5" t="inlineStr">
        <is>
          <t>yes</t>
        </is>
      </c>
      <c r="AJ783" s="5" t="inlineStr">
        <is>
          <t>column</t>
        </is>
      </c>
      <c r="AK783" s="5" t="inlineStr"/>
      <c r="AL783" s="5" t="inlineStr">
        <is>
          <t>(0.0, 0.0, 1.0)</t>
        </is>
      </c>
      <c r="AM783" s="5" t="inlineStr">
        <is>
          <t>DM-Poteaux</t>
        </is>
      </c>
    </row>
    <row r="784">
      <c r="A784" s="5" t="n">
        <v>783</v>
      </c>
      <c r="B784" s="5" t="inlineStr">
        <is>
          <t>130</t>
        </is>
      </c>
      <c r="C784" s="5" t="inlineStr">
        <is>
          <t>own label</t>
        </is>
      </c>
      <c r="D784" s="5" t="inlineStr">
        <is>
          <t>column</t>
        </is>
      </c>
      <c r="E784" s="5" t="inlineStr">
        <is>
          <t>column</t>
        </is>
      </c>
      <c r="F784" s="5" t="inlineStr">
        <is>
          <t>P3/130</t>
        </is>
      </c>
      <c r="G784" s="5" t="inlineStr">
        <is>
          <t>P3/130/130</t>
        </is>
      </c>
      <c r="H784" s="5" t="inlineStr">
        <is>
          <t>printed</t>
        </is>
      </c>
      <c r="I784" s="5" t="n">
        <v>40</v>
      </c>
      <c r="J784" s="5" t="n">
        <v>25</v>
      </c>
      <c r="K784" s="9">
        <f>IF(AND(ISNUMBER(I784),ISNUMBER(J784),J784&gt;0),I784/J784,"")</f>
        <v/>
      </c>
      <c r="L784" s="5" t="n">
        <v>0.1</v>
      </c>
      <c r="M784" s="5" t="n"/>
      <c r="N784" s="5" t="n">
        <v>165.3</v>
      </c>
      <c r="O784" s="5" t="inlineStr">
        <is>
          <t>solid fill</t>
        </is>
      </c>
      <c r="P784" s="5" t="inlineStr">
        <is>
          <t>solid fill, rectangle, L &lt;= 4 W (EN 1992-1-1 5.3.1(7))</t>
        </is>
      </c>
      <c r="Q784" s="5">
        <f>IF(OR(D784="column",D784="wall"),IF(I784&lt;='P vs V'!$B$3*J784,"column","wall"),"")</f>
        <v/>
      </c>
      <c r="R784" s="5" t="inlineStr">
        <is>
          <t>S20</t>
        </is>
      </c>
      <c r="S784" s="5" t="inlineStr"/>
      <c r="T784" s="5" t="n"/>
      <c r="U784" s="5" t="inlineStr">
        <is>
          <t>no</t>
        </is>
      </c>
      <c r="V784" s="5" t="inlineStr">
        <is>
          <t>no</t>
        </is>
      </c>
      <c r="W784" s="5" t="inlineStr">
        <is>
          <t>yes</t>
        </is>
      </c>
      <c r="X784" s="5" t="inlineStr">
        <is>
          <t>no</t>
        </is>
      </c>
      <c r="Y784" s="5" t="inlineStr">
        <is>
          <t>yes</t>
        </is>
      </c>
      <c r="Z784" s="5" t="inlineStr">
        <is>
          <t>no</t>
        </is>
      </c>
      <c r="AA784" s="5" t="n">
        <v>1.54</v>
      </c>
      <c r="AB784" s="5" t="n"/>
      <c r="AC784" s="5" t="n"/>
      <c r="AD784" s="5" t="n"/>
      <c r="AE784" s="5" t="n">
        <v>611</v>
      </c>
      <c r="AF784" s="5" t="n">
        <v>1304.5</v>
      </c>
      <c r="AG784" s="5" t="n">
        <v>624.3</v>
      </c>
      <c r="AH784" s="5" t="n">
        <v>1314.6</v>
      </c>
      <c r="AI784" s="5" t="inlineStr">
        <is>
          <t>yes</t>
        </is>
      </c>
      <c r="AJ784" s="5" t="inlineStr">
        <is>
          <t>column</t>
        </is>
      </c>
      <c r="AK784" s="5" t="inlineStr"/>
      <c r="AL784" s="5" t="inlineStr">
        <is>
          <t>(0.0, 0.0, 1.0)</t>
        </is>
      </c>
      <c r="AM784" s="5" t="inlineStr">
        <is>
          <t>DM-Poteaux</t>
        </is>
      </c>
    </row>
    <row r="785">
      <c r="A785" s="5" t="n">
        <v>784</v>
      </c>
      <c r="B785" s="5" t="inlineStr">
        <is>
          <t>130</t>
        </is>
      </c>
      <c r="C785" s="5" t="inlineStr">
        <is>
          <t>nearest labels (100% agree)</t>
        </is>
      </c>
      <c r="D785" s="5" t="inlineStr">
        <is>
          <t>wall</t>
        </is>
      </c>
      <c r="E785" s="5" t="inlineStr">
        <is>
          <t>core_wall_solid</t>
        </is>
      </c>
      <c r="F785" s="5" t="inlineStr">
        <is>
          <t>(none)</t>
        </is>
      </c>
      <c r="G785" s="5" t="inlineStr"/>
      <c r="H785" s="5" t="inlineStr">
        <is>
          <t>none</t>
        </is>
      </c>
      <c r="I785" s="5" t="n">
        <v>500</v>
      </c>
      <c r="J785" s="5" t="n">
        <v>25</v>
      </c>
      <c r="K785" s="9">
        <f>IF(AND(ISNUMBER(I785),ISNUMBER(J785),J785&gt;0),I785/J785,"")</f>
        <v/>
      </c>
      <c r="L785" s="5" t="n">
        <v>1.249</v>
      </c>
      <c r="M785" s="5" t="n"/>
      <c r="N785" s="5" t="n">
        <v>165.3</v>
      </c>
      <c r="O785" s="5" t="inlineStr">
        <is>
          <t>solid fill</t>
        </is>
      </c>
      <c r="P785" s="5" t="inlineStr">
        <is>
          <t>solid fill, rectangle, L &gt; 4 W (EN 1992-1-1 5.3.1(7))</t>
        </is>
      </c>
      <c r="Q785" s="5">
        <f>IF(OR(D785="column",D785="wall"),IF(I785&lt;='P vs V'!$B$3*J785,"column","wall"),"")</f>
        <v/>
      </c>
      <c r="R785" s="5" t="inlineStr"/>
      <c r="S785" s="5" t="inlineStr"/>
      <c r="T785" s="5" t="n"/>
      <c r="U785" s="5" t="inlineStr">
        <is>
          <t>yes</t>
        </is>
      </c>
      <c r="V785" s="5" t="inlineStr">
        <is>
          <t>yes</t>
        </is>
      </c>
      <c r="W785" s="5" t="inlineStr">
        <is>
          <t>yes</t>
        </is>
      </c>
      <c r="X785" s="5" t="inlineStr">
        <is>
          <t>no</t>
        </is>
      </c>
      <c r="Y785" s="5" t="inlineStr">
        <is>
          <t>no</t>
        </is>
      </c>
      <c r="Z785" s="5" t="inlineStr">
        <is>
          <t>no</t>
        </is>
      </c>
      <c r="AA785" s="5" t="n">
        <v>2.37</v>
      </c>
      <c r="AB785" s="5" t="n"/>
      <c r="AC785" s="5" t="n"/>
      <c r="AD785" s="5" t="n"/>
      <c r="AE785" s="5" t="n">
        <v>482.1</v>
      </c>
      <c r="AF785" s="5" t="n">
        <v>1501.2</v>
      </c>
      <c r="AG785" s="5" t="n">
        <v>626.7</v>
      </c>
      <c r="AH785" s="5" t="n">
        <v>1545.9</v>
      </c>
      <c r="AI785" s="5" t="inlineStr">
        <is>
          <t>new</t>
        </is>
      </c>
      <c r="AJ785" s="5" t="inlineStr"/>
      <c r="AK785" s="5" t="inlineStr">
        <is>
          <t>piece of a wall network the colour pipeline left unsplit</t>
        </is>
      </c>
      <c r="AL785" s="5" t="inlineStr">
        <is>
          <t>(0.87, 0.0, 0.87)</t>
        </is>
      </c>
      <c r="AM785" s="5" t="inlineStr">
        <is>
          <t>DM-VOILE</t>
        </is>
      </c>
    </row>
    <row r="786">
      <c r="A786" s="5" t="n">
        <v>785</v>
      </c>
      <c r="B786" s="5" t="inlineStr">
        <is>
          <t>130</t>
        </is>
      </c>
      <c r="C786" s="5" t="inlineStr">
        <is>
          <t>nearest labels (100% agree)</t>
        </is>
      </c>
      <c r="D786" s="5" t="inlineStr">
        <is>
          <t>wall</t>
        </is>
      </c>
      <c r="E786" s="5" t="inlineStr">
        <is>
          <t>core_wall_solid</t>
        </is>
      </c>
      <c r="F786" s="5" t="inlineStr">
        <is>
          <t>(none)</t>
        </is>
      </c>
      <c r="G786" s="5" t="inlineStr"/>
      <c r="H786" s="5" t="inlineStr">
        <is>
          <t>none</t>
        </is>
      </c>
      <c r="I786" s="5" t="n">
        <v>640</v>
      </c>
      <c r="J786" s="5" t="n">
        <v>20</v>
      </c>
      <c r="K786" s="9">
        <f>IF(AND(ISNUMBER(I786),ISNUMBER(J786),J786&gt;0),I786/J786,"")</f>
        <v/>
      </c>
      <c r="L786" s="5" t="n">
        <v>1.239</v>
      </c>
      <c r="M786" s="5" t="n"/>
      <c r="N786" s="5" t="n">
        <v>165.2</v>
      </c>
      <c r="O786" s="5" t="inlineStr">
        <is>
          <t>solid fill</t>
        </is>
      </c>
      <c r="P786" s="5" t="inlineStr">
        <is>
          <t>solid fill, rectangle, L &gt; 4 W (EN 1992-1-1 5.3.1(7))</t>
        </is>
      </c>
      <c r="Q786" s="5">
        <f>IF(OR(D786="column",D786="wall"),IF(I786&lt;='P vs V'!$B$3*J786,"column","wall"),"")</f>
        <v/>
      </c>
      <c r="R786" s="5" t="inlineStr"/>
      <c r="S786" s="5" t="inlineStr"/>
      <c r="T786" s="5" t="n"/>
      <c r="U786" s="5" t="inlineStr">
        <is>
          <t>yes</t>
        </is>
      </c>
      <c r="V786" s="5" t="inlineStr">
        <is>
          <t>no</t>
        </is>
      </c>
      <c r="W786" s="5" t="inlineStr">
        <is>
          <t>yes</t>
        </is>
      </c>
      <c r="X786" s="5" t="inlineStr">
        <is>
          <t>no</t>
        </is>
      </c>
      <c r="Y786" s="5" t="inlineStr">
        <is>
          <t>no</t>
        </is>
      </c>
      <c r="Z786" s="5" t="inlineStr">
        <is>
          <t>no</t>
        </is>
      </c>
      <c r="AA786" s="5" t="n">
        <v>1.69</v>
      </c>
      <c r="AB786" s="5" t="n"/>
      <c r="AC786" s="5" t="n"/>
      <c r="AD786" s="5" t="n"/>
      <c r="AE786" s="5" t="n">
        <v>460</v>
      </c>
      <c r="AF786" s="5" t="n">
        <v>1408</v>
      </c>
      <c r="AG786" s="5" t="n">
        <v>644.3</v>
      </c>
      <c r="AH786" s="5" t="n">
        <v>1458.7</v>
      </c>
      <c r="AI786" s="5" t="inlineStr">
        <is>
          <t>new</t>
        </is>
      </c>
      <c r="AJ786" s="5" t="inlineStr"/>
      <c r="AK786" s="5" t="inlineStr">
        <is>
          <t>piece of a wall network the colour pipeline left unsplit</t>
        </is>
      </c>
      <c r="AL786" s="5" t="inlineStr">
        <is>
          <t>(0.87, 0.0, 0.87)</t>
        </is>
      </c>
      <c r="AM786" s="5" t="inlineStr">
        <is>
          <t>DM-VOILE</t>
        </is>
      </c>
    </row>
    <row r="787">
      <c r="A787" s="5" t="n">
        <v>786</v>
      </c>
      <c r="B787" s="5" t="inlineStr">
        <is>
          <t>130</t>
        </is>
      </c>
      <c r="C787" s="5" t="inlineStr">
        <is>
          <t>nearest labels (100% agree)</t>
        </is>
      </c>
      <c r="D787" s="5" t="inlineStr">
        <is>
          <t>wall</t>
        </is>
      </c>
      <c r="E787" s="5" t="inlineStr">
        <is>
          <t>core_wall_solid</t>
        </is>
      </c>
      <c r="F787" s="5" t="inlineStr">
        <is>
          <t>(none)</t>
        </is>
      </c>
      <c r="G787" s="5" t="inlineStr"/>
      <c r="H787" s="5" t="inlineStr">
        <is>
          <t>none</t>
        </is>
      </c>
      <c r="I787" s="5" t="n">
        <v>175</v>
      </c>
      <c r="J787" s="5" t="n">
        <v>25</v>
      </c>
      <c r="K787" s="9">
        <f>IF(AND(ISNUMBER(I787),ISNUMBER(J787),J787&gt;0),I787/J787,"")</f>
        <v/>
      </c>
      <c r="L787" s="5" t="n">
        <v>0.438</v>
      </c>
      <c r="M787" s="5" t="n"/>
      <c r="N787" s="5" t="n">
        <v>75.2</v>
      </c>
      <c r="O787" s="5" t="inlineStr">
        <is>
          <t>solid fill</t>
        </is>
      </c>
      <c r="P787" s="5" t="inlineStr">
        <is>
          <t>straight stretch of a thin filled outline with bends (pair of parallel faces)</t>
        </is>
      </c>
      <c r="Q787" s="5">
        <f>IF(OR(D787="column",D787="wall"),IF(I787&lt;='P vs V'!$B$3*J787,"column","wall"),"")</f>
        <v/>
      </c>
      <c r="R787" s="5" t="inlineStr"/>
      <c r="S787" s="5" t="inlineStr"/>
      <c r="T787" s="5" t="n"/>
      <c r="U787" s="5" t="inlineStr">
        <is>
          <t>yes</t>
        </is>
      </c>
      <c r="V787" s="5" t="inlineStr">
        <is>
          <t>yes</t>
        </is>
      </c>
      <c r="W787" s="5" t="inlineStr">
        <is>
          <t>yes</t>
        </is>
      </c>
      <c r="X787" s="5" t="inlineStr">
        <is>
          <t>no</t>
        </is>
      </c>
      <c r="Y787" s="5" t="inlineStr">
        <is>
          <t>no</t>
        </is>
      </c>
      <c r="Z787" s="5" t="inlineStr">
        <is>
          <t>no</t>
        </is>
      </c>
      <c r="AA787" s="5" t="n">
        <v>1.94</v>
      </c>
      <c r="AB787" s="5" t="n"/>
      <c r="AC787" s="5" t="n"/>
      <c r="AD787" s="5" t="n"/>
      <c r="AE787" s="5" t="n">
        <v>733.7</v>
      </c>
      <c r="AF787" s="5" t="n">
        <v>1353</v>
      </c>
      <c r="AG787" s="5" t="n">
        <v>754</v>
      </c>
      <c r="AH787" s="5" t="n">
        <v>1404.9</v>
      </c>
      <c r="AI787" s="5" t="inlineStr">
        <is>
          <t>new</t>
        </is>
      </c>
      <c r="AJ787" s="5" t="inlineStr"/>
      <c r="AK787" s="5" t="inlineStr">
        <is>
          <t>piece of a wall network the colour pipeline left unsplit</t>
        </is>
      </c>
      <c r="AL787" s="5" t="inlineStr"/>
      <c r="AM787" s="5" t="inlineStr"/>
    </row>
    <row r="788">
      <c r="A788" s="5" t="n">
        <v>787</v>
      </c>
      <c r="B788" s="5" t="inlineStr">
        <is>
          <t>130</t>
        </is>
      </c>
      <c r="C788" s="5" t="inlineStr">
        <is>
          <t>nearest labels (100% agree)</t>
        </is>
      </c>
      <c r="D788" s="5" t="inlineStr">
        <is>
          <t>wall</t>
        </is>
      </c>
      <c r="E788" s="5" t="inlineStr">
        <is>
          <t>core_wall_solid</t>
        </is>
      </c>
      <c r="F788" s="5" t="inlineStr">
        <is>
          <t>(none)</t>
        </is>
      </c>
      <c r="G788" s="5" t="inlineStr"/>
      <c r="H788" s="5" t="inlineStr">
        <is>
          <t>none</t>
        </is>
      </c>
      <c r="I788" s="5" t="n">
        <v>175</v>
      </c>
      <c r="J788" s="5" t="n">
        <v>25</v>
      </c>
      <c r="K788" s="9">
        <f>IF(AND(ISNUMBER(I788),ISNUMBER(J788),J788&gt;0),I788/J788,"")</f>
        <v/>
      </c>
      <c r="L788" s="5" t="n">
        <v>0.437</v>
      </c>
      <c r="M788" s="5" t="n"/>
      <c r="N788" s="5" t="n">
        <v>75.2</v>
      </c>
      <c r="O788" s="5" t="inlineStr">
        <is>
          <t>solid fill</t>
        </is>
      </c>
      <c r="P788" s="5" t="inlineStr">
        <is>
          <t>straight stretch of a thin filled outline with bends (pair of parallel faces)</t>
        </is>
      </c>
      <c r="Q788" s="5">
        <f>IF(OR(D788="column",D788="wall"),IF(I788&lt;='P vs V'!$B$3*J788,"column","wall"),"")</f>
        <v/>
      </c>
      <c r="R788" s="5" t="inlineStr"/>
      <c r="S788" s="5" t="inlineStr"/>
      <c r="T788" s="5" t="n"/>
      <c r="U788" s="5" t="inlineStr">
        <is>
          <t>yes</t>
        </is>
      </c>
      <c r="V788" s="5" t="inlineStr">
        <is>
          <t>yes</t>
        </is>
      </c>
      <c r="W788" s="5" t="inlineStr">
        <is>
          <t>yes</t>
        </is>
      </c>
      <c r="X788" s="5" t="inlineStr">
        <is>
          <t>no</t>
        </is>
      </c>
      <c r="Y788" s="5" t="inlineStr">
        <is>
          <t>no</t>
        </is>
      </c>
      <c r="Z788" s="5" t="inlineStr">
        <is>
          <t>no</t>
        </is>
      </c>
      <c r="AA788" s="5" t="n">
        <v>1.45</v>
      </c>
      <c r="AB788" s="5" t="n"/>
      <c r="AC788" s="5" t="n"/>
      <c r="AD788" s="5" t="n"/>
      <c r="AE788" s="5" t="n">
        <v>630.2</v>
      </c>
      <c r="AF788" s="5" t="n">
        <v>1380.3</v>
      </c>
      <c r="AG788" s="5" t="n">
        <v>650.5</v>
      </c>
      <c r="AH788" s="5" t="n">
        <v>1432.2</v>
      </c>
      <c r="AI788" s="5" t="inlineStr">
        <is>
          <t>new</t>
        </is>
      </c>
      <c r="AJ788" s="5" t="inlineStr"/>
      <c r="AK788" s="5" t="inlineStr">
        <is>
          <t>piece of a wall network the colour pipeline left unsplit</t>
        </is>
      </c>
      <c r="AL788" s="5" t="inlineStr"/>
      <c r="AM788" s="5" t="inlineStr"/>
    </row>
    <row r="789">
      <c r="A789" s="5" t="n">
        <v>788</v>
      </c>
      <c r="B789" s="5" t="inlineStr">
        <is>
          <t>130</t>
        </is>
      </c>
      <c r="C789" s="5" t="inlineStr">
        <is>
          <t>nearest labels (100% agree)</t>
        </is>
      </c>
      <c r="D789" s="5" t="inlineStr">
        <is>
          <t>wall</t>
        </is>
      </c>
      <c r="E789" s="5" t="inlineStr">
        <is>
          <t>core_wall_solid</t>
        </is>
      </c>
      <c r="F789" s="5" t="inlineStr">
        <is>
          <t>(none)</t>
        </is>
      </c>
      <c r="G789" s="5" t="inlineStr"/>
      <c r="H789" s="5" t="inlineStr">
        <is>
          <t>none</t>
        </is>
      </c>
      <c r="I789" s="5" t="n">
        <v>123</v>
      </c>
      <c r="J789" s="5" t="n">
        <v>25</v>
      </c>
      <c r="K789" s="9">
        <f>IF(AND(ISNUMBER(I789),ISNUMBER(J789),J789&gt;0),I789/J789,"")</f>
        <v/>
      </c>
      <c r="L789" s="5" t="n">
        <v>0.307</v>
      </c>
      <c r="M789" s="5" t="n"/>
      <c r="N789" s="5" t="n">
        <v>75.2</v>
      </c>
      <c r="O789" s="5" t="inlineStr">
        <is>
          <t>solid fill</t>
        </is>
      </c>
      <c r="P789" s="5" t="inlineStr">
        <is>
          <t>straight stretch of a thin filled outline with bends (pair of parallel faces)</t>
        </is>
      </c>
      <c r="Q789" s="5">
        <f>IF(OR(D789="column",D789="wall"),IF(I789&lt;='P vs V'!$B$3*J789,"column","wall"),"")</f>
        <v/>
      </c>
      <c r="R789" s="5" t="inlineStr"/>
      <c r="S789" s="5" t="inlineStr"/>
      <c r="T789" s="5" t="n"/>
      <c r="U789" s="5" t="inlineStr">
        <is>
          <t>yes</t>
        </is>
      </c>
      <c r="V789" s="5" t="inlineStr">
        <is>
          <t>no</t>
        </is>
      </c>
      <c r="W789" s="5" t="inlineStr">
        <is>
          <t>no</t>
        </is>
      </c>
      <c r="X789" s="5" t="inlineStr">
        <is>
          <t>no</t>
        </is>
      </c>
      <c r="Y789" s="5" t="inlineStr">
        <is>
          <t>no</t>
        </is>
      </c>
      <c r="Z789" s="5" t="inlineStr">
        <is>
          <t>no</t>
        </is>
      </c>
      <c r="AA789" s="5" t="n">
        <v>0</v>
      </c>
      <c r="AB789" s="5" t="n"/>
      <c r="AC789" s="5" t="n"/>
      <c r="AD789" s="5" t="n"/>
      <c r="AE789" s="5" t="n">
        <v>597.4</v>
      </c>
      <c r="AF789" s="5" t="n">
        <v>1424</v>
      </c>
      <c r="AG789" s="5" t="n">
        <v>613.8</v>
      </c>
      <c r="AH789" s="5" t="n">
        <v>1461</v>
      </c>
      <c r="AI789" s="5" t="inlineStr">
        <is>
          <t>new</t>
        </is>
      </c>
      <c r="AJ789" s="5" t="inlineStr"/>
      <c r="AK789" s="5" t="inlineStr">
        <is>
          <t>piece of a wall network the colour pipeline left unsplit</t>
        </is>
      </c>
      <c r="AL789" s="5" t="inlineStr"/>
      <c r="AM789" s="5" t="inlineStr"/>
    </row>
    <row r="790">
      <c r="A790" s="5" t="n">
        <v>789</v>
      </c>
      <c r="B790" s="5" t="inlineStr">
        <is>
          <t>130</t>
        </is>
      </c>
      <c r="C790" s="5" t="inlineStr">
        <is>
          <t>nearest labels (100% agree)</t>
        </is>
      </c>
      <c r="D790" s="5" t="inlineStr">
        <is>
          <t>wall</t>
        </is>
      </c>
      <c r="E790" s="5" t="inlineStr">
        <is>
          <t>core_wall_solid</t>
        </is>
      </c>
      <c r="F790" s="5" t="inlineStr">
        <is>
          <t>(none)</t>
        </is>
      </c>
      <c r="G790" s="5" t="inlineStr"/>
      <c r="H790" s="5" t="inlineStr">
        <is>
          <t>none</t>
        </is>
      </c>
      <c r="I790" s="5" t="n">
        <v>474</v>
      </c>
      <c r="J790" s="5" t="n">
        <v>20</v>
      </c>
      <c r="K790" s="9">
        <f>IF(AND(ISNUMBER(I790),ISNUMBER(J790),J790&gt;0),I790/J790,"")</f>
        <v/>
      </c>
      <c r="L790" s="5" t="n">
        <v>0.951</v>
      </c>
      <c r="M790" s="5" t="n"/>
      <c r="N790" s="5" t="n">
        <v>165.3</v>
      </c>
      <c r="O790" s="5" t="inlineStr">
        <is>
          <t>solid fill</t>
        </is>
      </c>
      <c r="P790" s="5" t="inlineStr">
        <is>
          <t>straight stretch of a thin filled outline with bends (pair of parallel faces)</t>
        </is>
      </c>
      <c r="Q790" s="5">
        <f>IF(OR(D790="column",D790="wall"),IF(I790&lt;='P vs V'!$B$3*J790,"column","wall"),"")</f>
        <v/>
      </c>
      <c r="R790" s="5" t="inlineStr"/>
      <c r="S790" s="5" t="inlineStr"/>
      <c r="T790" s="5" t="n"/>
      <c r="U790" s="5" t="inlineStr">
        <is>
          <t>yes</t>
        </is>
      </c>
      <c r="V790" s="5" t="inlineStr">
        <is>
          <t>yes</t>
        </is>
      </c>
      <c r="W790" s="5" t="inlineStr">
        <is>
          <t>yes</t>
        </is>
      </c>
      <c r="X790" s="5" t="inlineStr">
        <is>
          <t>no</t>
        </is>
      </c>
      <c r="Y790" s="5" t="inlineStr">
        <is>
          <t>no</t>
        </is>
      </c>
      <c r="Z790" s="5" t="inlineStr">
        <is>
          <t>no</t>
        </is>
      </c>
      <c r="AA790" s="5" t="n">
        <v>1.13</v>
      </c>
      <c r="AB790" s="5" t="n"/>
      <c r="AC790" s="5" t="n"/>
      <c r="AD790" s="5" t="n"/>
      <c r="AE790" s="5" t="n">
        <v>586.3</v>
      </c>
      <c r="AF790" s="5" t="n">
        <v>1477.2</v>
      </c>
      <c r="AG790" s="5" t="n">
        <v>723.2</v>
      </c>
      <c r="AH790" s="5" t="n">
        <v>1518.5</v>
      </c>
      <c r="AI790" s="5" t="inlineStr">
        <is>
          <t>new</t>
        </is>
      </c>
      <c r="AJ790" s="5" t="inlineStr"/>
      <c r="AK790" s="5" t="inlineStr">
        <is>
          <t>piece of a wall network the colour pipeline left unsplit</t>
        </is>
      </c>
      <c r="AL790" s="5" t="inlineStr"/>
      <c r="AM790" s="5" t="inlineStr"/>
    </row>
    <row r="791">
      <c r="A791" s="5" t="n">
        <v>790</v>
      </c>
      <c r="B791" s="5" t="inlineStr">
        <is>
          <t>130</t>
        </is>
      </c>
      <c r="C791" s="5" t="inlineStr">
        <is>
          <t>nearest labels (80% agree)</t>
        </is>
      </c>
      <c r="D791" s="5" t="inlineStr">
        <is>
          <t>wall</t>
        </is>
      </c>
      <c r="E791" s="5" t="inlineStr">
        <is>
          <t>retaining_wall</t>
        </is>
      </c>
      <c r="F791" s="5" t="inlineStr">
        <is>
          <t>VP20</t>
        </is>
      </c>
      <c r="G791" s="5" t="inlineStr"/>
      <c r="H791" s="5" t="inlineStr">
        <is>
          <t>thickness matches a VP type</t>
        </is>
      </c>
      <c r="I791" s="5" t="n">
        <v>875</v>
      </c>
      <c r="J791" s="5" t="n">
        <v>20</v>
      </c>
      <c r="K791" s="9">
        <f>IF(AND(ISNUMBER(I791),ISNUMBER(J791),J791&gt;0),I791/J791,"")</f>
        <v/>
      </c>
      <c r="L791" s="5" t="n">
        <v>1.723</v>
      </c>
      <c r="M791" s="5" t="n"/>
      <c r="N791" s="5" t="n">
        <v>75.3</v>
      </c>
      <c r="O791" s="5" t="inlineStr">
        <is>
          <t>solid fill</t>
        </is>
      </c>
      <c r="P791" s="5" t="inlineStr">
        <is>
          <t>solid fill, rectangle, L &gt; 4 W (EN 1992-1-1 5.3.1(7))</t>
        </is>
      </c>
      <c r="Q791" s="5">
        <f>IF(OR(D791="column",D791="wall"),IF(I791&lt;='P vs V'!$B$3*J791,"column","wall"),"")</f>
        <v/>
      </c>
      <c r="R791" s="5" t="inlineStr">
        <is>
          <t>S18</t>
        </is>
      </c>
      <c r="S791" s="5" t="inlineStr"/>
      <c r="T791" s="5" t="n"/>
      <c r="U791" s="5" t="inlineStr">
        <is>
          <t>no</t>
        </is>
      </c>
      <c r="V791" s="5" t="inlineStr">
        <is>
          <t>no</t>
        </is>
      </c>
      <c r="W791" s="5" t="inlineStr">
        <is>
          <t>yes</t>
        </is>
      </c>
      <c r="X791" s="5" t="inlineStr">
        <is>
          <t>no</t>
        </is>
      </c>
      <c r="Y791" s="5" t="inlineStr">
        <is>
          <t>no</t>
        </is>
      </c>
      <c r="Z791" s="5" t="inlineStr">
        <is>
          <t>no</t>
        </is>
      </c>
      <c r="AA791" s="5" t="n">
        <v>2.37</v>
      </c>
      <c r="AB791" s="5" t="n"/>
      <c r="AC791" s="5" t="n"/>
      <c r="AD791" s="5" t="n"/>
      <c r="AE791" s="5" t="n">
        <v>754.6</v>
      </c>
      <c r="AF791" s="5" t="n">
        <v>1602.2</v>
      </c>
      <c r="AG791" s="5" t="n">
        <v>825.8</v>
      </c>
      <c r="AH791" s="5" t="n">
        <v>1852</v>
      </c>
      <c r="AI791" s="5" t="inlineStr">
        <is>
          <t>new</t>
        </is>
      </c>
      <c r="AJ791" s="5" t="inlineStr"/>
      <c r="AK791" s="5" t="inlineStr">
        <is>
          <t>piece of a wall network the colour pipeline left unsplit</t>
        </is>
      </c>
      <c r="AL791" s="5" t="inlineStr">
        <is>
          <t>(0.87, 0.0, 0.87)</t>
        </is>
      </c>
      <c r="AM791" s="5" t="inlineStr">
        <is>
          <t>DM-VOILE</t>
        </is>
      </c>
    </row>
    <row r="792">
      <c r="A792" s="5" t="n">
        <v>791</v>
      </c>
      <c r="B792" s="5" t="inlineStr">
        <is>
          <t>130</t>
        </is>
      </c>
      <c r="C792" s="5" t="inlineStr">
        <is>
          <t>nearest labels (100% agree)</t>
        </is>
      </c>
      <c r="D792" s="5" t="inlineStr">
        <is>
          <t>wall</t>
        </is>
      </c>
      <c r="E792" s="5" t="inlineStr">
        <is>
          <t>retaining_wall</t>
        </is>
      </c>
      <c r="F792" s="5" t="inlineStr">
        <is>
          <t>VP20</t>
        </is>
      </c>
      <c r="G792" s="5" t="inlineStr"/>
      <c r="H792" s="5" t="inlineStr">
        <is>
          <t>thickness matches a VP type</t>
        </is>
      </c>
      <c r="I792" s="5" t="n">
        <v>2085</v>
      </c>
      <c r="J792" s="5" t="n">
        <v>20</v>
      </c>
      <c r="K792" s="9">
        <f>IF(AND(ISNUMBER(I792),ISNUMBER(J792),J792&gt;0),I792/J792,"")</f>
        <v/>
      </c>
      <c r="L792" s="5" t="n">
        <v>4.204</v>
      </c>
      <c r="M792" s="5" t="n"/>
      <c r="N792" s="5" t="n">
        <v>75.2</v>
      </c>
      <c r="O792" s="5" t="inlineStr">
        <is>
          <t>solid fill</t>
        </is>
      </c>
      <c r="P792" s="5" t="inlineStr">
        <is>
          <t>straight stretch of a thin filled outline with bends (pair of parallel faces)</t>
        </is>
      </c>
      <c r="Q792" s="5">
        <f>IF(OR(D792="column",D792="wall"),IF(I792&lt;='P vs V'!$B$3*J792,"column","wall"),"")</f>
        <v/>
      </c>
      <c r="R792" s="5" t="inlineStr"/>
      <c r="S792" s="5" t="inlineStr"/>
      <c r="T792" s="5" t="n"/>
      <c r="U792" s="5" t="inlineStr">
        <is>
          <t>no</t>
        </is>
      </c>
      <c r="V792" s="5" t="inlineStr">
        <is>
          <t>no</t>
        </is>
      </c>
      <c r="W792" s="5" t="inlineStr">
        <is>
          <t>yes</t>
        </is>
      </c>
      <c r="X792" s="5" t="inlineStr">
        <is>
          <t>yes</t>
        </is>
      </c>
      <c r="Y792" s="5" t="inlineStr">
        <is>
          <t>yes</t>
        </is>
      </c>
      <c r="Z792" s="5" t="inlineStr">
        <is>
          <t>no</t>
        </is>
      </c>
      <c r="AA792" s="5" t="n">
        <v>3.75</v>
      </c>
      <c r="AB792" s="5" t="n"/>
      <c r="AC792" s="5" t="n"/>
      <c r="AD792" s="5" t="n"/>
      <c r="AE792" s="5" t="n">
        <v>1248.1</v>
      </c>
      <c r="AF792" s="5" t="n">
        <v>1101.4</v>
      </c>
      <c r="AG792" s="5" t="n">
        <v>1410.8</v>
      </c>
      <c r="AH792" s="5" t="n">
        <v>1698</v>
      </c>
      <c r="AI792" s="5" t="inlineStr">
        <is>
          <t>new</t>
        </is>
      </c>
      <c r="AJ792" s="5" t="inlineStr"/>
      <c r="AK792" s="5" t="inlineStr">
        <is>
          <t>piece of a wall network the colour pipeline left unsplit</t>
        </is>
      </c>
      <c r="AL792" s="5" t="inlineStr"/>
      <c r="AM792" s="5" t="inlineStr"/>
    </row>
    <row r="793">
      <c r="A793" s="5" t="n">
        <v>792</v>
      </c>
      <c r="B793" s="5" t="inlineStr">
        <is>
          <t>130</t>
        </is>
      </c>
      <c r="C793" s="5" t="inlineStr">
        <is>
          <t>nearest labels (100% agree)</t>
        </is>
      </c>
      <c r="D793" s="5" t="inlineStr">
        <is>
          <t>wall</t>
        </is>
      </c>
      <c r="E793" s="5" t="inlineStr">
        <is>
          <t>retaining_wall</t>
        </is>
      </c>
      <c r="F793" s="5" t="inlineStr">
        <is>
          <t>VP20</t>
        </is>
      </c>
      <c r="G793" s="5" t="inlineStr"/>
      <c r="H793" s="5" t="inlineStr">
        <is>
          <t>thickness matches a VP type</t>
        </is>
      </c>
      <c r="I793" s="5" t="n">
        <v>1268</v>
      </c>
      <c r="J793" s="5" t="n">
        <v>20</v>
      </c>
      <c r="K793" s="9">
        <f>IF(AND(ISNUMBER(I793),ISNUMBER(J793),J793&gt;0),I793/J793,"")</f>
        <v/>
      </c>
      <c r="L793" s="5" t="n">
        <v>2.552</v>
      </c>
      <c r="M793" s="5" t="n"/>
      <c r="N793" s="5" t="n">
        <v>5.7</v>
      </c>
      <c r="O793" s="5" t="inlineStr">
        <is>
          <t>solid fill</t>
        </is>
      </c>
      <c r="P793" s="5" t="inlineStr">
        <is>
          <t>straight stretch of a thin filled outline with bends (pair of parallel faces)</t>
        </is>
      </c>
      <c r="Q793" s="5">
        <f>IF(OR(D793="column",D793="wall"),IF(I793&lt;='P vs V'!$B$3*J793,"column","wall"),"")</f>
        <v/>
      </c>
      <c r="R793" s="5" t="inlineStr"/>
      <c r="S793" s="5" t="inlineStr"/>
      <c r="T793" s="5" t="n"/>
      <c r="U793" s="5" t="inlineStr">
        <is>
          <t>no</t>
        </is>
      </c>
      <c r="V793" s="5" t="inlineStr">
        <is>
          <t>no</t>
        </is>
      </c>
      <c r="W793" s="5" t="inlineStr">
        <is>
          <t>yes</t>
        </is>
      </c>
      <c r="X793" s="5" t="inlineStr">
        <is>
          <t>yes</t>
        </is>
      </c>
      <c r="Y793" s="5" t="inlineStr">
        <is>
          <t>yes</t>
        </is>
      </c>
      <c r="Z793" s="5" t="inlineStr">
        <is>
          <t>yes</t>
        </is>
      </c>
      <c r="AA793" s="5" t="n">
        <v>6.55</v>
      </c>
      <c r="AB793" s="5" t="n"/>
      <c r="AC793" s="5" t="n"/>
      <c r="AD793" s="5" t="n"/>
      <c r="AE793" s="5" t="n">
        <v>875.5</v>
      </c>
      <c r="AF793" s="5" t="n">
        <v>1059.9</v>
      </c>
      <c r="AG793" s="5" t="n">
        <v>1248.7</v>
      </c>
      <c r="AH793" s="5" t="n">
        <v>1102.9</v>
      </c>
      <c r="AI793" s="5" t="inlineStr">
        <is>
          <t>new</t>
        </is>
      </c>
      <c r="AJ793" s="5" t="inlineStr"/>
      <c r="AK793" s="5" t="inlineStr">
        <is>
          <t>piece of a wall network the colour pipeline left unsplit</t>
        </is>
      </c>
      <c r="AL793" s="5" t="inlineStr"/>
      <c r="AM793" s="5" t="inlineStr"/>
    </row>
    <row r="794">
      <c r="A794" s="5" t="n">
        <v>793</v>
      </c>
      <c r="B794" s="5" t="inlineStr">
        <is>
          <t>130</t>
        </is>
      </c>
      <c r="C794" s="5" t="inlineStr">
        <is>
          <t>nearest labels (100% agree)</t>
        </is>
      </c>
      <c r="D794" s="5" t="inlineStr">
        <is>
          <t>wall</t>
        </is>
      </c>
      <c r="E794" s="5" t="inlineStr">
        <is>
          <t>retaining_wall</t>
        </is>
      </c>
      <c r="F794" s="5" t="inlineStr">
        <is>
          <t>VP20</t>
        </is>
      </c>
      <c r="G794" s="5" t="inlineStr"/>
      <c r="H794" s="5" t="inlineStr">
        <is>
          <t>thickness matches a VP type</t>
        </is>
      </c>
      <c r="I794" s="5" t="n">
        <v>1095</v>
      </c>
      <c r="J794" s="5" t="n">
        <v>20</v>
      </c>
      <c r="K794" s="9">
        <f>IF(AND(ISNUMBER(I794),ISNUMBER(J794),J794&gt;0),I794/J794,"")</f>
        <v/>
      </c>
      <c r="L794" s="5" t="n">
        <v>2.228</v>
      </c>
      <c r="M794" s="5" t="n"/>
      <c r="N794" s="5" t="n">
        <v>2.8</v>
      </c>
      <c r="O794" s="5" t="inlineStr">
        <is>
          <t>solid fill</t>
        </is>
      </c>
      <c r="P794" s="5" t="inlineStr">
        <is>
          <t>straight stretch of a thin filled outline with bends (pair of parallel faces)</t>
        </is>
      </c>
      <c r="Q794" s="5">
        <f>IF(OR(D794="column",D794="wall"),IF(I794&lt;='P vs V'!$B$3*J794,"column","wall"),"")</f>
        <v/>
      </c>
      <c r="R794" s="5" t="inlineStr"/>
      <c r="S794" s="5" t="inlineStr"/>
      <c r="T794" s="5" t="n"/>
      <c r="U794" s="5" t="inlineStr">
        <is>
          <t>no</t>
        </is>
      </c>
      <c r="V794" s="5" t="inlineStr">
        <is>
          <t>no</t>
        </is>
      </c>
      <c r="W794" s="5" t="inlineStr">
        <is>
          <t>yes</t>
        </is>
      </c>
      <c r="X794" s="5" t="inlineStr">
        <is>
          <t>no</t>
        </is>
      </c>
      <c r="Y794" s="5" t="inlineStr">
        <is>
          <t>yes</t>
        </is>
      </c>
      <c r="Z794" s="5" t="inlineStr">
        <is>
          <t>no</t>
        </is>
      </c>
      <c r="AA794" s="5" t="n">
        <v>0.41</v>
      </c>
      <c r="AB794" s="5" t="n"/>
      <c r="AC794" s="5" t="n"/>
      <c r="AD794" s="5" t="n"/>
      <c r="AE794" s="5" t="n">
        <v>588.2</v>
      </c>
      <c r="AF794" s="5" t="n">
        <v>1213.2</v>
      </c>
      <c r="AG794" s="5" t="n">
        <v>911.4</v>
      </c>
      <c r="AH794" s="5" t="n">
        <v>1235</v>
      </c>
      <c r="AI794" s="5" t="inlineStr">
        <is>
          <t>new</t>
        </is>
      </c>
      <c r="AJ794" s="5" t="inlineStr"/>
      <c r="AK794" s="5" t="inlineStr">
        <is>
          <t>piece of a wall network the colour pipeline left unsplit</t>
        </is>
      </c>
      <c r="AL794" s="5" t="inlineStr"/>
      <c r="AM794" s="5" t="inlineStr"/>
    </row>
    <row r="795">
      <c r="A795" s="5" t="n">
        <v>794</v>
      </c>
      <c r="B795" s="5" t="inlineStr">
        <is>
          <t>130</t>
        </is>
      </c>
      <c r="C795" s="5" t="inlineStr">
        <is>
          <t>nearest labels (100% agree)</t>
        </is>
      </c>
      <c r="D795" s="5" t="inlineStr">
        <is>
          <t>wall</t>
        </is>
      </c>
      <c r="E795" s="5" t="inlineStr">
        <is>
          <t>retaining_wall</t>
        </is>
      </c>
      <c r="F795" s="5" t="inlineStr">
        <is>
          <t>VP20</t>
        </is>
      </c>
      <c r="G795" s="5" t="inlineStr"/>
      <c r="H795" s="5" t="inlineStr">
        <is>
          <t>thickness matches a VP type</t>
        </is>
      </c>
      <c r="I795" s="5" t="n">
        <v>418</v>
      </c>
      <c r="J795" s="5" t="n">
        <v>20</v>
      </c>
      <c r="K795" s="9">
        <f>IF(AND(ISNUMBER(I795),ISNUMBER(J795),J795&gt;0),I795/J795,"")</f>
        <v/>
      </c>
      <c r="L795" s="5" t="n">
        <v>0.842</v>
      </c>
      <c r="M795" s="5" t="n"/>
      <c r="N795" s="5" t="n">
        <v>75.3</v>
      </c>
      <c r="O795" s="5" t="inlineStr">
        <is>
          <t>solid fill</t>
        </is>
      </c>
      <c r="P795" s="5" t="inlineStr">
        <is>
          <t>straight stretch of a thin filled outline with bends (pair of parallel faces)</t>
        </is>
      </c>
      <c r="Q795" s="5">
        <f>IF(OR(D795="column",D795="wall"),IF(I795&lt;='P vs V'!$B$3*J795,"column","wall"),"")</f>
        <v/>
      </c>
      <c r="R795" s="5" t="inlineStr"/>
      <c r="S795" s="5" t="inlineStr"/>
      <c r="T795" s="5" t="n"/>
      <c r="U795" s="5" t="inlineStr">
        <is>
          <t>no</t>
        </is>
      </c>
      <c r="V795" s="5" t="inlineStr">
        <is>
          <t>yes</t>
        </is>
      </c>
      <c r="W795" s="5" t="inlineStr">
        <is>
          <t>yes</t>
        </is>
      </c>
      <c r="X795" s="5" t="inlineStr">
        <is>
          <t>yes</t>
        </is>
      </c>
      <c r="Y795" s="5" t="inlineStr">
        <is>
          <t>no</t>
        </is>
      </c>
      <c r="Z795" s="5" t="inlineStr">
        <is>
          <t>no</t>
        </is>
      </c>
      <c r="AA795" s="5" t="n">
        <v>3.41</v>
      </c>
      <c r="AB795" s="5" t="n"/>
      <c r="AC795" s="5" t="n"/>
      <c r="AD795" s="5" t="n"/>
      <c r="AE795" s="5" t="n">
        <v>723.2</v>
      </c>
      <c r="AF795" s="5" t="n">
        <v>1481.4</v>
      </c>
      <c r="AG795" s="5" t="n">
        <v>760.4</v>
      </c>
      <c r="AH795" s="5" t="n">
        <v>1602.2</v>
      </c>
      <c r="AI795" s="5" t="inlineStr">
        <is>
          <t>new</t>
        </is>
      </c>
      <c r="AJ795" s="5" t="inlineStr"/>
      <c r="AK795" s="5" t="inlineStr">
        <is>
          <t>piece of a wall network the colour pipeline left unsplit</t>
        </is>
      </c>
      <c r="AL795" s="5" t="inlineStr"/>
      <c r="AM795" s="5" t="inlineStr"/>
    </row>
    <row r="796">
      <c r="A796" s="5" t="n">
        <v>795</v>
      </c>
      <c r="B796" s="5" t="inlineStr">
        <is>
          <t>130</t>
        </is>
      </c>
      <c r="C796" s="5" t="inlineStr">
        <is>
          <t>nearest labels (100% agree)</t>
        </is>
      </c>
      <c r="D796" s="5" t="inlineStr">
        <is>
          <t>wall</t>
        </is>
      </c>
      <c r="E796" s="5" t="inlineStr">
        <is>
          <t>retaining_wall</t>
        </is>
      </c>
      <c r="F796" s="5" t="inlineStr">
        <is>
          <t>VP20</t>
        </is>
      </c>
      <c r="G796" s="5" t="inlineStr"/>
      <c r="H796" s="5" t="inlineStr">
        <is>
          <t>thickness matches a VP type</t>
        </is>
      </c>
      <c r="I796" s="5" t="n">
        <v>280</v>
      </c>
      <c r="J796" s="5" t="n">
        <v>20</v>
      </c>
      <c r="K796" s="9">
        <f>IF(AND(ISNUMBER(I796),ISNUMBER(J796),J796&gt;0),I796/J796,"")</f>
        <v/>
      </c>
      <c r="L796" s="5" t="n">
        <v>0.5629999999999999</v>
      </c>
      <c r="M796" s="5" t="n"/>
      <c r="N796" s="5" t="n">
        <v>75.3</v>
      </c>
      <c r="O796" s="5" t="inlineStr">
        <is>
          <t>solid fill</t>
        </is>
      </c>
      <c r="P796" s="5" t="inlineStr">
        <is>
          <t>straight stretch of a thin filled outline with bends (pair of parallel faces)</t>
        </is>
      </c>
      <c r="Q796" s="5">
        <f>IF(OR(D796="column",D796="wall"),IF(I796&lt;='P vs V'!$B$3*J796,"column","wall"),"")</f>
        <v/>
      </c>
      <c r="R796" s="5" t="inlineStr"/>
      <c r="S796" s="5" t="inlineStr"/>
      <c r="T796" s="5" t="n"/>
      <c r="U796" s="5" t="inlineStr">
        <is>
          <t>yes</t>
        </is>
      </c>
      <c r="V796" s="5" t="inlineStr">
        <is>
          <t>no</t>
        </is>
      </c>
      <c r="W796" s="5" t="inlineStr">
        <is>
          <t>yes</t>
        </is>
      </c>
      <c r="X796" s="5" t="inlineStr">
        <is>
          <t>yes</t>
        </is>
      </c>
      <c r="Y796" s="5" t="inlineStr">
        <is>
          <t>no</t>
        </is>
      </c>
      <c r="Z796" s="5" t="inlineStr">
        <is>
          <t>no</t>
        </is>
      </c>
      <c r="AA796" s="5" t="n">
        <v>4.77</v>
      </c>
      <c r="AB796" s="5" t="n"/>
      <c r="AC796" s="5" t="n"/>
      <c r="AD796" s="5" t="n"/>
      <c r="AE796" s="5" t="n">
        <v>461.5</v>
      </c>
      <c r="AF796" s="5" t="n">
        <v>1458.7</v>
      </c>
      <c r="AG796" s="5" t="n">
        <v>488.2</v>
      </c>
      <c r="AH796" s="5" t="n">
        <v>1540.2</v>
      </c>
      <c r="AI796" s="5" t="inlineStr">
        <is>
          <t>new</t>
        </is>
      </c>
      <c r="AJ796" s="5" t="inlineStr"/>
      <c r="AK796" s="5" t="inlineStr">
        <is>
          <t>piece of a wall network the colour pipeline left unsplit</t>
        </is>
      </c>
      <c r="AL796" s="5" t="inlineStr"/>
      <c r="AM796" s="5" t="inlineStr"/>
    </row>
    <row r="797">
      <c r="A797" s="5" t="n">
        <v>796</v>
      </c>
      <c r="B797" s="5" t="inlineStr">
        <is>
          <t>130</t>
        </is>
      </c>
      <c r="C797" s="5" t="inlineStr">
        <is>
          <t>nearest labels (100% agree)</t>
        </is>
      </c>
      <c r="D797" s="5" t="inlineStr">
        <is>
          <t>wall</t>
        </is>
      </c>
      <c r="E797" s="5" t="inlineStr">
        <is>
          <t>retaining_wall</t>
        </is>
      </c>
      <c r="F797" s="5" t="inlineStr">
        <is>
          <t>VP25</t>
        </is>
      </c>
      <c r="G797" s="5" t="inlineStr"/>
      <c r="H797" s="5" t="inlineStr">
        <is>
          <t>thickness matches a VP type</t>
        </is>
      </c>
      <c r="I797" s="5" t="n">
        <v>337</v>
      </c>
      <c r="J797" s="5" t="n">
        <v>25</v>
      </c>
      <c r="K797" s="9">
        <f>IF(AND(ISNUMBER(I797),ISNUMBER(J797),J797&gt;0),I797/J797,"")</f>
        <v/>
      </c>
      <c r="L797" s="5" t="n">
        <v>0.842</v>
      </c>
      <c r="M797" s="5" t="n"/>
      <c r="N797" s="5" t="n">
        <v>165.2</v>
      </c>
      <c r="O797" s="5" t="inlineStr">
        <is>
          <t>solid fill</t>
        </is>
      </c>
      <c r="P797" s="5" t="inlineStr">
        <is>
          <t>straight stretch of a thin filled outline with bends (pair of parallel faces)</t>
        </is>
      </c>
      <c r="Q797" s="5">
        <f>IF(OR(D797="column",D797="wall"),IF(I797&lt;='P vs V'!$B$3*J797,"column","wall"),"")</f>
        <v/>
      </c>
      <c r="R797" s="5" t="inlineStr"/>
      <c r="S797" s="5" t="inlineStr"/>
      <c r="T797" s="5" t="n"/>
      <c r="U797" s="5" t="inlineStr">
        <is>
          <t>yes</t>
        </is>
      </c>
      <c r="V797" s="5" t="inlineStr">
        <is>
          <t>no</t>
        </is>
      </c>
      <c r="W797" s="5" t="inlineStr">
        <is>
          <t>yes</t>
        </is>
      </c>
      <c r="X797" s="5" t="inlineStr">
        <is>
          <t>yes</t>
        </is>
      </c>
      <c r="Y797" s="5" t="inlineStr">
        <is>
          <t>yes</t>
        </is>
      </c>
      <c r="Z797" s="5" t="inlineStr">
        <is>
          <t>no</t>
        </is>
      </c>
      <c r="AA797" s="5" t="n">
        <v>3.26</v>
      </c>
      <c r="AB797" s="5" t="n"/>
      <c r="AC797" s="5" t="n"/>
      <c r="AD797" s="5" t="n"/>
      <c r="AE797" s="5" t="n">
        <v>635.4</v>
      </c>
      <c r="AF797" s="5" t="n">
        <v>1347.8</v>
      </c>
      <c r="AG797" s="5" t="n">
        <v>733.7</v>
      </c>
      <c r="AH797" s="5" t="n">
        <v>1380.3</v>
      </c>
      <c r="AI797" s="5" t="inlineStr">
        <is>
          <t>new</t>
        </is>
      </c>
      <c r="AJ797" s="5" t="inlineStr"/>
      <c r="AK797" s="5" t="inlineStr">
        <is>
          <t>piece of a wall network the colour pipeline left unsplit</t>
        </is>
      </c>
      <c r="AL797" s="5" t="inlineStr"/>
      <c r="AM797" s="5" t="inlineStr"/>
    </row>
    <row r="798">
      <c r="A798" s="5" t="n">
        <v>797</v>
      </c>
      <c r="B798" s="5" t="inlineStr">
        <is>
          <t>130</t>
        </is>
      </c>
      <c r="C798" s="5" t="inlineStr">
        <is>
          <t>nearest labels (100% agree)</t>
        </is>
      </c>
      <c r="D798" s="5" t="inlineStr">
        <is>
          <t>wall</t>
        </is>
      </c>
      <c r="E798" s="5" t="inlineStr">
        <is>
          <t>retaining_wall</t>
        </is>
      </c>
      <c r="F798" s="5" t="inlineStr">
        <is>
          <t>VP25</t>
        </is>
      </c>
      <c r="G798" s="5" t="inlineStr"/>
      <c r="H798" s="5" t="inlineStr">
        <is>
          <t>thickness matches a VP type</t>
        </is>
      </c>
      <c r="I798" s="5" t="n">
        <v>270</v>
      </c>
      <c r="J798" s="5" t="n">
        <v>25</v>
      </c>
      <c r="K798" s="9">
        <f>IF(AND(ISNUMBER(I798),ISNUMBER(J798),J798&gt;0),I798/J798,"")</f>
        <v/>
      </c>
      <c r="L798" s="5" t="n">
        <v>0.673</v>
      </c>
      <c r="M798" s="5" t="n"/>
      <c r="N798" s="5" t="n">
        <v>75.2</v>
      </c>
      <c r="O798" s="5" t="inlineStr">
        <is>
          <t>solid fill</t>
        </is>
      </c>
      <c r="P798" s="5" t="inlineStr">
        <is>
          <t>straight stretch of a thin filled outline with bends (pair of parallel faces)</t>
        </is>
      </c>
      <c r="Q798" s="5">
        <f>IF(OR(D798="column",D798="wall"),IF(I798&lt;='P vs V'!$B$3*J798,"column","wall"),"")</f>
        <v/>
      </c>
      <c r="R798" s="5" t="inlineStr"/>
      <c r="S798" s="5" t="inlineStr"/>
      <c r="T798" s="5" t="n"/>
      <c r="U798" s="5" t="inlineStr">
        <is>
          <t>yes</t>
        </is>
      </c>
      <c r="V798" s="5" t="inlineStr">
        <is>
          <t>no</t>
        </is>
      </c>
      <c r="W798" s="5" t="inlineStr">
        <is>
          <t>yes</t>
        </is>
      </c>
      <c r="X798" s="5" t="inlineStr">
        <is>
          <t>yes</t>
        </is>
      </c>
      <c r="Y798" s="5" t="inlineStr">
        <is>
          <t>no</t>
        </is>
      </c>
      <c r="Z798" s="5" t="inlineStr">
        <is>
          <t>no</t>
        </is>
      </c>
      <c r="AA798" s="5" t="n">
        <v>4.75</v>
      </c>
      <c r="AB798" s="5" t="n"/>
      <c r="AC798" s="5" t="n"/>
      <c r="AD798" s="5" t="n"/>
      <c r="AE798" s="5" t="n">
        <v>461.8</v>
      </c>
      <c r="AF798" s="5" t="n">
        <v>1459.8</v>
      </c>
      <c r="AG798" s="5" t="n">
        <v>489.2</v>
      </c>
      <c r="AH798" s="5" t="n">
        <v>1538.7</v>
      </c>
      <c r="AI798" s="5" t="inlineStr">
        <is>
          <t>new</t>
        </is>
      </c>
      <c r="AJ798" s="5" t="inlineStr"/>
      <c r="AK798" s="5" t="inlineStr">
        <is>
          <t>piece of a wall network the colour pipeline left unsplit</t>
        </is>
      </c>
      <c r="AL798" s="5" t="inlineStr"/>
      <c r="AM798" s="5" t="inlineStr"/>
    </row>
    <row r="799">
      <c r="A799" s="5" t="n">
        <v>798</v>
      </c>
      <c r="B799" s="5" t="inlineStr">
        <is>
          <t>130</t>
        </is>
      </c>
      <c r="C799" s="5" t="inlineStr">
        <is>
          <t>nearest labels (100% agree)</t>
        </is>
      </c>
      <c r="D799" s="5" t="inlineStr">
        <is>
          <t>wall</t>
        </is>
      </c>
      <c r="E799" s="5" t="inlineStr">
        <is>
          <t>retaining_wall</t>
        </is>
      </c>
      <c r="F799" s="5" t="inlineStr">
        <is>
          <t>(none)</t>
        </is>
      </c>
      <c r="G799" s="5" t="inlineStr"/>
      <c r="H799" s="5" t="inlineStr">
        <is>
          <t>none</t>
        </is>
      </c>
      <c r="I799" s="5" t="n">
        <v>566</v>
      </c>
      <c r="J799" s="5" t="n">
        <v>21</v>
      </c>
      <c r="K799" s="9">
        <f>IF(AND(ISNUMBER(I799),ISNUMBER(J799),J799&gt;0),I799/J799,"")</f>
        <v/>
      </c>
      <c r="L799" s="5" t="n">
        <v>1.181</v>
      </c>
      <c r="M799" s="5" t="n"/>
      <c r="N799" s="5" t="n">
        <v>75.5</v>
      </c>
      <c r="O799" s="5" t="inlineStr">
        <is>
          <t>solid fill</t>
        </is>
      </c>
      <c r="P799" s="5" t="inlineStr">
        <is>
          <t>straight stretch of a thin filled outline with bends (pair of parallel faces)</t>
        </is>
      </c>
      <c r="Q799" s="5">
        <f>IF(OR(D799="column",D799="wall"),IF(I799&lt;='P vs V'!$B$3*J799,"column","wall"),"")</f>
        <v/>
      </c>
      <c r="R799" s="5" t="inlineStr"/>
      <c r="S799" s="5" t="inlineStr"/>
      <c r="T799" s="5" t="n"/>
      <c r="U799" s="5" t="inlineStr">
        <is>
          <t>no</t>
        </is>
      </c>
      <c r="V799" s="5" t="inlineStr">
        <is>
          <t>no</t>
        </is>
      </c>
      <c r="W799" s="5" t="inlineStr">
        <is>
          <t>yes</t>
        </is>
      </c>
      <c r="X799" s="5" t="inlineStr">
        <is>
          <t>yes</t>
        </is>
      </c>
      <c r="Y799" s="5" t="inlineStr">
        <is>
          <t>no</t>
        </is>
      </c>
      <c r="Z799" s="5" t="inlineStr">
        <is>
          <t>yes</t>
        </is>
      </c>
      <c r="AA799" s="5" t="n">
        <v>0.46</v>
      </c>
      <c r="AB799" s="5" t="n"/>
      <c r="AC799" s="5" t="n"/>
      <c r="AD799" s="5" t="n"/>
      <c r="AE799" s="5" t="n">
        <v>869.5</v>
      </c>
      <c r="AF799" s="5" t="n">
        <v>1065.8</v>
      </c>
      <c r="AG799" s="5" t="n">
        <v>917.4</v>
      </c>
      <c r="AH799" s="5" t="n">
        <v>1229</v>
      </c>
      <c r="AI799" s="5" t="inlineStr">
        <is>
          <t>new</t>
        </is>
      </c>
      <c r="AJ799" s="5" t="inlineStr"/>
      <c r="AK799" s="5" t="inlineStr">
        <is>
          <t>piece of a wall network the colour pipeline left unsplit</t>
        </is>
      </c>
      <c r="AL799" s="5" t="inlineStr"/>
      <c r="AM799" s="5" t="inlineStr"/>
    </row>
    <row r="800">
      <c r="A800" s="5" t="n">
        <v>799</v>
      </c>
      <c r="B800" s="5" t="inlineStr">
        <is>
          <t>130</t>
        </is>
      </c>
      <c r="C800" s="5" t="inlineStr">
        <is>
          <t>own label</t>
        </is>
      </c>
      <c r="D800" s="5" t="inlineStr">
        <is>
          <t>wall</t>
        </is>
      </c>
      <c r="E800" s="5" t="inlineStr">
        <is>
          <t>shear_wall</t>
        </is>
      </c>
      <c r="F800" s="5" t="inlineStr">
        <is>
          <t>V1/130</t>
        </is>
      </c>
      <c r="G800" s="5" t="inlineStr">
        <is>
          <t>V1/130/130</t>
        </is>
      </c>
      <c r="H800" s="5" t="inlineStr">
        <is>
          <t>printed</t>
        </is>
      </c>
      <c r="I800" s="5" t="n">
        <v>125</v>
      </c>
      <c r="J800" s="5" t="n">
        <v>25</v>
      </c>
      <c r="K800" s="9">
        <f>IF(AND(ISNUMBER(I800),ISNUMBER(J800),J800&gt;0),I800/J800,"")</f>
        <v/>
      </c>
      <c r="L800" s="5" t="n">
        <v>0.313</v>
      </c>
      <c r="M800" s="5" t="n"/>
      <c r="N800" s="5" t="n">
        <v>165.2</v>
      </c>
      <c r="O800" s="5" t="inlineStr">
        <is>
          <t>solid fill</t>
        </is>
      </c>
      <c r="P800" s="5" t="inlineStr">
        <is>
          <t>solid fill, rectangle, L &gt; 4 W (EN 1992-1-1 5.3.1(7))</t>
        </is>
      </c>
      <c r="Q800" s="5">
        <f>IF(OR(D800="column",D800="wall"),IF(I800&lt;='P vs V'!$B$3*J800,"column","wall"),"")</f>
        <v/>
      </c>
      <c r="R800" s="5" t="inlineStr">
        <is>
          <t>SC9</t>
        </is>
      </c>
      <c r="S800" s="5" t="inlineStr"/>
      <c r="T800" s="5" t="n"/>
      <c r="U800" s="5" t="inlineStr">
        <is>
          <t>no</t>
        </is>
      </c>
      <c r="V800" s="5" t="inlineStr">
        <is>
          <t>no</t>
        </is>
      </c>
      <c r="W800" s="5" t="inlineStr">
        <is>
          <t>yes</t>
        </is>
      </c>
      <c r="X800" s="5" t="inlineStr">
        <is>
          <t>no</t>
        </is>
      </c>
      <c r="Y800" s="5" t="inlineStr">
        <is>
          <t>yes</t>
        </is>
      </c>
      <c r="Z800" s="5" t="inlineStr">
        <is>
          <t>no</t>
        </is>
      </c>
      <c r="AA800" s="5" t="n">
        <v>3.35</v>
      </c>
      <c r="AB800" s="5" t="n"/>
      <c r="AC800" s="5" t="n"/>
      <c r="AD800" s="5" t="n"/>
      <c r="AE800" s="5" t="n">
        <v>797.2</v>
      </c>
      <c r="AF800" s="5" t="n">
        <v>1841</v>
      </c>
      <c r="AG800" s="5" t="n">
        <v>834.8</v>
      </c>
      <c r="AH800" s="5" t="n">
        <v>1857.6</v>
      </c>
      <c r="AI800" s="5" t="inlineStr">
        <is>
          <t>new</t>
        </is>
      </c>
      <c r="AJ800" s="5" t="inlineStr"/>
      <c r="AK800" s="5" t="inlineStr">
        <is>
          <t>piece of a wall network the colour pipeline left unsplit</t>
        </is>
      </c>
      <c r="AL800" s="5" t="inlineStr">
        <is>
          <t>(0.87, 0.0, 0.87)</t>
        </is>
      </c>
      <c r="AM800" s="5" t="inlineStr">
        <is>
          <t>DM-VOILE</t>
        </is>
      </c>
    </row>
    <row r="801">
      <c r="A801" s="5" t="n">
        <v>800</v>
      </c>
      <c r="B801" s="5" t="inlineStr">
        <is>
          <t>130</t>
        </is>
      </c>
      <c r="C801" s="5" t="inlineStr">
        <is>
          <t>own label</t>
        </is>
      </c>
      <c r="D801" s="5" t="inlineStr">
        <is>
          <t>wall</t>
        </is>
      </c>
      <c r="E801" s="5" t="inlineStr">
        <is>
          <t>shear_wall</t>
        </is>
      </c>
      <c r="F801" s="5" t="inlineStr">
        <is>
          <t>V1/130</t>
        </is>
      </c>
      <c r="G801" s="5" t="inlineStr">
        <is>
          <t>V1/130/130</t>
        </is>
      </c>
      <c r="H801" s="5" t="inlineStr">
        <is>
          <t>printed</t>
        </is>
      </c>
      <c r="I801" s="5" t="n">
        <v>125</v>
      </c>
      <c r="J801" s="5" t="n">
        <v>25</v>
      </c>
      <c r="K801" s="9">
        <f>IF(AND(ISNUMBER(I801),ISNUMBER(J801),J801&gt;0),I801/J801,"")</f>
        <v/>
      </c>
      <c r="L801" s="5" t="n">
        <v>0.312</v>
      </c>
      <c r="M801" s="5" t="n"/>
      <c r="N801" s="5" t="n">
        <v>2.8</v>
      </c>
      <c r="O801" s="5" t="inlineStr">
        <is>
          <t>solid fill</t>
        </is>
      </c>
      <c r="P801" s="5" t="inlineStr">
        <is>
          <t>solid fill, rectangle, L &gt; 4 W (EN 1992-1-1 5.3.1(7))</t>
        </is>
      </c>
      <c r="Q801" s="5">
        <f>IF(OR(D801="column",D801="wall"),IF(I801&lt;='P vs V'!$B$3*J801,"column","wall"),"")</f>
        <v/>
      </c>
      <c r="R801" s="5" t="inlineStr">
        <is>
          <t>S4</t>
        </is>
      </c>
      <c r="S801" s="5" t="inlineStr"/>
      <c r="T801" s="5" t="n"/>
      <c r="U801" s="5" t="inlineStr">
        <is>
          <t>no</t>
        </is>
      </c>
      <c r="V801" s="5" t="inlineStr">
        <is>
          <t>no</t>
        </is>
      </c>
      <c r="W801" s="5" t="inlineStr">
        <is>
          <t>yes</t>
        </is>
      </c>
      <c r="X801" s="5" t="inlineStr">
        <is>
          <t>no</t>
        </is>
      </c>
      <c r="Y801" s="5" t="inlineStr">
        <is>
          <t>yes</t>
        </is>
      </c>
      <c r="Z801" s="5" t="inlineStr">
        <is>
          <t>no</t>
        </is>
      </c>
      <c r="AA801" s="5" t="n">
        <v>0.03</v>
      </c>
      <c r="AB801" s="5" t="n"/>
      <c r="AC801" s="5" t="n"/>
      <c r="AD801" s="5" t="n"/>
      <c r="AE801" s="5" t="n">
        <v>882.2</v>
      </c>
      <c r="AF801" s="5" t="n">
        <v>1227.8</v>
      </c>
      <c r="AG801" s="5" t="n">
        <v>919.5</v>
      </c>
      <c r="AH801" s="5" t="n">
        <v>1237</v>
      </c>
      <c r="AI801" s="5" t="inlineStr">
        <is>
          <t>new</t>
        </is>
      </c>
      <c r="AJ801" s="5" t="inlineStr"/>
      <c r="AK801" s="5" t="inlineStr">
        <is>
          <t>piece of a wall network the colour pipeline left unsplit</t>
        </is>
      </c>
      <c r="AL801" s="5" t="inlineStr">
        <is>
          <t>(0.87, 0.0, 0.87)</t>
        </is>
      </c>
      <c r="AM801" s="5" t="inlineStr">
        <is>
          <t>DM-VOILE</t>
        </is>
      </c>
    </row>
    <row r="802">
      <c r="A802" s="5" t="n">
        <v>801</v>
      </c>
      <c r="B802" s="5" t="inlineStr">
        <is>
          <t>130</t>
        </is>
      </c>
      <c r="C802" s="5" t="inlineStr">
        <is>
          <t>own label</t>
        </is>
      </c>
      <c r="D802" s="5" t="inlineStr">
        <is>
          <t>wall</t>
        </is>
      </c>
      <c r="E802" s="5" t="inlineStr">
        <is>
          <t>shear_wall</t>
        </is>
      </c>
      <c r="F802" s="5" t="inlineStr">
        <is>
          <t>V1/130</t>
        </is>
      </c>
      <c r="G802" s="5" t="inlineStr">
        <is>
          <t>V1/130/130</t>
        </is>
      </c>
      <c r="H802" s="5" t="inlineStr">
        <is>
          <t>printed</t>
        </is>
      </c>
      <c r="I802" s="5" t="n">
        <v>125</v>
      </c>
      <c r="J802" s="5" t="n">
        <v>25</v>
      </c>
      <c r="K802" s="9">
        <f>IF(AND(ISNUMBER(I802),ISNUMBER(J802),J802&gt;0),I802/J802,"")</f>
        <v/>
      </c>
      <c r="L802" s="5" t="n">
        <v>0.312</v>
      </c>
      <c r="M802" s="5" t="n"/>
      <c r="N802" s="5" t="n">
        <v>2.8</v>
      </c>
      <c r="O802" s="5" t="inlineStr">
        <is>
          <t>solid fill</t>
        </is>
      </c>
      <c r="P802" s="5" t="inlineStr">
        <is>
          <t>solid fill, rectangle, L &gt; 4 W (EN 1992-1-1 5.3.1(7))</t>
        </is>
      </c>
      <c r="Q802" s="5">
        <f>IF(OR(D802="column",D802="wall"),IF(I802&lt;='P vs V'!$B$3*J802,"column","wall"),"")</f>
        <v/>
      </c>
      <c r="R802" s="5" t="inlineStr">
        <is>
          <t>S2</t>
        </is>
      </c>
      <c r="S802" s="5" t="inlineStr"/>
      <c r="T802" s="5" t="n"/>
      <c r="U802" s="5" t="inlineStr">
        <is>
          <t>no</t>
        </is>
      </c>
      <c r="V802" s="5" t="inlineStr">
        <is>
          <t>no</t>
        </is>
      </c>
      <c r="W802" s="5" t="inlineStr">
        <is>
          <t>yes</t>
        </is>
      </c>
      <c r="X802" s="5" t="inlineStr">
        <is>
          <t>no</t>
        </is>
      </c>
      <c r="Y802" s="5" t="inlineStr">
        <is>
          <t>no</t>
        </is>
      </c>
      <c r="Z802" s="5" t="inlineStr">
        <is>
          <t>no</t>
        </is>
      </c>
      <c r="AA802" s="5" t="n">
        <v>3.41</v>
      </c>
      <c r="AB802" s="5" t="n"/>
      <c r="AC802" s="5" t="n"/>
      <c r="AD802" s="5" t="n"/>
      <c r="AE802" s="5" t="n">
        <v>632.9</v>
      </c>
      <c r="AF802" s="5" t="n">
        <v>1215.3</v>
      </c>
      <c r="AG802" s="5" t="n">
        <v>670.1</v>
      </c>
      <c r="AH802" s="5" t="n">
        <v>1224.5</v>
      </c>
      <c r="AI802" s="5" t="inlineStr">
        <is>
          <t>new</t>
        </is>
      </c>
      <c r="AJ802" s="5" t="inlineStr"/>
      <c r="AK802" s="5" t="inlineStr">
        <is>
          <t>piece of a wall network the colour pipeline left unsplit</t>
        </is>
      </c>
      <c r="AL802" s="5" t="inlineStr">
        <is>
          <t>(0.87, 0.0, 0.87)</t>
        </is>
      </c>
      <c r="AM802" s="5" t="inlineStr">
        <is>
          <t>DM-VOILE</t>
        </is>
      </c>
    </row>
    <row r="803">
      <c r="A803" s="5" t="n">
        <v>802</v>
      </c>
      <c r="B803" s="5" t="inlineStr">
        <is>
          <t>130</t>
        </is>
      </c>
      <c r="C803" s="5" t="inlineStr">
        <is>
          <t>own label</t>
        </is>
      </c>
      <c r="D803" s="5" t="inlineStr">
        <is>
          <t>wall</t>
        </is>
      </c>
      <c r="E803" s="5" t="inlineStr">
        <is>
          <t>shear_wall</t>
        </is>
      </c>
      <c r="F803" s="5" t="inlineStr">
        <is>
          <t>V1/130</t>
        </is>
      </c>
      <c r="G803" s="5" t="inlineStr">
        <is>
          <t>V1/130/130</t>
        </is>
      </c>
      <c r="H803" s="5" t="inlineStr">
        <is>
          <t>printed</t>
        </is>
      </c>
      <c r="I803" s="5" t="n">
        <v>125</v>
      </c>
      <c r="J803" s="5" t="n">
        <v>25</v>
      </c>
      <c r="K803" s="9">
        <f>IF(AND(ISNUMBER(I803),ISNUMBER(J803),J803&gt;0),I803/J803,"")</f>
        <v/>
      </c>
      <c r="L803" s="5" t="n">
        <v>0.312</v>
      </c>
      <c r="M803" s="5" t="n"/>
      <c r="N803" s="5" t="n">
        <v>165.3</v>
      </c>
      <c r="O803" s="5" t="inlineStr">
        <is>
          <t>solid fill</t>
        </is>
      </c>
      <c r="P803" s="5" t="inlineStr">
        <is>
          <t>solid fill, rectangle, L &gt; 4 W (EN 1992-1-1 5.3.1(7))</t>
        </is>
      </c>
      <c r="Q803" s="5">
        <f>IF(OR(D803="column",D803="wall"),IF(I803&lt;='P vs V'!$B$3*J803,"column","wall"),"")</f>
        <v/>
      </c>
      <c r="R803" s="5" t="inlineStr">
        <is>
          <t>SC1</t>
        </is>
      </c>
      <c r="S803" s="5" t="inlineStr"/>
      <c r="T803" s="5" t="n"/>
      <c r="U803" s="5" t="inlineStr">
        <is>
          <t>no</t>
        </is>
      </c>
      <c r="V803" s="5" t="inlineStr">
        <is>
          <t>no</t>
        </is>
      </c>
      <c r="W803" s="5" t="inlineStr">
        <is>
          <t>no</t>
        </is>
      </c>
      <c r="X803" s="5" t="inlineStr">
        <is>
          <t>no</t>
        </is>
      </c>
      <c r="Y803" s="5" t="inlineStr">
        <is>
          <t>yes</t>
        </is>
      </c>
      <c r="Z803" s="5" t="inlineStr">
        <is>
          <t>yes</t>
        </is>
      </c>
      <c r="AA803" s="5" t="n">
        <v>0</v>
      </c>
      <c r="AB803" s="5" t="n"/>
      <c r="AC803" s="5" t="n"/>
      <c r="AD803" s="5" t="n"/>
      <c r="AE803" s="5" t="n">
        <v>1029</v>
      </c>
      <c r="AF803" s="5" t="n">
        <v>1780</v>
      </c>
      <c r="AG803" s="5" t="n">
        <v>1066.6</v>
      </c>
      <c r="AH803" s="5" t="n">
        <v>1796.5</v>
      </c>
      <c r="AI803" s="5" t="inlineStr">
        <is>
          <t>yes</t>
        </is>
      </c>
      <c r="AJ803" s="5" t="inlineStr">
        <is>
          <t>shear_wall</t>
        </is>
      </c>
      <c r="AK803" s="5" t="inlineStr"/>
      <c r="AL803" s="5" t="inlineStr">
        <is>
          <t>(0.87, 0.0, 0.87)</t>
        </is>
      </c>
      <c r="AM803" s="5" t="inlineStr">
        <is>
          <t>DM-VOILE</t>
        </is>
      </c>
    </row>
    <row r="804">
      <c r="A804" s="5" t="n">
        <v>803</v>
      </c>
      <c r="B804" s="5" t="inlineStr">
        <is>
          <t>130</t>
        </is>
      </c>
      <c r="C804" s="5" t="inlineStr">
        <is>
          <t>own label</t>
        </is>
      </c>
      <c r="D804" s="5" t="inlineStr">
        <is>
          <t>wall</t>
        </is>
      </c>
      <c r="E804" s="5" t="inlineStr">
        <is>
          <t>shear_wall</t>
        </is>
      </c>
      <c r="F804" s="5" t="inlineStr">
        <is>
          <t>V3/130</t>
        </is>
      </c>
      <c r="G804" s="5" t="inlineStr">
        <is>
          <t>V3/130/130</t>
        </is>
      </c>
      <c r="H804" s="5" t="inlineStr">
        <is>
          <t>printed</t>
        </is>
      </c>
      <c r="I804" s="5" t="n">
        <v>200</v>
      </c>
      <c r="J804" s="5" t="n">
        <v>30</v>
      </c>
      <c r="K804" s="9">
        <f>IF(AND(ISNUMBER(I804),ISNUMBER(J804),J804&gt;0),I804/J804,"")</f>
        <v/>
      </c>
      <c r="L804" s="5" t="n">
        <v>0.603</v>
      </c>
      <c r="M804" s="5" t="n"/>
      <c r="N804" s="5" t="n">
        <v>165.3</v>
      </c>
      <c r="O804" s="5" t="inlineStr">
        <is>
          <t>solid fill</t>
        </is>
      </c>
      <c r="P804" s="5" t="inlineStr">
        <is>
          <t>solid fill, rectangle, L &gt; 4 W (EN 1992-1-1 5.3.1(7))</t>
        </is>
      </c>
      <c r="Q804" s="5">
        <f>IF(OR(D804="column",D804="wall"),IF(I804&lt;='P vs V'!$B$3*J804,"column","wall"),"")</f>
        <v/>
      </c>
      <c r="R804" s="5" t="inlineStr"/>
      <c r="S804" s="5" t="inlineStr"/>
      <c r="T804" s="5" t="n"/>
      <c r="U804" s="5" t="inlineStr">
        <is>
          <t>yes</t>
        </is>
      </c>
      <c r="V804" s="5" t="inlineStr">
        <is>
          <t>no</t>
        </is>
      </c>
      <c r="W804" s="5" t="inlineStr">
        <is>
          <t>no</t>
        </is>
      </c>
      <c r="X804" s="5" t="inlineStr">
        <is>
          <t>no</t>
        </is>
      </c>
      <c r="Y804" s="5" t="inlineStr">
        <is>
          <t>yes</t>
        </is>
      </c>
      <c r="Z804" s="5" t="inlineStr">
        <is>
          <t>no</t>
        </is>
      </c>
      <c r="AA804" s="5" t="n">
        <v>0.38</v>
      </c>
      <c r="AB804" s="5" t="n"/>
      <c r="AC804" s="5" t="n"/>
      <c r="AD804" s="5" t="n"/>
      <c r="AE804" s="5" t="n">
        <v>910.4</v>
      </c>
      <c r="AF804" s="5" t="n">
        <v>1411</v>
      </c>
      <c r="AG804" s="5" t="n">
        <v>969.8</v>
      </c>
      <c r="AH804" s="5" t="n">
        <v>1434.6</v>
      </c>
      <c r="AI804" s="5" t="inlineStr">
        <is>
          <t>yes</t>
        </is>
      </c>
      <c r="AJ804" s="5" t="inlineStr">
        <is>
          <t>shear_wall</t>
        </is>
      </c>
      <c r="AK804" s="5" t="inlineStr"/>
      <c r="AL804" s="5" t="inlineStr">
        <is>
          <t>(0.87, 0.0, 0.87)</t>
        </is>
      </c>
      <c r="AM804" s="5" t="inlineStr">
        <is>
          <t>DM-VOILE</t>
        </is>
      </c>
    </row>
    <row r="805">
      <c r="A805" s="5" t="n">
        <v>804</v>
      </c>
      <c r="B805" s="5" t="inlineStr">
        <is>
          <t>130</t>
        </is>
      </c>
      <c r="C805" s="5" t="inlineStr">
        <is>
          <t>own label</t>
        </is>
      </c>
      <c r="D805" s="5" t="inlineStr">
        <is>
          <t>wall</t>
        </is>
      </c>
      <c r="E805" s="5" t="inlineStr">
        <is>
          <t>shear_wall</t>
        </is>
      </c>
      <c r="F805" s="5" t="inlineStr">
        <is>
          <t>V3/130</t>
        </is>
      </c>
      <c r="G805" s="5" t="inlineStr">
        <is>
          <t>V3/130/130</t>
        </is>
      </c>
      <c r="H805" s="5" t="inlineStr">
        <is>
          <t>printed</t>
        </is>
      </c>
      <c r="I805" s="5" t="n">
        <v>200</v>
      </c>
      <c r="J805" s="5" t="n">
        <v>30</v>
      </c>
      <c r="K805" s="9">
        <f>IF(AND(ISNUMBER(I805),ISNUMBER(J805),J805&gt;0),I805/J805,"")</f>
        <v/>
      </c>
      <c r="L805" s="5" t="n">
        <v>0.601</v>
      </c>
      <c r="M805" s="5" t="n"/>
      <c r="N805" s="5" t="n">
        <v>165.3</v>
      </c>
      <c r="O805" s="5" t="inlineStr">
        <is>
          <t>solid fill</t>
        </is>
      </c>
      <c r="P805" s="5" t="inlineStr">
        <is>
          <t>solid fill, rectangle, L &gt; 4 W (EN 1992-1-1 5.3.1(7))</t>
        </is>
      </c>
      <c r="Q805" s="5">
        <f>IF(OR(D805="column",D805="wall"),IF(I805&lt;='P vs V'!$B$3*J805,"column","wall"),"")</f>
        <v/>
      </c>
      <c r="R805" s="5" t="inlineStr">
        <is>
          <t>S18</t>
        </is>
      </c>
      <c r="S805" s="5" t="inlineStr"/>
      <c r="T805" s="5" t="n"/>
      <c r="U805" s="5" t="inlineStr">
        <is>
          <t>no</t>
        </is>
      </c>
      <c r="V805" s="5" t="inlineStr">
        <is>
          <t>no</t>
        </is>
      </c>
      <c r="W805" s="5" t="inlineStr">
        <is>
          <t>no</t>
        </is>
      </c>
      <c r="X805" s="5" t="inlineStr">
        <is>
          <t>no</t>
        </is>
      </c>
      <c r="Y805" s="5" t="inlineStr">
        <is>
          <t>yes</t>
        </is>
      </c>
      <c r="Z805" s="5" t="inlineStr">
        <is>
          <t>yes</t>
        </is>
      </c>
      <c r="AA805" s="5" t="n">
        <v>0.01</v>
      </c>
      <c r="AB805" s="5" t="n"/>
      <c r="AC805" s="5" t="n"/>
      <c r="AD805" s="5" t="n"/>
      <c r="AE805" s="5" t="n">
        <v>951.4</v>
      </c>
      <c r="AF805" s="5" t="n">
        <v>1594.1</v>
      </c>
      <c r="AG805" s="5" t="n">
        <v>1010.8</v>
      </c>
      <c r="AH805" s="5" t="n">
        <v>1617.7</v>
      </c>
      <c r="AI805" s="5" t="inlineStr">
        <is>
          <t>yes</t>
        </is>
      </c>
      <c r="AJ805" s="5" t="inlineStr">
        <is>
          <t>shear_wall</t>
        </is>
      </c>
      <c r="AK805" s="5" t="inlineStr"/>
      <c r="AL805" s="5" t="inlineStr">
        <is>
          <t>(0.87, 0.0, 0.87)</t>
        </is>
      </c>
      <c r="AM805" s="5" t="inlineStr">
        <is>
          <t>DM-VOILE</t>
        </is>
      </c>
    </row>
    <row r="806">
      <c r="A806" s="5" t="n">
        <v>805</v>
      </c>
      <c r="B806" s="5" t="inlineStr">
        <is>
          <t>130</t>
        </is>
      </c>
      <c r="C806" s="5" t="inlineStr">
        <is>
          <t>own label</t>
        </is>
      </c>
      <c r="D806" s="5" t="inlineStr">
        <is>
          <t>wall</t>
        </is>
      </c>
      <c r="E806" s="5" t="inlineStr">
        <is>
          <t>shear_wall</t>
        </is>
      </c>
      <c r="F806" s="5" t="inlineStr">
        <is>
          <t>V4/130</t>
        </is>
      </c>
      <c r="G806" s="5" t="inlineStr">
        <is>
          <t>V4/130/130</t>
        </is>
      </c>
      <c r="H806" s="5" t="inlineStr">
        <is>
          <t>printed</t>
        </is>
      </c>
      <c r="I806" s="5" t="n">
        <v>250</v>
      </c>
      <c r="J806" s="5" t="n">
        <v>25</v>
      </c>
      <c r="K806" s="9">
        <f>IF(AND(ISNUMBER(I806),ISNUMBER(J806),J806&gt;0),I806/J806,"")</f>
        <v/>
      </c>
      <c r="L806" s="5" t="n">
        <v>0.628</v>
      </c>
      <c r="M806" s="5" t="n"/>
      <c r="N806" s="5" t="n">
        <v>75.3</v>
      </c>
      <c r="O806" s="5" t="inlineStr">
        <is>
          <t>solid fill</t>
        </is>
      </c>
      <c r="P806" s="5" t="inlineStr">
        <is>
          <t>solid fill, rectangle, L &gt; 4 W (EN 1992-1-1 5.3.1(7))</t>
        </is>
      </c>
      <c r="Q806" s="5">
        <f>IF(OR(D806="column",D806="wall"),IF(I806&lt;='P vs V'!$B$3*J806,"column","wall"),"")</f>
        <v/>
      </c>
      <c r="R806" s="5" t="inlineStr">
        <is>
          <t>S18</t>
        </is>
      </c>
      <c r="S806" s="5" t="inlineStr"/>
      <c r="T806" s="5" t="n"/>
      <c r="U806" s="5" t="inlineStr">
        <is>
          <t>no</t>
        </is>
      </c>
      <c r="V806" s="5" t="inlineStr">
        <is>
          <t>no</t>
        </is>
      </c>
      <c r="W806" s="5" t="inlineStr">
        <is>
          <t>yes</t>
        </is>
      </c>
      <c r="X806" s="5" t="inlineStr">
        <is>
          <t>no</t>
        </is>
      </c>
      <c r="Y806" s="5" t="inlineStr">
        <is>
          <t>no</t>
        </is>
      </c>
      <c r="Z806" s="5" t="inlineStr">
        <is>
          <t>no</t>
        </is>
      </c>
      <c r="AA806" s="5" t="n">
        <v>1.62</v>
      </c>
      <c r="AB806" s="5" t="n"/>
      <c r="AC806" s="5" t="n"/>
      <c r="AD806" s="5" t="n"/>
      <c r="AE806" s="5" t="n">
        <v>772.7</v>
      </c>
      <c r="AF806" s="5" t="n">
        <v>1669.5</v>
      </c>
      <c r="AG806" s="5" t="n">
        <v>798.6</v>
      </c>
      <c r="AH806" s="5" t="n">
        <v>1742.7</v>
      </c>
      <c r="AI806" s="5" t="inlineStr">
        <is>
          <t>new</t>
        </is>
      </c>
      <c r="AJ806" s="5" t="inlineStr"/>
      <c r="AK806" s="5" t="inlineStr">
        <is>
          <t>piece of a wall network the colour pipeline left unsplit</t>
        </is>
      </c>
      <c r="AL806" s="5" t="inlineStr">
        <is>
          <t>(0.87, 0.0, 0.87)</t>
        </is>
      </c>
      <c r="AM806" s="5" t="inlineStr">
        <is>
          <t>DM-VOILE</t>
        </is>
      </c>
    </row>
    <row r="807">
      <c r="A807" s="5" t="n">
        <v>806</v>
      </c>
      <c r="B807" s="5" t="inlineStr">
        <is>
          <t>130</t>
        </is>
      </c>
      <c r="C807" s="5" t="inlineStr">
        <is>
          <t>own label</t>
        </is>
      </c>
      <c r="D807" s="5" t="inlineStr">
        <is>
          <t>wall</t>
        </is>
      </c>
      <c r="E807" s="5" t="inlineStr">
        <is>
          <t>shear_wall</t>
        </is>
      </c>
      <c r="F807" s="5" t="inlineStr">
        <is>
          <t>V6/130</t>
        </is>
      </c>
      <c r="G807" s="5" t="inlineStr">
        <is>
          <t>V6/130/130</t>
        </is>
      </c>
      <c r="H807" s="5" t="inlineStr">
        <is>
          <t>printed</t>
        </is>
      </c>
      <c r="I807" s="5" t="n">
        <v>125</v>
      </c>
      <c r="J807" s="5" t="n">
        <v>25</v>
      </c>
      <c r="K807" s="9">
        <f>IF(AND(ISNUMBER(I807),ISNUMBER(J807),J807&gt;0),I807/J807,"")</f>
        <v/>
      </c>
      <c r="L807" s="5" t="n">
        <v>0.315</v>
      </c>
      <c r="M807" s="5" t="n"/>
      <c r="N807" s="5" t="n">
        <v>165.3</v>
      </c>
      <c r="O807" s="5" t="inlineStr">
        <is>
          <t>solid fill</t>
        </is>
      </c>
      <c r="P807" s="5" t="inlineStr">
        <is>
          <t>solid fill, rectangle, L &gt; 4 W (EN 1992-1-1 5.3.1(7))</t>
        </is>
      </c>
      <c r="Q807" s="5">
        <f>IF(OR(D807="column",D807="wall"),IF(I807&lt;='P vs V'!$B$3*J807,"column","wall"),"")</f>
        <v/>
      </c>
      <c r="R807" s="5" t="inlineStr">
        <is>
          <t>S2</t>
        </is>
      </c>
      <c r="S807" s="5" t="inlineStr"/>
      <c r="T807" s="5" t="n"/>
      <c r="U807" s="5" t="inlineStr">
        <is>
          <t>no</t>
        </is>
      </c>
      <c r="V807" s="5" t="inlineStr">
        <is>
          <t>no</t>
        </is>
      </c>
      <c r="W807" s="5" t="inlineStr">
        <is>
          <t>no</t>
        </is>
      </c>
      <c r="X807" s="5" t="inlineStr">
        <is>
          <t>no</t>
        </is>
      </c>
      <c r="Y807" s="5" t="inlineStr">
        <is>
          <t>yes</t>
        </is>
      </c>
      <c r="Z807" s="5" t="inlineStr">
        <is>
          <t>yes</t>
        </is>
      </c>
      <c r="AA807" s="5" t="n">
        <v>0.86</v>
      </c>
      <c r="AB807" s="5" t="n"/>
      <c r="AC807" s="5" t="n"/>
      <c r="AD807" s="5" t="n"/>
      <c r="AE807" s="5" t="n">
        <v>1199.6</v>
      </c>
      <c r="AF807" s="5" t="n">
        <v>1508.5</v>
      </c>
      <c r="AG807" s="5" t="n">
        <v>1237.2</v>
      </c>
      <c r="AH807" s="5" t="n">
        <v>1525.1</v>
      </c>
      <c r="AI807" s="5" t="inlineStr">
        <is>
          <t>yes</t>
        </is>
      </c>
      <c r="AJ807" s="5" t="inlineStr">
        <is>
          <t>shear_wall</t>
        </is>
      </c>
      <c r="AK807" s="5" t="inlineStr"/>
      <c r="AL807" s="5" t="inlineStr">
        <is>
          <t>(0.87, 0.0, 0.87)</t>
        </is>
      </c>
      <c r="AM807" s="5" t="inlineStr">
        <is>
          <t>DM-VOILE</t>
        </is>
      </c>
    </row>
    <row r="808">
      <c r="A808" s="5" t="n">
        <v>807</v>
      </c>
      <c r="B808" s="5" t="inlineStr">
        <is>
          <t>130</t>
        </is>
      </c>
      <c r="C808" s="5" t="inlineStr">
        <is>
          <t>own label</t>
        </is>
      </c>
      <c r="D808" s="5" t="inlineStr">
        <is>
          <t>wall</t>
        </is>
      </c>
      <c r="E808" s="5" t="inlineStr">
        <is>
          <t>shear_wall</t>
        </is>
      </c>
      <c r="F808" s="5" t="inlineStr">
        <is>
          <t>V6/130</t>
        </is>
      </c>
      <c r="G808" s="5" t="inlineStr">
        <is>
          <t>V6/130/130</t>
        </is>
      </c>
      <c r="H808" s="5" t="inlineStr">
        <is>
          <t>printed</t>
        </is>
      </c>
      <c r="I808" s="5" t="n">
        <v>125</v>
      </c>
      <c r="J808" s="5" t="n">
        <v>25</v>
      </c>
      <c r="K808" s="9">
        <f>IF(AND(ISNUMBER(I808),ISNUMBER(J808),J808&gt;0),I808/J808,"")</f>
        <v/>
      </c>
      <c r="L808" s="5" t="n">
        <v>0.312</v>
      </c>
      <c r="M808" s="5" t="n"/>
      <c r="N808" s="5" t="n">
        <v>165.3</v>
      </c>
      <c r="O808" s="5" t="inlineStr">
        <is>
          <t>solid fill</t>
        </is>
      </c>
      <c r="P808" s="5" t="inlineStr">
        <is>
          <t>solid fill, rectangle, L &gt; 4 W (EN 1992-1-1 5.3.1(7))</t>
        </is>
      </c>
      <c r="Q808" s="5">
        <f>IF(OR(D808="column",D808="wall"),IF(I808&lt;='P vs V'!$B$3*J808,"column","wall"),"")</f>
        <v/>
      </c>
      <c r="R808" s="5" t="inlineStr"/>
      <c r="S808" s="5" t="inlineStr"/>
      <c r="T808" s="5" t="n"/>
      <c r="U808" s="5" t="inlineStr">
        <is>
          <t>no</t>
        </is>
      </c>
      <c r="V808" s="5" t="inlineStr">
        <is>
          <t>no</t>
        </is>
      </c>
      <c r="W808" s="5" t="inlineStr">
        <is>
          <t>no</t>
        </is>
      </c>
      <c r="X808" s="5" t="inlineStr">
        <is>
          <t>no</t>
        </is>
      </c>
      <c r="Y808" s="5" t="inlineStr">
        <is>
          <t>yes</t>
        </is>
      </c>
      <c r="Z808" s="5" t="inlineStr">
        <is>
          <t>yes</t>
        </is>
      </c>
      <c r="AA808" s="5" t="n">
        <v>7.95</v>
      </c>
      <c r="AB808" s="5" t="n"/>
      <c r="AC808" s="5" t="n"/>
      <c r="AD808" s="5" t="n"/>
      <c r="AE808" s="5" t="n">
        <v>1142.2</v>
      </c>
      <c r="AF808" s="5" t="n">
        <v>1286.9</v>
      </c>
      <c r="AG808" s="5" t="n">
        <v>1179.7</v>
      </c>
      <c r="AH808" s="5" t="n">
        <v>1303.4</v>
      </c>
      <c r="AI808" s="5" t="inlineStr">
        <is>
          <t>new</t>
        </is>
      </c>
      <c r="AJ808" s="5" t="inlineStr"/>
      <c r="AK808" s="5" t="inlineStr"/>
      <c r="AL808" s="5" t="inlineStr">
        <is>
          <t>(1.0, 1.0, 0.0)</t>
        </is>
      </c>
      <c r="AM808" s="5" t="inlineStr">
        <is>
          <t>DM-VOILE</t>
        </is>
      </c>
    </row>
    <row r="809">
      <c r="A809" s="5" t="n">
        <v>808</v>
      </c>
      <c r="B809" s="5" t="inlineStr">
        <is>
          <t>130</t>
        </is>
      </c>
      <c r="C809" s="5" t="inlineStr">
        <is>
          <t>own label</t>
        </is>
      </c>
      <c r="D809" s="5" t="inlineStr">
        <is>
          <t>wall</t>
        </is>
      </c>
      <c r="E809" s="5" t="inlineStr">
        <is>
          <t>shear_wall</t>
        </is>
      </c>
      <c r="F809" s="5" t="inlineStr">
        <is>
          <t>V6/130</t>
        </is>
      </c>
      <c r="G809" s="5" t="inlineStr">
        <is>
          <t>V6/130/130</t>
        </is>
      </c>
      <c r="H809" s="5" t="inlineStr">
        <is>
          <t>printed</t>
        </is>
      </c>
      <c r="I809" s="5" t="n">
        <v>125</v>
      </c>
      <c r="J809" s="5" t="n">
        <v>25</v>
      </c>
      <c r="K809" s="9">
        <f>IF(AND(ISNUMBER(I809),ISNUMBER(J809),J809&gt;0),I809/J809,"")</f>
        <v/>
      </c>
      <c r="L809" s="5" t="n">
        <v>0.312</v>
      </c>
      <c r="M809" s="5" t="n"/>
      <c r="N809" s="5" t="n">
        <v>165.3</v>
      </c>
      <c r="O809" s="5" t="inlineStr">
        <is>
          <t>solid fill</t>
        </is>
      </c>
      <c r="P809" s="5" t="inlineStr">
        <is>
          <t>solid fill, rectangle, L &gt; 4 W (EN 1992-1-1 5.3.1(7))</t>
        </is>
      </c>
      <c r="Q809" s="5">
        <f>IF(OR(D809="column",D809="wall"),IF(I809&lt;='P vs V'!$B$3*J809,"column","wall"),"")</f>
        <v/>
      </c>
      <c r="R809" s="5" t="inlineStr">
        <is>
          <t>SC2</t>
        </is>
      </c>
      <c r="S809" s="5" t="inlineStr"/>
      <c r="T809" s="5" t="n"/>
      <c r="U809" s="5" t="inlineStr">
        <is>
          <t>no</t>
        </is>
      </c>
      <c r="V809" s="5" t="inlineStr">
        <is>
          <t>no</t>
        </is>
      </c>
      <c r="W809" s="5" t="inlineStr">
        <is>
          <t>no</t>
        </is>
      </c>
      <c r="X809" s="5" t="inlineStr">
        <is>
          <t>no</t>
        </is>
      </c>
      <c r="Y809" s="5" t="inlineStr">
        <is>
          <t>yes</t>
        </is>
      </c>
      <c r="Z809" s="5" t="inlineStr">
        <is>
          <t>yes</t>
        </is>
      </c>
      <c r="AA809" s="5" t="n">
        <v>6.56</v>
      </c>
      <c r="AB809" s="5" t="n"/>
      <c r="AC809" s="5" t="n"/>
      <c r="AD809" s="5" t="n"/>
      <c r="AE809" s="5" t="n">
        <v>1255.7</v>
      </c>
      <c r="AF809" s="5" t="n">
        <v>1720.4</v>
      </c>
      <c r="AG809" s="5" t="n">
        <v>1293.3</v>
      </c>
      <c r="AH809" s="5" t="n">
        <v>1736.9</v>
      </c>
      <c r="AI809" s="5" t="inlineStr">
        <is>
          <t>yes</t>
        </is>
      </c>
      <c r="AJ809" s="5" t="inlineStr">
        <is>
          <t>shear_wall</t>
        </is>
      </c>
      <c r="AK809" s="5" t="inlineStr"/>
      <c r="AL809" s="5" t="inlineStr">
        <is>
          <t>(0.87, 0.0, 0.87)</t>
        </is>
      </c>
      <c r="AM809" s="5" t="inlineStr">
        <is>
          <t>DM-VOILE</t>
        </is>
      </c>
    </row>
    <row r="810">
      <c r="A810" s="5" t="n">
        <v>809</v>
      </c>
      <c r="B810" s="5" t="inlineStr">
        <is>
          <t>130</t>
        </is>
      </c>
      <c r="C810" s="5" t="inlineStr">
        <is>
          <t>nearest labels (100% agree)</t>
        </is>
      </c>
      <c r="D810" s="5" t="inlineStr">
        <is>
          <t>wall</t>
        </is>
      </c>
      <c r="E810" s="5" t="inlineStr">
        <is>
          <t>shear_wall</t>
        </is>
      </c>
      <c r="F810" s="5" t="inlineStr">
        <is>
          <t>(none)</t>
        </is>
      </c>
      <c r="G810" s="5" t="inlineStr"/>
      <c r="H810" s="5" t="inlineStr">
        <is>
          <t>none</t>
        </is>
      </c>
      <c r="I810" s="5" t="n">
        <v>200</v>
      </c>
      <c r="J810" s="5" t="n">
        <v>20</v>
      </c>
      <c r="K810" s="9">
        <f>IF(AND(ISNUMBER(I810),ISNUMBER(J810),J810&gt;0),I810/J810,"")</f>
        <v/>
      </c>
      <c r="L810" s="5" t="n">
        <v>0.4</v>
      </c>
      <c r="M810" s="5" t="n"/>
      <c r="N810" s="5" t="n">
        <v>5.8</v>
      </c>
      <c r="O810" s="5" t="inlineStr">
        <is>
          <t>solid fill</t>
        </is>
      </c>
      <c r="P810" s="5" t="inlineStr">
        <is>
          <t>straight stretch of a thin filled outline with bends (pair of parallel faces)</t>
        </is>
      </c>
      <c r="Q810" s="5">
        <f>IF(OR(D810="column",D810="wall"),IF(I810&lt;='P vs V'!$B$3*J810,"column","wall"),"")</f>
        <v/>
      </c>
      <c r="R810" s="5" t="inlineStr"/>
      <c r="S810" s="5" t="inlineStr"/>
      <c r="T810" s="5" t="n"/>
      <c r="U810" s="5" t="inlineStr">
        <is>
          <t>no</t>
        </is>
      </c>
      <c r="V810" s="5" t="inlineStr">
        <is>
          <t>no</t>
        </is>
      </c>
      <c r="W810" s="5" t="inlineStr">
        <is>
          <t>yes</t>
        </is>
      </c>
      <c r="X810" s="5" t="inlineStr">
        <is>
          <t>no</t>
        </is>
      </c>
      <c r="Y810" s="5" t="inlineStr">
        <is>
          <t>yes</t>
        </is>
      </c>
      <c r="Z810" s="5" t="inlineStr">
        <is>
          <t>yes</t>
        </is>
      </c>
      <c r="AA810" s="5" t="n">
        <v>3.46</v>
      </c>
      <c r="AB810" s="5" t="n"/>
      <c r="AC810" s="5" t="n"/>
      <c r="AD810" s="5" t="n"/>
      <c r="AE810" s="5" t="n">
        <v>935.6</v>
      </c>
      <c r="AF810" s="5" t="n">
        <v>1065.8</v>
      </c>
      <c r="AG810" s="5" t="n">
        <v>994.8</v>
      </c>
      <c r="AH810" s="5" t="n">
        <v>1077.6</v>
      </c>
      <c r="AI810" s="5" t="inlineStr">
        <is>
          <t>new</t>
        </is>
      </c>
      <c r="AJ810" s="5" t="inlineStr"/>
      <c r="AK810" s="5" t="inlineStr">
        <is>
          <t>piece of a wall network the colour pipeline left unsplit</t>
        </is>
      </c>
      <c r="AL810" s="5" t="inlineStr"/>
      <c r="AM810" s="5" t="inlineStr"/>
    </row>
    <row r="811">
      <c r="A811" s="5" t="n">
        <v>810</v>
      </c>
      <c r="B811" s="5" t="inlineStr">
        <is>
          <t>130</t>
        </is>
      </c>
      <c r="C811" s="5" t="inlineStr">
        <is>
          <t>nearest labels (100% agree)</t>
        </is>
      </c>
      <c r="D811" s="5" t="inlineStr">
        <is>
          <t>wall</t>
        </is>
      </c>
      <c r="E811" s="5" t="inlineStr">
        <is>
          <t>shear_wall</t>
        </is>
      </c>
      <c r="F811" s="5" t="inlineStr">
        <is>
          <t>(none)</t>
        </is>
      </c>
      <c r="G811" s="5" t="inlineStr"/>
      <c r="H811" s="5" t="inlineStr">
        <is>
          <t>none</t>
        </is>
      </c>
      <c r="I811" s="5" t="n">
        <v>149</v>
      </c>
      <c r="J811" s="5" t="n">
        <v>20</v>
      </c>
      <c r="K811" s="9">
        <f>IF(AND(ISNUMBER(I811),ISNUMBER(J811),J811&gt;0),I811/J811,"")</f>
        <v/>
      </c>
      <c r="L811" s="5" t="n">
        <v>0.3</v>
      </c>
      <c r="M811" s="5" t="n"/>
      <c r="N811" s="5" t="n">
        <v>95.5</v>
      </c>
      <c r="O811" s="5" t="inlineStr">
        <is>
          <t>solid fill</t>
        </is>
      </c>
      <c r="P811" s="5" t="inlineStr">
        <is>
          <t>straight stretch of a thin filled outline with bends (pair of parallel faces)</t>
        </is>
      </c>
      <c r="Q811" s="5">
        <f>IF(OR(D811="column",D811="wall"),IF(I811&lt;='P vs V'!$B$3*J811,"column","wall"),"")</f>
        <v/>
      </c>
      <c r="R811" s="5" t="inlineStr"/>
      <c r="S811" s="5" t="inlineStr"/>
      <c r="T811" s="5" t="n"/>
      <c r="U811" s="5" t="inlineStr">
        <is>
          <t>no</t>
        </is>
      </c>
      <c r="V811" s="5" t="inlineStr">
        <is>
          <t>no</t>
        </is>
      </c>
      <c r="W811" s="5" t="inlineStr">
        <is>
          <t>yes</t>
        </is>
      </c>
      <c r="X811" s="5" t="inlineStr">
        <is>
          <t>no</t>
        </is>
      </c>
      <c r="Y811" s="5" t="inlineStr">
        <is>
          <t>yes</t>
        </is>
      </c>
      <c r="Z811" s="5" t="inlineStr">
        <is>
          <t>yes</t>
        </is>
      </c>
      <c r="AA811" s="5" t="n">
        <v>4.19</v>
      </c>
      <c r="AB811" s="5" t="n"/>
      <c r="AC811" s="5" t="n"/>
      <c r="AD811" s="5" t="n"/>
      <c r="AE811" s="5" t="n">
        <v>990</v>
      </c>
      <c r="AF811" s="5" t="n">
        <v>1077.6</v>
      </c>
      <c r="AG811" s="5" t="n">
        <v>1000.1</v>
      </c>
      <c r="AH811" s="5" t="n">
        <v>1122</v>
      </c>
      <c r="AI811" s="5" t="inlineStr">
        <is>
          <t>new</t>
        </is>
      </c>
      <c r="AJ811" s="5" t="inlineStr"/>
      <c r="AK811" s="5" t="inlineStr">
        <is>
          <t>piece of a wall network the colour pipeline left unsplit</t>
        </is>
      </c>
      <c r="AL811" s="5" t="inlineStr"/>
      <c r="AM811" s="5" t="inlineStr"/>
    </row>
    <row r="812">
      <c r="A812" s="5" t="n">
        <v>811</v>
      </c>
      <c r="B812" s="5" t="inlineStr">
        <is>
          <t>130</t>
        </is>
      </c>
      <c r="C812" s="5" t="inlineStr">
        <is>
          <t>nearest labels (100% agree)</t>
        </is>
      </c>
      <c r="D812" s="5" t="inlineStr">
        <is>
          <t>wall</t>
        </is>
      </c>
      <c r="E812" s="5" t="inlineStr">
        <is>
          <t>shear_wall</t>
        </is>
      </c>
      <c r="F812" s="5" t="inlineStr">
        <is>
          <t>(none)</t>
        </is>
      </c>
      <c r="G812" s="5" t="inlineStr"/>
      <c r="H812" s="5" t="inlineStr">
        <is>
          <t>none</t>
        </is>
      </c>
      <c r="I812" s="5" t="n">
        <v>168</v>
      </c>
      <c r="J812" s="5" t="n">
        <v>20</v>
      </c>
      <c r="K812" s="9">
        <f>IF(AND(ISNUMBER(I812),ISNUMBER(J812),J812&gt;0),I812/J812,"")</f>
        <v/>
      </c>
      <c r="L812" s="5" t="n">
        <v>0.335</v>
      </c>
      <c r="M812" s="5" t="n"/>
      <c r="N812" s="5" t="n">
        <v>5.7</v>
      </c>
      <c r="O812" s="5" t="inlineStr">
        <is>
          <t>solid fill</t>
        </is>
      </c>
      <c r="P812" s="5" t="inlineStr">
        <is>
          <t>straight stretch of a thin filled outline with bends (pair of parallel faces)</t>
        </is>
      </c>
      <c r="Q812" s="5">
        <f>IF(OR(D812="column",D812="wall"),IF(I812&lt;='P vs V'!$B$3*J812,"column","wall"),"")</f>
        <v/>
      </c>
      <c r="R812" s="5" t="inlineStr"/>
      <c r="S812" s="5" t="inlineStr"/>
      <c r="T812" s="5" t="n"/>
      <c r="U812" s="5" t="inlineStr">
        <is>
          <t>no</t>
        </is>
      </c>
      <c r="V812" s="5" t="inlineStr">
        <is>
          <t>no</t>
        </is>
      </c>
      <c r="W812" s="5" t="inlineStr">
        <is>
          <t>yes</t>
        </is>
      </c>
      <c r="X812" s="5" t="inlineStr">
        <is>
          <t>no</t>
        </is>
      </c>
      <c r="Y812" s="5" t="inlineStr">
        <is>
          <t>no</t>
        </is>
      </c>
      <c r="Z812" s="5" t="inlineStr">
        <is>
          <t>no</t>
        </is>
      </c>
      <c r="AA812" s="5" t="n">
        <v>2.71</v>
      </c>
      <c r="AB812" s="5" t="n"/>
      <c r="AC812" s="5" t="n"/>
      <c r="AD812" s="5" t="n"/>
      <c r="AE812" s="5" t="n">
        <v>930.5</v>
      </c>
      <c r="AF812" s="5" t="n">
        <v>1115.8</v>
      </c>
      <c r="AG812" s="5" t="n">
        <v>980.4</v>
      </c>
      <c r="AH812" s="5" t="n">
        <v>1126.6</v>
      </c>
      <c r="AI812" s="5" t="inlineStr">
        <is>
          <t>new</t>
        </is>
      </c>
      <c r="AJ812" s="5" t="inlineStr"/>
      <c r="AK812" s="5" t="inlineStr">
        <is>
          <t>piece of a wall network the colour pipeline left unsplit</t>
        </is>
      </c>
      <c r="AL812" s="5" t="inlineStr"/>
      <c r="AM812" s="5" t="inlineStr"/>
    </row>
    <row r="813">
      <c r="A813" s="5" t="n">
        <v>812</v>
      </c>
      <c r="B813" s="5" t="inlineStr">
        <is>
          <t>130</t>
        </is>
      </c>
      <c r="C813" s="5" t="inlineStr">
        <is>
          <t>nearest labels (100% agree)</t>
        </is>
      </c>
      <c r="D813" s="5" t="inlineStr">
        <is>
          <t>wall</t>
        </is>
      </c>
      <c r="E813" s="5" t="inlineStr">
        <is>
          <t>shear_wall</t>
        </is>
      </c>
      <c r="F813" s="5" t="inlineStr">
        <is>
          <t>(none)</t>
        </is>
      </c>
      <c r="G813" s="5" t="inlineStr"/>
      <c r="H813" s="5" t="inlineStr">
        <is>
          <t>none</t>
        </is>
      </c>
      <c r="I813" s="5" t="n">
        <v>150</v>
      </c>
      <c r="J813" s="5" t="n">
        <v>20</v>
      </c>
      <c r="K813" s="9">
        <f>IF(AND(ISNUMBER(I813),ISNUMBER(J813),J813&gt;0),I813/J813,"")</f>
        <v/>
      </c>
      <c r="L813" s="5" t="n">
        <v>0.3</v>
      </c>
      <c r="M813" s="5" t="n"/>
      <c r="N813" s="5" t="n">
        <v>95.7</v>
      </c>
      <c r="O813" s="5" t="inlineStr">
        <is>
          <t>solid fill</t>
        </is>
      </c>
      <c r="P813" s="5" t="inlineStr">
        <is>
          <t>straight stretch of a thin filled outline with bends (pair of parallel faces)</t>
        </is>
      </c>
      <c r="Q813" s="5">
        <f>IF(OR(D813="column",D813="wall"),IF(I813&lt;='P vs V'!$B$3*J813,"column","wall"),"")</f>
        <v/>
      </c>
      <c r="R813" s="5" t="inlineStr"/>
      <c r="S813" s="5" t="inlineStr"/>
      <c r="T813" s="5" t="n"/>
      <c r="U813" s="5" t="inlineStr">
        <is>
          <t>no</t>
        </is>
      </c>
      <c r="V813" s="5" t="inlineStr">
        <is>
          <t>no</t>
        </is>
      </c>
      <c r="W813" s="5" t="inlineStr">
        <is>
          <t>yes</t>
        </is>
      </c>
      <c r="X813" s="5" t="inlineStr">
        <is>
          <t>no</t>
        </is>
      </c>
      <c r="Y813" s="5" t="inlineStr">
        <is>
          <t>yes</t>
        </is>
      </c>
      <c r="Z813" s="5" t="inlineStr">
        <is>
          <t>yes</t>
        </is>
      </c>
      <c r="AA813" s="5" t="n">
        <v>2.13</v>
      </c>
      <c r="AB813" s="5" t="n"/>
      <c r="AC813" s="5" t="n"/>
      <c r="AD813" s="5" t="n"/>
      <c r="AE813" s="5" t="n">
        <v>925.2</v>
      </c>
      <c r="AF813" s="5" t="n">
        <v>1071.1</v>
      </c>
      <c r="AG813" s="5" t="n">
        <v>935.6</v>
      </c>
      <c r="AH813" s="5" t="n">
        <v>1115.8</v>
      </c>
      <c r="AI813" s="5" t="inlineStr">
        <is>
          <t>new</t>
        </is>
      </c>
      <c r="AJ813" s="5" t="inlineStr"/>
      <c r="AK813" s="5" t="inlineStr">
        <is>
          <t>piece of a wall network the colour pipeline left unsplit</t>
        </is>
      </c>
      <c r="AL813" s="5" t="inlineStr"/>
      <c r="AM813" s="5" t="inlineStr"/>
    </row>
    <row r="814">
      <c r="A814" s="5" t="n">
        <v>813</v>
      </c>
      <c r="B814" s="5" t="inlineStr">
        <is>
          <t>130</t>
        </is>
      </c>
      <c r="C814" s="5" t="inlineStr">
        <is>
          <t>nearest labels (100% agree)</t>
        </is>
      </c>
      <c r="D814" s="5" t="inlineStr">
        <is>
          <t>wall</t>
        </is>
      </c>
      <c r="E814" s="5" t="inlineStr">
        <is>
          <t>shear_wall</t>
        </is>
      </c>
      <c r="F814" s="5" t="inlineStr">
        <is>
          <t>(none)</t>
        </is>
      </c>
      <c r="G814" s="5" t="inlineStr"/>
      <c r="H814" s="5" t="inlineStr">
        <is>
          <t>none</t>
        </is>
      </c>
      <c r="I814" s="5" t="n">
        <v>659</v>
      </c>
      <c r="J814" s="5" t="n">
        <v>20</v>
      </c>
      <c r="K814" s="9">
        <f>IF(AND(ISNUMBER(I814),ISNUMBER(J814),J814&gt;0),I814/J814,"")</f>
        <v/>
      </c>
      <c r="L814" s="5" t="n">
        <v>1.332</v>
      </c>
      <c r="M814" s="5" t="n"/>
      <c r="N814" s="5" t="n">
        <v>73.7</v>
      </c>
      <c r="O814" s="5" t="inlineStr">
        <is>
          <t>solid fill</t>
        </is>
      </c>
      <c r="P814" s="5" t="inlineStr">
        <is>
          <t>straight stretch of a thin filled outline with bends (pair of parallel faces)</t>
        </is>
      </c>
      <c r="Q814" s="5">
        <f>IF(OR(D814="column",D814="wall"),IF(I814&lt;='P vs V'!$B$3*J814,"column","wall"),"")</f>
        <v/>
      </c>
      <c r="R814" s="5" t="inlineStr"/>
      <c r="S814" s="5" t="inlineStr"/>
      <c r="T814" s="5" t="n"/>
      <c r="U814" s="5" t="inlineStr">
        <is>
          <t>no</t>
        </is>
      </c>
      <c r="V814" s="5" t="inlineStr">
        <is>
          <t>no</t>
        </is>
      </c>
      <c r="W814" s="5" t="inlineStr">
        <is>
          <t>yes</t>
        </is>
      </c>
      <c r="X814" s="5" t="inlineStr">
        <is>
          <t>no</t>
        </is>
      </c>
      <c r="Y814" s="5" t="inlineStr">
        <is>
          <t>yes</t>
        </is>
      </c>
      <c r="Z814" s="5" t="inlineStr">
        <is>
          <t>no</t>
        </is>
      </c>
      <c r="AA814" s="5" t="n">
        <v>1.33</v>
      </c>
      <c r="AB814" s="5" t="n"/>
      <c r="AC814" s="5" t="n"/>
      <c r="AD814" s="5" t="n"/>
      <c r="AE814" s="5" t="n">
        <v>582.4</v>
      </c>
      <c r="AF814" s="5" t="n">
        <v>1219.3</v>
      </c>
      <c r="AG814" s="5" t="n">
        <v>642.6</v>
      </c>
      <c r="AH814" s="5" t="n">
        <v>1407.6</v>
      </c>
      <c r="AI814" s="5" t="inlineStr">
        <is>
          <t>new</t>
        </is>
      </c>
      <c r="AJ814" s="5" t="inlineStr"/>
      <c r="AK814" s="5" t="inlineStr">
        <is>
          <t>piece of a wall network the colour pipeline left unsplit</t>
        </is>
      </c>
      <c r="AL814" s="5" t="inlineStr"/>
      <c r="AM814" s="5" t="inlineStr"/>
    </row>
    <row r="815">
      <c r="A815" s="5" t="n">
        <v>814</v>
      </c>
      <c r="B815" s="5" t="inlineStr">
        <is>
          <t>130</t>
        </is>
      </c>
      <c r="C815" s="5" t="inlineStr">
        <is>
          <t>nearest labels (100% agree)</t>
        </is>
      </c>
      <c r="D815" s="5" t="inlineStr">
        <is>
          <t>wall</t>
        </is>
      </c>
      <c r="E815" s="5" t="inlineStr">
        <is>
          <t>core_wall_hatched</t>
        </is>
      </c>
      <c r="F815" s="5" t="inlineStr">
        <is>
          <t>(none)</t>
        </is>
      </c>
      <c r="G815" s="5" t="inlineStr"/>
      <c r="H815" s="5" t="inlineStr">
        <is>
          <t>none</t>
        </is>
      </c>
      <c r="I815" s="5" t="n">
        <v>1044</v>
      </c>
      <c r="J815" s="5" t="n">
        <v>20</v>
      </c>
      <c r="K815" s="9">
        <f>IF(AND(ISNUMBER(I815),ISNUMBER(J815),J815&gt;0),I815/J815,"")</f>
        <v/>
      </c>
      <c r="L815" s="5" t="n">
        <v>2.112</v>
      </c>
      <c r="M815" s="5" t="n">
        <v>10.44</v>
      </c>
      <c r="N815" s="5" t="n">
        <v>16</v>
      </c>
      <c r="O815" s="5" t="inlineStr">
        <is>
          <t>cross-hatch</t>
        </is>
      </c>
      <c r="P815" s="5" t="inlineStr">
        <is>
          <t>cross-hatch of short strokes in two perpendicular families</t>
        </is>
      </c>
      <c r="Q815" s="5">
        <f>IF(OR(D815="column",D815="wall"),IF(I815&lt;='P vs V'!$B$3*J815,"column","wall"),"")</f>
        <v/>
      </c>
      <c r="R815" s="5" t="inlineStr"/>
      <c r="S815" s="5" t="inlineStr"/>
      <c r="T815" s="5" t="n"/>
      <c r="U815" s="5" t="inlineStr">
        <is>
          <t>yes</t>
        </is>
      </c>
      <c r="V815" s="5" t="inlineStr">
        <is>
          <t>no</t>
        </is>
      </c>
      <c r="W815" s="5" t="inlineStr">
        <is>
          <t>yes</t>
        </is>
      </c>
      <c r="X815" s="5" t="inlineStr">
        <is>
          <t>no</t>
        </is>
      </c>
      <c r="Y815" s="5" t="inlineStr">
        <is>
          <t>no</t>
        </is>
      </c>
      <c r="Z815" s="5" t="inlineStr">
        <is>
          <t>no</t>
        </is>
      </c>
      <c r="AA815" s="5" t="n">
        <v>2.79</v>
      </c>
      <c r="AB815" s="5" t="n">
        <v>0.28</v>
      </c>
      <c r="AC815" s="5" t="n"/>
      <c r="AD815" s="5" t="n"/>
      <c r="AE815" s="5" t="n">
        <v>639.9</v>
      </c>
      <c r="AF815" s="5" t="n">
        <v>1388.5</v>
      </c>
      <c r="AG815" s="5" t="n">
        <v>786.4</v>
      </c>
      <c r="AH815" s="5" t="n">
        <v>1464.5</v>
      </c>
      <c r="AI815" s="5" t="inlineStr">
        <is>
          <t>n/a</t>
        </is>
      </c>
      <c r="AJ815" s="5" t="inlineStr"/>
      <c r="AK815" s="5" t="inlineStr"/>
      <c r="AL815" s="5" t="inlineStr"/>
      <c r="AM815" s="5" t="inlineStr"/>
    </row>
    <row r="816">
      <c r="A816" s="5" t="n">
        <v>815</v>
      </c>
      <c r="B816" s="5" t="inlineStr">
        <is>
          <t>130</t>
        </is>
      </c>
      <c r="C816" s="5" t="inlineStr">
        <is>
          <t>nearest labels (100% agree)</t>
        </is>
      </c>
      <c r="D816" s="5" t="inlineStr">
        <is>
          <t>wall</t>
        </is>
      </c>
      <c r="E816" s="5" t="inlineStr">
        <is>
          <t>core_wall_hatched</t>
        </is>
      </c>
      <c r="F816" s="5" t="inlineStr">
        <is>
          <t>(none)</t>
        </is>
      </c>
      <c r="G816" s="5" t="inlineStr"/>
      <c r="H816" s="5" t="inlineStr">
        <is>
          <t>none</t>
        </is>
      </c>
      <c r="I816" s="5" t="n">
        <v>419</v>
      </c>
      <c r="J816" s="5" t="n">
        <v>20</v>
      </c>
      <c r="K816" s="9">
        <f>IF(AND(ISNUMBER(I816),ISNUMBER(J816),J816&gt;0),I816/J816,"")</f>
        <v/>
      </c>
      <c r="L816" s="5" t="n">
        <v>0.844</v>
      </c>
      <c r="M816" s="5" t="n">
        <v>4.19</v>
      </c>
      <c r="N816" s="5" t="n">
        <v>165.3</v>
      </c>
      <c r="O816" s="5" t="inlineStr">
        <is>
          <t>cross-hatch</t>
        </is>
      </c>
      <c r="P816" s="5" t="inlineStr">
        <is>
          <t>cross-hatch of short strokes in two perpendicular families</t>
        </is>
      </c>
      <c r="Q816" s="5">
        <f>IF(OR(D816="column",D816="wall"),IF(I816&lt;='P vs V'!$B$3*J816,"column","wall"),"")</f>
        <v/>
      </c>
      <c r="R816" s="5" t="inlineStr"/>
      <c r="S816" s="5" t="inlineStr"/>
      <c r="T816" s="5" t="n"/>
      <c r="U816" s="5" t="inlineStr">
        <is>
          <t>yes</t>
        </is>
      </c>
      <c r="V816" s="5" t="inlineStr">
        <is>
          <t>no</t>
        </is>
      </c>
      <c r="W816" s="5" t="inlineStr">
        <is>
          <t>yes</t>
        </is>
      </c>
      <c r="X816" s="5" t="inlineStr">
        <is>
          <t>no</t>
        </is>
      </c>
      <c r="Y816" s="5" t="inlineStr">
        <is>
          <t>no</t>
        </is>
      </c>
      <c r="Z816" s="5" t="inlineStr">
        <is>
          <t>no</t>
        </is>
      </c>
      <c r="AA816" s="5" t="n">
        <v>2.5</v>
      </c>
      <c r="AB816" s="5" t="n">
        <v>0.28</v>
      </c>
      <c r="AC816" s="5" t="n"/>
      <c r="AD816" s="5" t="n"/>
      <c r="AE816" s="5" t="n">
        <v>625.3</v>
      </c>
      <c r="AF816" s="5" t="n">
        <v>1467.7</v>
      </c>
      <c r="AG816" s="5" t="n">
        <v>761.5</v>
      </c>
      <c r="AH816" s="5" t="n">
        <v>1507.2</v>
      </c>
      <c r="AI816" s="5" t="inlineStr">
        <is>
          <t>n/a</t>
        </is>
      </c>
      <c r="AJ816" s="5" t="inlineStr"/>
      <c r="AK816" s="5" t="inlineStr"/>
      <c r="AL816" s="5" t="inlineStr"/>
      <c r="AM816" s="5" t="inlineStr"/>
    </row>
    <row r="817">
      <c r="A817" s="5" t="n">
        <v>816</v>
      </c>
      <c r="B817" s="5" t="inlineStr">
        <is>
          <t>130</t>
        </is>
      </c>
      <c r="C817" s="5" t="inlineStr">
        <is>
          <t>nearest labels (60% agree)</t>
        </is>
      </c>
      <c r="D817" s="5" t="inlineStr">
        <is>
          <t>footing</t>
        </is>
      </c>
      <c r="E817" s="5" t="inlineStr">
        <is>
          <t>combined_footing</t>
        </is>
      </c>
      <c r="F817" s="5" t="inlineStr">
        <is>
          <t>SC1</t>
        </is>
      </c>
      <c r="G817" s="5" t="inlineStr">
        <is>
          <t>SC1-</t>
        </is>
      </c>
      <c r="H817" s="5" t="inlineStr">
        <is>
          <t>printed</t>
        </is>
      </c>
      <c r="I817" s="5" t="n">
        <v>500</v>
      </c>
      <c r="J817" s="5" t="n">
        <v>350</v>
      </c>
      <c r="K817" s="9">
        <f>IF(AND(ISNUMBER(I817),ISNUMBER(J817),J817&gt;0),I817/J817,"")</f>
        <v/>
      </c>
      <c r="L817" s="5" t="n">
        <v>17.498</v>
      </c>
      <c r="M817" s="5" t="n"/>
      <c r="N817" s="5" t="n">
        <v>165.3</v>
      </c>
      <c r="O817" s="5" t="inlineStr">
        <is>
          <t>closed outline</t>
        </is>
      </c>
      <c r="P817" s="5" t="inlineStr">
        <is>
          <t>closed rectangular outline around a column/wall or next to an S/SC label</t>
        </is>
      </c>
      <c r="Q817" s="5">
        <f>IF(OR(D817="column",D817="wall"),IF(I817&lt;='P vs V'!$B$3*J817,"column","wall"),"")</f>
        <v/>
      </c>
      <c r="R817" s="5" t="inlineStr"/>
      <c r="S817" s="5" t="inlineStr">
        <is>
          <t>wall+wall</t>
        </is>
      </c>
      <c r="T817" s="5" t="n">
        <v>5</v>
      </c>
      <c r="U817" s="5" t="inlineStr">
        <is>
          <t>no</t>
        </is>
      </c>
      <c r="V817" s="5" t="inlineStr">
        <is>
          <t>no</t>
        </is>
      </c>
      <c r="W817" s="5" t="inlineStr">
        <is>
          <t>yes</t>
        </is>
      </c>
      <c r="X817" s="5" t="inlineStr">
        <is>
          <t>no</t>
        </is>
      </c>
      <c r="Y817" s="5" t="inlineStr">
        <is>
          <t>yes</t>
        </is>
      </c>
      <c r="Z817" s="5" t="inlineStr">
        <is>
          <t>yes</t>
        </is>
      </c>
      <c r="AA817" s="5" t="n">
        <v>0</v>
      </c>
      <c r="AB817" s="5" t="n"/>
      <c r="AC817" s="5" t="n"/>
      <c r="AD817" s="5" t="n"/>
      <c r="AE817" s="5" t="n">
        <v>964.2</v>
      </c>
      <c r="AF817" s="5" t="n">
        <v>1723.1</v>
      </c>
      <c r="AG817" s="5" t="n">
        <v>1133.2</v>
      </c>
      <c r="AH817" s="5" t="n">
        <v>1860.6</v>
      </c>
      <c r="AI817" s="5" t="inlineStr">
        <is>
          <t>yes</t>
        </is>
      </c>
      <c r="AJ817" s="5" t="inlineStr">
        <is>
          <t>combined_footing</t>
        </is>
      </c>
      <c r="AK817" s="5" t="inlineStr"/>
      <c r="AL817" s="5" t="inlineStr">
        <is>
          <t>(0.72, 0.72, 0.0)</t>
        </is>
      </c>
      <c r="AM817" s="5" t="inlineStr">
        <is>
          <t>DM-SEMELLES</t>
        </is>
      </c>
    </row>
    <row r="818">
      <c r="A818" s="5" t="n">
        <v>817</v>
      </c>
      <c r="B818" s="5" t="inlineStr">
        <is>
          <t>130</t>
        </is>
      </c>
      <c r="C818" s="5" t="inlineStr">
        <is>
          <t>nearest labels (40% agree)</t>
        </is>
      </c>
      <c r="D818" s="5" t="inlineStr">
        <is>
          <t>footing</t>
        </is>
      </c>
      <c r="E818" s="5" t="inlineStr">
        <is>
          <t>combined_footing</t>
        </is>
      </c>
      <c r="F818" s="5" t="inlineStr">
        <is>
          <t>SC2</t>
        </is>
      </c>
      <c r="G818" s="5" t="inlineStr">
        <is>
          <t>SC2-</t>
        </is>
      </c>
      <c r="H818" s="5" t="inlineStr">
        <is>
          <t>printed</t>
        </is>
      </c>
      <c r="I818" s="5" t="n">
        <v>350</v>
      </c>
      <c r="J818" s="5" t="n">
        <v>200</v>
      </c>
      <c r="K818" s="9">
        <f>IF(AND(ISNUMBER(I818),ISNUMBER(J818),J818&gt;0),I818/J818,"")</f>
        <v/>
      </c>
      <c r="L818" s="5" t="n">
        <v>6.997</v>
      </c>
      <c r="M818" s="5" t="n"/>
      <c r="N818" s="5" t="n">
        <v>165.3</v>
      </c>
      <c r="O818" s="5" t="inlineStr">
        <is>
          <t>closed outline</t>
        </is>
      </c>
      <c r="P818" s="5" t="inlineStr">
        <is>
          <t>closed rectangular outline around a column/wall or next to an S/SC label</t>
        </is>
      </c>
      <c r="Q818" s="5">
        <f>IF(OR(D818="column",D818="wall"),IF(I818&lt;='P vs V'!$B$3*J818,"column","wall"),"")</f>
        <v/>
      </c>
      <c r="R818" s="5" t="inlineStr"/>
      <c r="S818" s="5" t="inlineStr">
        <is>
          <t>wall+wall</t>
        </is>
      </c>
      <c r="T818" s="5" t="n">
        <v>5</v>
      </c>
      <c r="U818" s="5" t="inlineStr">
        <is>
          <t>no</t>
        </is>
      </c>
      <c r="V818" s="5" t="inlineStr">
        <is>
          <t>no</t>
        </is>
      </c>
      <c r="W818" s="5" t="inlineStr">
        <is>
          <t>yes</t>
        </is>
      </c>
      <c r="X818" s="5" t="inlineStr">
        <is>
          <t>no</t>
        </is>
      </c>
      <c r="Y818" s="5" t="inlineStr">
        <is>
          <t>yes</t>
        </is>
      </c>
      <c r="Z818" s="5" t="inlineStr">
        <is>
          <t>yes</t>
        </is>
      </c>
      <c r="AA818" s="5" t="n">
        <v>6.68</v>
      </c>
      <c r="AB818" s="5" t="n"/>
      <c r="AC818" s="5" t="n"/>
      <c r="AD818" s="5" t="n"/>
      <c r="AE818" s="5" t="n">
        <v>1217.9</v>
      </c>
      <c r="AF818" s="5" t="n">
        <v>1690.5</v>
      </c>
      <c r="AG818" s="5" t="n">
        <v>1332.9</v>
      </c>
      <c r="AH818" s="5" t="n">
        <v>1773.9</v>
      </c>
      <c r="AI818" s="5" t="inlineStr">
        <is>
          <t>yes</t>
        </is>
      </c>
      <c r="AJ818" s="5" t="inlineStr">
        <is>
          <t>combined_footing</t>
        </is>
      </c>
      <c r="AK818" s="5" t="inlineStr"/>
      <c r="AL818" s="5" t="inlineStr">
        <is>
          <t>(0.72, 0.72, 0.0)</t>
        </is>
      </c>
      <c r="AM818" s="5" t="inlineStr">
        <is>
          <t>DM-SEMELLES</t>
        </is>
      </c>
    </row>
    <row r="819">
      <c r="A819" s="5" t="n">
        <v>818</v>
      </c>
      <c r="B819" s="5" t="inlineStr">
        <is>
          <t>130</t>
        </is>
      </c>
      <c r="C819" s="5" t="inlineStr">
        <is>
          <t>own label</t>
        </is>
      </c>
      <c r="D819" s="5" t="inlineStr">
        <is>
          <t>footing</t>
        </is>
      </c>
      <c r="E819" s="5" t="inlineStr">
        <is>
          <t>combined_footing</t>
        </is>
      </c>
      <c r="F819" s="5" t="inlineStr">
        <is>
          <t>SC9</t>
        </is>
      </c>
      <c r="G819" s="5" t="inlineStr">
        <is>
          <t>SC9-130130</t>
        </is>
      </c>
      <c r="H819" s="5" t="inlineStr">
        <is>
          <t>printed</t>
        </is>
      </c>
      <c r="I819" s="5" t="n">
        <v>450</v>
      </c>
      <c r="J819" s="5" t="n">
        <v>300</v>
      </c>
      <c r="K819" s="9">
        <f>IF(AND(ISNUMBER(I819),ISNUMBER(J819),J819&gt;0),I819/J819,"")</f>
        <v/>
      </c>
      <c r="L819" s="5" t="n">
        <v>13.503</v>
      </c>
      <c r="M819" s="5" t="n"/>
      <c r="N819" s="5" t="n">
        <v>165.3</v>
      </c>
      <c r="O819" s="5" t="inlineStr">
        <is>
          <t>closed outline</t>
        </is>
      </c>
      <c r="P819" s="5" t="inlineStr">
        <is>
          <t>closed rectangular outline around a column/wall or next to an S/SC label</t>
        </is>
      </c>
      <c r="Q819" s="5">
        <f>IF(OR(D819="column",D819="wall"),IF(I819&lt;='P vs V'!$B$3*J819,"column","wall"),"")</f>
        <v/>
      </c>
      <c r="R819" s="5" t="inlineStr"/>
      <c r="S819" s="5" t="inlineStr">
        <is>
          <t>wall+wall</t>
        </is>
      </c>
      <c r="T819" s="5" t="n">
        <v>5</v>
      </c>
      <c r="U819" s="5" t="inlineStr">
        <is>
          <t>no</t>
        </is>
      </c>
      <c r="V819" s="5" t="inlineStr">
        <is>
          <t>no</t>
        </is>
      </c>
      <c r="W819" s="5" t="inlineStr">
        <is>
          <t>yes</t>
        </is>
      </c>
      <c r="X819" s="5" t="inlineStr">
        <is>
          <t>no</t>
        </is>
      </c>
      <c r="Y819" s="5" t="inlineStr">
        <is>
          <t>yes</t>
        </is>
      </c>
      <c r="Z819" s="5" t="inlineStr">
        <is>
          <t>no</t>
        </is>
      </c>
      <c r="AA819" s="5" t="n">
        <v>3.23</v>
      </c>
      <c r="AB819" s="5" t="n"/>
      <c r="AC819" s="5" t="n"/>
      <c r="AD819" s="5" t="n"/>
      <c r="AE819" s="5" t="n">
        <v>741.4</v>
      </c>
      <c r="AF819" s="5" t="n">
        <v>1793.2</v>
      </c>
      <c r="AG819" s="5" t="n">
        <v>892.4</v>
      </c>
      <c r="AH819" s="5" t="n">
        <v>1912.6</v>
      </c>
      <c r="AI819" s="5" t="inlineStr">
        <is>
          <t>yes</t>
        </is>
      </c>
      <c r="AJ819" s="5" t="inlineStr">
        <is>
          <t>combined_footing</t>
        </is>
      </c>
      <c r="AK819" s="5" t="inlineStr"/>
      <c r="AL819" s="5" t="inlineStr">
        <is>
          <t>(0.72, 0.72, 0.0)</t>
        </is>
      </c>
      <c r="AM819" s="5" t="inlineStr">
        <is>
          <t>DM-SEMELLES</t>
        </is>
      </c>
    </row>
    <row r="820">
      <c r="A820" s="5" t="n">
        <v>819</v>
      </c>
      <c r="B820" s="5" t="inlineStr">
        <is>
          <t>130</t>
        </is>
      </c>
      <c r="C820" s="5" t="inlineStr">
        <is>
          <t>own label</t>
        </is>
      </c>
      <c r="D820" s="5" t="inlineStr">
        <is>
          <t>footing</t>
        </is>
      </c>
      <c r="E820" s="5" t="inlineStr">
        <is>
          <t>isolated_footing</t>
        </is>
      </c>
      <c r="F820" s="5" t="inlineStr">
        <is>
          <t>S18</t>
        </is>
      </c>
      <c r="G820" s="5" t="inlineStr">
        <is>
          <t>S18-130130</t>
        </is>
      </c>
      <c r="H820" s="5" t="inlineStr">
        <is>
          <t>printed</t>
        </is>
      </c>
      <c r="I820" s="5" t="n">
        <v>500</v>
      </c>
      <c r="J820" s="5" t="n">
        <v>350</v>
      </c>
      <c r="K820" s="9">
        <f>IF(AND(ISNUMBER(I820),ISNUMBER(J820),J820&gt;0),I820/J820,"")</f>
        <v/>
      </c>
      <c r="L820" s="5" t="n">
        <v>17.505</v>
      </c>
      <c r="M820" s="5" t="n"/>
      <c r="N820" s="5" t="n">
        <v>165.3</v>
      </c>
      <c r="O820" s="5" t="inlineStr">
        <is>
          <t>closed outline</t>
        </is>
      </c>
      <c r="P820" s="5" t="inlineStr">
        <is>
          <t>closed rectangular outline around a column/wall or next to an S/SC label</t>
        </is>
      </c>
      <c r="Q820" s="5">
        <f>IF(OR(D820="column",D820="wall"),IF(I820&lt;='P vs V'!$B$3*J820,"column","wall"),"")</f>
        <v/>
      </c>
      <c r="R820" s="5" t="inlineStr"/>
      <c r="S820" s="5" t="inlineStr">
        <is>
          <t>wall</t>
        </is>
      </c>
      <c r="T820" s="5" t="n">
        <v>0</v>
      </c>
      <c r="U820" s="5" t="inlineStr">
        <is>
          <t>no</t>
        </is>
      </c>
      <c r="V820" s="5" t="inlineStr">
        <is>
          <t>no</t>
        </is>
      </c>
      <c r="W820" s="5" t="inlineStr">
        <is>
          <t>yes</t>
        </is>
      </c>
      <c r="X820" s="5" t="inlineStr">
        <is>
          <t>no</t>
        </is>
      </c>
      <c r="Y820" s="5" t="inlineStr">
        <is>
          <t>yes</t>
        </is>
      </c>
      <c r="Z820" s="5" t="inlineStr">
        <is>
          <t>yes</t>
        </is>
      </c>
      <c r="AA820" s="5" t="n">
        <v>0.01</v>
      </c>
      <c r="AB820" s="5" t="n"/>
      <c r="AC820" s="5" t="n"/>
      <c r="AD820" s="5" t="n"/>
      <c r="AE820" s="5" t="n">
        <v>896.5</v>
      </c>
      <c r="AF820" s="5" t="n">
        <v>1537.1</v>
      </c>
      <c r="AG820" s="5" t="n">
        <v>1065.6</v>
      </c>
      <c r="AH820" s="5" t="n">
        <v>1674.6</v>
      </c>
      <c r="AI820" s="5" t="inlineStr">
        <is>
          <t>yes</t>
        </is>
      </c>
      <c r="AJ820" s="5" t="inlineStr">
        <is>
          <t>isolated_footing</t>
        </is>
      </c>
      <c r="AK820" s="5" t="inlineStr"/>
      <c r="AL820" s="5" t="inlineStr">
        <is>
          <t>(0.72, 0.72, 0.0)</t>
        </is>
      </c>
      <c r="AM820" s="5" t="inlineStr">
        <is>
          <t>DM-SEMELLES</t>
        </is>
      </c>
    </row>
    <row r="821">
      <c r="A821" s="5" t="n">
        <v>820</v>
      </c>
      <c r="B821" s="5" t="inlineStr">
        <is>
          <t>130</t>
        </is>
      </c>
      <c r="C821" s="5" t="inlineStr">
        <is>
          <t>own label</t>
        </is>
      </c>
      <c r="D821" s="5" t="inlineStr">
        <is>
          <t>footing</t>
        </is>
      </c>
      <c r="E821" s="5" t="inlineStr">
        <is>
          <t>isolated_footing</t>
        </is>
      </c>
      <c r="F821" s="5" t="inlineStr">
        <is>
          <t>S18</t>
        </is>
      </c>
      <c r="G821" s="5" t="inlineStr">
        <is>
          <t>S18-130130</t>
        </is>
      </c>
      <c r="H821" s="5" t="inlineStr">
        <is>
          <t>printed</t>
        </is>
      </c>
      <c r="I821" s="5" t="n">
        <v>500</v>
      </c>
      <c r="J821" s="5" t="n">
        <v>350</v>
      </c>
      <c r="K821" s="9">
        <f>IF(AND(ISNUMBER(I821),ISNUMBER(J821),J821&gt;0),I821/J821,"")</f>
        <v/>
      </c>
      <c r="L821" s="5" t="n">
        <v>17.505</v>
      </c>
      <c r="M821" s="5" t="n"/>
      <c r="N821" s="5" t="n">
        <v>75.3</v>
      </c>
      <c r="O821" s="5" t="inlineStr">
        <is>
          <t>closed outline</t>
        </is>
      </c>
      <c r="P821" s="5" t="inlineStr">
        <is>
          <t>closed rectangular outline around a column/wall or next to an S/SC label</t>
        </is>
      </c>
      <c r="Q821" s="5">
        <f>IF(OR(D821="column",D821="wall"),IF(I821&lt;='P vs V'!$B$3*J821,"column","wall"),"")</f>
        <v/>
      </c>
      <c r="R821" s="5" t="inlineStr"/>
      <c r="S821" s="5" t="inlineStr">
        <is>
          <t>wall+wall</t>
        </is>
      </c>
      <c r="T821" s="5" t="n">
        <v>70</v>
      </c>
      <c r="U821" s="5" t="inlineStr">
        <is>
          <t>no</t>
        </is>
      </c>
      <c r="V821" s="5" t="inlineStr">
        <is>
          <t>no</t>
        </is>
      </c>
      <c r="W821" s="5" t="inlineStr">
        <is>
          <t>yes</t>
        </is>
      </c>
      <c r="X821" s="5" t="inlineStr">
        <is>
          <t>no</t>
        </is>
      </c>
      <c r="Y821" s="5" t="inlineStr">
        <is>
          <t>yes</t>
        </is>
      </c>
      <c r="Z821" s="5" t="inlineStr">
        <is>
          <t>no</t>
        </is>
      </c>
      <c r="AA821" s="5" t="n">
        <v>1.62</v>
      </c>
      <c r="AB821" s="5" t="n"/>
      <c r="AC821" s="5" t="n"/>
      <c r="AD821" s="5" t="n"/>
      <c r="AE821" s="5" t="n">
        <v>716.9</v>
      </c>
      <c r="AF821" s="5" t="n">
        <v>1621.5</v>
      </c>
      <c r="AG821" s="5" t="n">
        <v>854.4</v>
      </c>
      <c r="AH821" s="5" t="n">
        <v>1790.7</v>
      </c>
      <c r="AI821" s="5" t="inlineStr">
        <is>
          <t>yes</t>
        </is>
      </c>
      <c r="AJ821" s="5" t="inlineStr">
        <is>
          <t>isolated_footing</t>
        </is>
      </c>
      <c r="AK821" s="5" t="inlineStr"/>
      <c r="AL821" s="5" t="inlineStr">
        <is>
          <t>(0.72, 0.72, 0.0)</t>
        </is>
      </c>
      <c r="AM821" s="5" t="inlineStr">
        <is>
          <t>DM-SEMELLES</t>
        </is>
      </c>
    </row>
    <row r="822">
      <c r="A822" s="5" t="n">
        <v>821</v>
      </c>
      <c r="B822" s="5" t="inlineStr">
        <is>
          <t>130</t>
        </is>
      </c>
      <c r="C822" s="5" t="inlineStr">
        <is>
          <t>own label</t>
        </is>
      </c>
      <c r="D822" s="5" t="inlineStr">
        <is>
          <t>footing</t>
        </is>
      </c>
      <c r="E822" s="5" t="inlineStr">
        <is>
          <t>isolated_footing</t>
        </is>
      </c>
      <c r="F822" s="5" t="inlineStr">
        <is>
          <t>S2</t>
        </is>
      </c>
      <c r="G822" s="5" t="inlineStr">
        <is>
          <t>S2-130130</t>
        </is>
      </c>
      <c r="H822" s="5" t="inlineStr">
        <is>
          <t>printed</t>
        </is>
      </c>
      <c r="I822" s="5" t="n">
        <v>350</v>
      </c>
      <c r="J822" s="5" t="n">
        <v>200</v>
      </c>
      <c r="K822" s="9">
        <f>IF(AND(ISNUMBER(I822),ISNUMBER(J822),J822&gt;0),I822/J822,"")</f>
        <v/>
      </c>
      <c r="L822" s="5" t="n">
        <v>7.004</v>
      </c>
      <c r="M822" s="5" t="n"/>
      <c r="N822" s="5" t="n">
        <v>2.8</v>
      </c>
      <c r="O822" s="5" t="inlineStr">
        <is>
          <t>closed outline</t>
        </is>
      </c>
      <c r="P822" s="5" t="inlineStr">
        <is>
          <t>closed rectangular outline around a column/wall or next to an S/SC label</t>
        </is>
      </c>
      <c r="Q822" s="5">
        <f>IF(OR(D822="column",D822="wall"),IF(I822&lt;='P vs V'!$B$3*J822,"column","wall"),"")</f>
        <v/>
      </c>
      <c r="R822" s="5" t="inlineStr"/>
      <c r="S822" s="5" t="inlineStr">
        <is>
          <t>wall</t>
        </is>
      </c>
      <c r="T822" s="5" t="n">
        <v>0</v>
      </c>
      <c r="U822" s="5" t="inlineStr">
        <is>
          <t>no</t>
        </is>
      </c>
      <c r="V822" s="5" t="inlineStr">
        <is>
          <t>no</t>
        </is>
      </c>
      <c r="W822" s="5" t="inlineStr">
        <is>
          <t>yes</t>
        </is>
      </c>
      <c r="X822" s="5" t="inlineStr">
        <is>
          <t>no</t>
        </is>
      </c>
      <c r="Y822" s="5" t="inlineStr">
        <is>
          <t>yes</t>
        </is>
      </c>
      <c r="Z822" s="5" t="inlineStr">
        <is>
          <t>no</t>
        </is>
      </c>
      <c r="AA822" s="5" t="n">
        <v>3.41</v>
      </c>
      <c r="AB822" s="5" t="n"/>
      <c r="AC822" s="5" t="n"/>
      <c r="AD822" s="5" t="n"/>
      <c r="AE822" s="5" t="n">
        <v>598.4</v>
      </c>
      <c r="AF822" s="5" t="n">
        <v>1187.9</v>
      </c>
      <c r="AG822" s="5" t="n">
        <v>704.6</v>
      </c>
      <c r="AH822" s="5" t="n">
        <v>1251.9</v>
      </c>
      <c r="AI822" s="5" t="inlineStr">
        <is>
          <t>yes</t>
        </is>
      </c>
      <c r="AJ822" s="5" t="inlineStr">
        <is>
          <t>isolated_footing</t>
        </is>
      </c>
      <c r="AK822" s="5" t="inlineStr"/>
      <c r="AL822" s="5" t="inlineStr">
        <is>
          <t>(0.72, 0.72, 0.0)</t>
        </is>
      </c>
      <c r="AM822" s="5" t="inlineStr">
        <is>
          <t>DM-SEMELLES</t>
        </is>
      </c>
    </row>
    <row r="823">
      <c r="A823" s="5" t="n">
        <v>822</v>
      </c>
      <c r="B823" s="5" t="inlineStr">
        <is>
          <t>130</t>
        </is>
      </c>
      <c r="C823" s="5" t="inlineStr">
        <is>
          <t>own label</t>
        </is>
      </c>
      <c r="D823" s="5" t="inlineStr">
        <is>
          <t>footing</t>
        </is>
      </c>
      <c r="E823" s="5" t="inlineStr">
        <is>
          <t>isolated_footing</t>
        </is>
      </c>
      <c r="F823" s="5" t="inlineStr">
        <is>
          <t>S2</t>
        </is>
      </c>
      <c r="G823" s="5" t="inlineStr">
        <is>
          <t>S2-130130</t>
        </is>
      </c>
      <c r="H823" s="5" t="inlineStr">
        <is>
          <t>printed</t>
        </is>
      </c>
      <c r="I823" s="5" t="n">
        <v>350</v>
      </c>
      <c r="J823" s="5" t="n">
        <v>200</v>
      </c>
      <c r="K823" s="9">
        <f>IF(AND(ISNUMBER(I823),ISNUMBER(J823),J823&gt;0),I823/J823,"")</f>
        <v/>
      </c>
      <c r="L823" s="5" t="n">
        <v>6.997</v>
      </c>
      <c r="M823" s="5" t="n"/>
      <c r="N823" s="5" t="n">
        <v>165.3</v>
      </c>
      <c r="O823" s="5" t="inlineStr">
        <is>
          <t>closed outline</t>
        </is>
      </c>
      <c r="P823" s="5" t="inlineStr">
        <is>
          <t>closed rectangular outline around a column/wall or next to an S/SC label</t>
        </is>
      </c>
      <c r="Q823" s="5">
        <f>IF(OR(D823="column",D823="wall"),IF(I823&lt;='P vs V'!$B$3*J823,"column","wall"),"")</f>
        <v/>
      </c>
      <c r="R823" s="5" t="inlineStr"/>
      <c r="S823" s="5" t="inlineStr">
        <is>
          <t>wall</t>
        </is>
      </c>
      <c r="T823" s="5" t="n">
        <v>0</v>
      </c>
      <c r="U823" s="5" t="inlineStr">
        <is>
          <t>no</t>
        </is>
      </c>
      <c r="V823" s="5" t="inlineStr">
        <is>
          <t>no</t>
        </is>
      </c>
      <c r="W823" s="5" t="inlineStr">
        <is>
          <t>yes</t>
        </is>
      </c>
      <c r="X823" s="5" t="inlineStr">
        <is>
          <t>no</t>
        </is>
      </c>
      <c r="Y823" s="5" t="inlineStr">
        <is>
          <t>yes</t>
        </is>
      </c>
      <c r="Z823" s="5" t="inlineStr">
        <is>
          <t>yes</t>
        </is>
      </c>
      <c r="AA823" s="5" t="n">
        <v>0.86</v>
      </c>
      <c r="AB823" s="5" t="n"/>
      <c r="AC823" s="5" t="n"/>
      <c r="AD823" s="5" t="n"/>
      <c r="AE823" s="5" t="n">
        <v>1160.9</v>
      </c>
      <c r="AF823" s="5" t="n">
        <v>1475.1</v>
      </c>
      <c r="AG823" s="5" t="n">
        <v>1275.9</v>
      </c>
      <c r="AH823" s="5" t="n">
        <v>1558.5</v>
      </c>
      <c r="AI823" s="5" t="inlineStr">
        <is>
          <t>yes</t>
        </is>
      </c>
      <c r="AJ823" s="5" t="inlineStr">
        <is>
          <t>isolated_footing</t>
        </is>
      </c>
      <c r="AK823" s="5" t="inlineStr"/>
      <c r="AL823" s="5" t="inlineStr">
        <is>
          <t>(0.72, 0.72, 0.0)</t>
        </is>
      </c>
      <c r="AM823" s="5" t="inlineStr">
        <is>
          <t>DM-SEMELLES</t>
        </is>
      </c>
    </row>
    <row r="824">
      <c r="A824" s="5" t="n">
        <v>823</v>
      </c>
      <c r="B824" s="5" t="inlineStr">
        <is>
          <t>130</t>
        </is>
      </c>
      <c r="C824" s="5" t="inlineStr">
        <is>
          <t>own label</t>
        </is>
      </c>
      <c r="D824" s="5" t="inlineStr">
        <is>
          <t>footing</t>
        </is>
      </c>
      <c r="E824" s="5" t="inlineStr">
        <is>
          <t>isolated_footing</t>
        </is>
      </c>
      <c r="F824" s="5" t="inlineStr">
        <is>
          <t>S20</t>
        </is>
      </c>
      <c r="G824" s="5" t="inlineStr">
        <is>
          <t>S20-130</t>
        </is>
      </c>
      <c r="H824" s="5" t="inlineStr">
        <is>
          <t>printed</t>
        </is>
      </c>
      <c r="I824" s="5" t="n">
        <v>150</v>
      </c>
      <c r="J824" s="5" t="n">
        <v>150</v>
      </c>
      <c r="K824" s="9">
        <f>IF(AND(ISNUMBER(I824),ISNUMBER(J824),J824&gt;0),I824/J824,"")</f>
        <v/>
      </c>
      <c r="L824" s="5" t="n">
        <v>2.252</v>
      </c>
      <c r="M824" s="5" t="n"/>
      <c r="N824" s="5" t="n">
        <v>75.2</v>
      </c>
      <c r="O824" s="5" t="inlineStr">
        <is>
          <t>closed outline</t>
        </is>
      </c>
      <c r="P824" s="5" t="inlineStr">
        <is>
          <t>closed rectangular outline around a column/wall or next to an S/SC label</t>
        </is>
      </c>
      <c r="Q824" s="5">
        <f>IF(OR(D824="column",D824="wall"),IF(I824&lt;='P vs V'!$B$3*J824,"column","wall"),"")</f>
        <v/>
      </c>
      <c r="R824" s="5" t="inlineStr"/>
      <c r="S824" s="5" t="inlineStr">
        <is>
          <t>column</t>
        </is>
      </c>
      <c r="T824" s="5" t="n">
        <v>0</v>
      </c>
      <c r="U824" s="5" t="inlineStr">
        <is>
          <t>no</t>
        </is>
      </c>
      <c r="V824" s="5" t="inlineStr">
        <is>
          <t>no</t>
        </is>
      </c>
      <c r="W824" s="5" t="inlineStr">
        <is>
          <t>yes</t>
        </is>
      </c>
      <c r="X824" s="5" t="inlineStr">
        <is>
          <t>no</t>
        </is>
      </c>
      <c r="Y824" s="5" t="inlineStr">
        <is>
          <t>yes</t>
        </is>
      </c>
      <c r="Z824" s="5" t="inlineStr">
        <is>
          <t>no</t>
        </is>
      </c>
      <c r="AA824" s="5" t="n">
        <v>1.54</v>
      </c>
      <c r="AB824" s="5" t="n"/>
      <c r="AC824" s="5" t="n"/>
      <c r="AD824" s="5" t="n"/>
      <c r="AE824" s="5" t="n">
        <v>590.6</v>
      </c>
      <c r="AF824" s="5" t="n">
        <v>1282.5</v>
      </c>
      <c r="AG824" s="5" t="n">
        <v>644.7</v>
      </c>
      <c r="AH824" s="5" t="n">
        <v>1336.6</v>
      </c>
      <c r="AI824" s="5" t="inlineStr">
        <is>
          <t>yes</t>
        </is>
      </c>
      <c r="AJ824" s="5" t="inlineStr">
        <is>
          <t>isolated_footing</t>
        </is>
      </c>
      <c r="AK824" s="5" t="inlineStr"/>
      <c r="AL824" s="5" t="inlineStr">
        <is>
          <t>(0.72, 0.72, 0.0)</t>
        </is>
      </c>
      <c r="AM824" s="5" t="inlineStr">
        <is>
          <t>DM-SEMELLES</t>
        </is>
      </c>
    </row>
    <row r="825">
      <c r="A825" s="5" t="n">
        <v>824</v>
      </c>
      <c r="B825" s="5" t="inlineStr">
        <is>
          <t>130</t>
        </is>
      </c>
      <c r="C825" s="5" t="inlineStr">
        <is>
          <t>own label</t>
        </is>
      </c>
      <c r="D825" s="5" t="inlineStr">
        <is>
          <t>footing</t>
        </is>
      </c>
      <c r="E825" s="5" t="inlineStr">
        <is>
          <t>isolated_footing</t>
        </is>
      </c>
      <c r="F825" s="5" t="inlineStr">
        <is>
          <t>S20</t>
        </is>
      </c>
      <c r="G825" s="5" t="inlineStr">
        <is>
          <t>S20-130</t>
        </is>
      </c>
      <c r="H825" s="5" t="inlineStr">
        <is>
          <t>printed</t>
        </is>
      </c>
      <c r="I825" s="5" t="n">
        <v>150</v>
      </c>
      <c r="J825" s="5" t="n">
        <v>150</v>
      </c>
      <c r="K825" s="9">
        <f>IF(AND(ISNUMBER(I825),ISNUMBER(J825),J825&gt;0),I825/J825,"")</f>
        <v/>
      </c>
      <c r="L825" s="5" t="n">
        <v>2.25</v>
      </c>
      <c r="M825" s="5" t="n"/>
      <c r="N825" s="5" t="n">
        <v>165.3</v>
      </c>
      <c r="O825" s="5" t="inlineStr">
        <is>
          <t>closed outline</t>
        </is>
      </c>
      <c r="P825" s="5" t="inlineStr">
        <is>
          <t>closed rectangular outline around a column/wall or next to an S/SC label</t>
        </is>
      </c>
      <c r="Q825" s="5">
        <f>IF(OR(D825="column",D825="wall"),IF(I825&lt;='P vs V'!$B$3*J825,"column","wall"),"")</f>
        <v/>
      </c>
      <c r="R825" s="5" t="inlineStr"/>
      <c r="S825" s="5" t="inlineStr">
        <is>
          <t>column</t>
        </is>
      </c>
      <c r="T825" s="5" t="n">
        <v>0</v>
      </c>
      <c r="U825" s="5" t="inlineStr">
        <is>
          <t>no</t>
        </is>
      </c>
      <c r="V825" s="5" t="inlineStr">
        <is>
          <t>no</t>
        </is>
      </c>
      <c r="W825" s="5" t="inlineStr">
        <is>
          <t>yes</t>
        </is>
      </c>
      <c r="X825" s="5" t="inlineStr">
        <is>
          <t>no</t>
        </is>
      </c>
      <c r="Y825" s="5" t="inlineStr">
        <is>
          <t>yes</t>
        </is>
      </c>
      <c r="Z825" s="5" t="inlineStr">
        <is>
          <t>yes</t>
        </is>
      </c>
      <c r="AA825" s="5" t="n">
        <v>2.03</v>
      </c>
      <c r="AB825" s="5" t="n"/>
      <c r="AC825" s="5" t="n"/>
      <c r="AD825" s="5" t="n"/>
      <c r="AE825" s="5" t="n">
        <v>688.9</v>
      </c>
      <c r="AF825" s="5" t="n">
        <v>1256.6</v>
      </c>
      <c r="AG825" s="5" t="n">
        <v>743.1</v>
      </c>
      <c r="AH825" s="5" t="n">
        <v>1310.7</v>
      </c>
      <c r="AI825" s="5" t="inlineStr">
        <is>
          <t>yes</t>
        </is>
      </c>
      <c r="AJ825" s="5" t="inlineStr">
        <is>
          <t>isolated_footing</t>
        </is>
      </c>
      <c r="AK825" s="5" t="inlineStr"/>
      <c r="AL825" s="5" t="inlineStr">
        <is>
          <t>(0.72, 0.72, 0.0)</t>
        </is>
      </c>
      <c r="AM825" s="5" t="inlineStr">
        <is>
          <t>DM-SEMELLES</t>
        </is>
      </c>
    </row>
    <row r="826">
      <c r="A826" s="5" t="n">
        <v>825</v>
      </c>
      <c r="B826" s="5" t="inlineStr">
        <is>
          <t>130</t>
        </is>
      </c>
      <c r="C826" s="5" t="inlineStr">
        <is>
          <t>own label</t>
        </is>
      </c>
      <c r="D826" s="5" t="inlineStr">
        <is>
          <t>footing</t>
        </is>
      </c>
      <c r="E826" s="5" t="inlineStr">
        <is>
          <t>isolated_footing</t>
        </is>
      </c>
      <c r="F826" s="5" t="inlineStr">
        <is>
          <t>S4</t>
        </is>
      </c>
      <c r="G826" s="5" t="inlineStr">
        <is>
          <t>S4-130130</t>
        </is>
      </c>
      <c r="H826" s="5" t="inlineStr">
        <is>
          <t>printed</t>
        </is>
      </c>
      <c r="I826" s="5" t="n">
        <v>400</v>
      </c>
      <c r="J826" s="5" t="n">
        <v>300</v>
      </c>
      <c r="K826" s="9">
        <f>IF(AND(ISNUMBER(I826),ISNUMBER(J826),J826&gt;0),I826/J826,"")</f>
        <v/>
      </c>
      <c r="L826" s="5" t="n">
        <v>11.998</v>
      </c>
      <c r="M826" s="5" t="n"/>
      <c r="N826" s="5" t="n">
        <v>3</v>
      </c>
      <c r="O826" s="5" t="inlineStr">
        <is>
          <t>closed outline</t>
        </is>
      </c>
      <c r="P826" s="5" t="inlineStr">
        <is>
          <t>closed rectangular outline around a column/wall or next to an S/SC label</t>
        </is>
      </c>
      <c r="Q826" s="5">
        <f>IF(OR(D826="column",D826="wall"),IF(I826&lt;='P vs V'!$B$3*J826,"column","wall"),"")</f>
        <v/>
      </c>
      <c r="R826" s="5" t="inlineStr"/>
      <c r="S826" s="5" t="inlineStr">
        <is>
          <t>wall</t>
        </is>
      </c>
      <c r="T826" s="5" t="n">
        <v>0</v>
      </c>
      <c r="U826" s="5" t="inlineStr">
        <is>
          <t>no</t>
        </is>
      </c>
      <c r="V826" s="5" t="inlineStr">
        <is>
          <t>no</t>
        </is>
      </c>
      <c r="W826" s="5" t="inlineStr">
        <is>
          <t>yes</t>
        </is>
      </c>
      <c r="X826" s="5" t="inlineStr">
        <is>
          <t>no</t>
        </is>
      </c>
      <c r="Y826" s="5" t="inlineStr">
        <is>
          <t>yes</t>
        </is>
      </c>
      <c r="Z826" s="5" t="inlineStr">
        <is>
          <t>no</t>
        </is>
      </c>
      <c r="AA826" s="5" t="n">
        <v>0.03</v>
      </c>
      <c r="AB826" s="5" t="n"/>
      <c r="AC826" s="5" t="n"/>
      <c r="AD826" s="5" t="n"/>
      <c r="AE826" s="5" t="n">
        <v>839.6</v>
      </c>
      <c r="AF826" s="5" t="n">
        <v>1185</v>
      </c>
      <c r="AG826" s="5" t="n">
        <v>962.2</v>
      </c>
      <c r="AH826" s="5" t="n">
        <v>1279.7</v>
      </c>
      <c r="AI826" s="5" t="inlineStr">
        <is>
          <t>yes</t>
        </is>
      </c>
      <c r="AJ826" s="5" t="inlineStr">
        <is>
          <t>isolated_footing</t>
        </is>
      </c>
      <c r="AK826" s="5" t="inlineStr"/>
      <c r="AL826" s="5" t="inlineStr">
        <is>
          <t>(0.72, 0.72, 0.0)</t>
        </is>
      </c>
      <c r="AM826" s="5" t="inlineStr">
        <is>
          <t>DM-SEMELLES</t>
        </is>
      </c>
    </row>
    <row r="827">
      <c r="A827" s="5" t="n">
        <v>826</v>
      </c>
      <c r="B827" s="5" t="inlineStr">
        <is>
          <t>130</t>
        </is>
      </c>
      <c r="C827" s="5" t="inlineStr">
        <is>
          <t>nearest labels (100% agree)</t>
        </is>
      </c>
      <c r="D827" s="5" t="inlineStr">
        <is>
          <t>grade_beam</t>
        </is>
      </c>
      <c r="E827" s="5" t="inlineStr">
        <is>
          <t>grade_beam</t>
        </is>
      </c>
      <c r="F827" s="5" t="inlineStr">
        <is>
          <t>LG25x40</t>
        </is>
      </c>
      <c r="G827" s="5" t="inlineStr"/>
      <c r="H827" s="5" t="inlineStr">
        <is>
          <t>band width matches label</t>
        </is>
      </c>
      <c r="I827" s="5" t="n">
        <v>1123</v>
      </c>
      <c r="J827" s="5" t="n">
        <v>25</v>
      </c>
      <c r="K827" s="9">
        <f>IF(AND(ISNUMBER(I827),ISNUMBER(J827),J827&gt;0),I827/J827,"")</f>
        <v/>
      </c>
      <c r="L827" s="5" t="n">
        <v>2.808</v>
      </c>
      <c r="M827" s="5" t="n">
        <v>11.23</v>
      </c>
      <c r="N827" s="5" t="n">
        <v>5.7</v>
      </c>
      <c r="O827" s="5" t="inlineStr">
        <is>
          <t>parallel line pair</t>
        </is>
      </c>
      <c r="P827" s="5" t="inlineStr">
        <is>
          <t>two parallel lines at the width written in the LG label, empty inside</t>
        </is>
      </c>
      <c r="Q827" s="5">
        <f>IF(OR(D827="column",D827="wall"),IF(I827&lt;='P vs V'!$B$3*J827,"column","wall"),"")</f>
        <v/>
      </c>
      <c r="R827" s="5" t="inlineStr"/>
      <c r="S827" s="5" t="inlineStr"/>
      <c r="T827" s="5" t="n"/>
      <c r="U827" s="5" t="inlineStr">
        <is>
          <t>no</t>
        </is>
      </c>
      <c r="V827" s="5" t="inlineStr">
        <is>
          <t>no</t>
        </is>
      </c>
      <c r="W827" s="5" t="inlineStr">
        <is>
          <t>yes</t>
        </is>
      </c>
      <c r="X827" s="5" t="inlineStr">
        <is>
          <t>yes</t>
        </is>
      </c>
      <c r="Y827" s="5" t="inlineStr">
        <is>
          <t>no</t>
        </is>
      </c>
      <c r="Z827" s="5" t="inlineStr">
        <is>
          <t>yes</t>
        </is>
      </c>
      <c r="AA827" s="5" t="n">
        <v>7.44</v>
      </c>
      <c r="AB827" s="5" t="n"/>
      <c r="AC827" s="5" t="n"/>
      <c r="AD827" s="5" t="n"/>
      <c r="AE827" s="5" t="n">
        <v>922.9</v>
      </c>
      <c r="AF827" s="5" t="n">
        <v>1057.2</v>
      </c>
      <c r="AG827" s="5" t="n">
        <v>1253.6</v>
      </c>
      <c r="AH827" s="5" t="n">
        <v>1097.4</v>
      </c>
      <c r="AI827" s="5" t="inlineStr">
        <is>
          <t>n/a</t>
        </is>
      </c>
      <c r="AJ827" s="5" t="inlineStr"/>
      <c r="AK827" s="5" t="inlineStr"/>
      <c r="AL827" s="5" t="inlineStr"/>
      <c r="AM827" s="5" t="inlineStr"/>
    </row>
    <row r="828">
      <c r="A828" s="5" t="n">
        <v>827</v>
      </c>
      <c r="B828" s="5" t="inlineStr">
        <is>
          <t>130</t>
        </is>
      </c>
      <c r="C828" s="5" t="inlineStr">
        <is>
          <t>nearest labels (100% agree)</t>
        </is>
      </c>
      <c r="D828" s="5" t="inlineStr">
        <is>
          <t>grade_beam</t>
        </is>
      </c>
      <c r="E828" s="5" t="inlineStr">
        <is>
          <t>grade_beam</t>
        </is>
      </c>
      <c r="F828" s="5" t="inlineStr">
        <is>
          <t>LG25x40</t>
        </is>
      </c>
      <c r="G828" s="5" t="inlineStr"/>
      <c r="H828" s="5" t="inlineStr">
        <is>
          <t>band width matches label</t>
        </is>
      </c>
      <c r="I828" s="5" t="n">
        <v>240</v>
      </c>
      <c r="J828" s="5" t="n">
        <v>25</v>
      </c>
      <c r="K828" s="9">
        <f>IF(AND(ISNUMBER(I828),ISNUMBER(J828),J828&gt;0),I828/J828,"")</f>
        <v/>
      </c>
      <c r="L828" s="5" t="n">
        <v>0.6</v>
      </c>
      <c r="M828" s="5" t="n">
        <v>2.4</v>
      </c>
      <c r="N828" s="5" t="n">
        <v>5.7</v>
      </c>
      <c r="O828" s="5" t="inlineStr">
        <is>
          <t>parallel line pair</t>
        </is>
      </c>
      <c r="P828" s="5" t="inlineStr">
        <is>
          <t>two parallel lines at the width written in the LG label, empty inside</t>
        </is>
      </c>
      <c r="Q828" s="5">
        <f>IF(OR(D828="column",D828="wall"),IF(I828&lt;='P vs V'!$B$3*J828,"column","wall"),"")</f>
        <v/>
      </c>
      <c r="R828" s="5" t="inlineStr"/>
      <c r="S828" s="5" t="inlineStr"/>
      <c r="T828" s="5" t="n"/>
      <c r="U828" s="5" t="inlineStr">
        <is>
          <t>no</t>
        </is>
      </c>
      <c r="V828" s="5" t="inlineStr">
        <is>
          <t>no</t>
        </is>
      </c>
      <c r="W828" s="5" t="inlineStr">
        <is>
          <t>yes</t>
        </is>
      </c>
      <c r="X828" s="5" t="inlineStr">
        <is>
          <t>no</t>
        </is>
      </c>
      <c r="Y828" s="5" t="inlineStr">
        <is>
          <t>no</t>
        </is>
      </c>
      <c r="Z828" s="5" t="inlineStr">
        <is>
          <t>yes</t>
        </is>
      </c>
      <c r="AA828" s="5" t="n">
        <v>2.79</v>
      </c>
      <c r="AB828" s="5" t="n"/>
      <c r="AC828" s="5" t="n"/>
      <c r="AD828" s="5" t="n"/>
      <c r="AE828" s="5" t="n">
        <v>924</v>
      </c>
      <c r="AF828" s="5" t="n">
        <v>1121.1</v>
      </c>
      <c r="AG828" s="5" t="n">
        <v>995.2</v>
      </c>
      <c r="AH828" s="5" t="n">
        <v>1135.5</v>
      </c>
      <c r="AI828" s="5" t="inlineStr">
        <is>
          <t>n/a</t>
        </is>
      </c>
      <c r="AJ828" s="5" t="inlineStr"/>
      <c r="AK828" s="5" t="inlineStr"/>
      <c r="AL828" s="5" t="inlineStr"/>
      <c r="AM828" s="5" t="inlineStr"/>
    </row>
    <row r="829">
      <c r="A829" s="5" t="n">
        <v>828</v>
      </c>
      <c r="B829" s="5" t="inlineStr">
        <is>
          <t>130</t>
        </is>
      </c>
      <c r="C829" s="5" t="inlineStr">
        <is>
          <t>nearest labels (100% agree)</t>
        </is>
      </c>
      <c r="D829" s="5" t="inlineStr">
        <is>
          <t>grade_beam</t>
        </is>
      </c>
      <c r="E829" s="5" t="inlineStr">
        <is>
          <t>grade_beam</t>
        </is>
      </c>
      <c r="F829" s="5" t="inlineStr">
        <is>
          <t>LG25x40</t>
        </is>
      </c>
      <c r="G829" s="5" t="inlineStr"/>
      <c r="H829" s="5" t="inlineStr">
        <is>
          <t>band width matches label</t>
        </is>
      </c>
      <c r="I829" s="5" t="n">
        <v>170</v>
      </c>
      <c r="J829" s="5" t="n">
        <v>25</v>
      </c>
      <c r="K829" s="9">
        <f>IF(AND(ISNUMBER(I829),ISNUMBER(J829),J829&gt;0),I829/J829,"")</f>
        <v/>
      </c>
      <c r="L829" s="5" t="n">
        <v>0.425</v>
      </c>
      <c r="M829" s="5" t="n">
        <v>1.7</v>
      </c>
      <c r="N829" s="5" t="n">
        <v>95.7</v>
      </c>
      <c r="O829" s="5" t="inlineStr">
        <is>
          <t>parallel line pair</t>
        </is>
      </c>
      <c r="P829" s="5" t="inlineStr">
        <is>
          <t>two parallel lines at the width written in the LG label, empty inside</t>
        </is>
      </c>
      <c r="Q829" s="5">
        <f>IF(OR(D829="column",D829="wall"),IF(I829&lt;='P vs V'!$B$3*J829,"column","wall"),"")</f>
        <v/>
      </c>
      <c r="R829" s="5" t="inlineStr"/>
      <c r="S829" s="5" t="inlineStr"/>
      <c r="T829" s="5" t="n"/>
      <c r="U829" s="5" t="inlineStr">
        <is>
          <t>no</t>
        </is>
      </c>
      <c r="V829" s="5" t="inlineStr">
        <is>
          <t>no</t>
        </is>
      </c>
      <c r="W829" s="5" t="inlineStr">
        <is>
          <t>yes</t>
        </is>
      </c>
      <c r="X829" s="5" t="inlineStr">
        <is>
          <t>no</t>
        </is>
      </c>
      <c r="Y829" s="5" t="inlineStr">
        <is>
          <t>no</t>
        </is>
      </c>
      <c r="Z829" s="5" t="inlineStr">
        <is>
          <t>yes</t>
        </is>
      </c>
      <c r="AA829" s="5" t="n">
        <v>1.89</v>
      </c>
      <c r="AB829" s="5" t="n"/>
      <c r="AC829" s="5" t="n"/>
      <c r="AD829" s="5" t="n"/>
      <c r="AE829" s="5" t="n">
        <v>917.3</v>
      </c>
      <c r="AF829" s="5" t="n">
        <v>1070.5</v>
      </c>
      <c r="AG829" s="5" t="n">
        <v>929.7</v>
      </c>
      <c r="AH829" s="5" t="n">
        <v>1121.1</v>
      </c>
      <c r="AI829" s="5" t="inlineStr">
        <is>
          <t>n/a</t>
        </is>
      </c>
      <c r="AJ829" s="5" t="inlineStr"/>
      <c r="AK829" s="5" t="inlineStr"/>
      <c r="AL829" s="5" t="inlineStr"/>
      <c r="AM829" s="5" t="inlineStr"/>
    </row>
    <row r="830">
      <c r="A830" s="5" t="n">
        <v>829</v>
      </c>
      <c r="B830" s="5" t="inlineStr">
        <is>
          <t>130</t>
        </is>
      </c>
      <c r="C830" s="5" t="inlineStr">
        <is>
          <t>nearest labels (100% agree)</t>
        </is>
      </c>
      <c r="D830" s="5" t="inlineStr">
        <is>
          <t>grade_beam</t>
        </is>
      </c>
      <c r="E830" s="5" t="inlineStr">
        <is>
          <t>grade_beam</t>
        </is>
      </c>
      <c r="F830" s="5" t="inlineStr">
        <is>
          <t>LG25x40</t>
        </is>
      </c>
      <c r="G830" s="5" t="inlineStr"/>
      <c r="H830" s="5" t="inlineStr">
        <is>
          <t>band width matches label</t>
        </is>
      </c>
      <c r="I830" s="5" t="n">
        <v>170</v>
      </c>
      <c r="J830" s="5" t="n">
        <v>25</v>
      </c>
      <c r="K830" s="9">
        <f>IF(AND(ISNUMBER(I830),ISNUMBER(J830),J830&gt;0),I830/J830,"")</f>
        <v/>
      </c>
      <c r="L830" s="5" t="n">
        <v>0.425</v>
      </c>
      <c r="M830" s="5" t="n">
        <v>1.7</v>
      </c>
      <c r="N830" s="5" t="n">
        <v>95.7</v>
      </c>
      <c r="O830" s="5" t="inlineStr">
        <is>
          <t>parallel line pair</t>
        </is>
      </c>
      <c r="P830" s="5" t="inlineStr">
        <is>
          <t>two parallel lines at the width written in the LG label, empty inside</t>
        </is>
      </c>
      <c r="Q830" s="5">
        <f>IF(OR(D830="column",D830="wall"),IF(I830&lt;='P vs V'!$B$3*J830,"column","wall"),"")</f>
        <v/>
      </c>
      <c r="R830" s="5" t="inlineStr"/>
      <c r="S830" s="5" t="inlineStr"/>
      <c r="T830" s="5" t="n"/>
      <c r="U830" s="5" t="inlineStr">
        <is>
          <t>no</t>
        </is>
      </c>
      <c r="V830" s="5" t="inlineStr">
        <is>
          <t>no</t>
        </is>
      </c>
      <c r="W830" s="5" t="inlineStr">
        <is>
          <t>yes</t>
        </is>
      </c>
      <c r="X830" s="5" t="inlineStr">
        <is>
          <t>no</t>
        </is>
      </c>
      <c r="Y830" s="5" t="inlineStr">
        <is>
          <t>no</t>
        </is>
      </c>
      <c r="Z830" s="5" t="inlineStr">
        <is>
          <t>yes</t>
        </is>
      </c>
      <c r="AA830" s="5" t="n">
        <v>4.37</v>
      </c>
      <c r="AB830" s="5" t="n"/>
      <c r="AC830" s="5" t="n"/>
      <c r="AD830" s="5" t="n"/>
      <c r="AE830" s="5" t="n">
        <v>995.2</v>
      </c>
      <c r="AF830" s="5" t="n">
        <v>1078.2</v>
      </c>
      <c r="AG830" s="5" t="n">
        <v>1007.5</v>
      </c>
      <c r="AH830" s="5" t="n">
        <v>1128.8</v>
      </c>
      <c r="AI830" s="5" t="inlineStr">
        <is>
          <t>n/a</t>
        </is>
      </c>
      <c r="AJ830" s="5" t="inlineStr"/>
      <c r="AK830" s="5" t="inlineStr"/>
      <c r="AL830" s="5" t="inlineStr"/>
      <c r="AM830" s="5" t="inlineStr"/>
    </row>
    <row r="831">
      <c r="A831" s="5" t="n">
        <v>830</v>
      </c>
      <c r="B831" s="5" t="inlineStr">
        <is>
          <t>130</t>
        </is>
      </c>
      <c r="C831" s="5" t="inlineStr">
        <is>
          <t>nearest labels (100% agree)</t>
        </is>
      </c>
      <c r="D831" s="5" t="inlineStr">
        <is>
          <t>grade_beam</t>
        </is>
      </c>
      <c r="E831" s="5" t="inlineStr">
        <is>
          <t>grade_beam</t>
        </is>
      </c>
      <c r="F831" s="5" t="inlineStr">
        <is>
          <t>LG40x15</t>
        </is>
      </c>
      <c r="G831" s="5" t="inlineStr"/>
      <c r="H831" s="5" t="inlineStr">
        <is>
          <t>band width matches label</t>
        </is>
      </c>
      <c r="I831" s="5" t="n">
        <v>701</v>
      </c>
      <c r="J831" s="5" t="n">
        <v>40</v>
      </c>
      <c r="K831" s="9">
        <f>IF(AND(ISNUMBER(I831),ISNUMBER(J831),J831&gt;0),I831/J831,"")</f>
        <v/>
      </c>
      <c r="L831" s="5" t="n">
        <v>2.804</v>
      </c>
      <c r="M831" s="5" t="n">
        <v>7.01</v>
      </c>
      <c r="N831" s="5" t="n">
        <v>75.59999999999999</v>
      </c>
      <c r="O831" s="5" t="inlineStr">
        <is>
          <t>parallel line pair</t>
        </is>
      </c>
      <c r="P831" s="5" t="inlineStr">
        <is>
          <t>two parallel lines at the width written in the LG label, empty inside</t>
        </is>
      </c>
      <c r="Q831" s="5">
        <f>IF(OR(D831="column",D831="wall"),IF(I831&lt;='P vs V'!$B$3*J831,"column","wall"),"")</f>
        <v/>
      </c>
      <c r="R831" s="5" t="inlineStr"/>
      <c r="S831" s="5" t="inlineStr"/>
      <c r="T831" s="5" t="n"/>
      <c r="U831" s="5" t="inlineStr">
        <is>
          <t>no</t>
        </is>
      </c>
      <c r="V831" s="5" t="inlineStr">
        <is>
          <t>no</t>
        </is>
      </c>
      <c r="W831" s="5" t="inlineStr">
        <is>
          <t>yes</t>
        </is>
      </c>
      <c r="X831" s="5" t="inlineStr">
        <is>
          <t>no</t>
        </is>
      </c>
      <c r="Y831" s="5" t="inlineStr">
        <is>
          <t>no</t>
        </is>
      </c>
      <c r="Z831" s="5" t="inlineStr">
        <is>
          <t>yes</t>
        </is>
      </c>
      <c r="AA831" s="5" t="n">
        <v>7.97</v>
      </c>
      <c r="AB831" s="5" t="n"/>
      <c r="AC831" s="5" t="n"/>
      <c r="AD831" s="5" t="n"/>
      <c r="AE831" s="5" t="n">
        <v>1102.9</v>
      </c>
      <c r="AF831" s="5" t="n">
        <v>1089.6</v>
      </c>
      <c r="AG831" s="5" t="n">
        <v>1165.8</v>
      </c>
      <c r="AH831" s="5" t="n">
        <v>1293</v>
      </c>
      <c r="AI831" s="5" t="inlineStr">
        <is>
          <t>n/a</t>
        </is>
      </c>
      <c r="AJ831" s="5" t="inlineStr"/>
      <c r="AK831" s="5" t="inlineStr"/>
      <c r="AL831" s="5" t="inlineStr"/>
      <c r="AM831" s="5" t="inlineStr"/>
    </row>
    <row r="832">
      <c r="A832" s="5" t="n">
        <v>831</v>
      </c>
      <c r="B832" s="5" t="inlineStr">
        <is>
          <t>130</t>
        </is>
      </c>
      <c r="C832" s="5" t="inlineStr">
        <is>
          <t>nearest labels (100% agree)</t>
        </is>
      </c>
      <c r="D832" s="5" t="inlineStr">
        <is>
          <t>grade_beam</t>
        </is>
      </c>
      <c r="E832" s="5" t="inlineStr">
        <is>
          <t>grade_beam</t>
        </is>
      </c>
      <c r="F832" s="5" t="inlineStr">
        <is>
          <t>LG40x15</t>
        </is>
      </c>
      <c r="G832" s="5" t="inlineStr"/>
      <c r="H832" s="5" t="inlineStr">
        <is>
          <t>band width matches label</t>
        </is>
      </c>
      <c r="I832" s="5" t="n">
        <v>663</v>
      </c>
      <c r="J832" s="5" t="n">
        <v>40</v>
      </c>
      <c r="K832" s="9">
        <f>IF(AND(ISNUMBER(I832),ISNUMBER(J832),J832&gt;0),I832/J832,"")</f>
        <v/>
      </c>
      <c r="L832" s="5" t="n">
        <v>2.653</v>
      </c>
      <c r="M832" s="5" t="n">
        <v>6.63</v>
      </c>
      <c r="N832" s="5" t="n">
        <v>75.59999999999999</v>
      </c>
      <c r="O832" s="5" t="inlineStr">
        <is>
          <t>parallel line pair</t>
        </is>
      </c>
      <c r="P832" s="5" t="inlineStr">
        <is>
          <t>two parallel lines at the width written in the LG label, empty inside</t>
        </is>
      </c>
      <c r="Q832" s="5">
        <f>IF(OR(D832="column",D832="wall"),IF(I832&lt;='P vs V'!$B$3*J832,"column","wall"),"")</f>
        <v/>
      </c>
      <c r="R832" s="5" t="inlineStr"/>
      <c r="S832" s="5" t="inlineStr"/>
      <c r="T832" s="5" t="n"/>
      <c r="U832" s="5" t="inlineStr">
        <is>
          <t>no</t>
        </is>
      </c>
      <c r="V832" s="5" t="inlineStr">
        <is>
          <t>no</t>
        </is>
      </c>
      <c r="W832" s="5" t="inlineStr">
        <is>
          <t>yes</t>
        </is>
      </c>
      <c r="X832" s="5" t="inlineStr">
        <is>
          <t>no</t>
        </is>
      </c>
      <c r="Y832" s="5" t="inlineStr">
        <is>
          <t>no</t>
        </is>
      </c>
      <c r="Z832" s="5" t="inlineStr">
        <is>
          <t>yes</t>
        </is>
      </c>
      <c r="AA832" s="5" t="n">
        <v>5.18</v>
      </c>
      <c r="AB832" s="5" t="n"/>
      <c r="AC832" s="5" t="n"/>
      <c r="AD832" s="5" t="n"/>
      <c r="AE832" s="5" t="n">
        <v>1156.2</v>
      </c>
      <c r="AF832" s="5" t="n">
        <v>1297.2</v>
      </c>
      <c r="AG832" s="5" t="n">
        <v>1216.3</v>
      </c>
      <c r="AH832" s="5" t="n">
        <v>1489.8</v>
      </c>
      <c r="AI832" s="5" t="inlineStr">
        <is>
          <t>n/a</t>
        </is>
      </c>
      <c r="AJ832" s="5" t="inlineStr"/>
      <c r="AK832" s="5" t="inlineStr"/>
      <c r="AL832" s="5" t="inlineStr"/>
      <c r="AM832" s="5" t="inlineStr"/>
    </row>
    <row r="833">
      <c r="A833" s="5" t="n">
        <v>832</v>
      </c>
      <c r="B833" s="5" t="inlineStr">
        <is>
          <t>130</t>
        </is>
      </c>
      <c r="C833" s="5" t="inlineStr">
        <is>
          <t>nearest labels (80% agree)</t>
        </is>
      </c>
      <c r="D833" s="5" t="inlineStr">
        <is>
          <t>grade_beam</t>
        </is>
      </c>
      <c r="E833" s="5" t="inlineStr">
        <is>
          <t>grade_beam</t>
        </is>
      </c>
      <c r="F833" s="5" t="inlineStr">
        <is>
          <t>LG40x15</t>
        </is>
      </c>
      <c r="G833" s="5" t="inlineStr"/>
      <c r="H833" s="5" t="inlineStr">
        <is>
          <t>band width matches label</t>
        </is>
      </c>
      <c r="I833" s="5" t="n">
        <v>555</v>
      </c>
      <c r="J833" s="5" t="n">
        <v>40</v>
      </c>
      <c r="K833" s="9">
        <f>IF(AND(ISNUMBER(I833),ISNUMBER(J833),J833&gt;0),I833/J833,"")</f>
        <v/>
      </c>
      <c r="L833" s="5" t="n">
        <v>2.218</v>
      </c>
      <c r="M833" s="5" t="n">
        <v>5.55</v>
      </c>
      <c r="N833" s="5" t="n">
        <v>75.59999999999999</v>
      </c>
      <c r="O833" s="5" t="inlineStr">
        <is>
          <t>parallel line pair</t>
        </is>
      </c>
      <c r="P833" s="5" t="inlineStr">
        <is>
          <t>two parallel lines at the width written in the LG label, empty inside</t>
        </is>
      </c>
      <c r="Q833" s="5">
        <f>IF(OR(D833="column",D833="wall"),IF(I833&lt;='P vs V'!$B$3*J833,"column","wall"),"")</f>
        <v/>
      </c>
      <c r="R833" s="5" t="inlineStr"/>
      <c r="S833" s="5" t="inlineStr"/>
      <c r="T833" s="5" t="n"/>
      <c r="U833" s="5" t="inlineStr">
        <is>
          <t>no</t>
        </is>
      </c>
      <c r="V833" s="5" t="inlineStr">
        <is>
          <t>no</t>
        </is>
      </c>
      <c r="W833" s="5" t="inlineStr">
        <is>
          <t>no</t>
        </is>
      </c>
      <c r="X833" s="5" t="inlineStr">
        <is>
          <t>no</t>
        </is>
      </c>
      <c r="Y833" s="5" t="inlineStr">
        <is>
          <t>no</t>
        </is>
      </c>
      <c r="Z833" s="5" t="inlineStr">
        <is>
          <t>no</t>
        </is>
      </c>
      <c r="AA833" s="5" t="n">
        <v>2.91</v>
      </c>
      <c r="AB833" s="5" t="n"/>
      <c r="AC833" s="5" t="n"/>
      <c r="AD833" s="5" t="n"/>
      <c r="AE833" s="5" t="n">
        <v>1219.5</v>
      </c>
      <c r="AF833" s="5" t="n">
        <v>1544.1</v>
      </c>
      <c r="AG833" s="5" t="n">
        <v>1271.7</v>
      </c>
      <c r="AH833" s="5" t="n">
        <v>1705.6</v>
      </c>
      <c r="AI833" s="5" t="inlineStr">
        <is>
          <t>n/a</t>
        </is>
      </c>
      <c r="AJ833" s="5" t="inlineStr"/>
      <c r="AK833" s="5" t="inlineStr"/>
      <c r="AL833" s="5" t="inlineStr"/>
      <c r="AM833" s="5" t="inlineStr"/>
    </row>
    <row r="834">
      <c r="A834" s="5" t="n">
        <v>833</v>
      </c>
      <c r="B834" s="5" t="inlineStr">
        <is>
          <t>130</t>
        </is>
      </c>
      <c r="C834" s="5" t="inlineStr">
        <is>
          <t>nearest labels (40% agree)</t>
        </is>
      </c>
      <c r="D834" s="5" t="inlineStr">
        <is>
          <t>grade_beam</t>
        </is>
      </c>
      <c r="E834" s="5" t="inlineStr">
        <is>
          <t>grade_beam</t>
        </is>
      </c>
      <c r="F834" s="5" t="inlineStr">
        <is>
          <t>LG40x15</t>
        </is>
      </c>
      <c r="G834" s="5" t="inlineStr"/>
      <c r="H834" s="5" t="inlineStr">
        <is>
          <t>band width matches label</t>
        </is>
      </c>
      <c r="I834" s="5" t="n">
        <v>279</v>
      </c>
      <c r="J834" s="5" t="n">
        <v>40</v>
      </c>
      <c r="K834" s="9">
        <f>IF(AND(ISNUMBER(I834),ISNUMBER(J834),J834&gt;0),I834/J834,"")</f>
        <v/>
      </c>
      <c r="L834" s="5" t="n">
        <v>1.116</v>
      </c>
      <c r="M834" s="5" t="n">
        <v>2.79</v>
      </c>
      <c r="N834" s="5" t="n">
        <v>165.2</v>
      </c>
      <c r="O834" s="5" t="inlineStr">
        <is>
          <t>parallel line pair</t>
        </is>
      </c>
      <c r="P834" s="5" t="inlineStr">
        <is>
          <t>two parallel lines at the width written in the LG label, empty inside</t>
        </is>
      </c>
      <c r="Q834" s="5">
        <f>IF(OR(D834="column",D834="wall"),IF(I834&lt;='P vs V'!$B$3*J834,"column","wall"),"")</f>
        <v/>
      </c>
      <c r="R834" s="5" t="inlineStr"/>
      <c r="S834" s="5" t="inlineStr"/>
      <c r="T834" s="5" t="n"/>
      <c r="U834" s="5" t="inlineStr">
        <is>
          <t>no</t>
        </is>
      </c>
      <c r="V834" s="5" t="inlineStr">
        <is>
          <t>no</t>
        </is>
      </c>
      <c r="W834" s="5" t="inlineStr">
        <is>
          <t>yes</t>
        </is>
      </c>
      <c r="X834" s="5" t="inlineStr">
        <is>
          <t>no</t>
        </is>
      </c>
      <c r="Y834" s="5" t="inlineStr">
        <is>
          <t>no</t>
        </is>
      </c>
      <c r="Z834" s="5" t="inlineStr">
        <is>
          <t>no</t>
        </is>
      </c>
      <c r="AA834" s="5" t="n">
        <v>6.98</v>
      </c>
      <c r="AB834" s="5" t="n"/>
      <c r="AC834" s="5" t="n"/>
      <c r="AD834" s="5" t="n"/>
      <c r="AE834" s="5" t="n">
        <v>1326.1</v>
      </c>
      <c r="AF834" s="5" t="n">
        <v>1700.9</v>
      </c>
      <c r="AG834" s="5" t="n">
        <v>1408.8</v>
      </c>
      <c r="AH834" s="5" t="n">
        <v>1733.3</v>
      </c>
      <c r="AI834" s="5" t="inlineStr">
        <is>
          <t>n/a</t>
        </is>
      </c>
      <c r="AJ834" s="5" t="inlineStr"/>
      <c r="AK834" s="5" t="inlineStr"/>
      <c r="AL834" s="5" t="inlineStr"/>
      <c r="AM834" s="5" t="inlineStr"/>
    </row>
    <row r="835">
      <c r="A835" s="5" t="n">
        <v>834</v>
      </c>
      <c r="B835" s="5" t="inlineStr">
        <is>
          <t>130</t>
        </is>
      </c>
      <c r="C835" s="5" t="inlineStr">
        <is>
          <t>nearest labels (80% agree)</t>
        </is>
      </c>
      <c r="D835" s="5" t="inlineStr">
        <is>
          <t>grade_beam</t>
        </is>
      </c>
      <c r="E835" s="5" t="inlineStr">
        <is>
          <t>grade_beam</t>
        </is>
      </c>
      <c r="F835" s="5" t="inlineStr">
        <is>
          <t>LG40x15</t>
        </is>
      </c>
      <c r="G835" s="5" t="inlineStr"/>
      <c r="H835" s="5" t="inlineStr">
        <is>
          <t>band width matches label</t>
        </is>
      </c>
      <c r="I835" s="5" t="n">
        <v>337</v>
      </c>
      <c r="J835" s="5" t="n">
        <v>40</v>
      </c>
      <c r="K835" s="9">
        <f>IF(AND(ISNUMBER(I835),ISNUMBER(J835),J835&gt;0),I835/J835,"")</f>
        <v/>
      </c>
      <c r="L835" s="5" t="n">
        <v>1.347</v>
      </c>
      <c r="M835" s="5" t="n">
        <v>3.37</v>
      </c>
      <c r="N835" s="5" t="n">
        <v>165.2</v>
      </c>
      <c r="O835" s="5" t="inlineStr">
        <is>
          <t>parallel line pair</t>
        </is>
      </c>
      <c r="P835" s="5" t="inlineStr">
        <is>
          <t>two parallel lines at the width written in the LG label, empty inside</t>
        </is>
      </c>
      <c r="Q835" s="5">
        <f>IF(OR(D835="column",D835="wall"),IF(I835&lt;='P vs V'!$B$3*J835,"column","wall"),"")</f>
        <v/>
      </c>
      <c r="R835" s="5" t="inlineStr"/>
      <c r="S835" s="5" t="inlineStr"/>
      <c r="T835" s="5" t="n"/>
      <c r="U835" s="5" t="inlineStr">
        <is>
          <t>no</t>
        </is>
      </c>
      <c r="V835" s="5" t="inlineStr">
        <is>
          <t>no</t>
        </is>
      </c>
      <c r="W835" s="5" t="inlineStr">
        <is>
          <t>no</t>
        </is>
      </c>
      <c r="X835" s="5" t="inlineStr">
        <is>
          <t>no</t>
        </is>
      </c>
      <c r="Y835" s="5" t="inlineStr">
        <is>
          <t>no</t>
        </is>
      </c>
      <c r="Z835" s="5" t="inlineStr">
        <is>
          <t>no</t>
        </is>
      </c>
      <c r="AA835" s="5" t="n">
        <v>0.31</v>
      </c>
      <c r="AB835" s="5" t="n"/>
      <c r="AC835" s="5" t="n"/>
      <c r="AD835" s="5" t="n"/>
      <c r="AE835" s="5" t="n">
        <v>882</v>
      </c>
      <c r="AF835" s="5" t="n">
        <v>1813.6</v>
      </c>
      <c r="AG835" s="5" t="n">
        <v>981.1</v>
      </c>
      <c r="AH835" s="5" t="n">
        <v>1850.3</v>
      </c>
      <c r="AI835" s="5" t="inlineStr">
        <is>
          <t>n/a</t>
        </is>
      </c>
      <c r="AJ835" s="5" t="inlineStr"/>
      <c r="AK835" s="5" t="inlineStr"/>
      <c r="AL835" s="5" t="inlineStr"/>
      <c r="AM835" s="5" t="inlineStr"/>
    </row>
    <row r="836">
      <c r="A836" s="5" t="n">
        <v>835</v>
      </c>
      <c r="B836" s="5" t="inlineStr">
        <is>
          <t>130</t>
        </is>
      </c>
      <c r="C836" s="5" t="inlineStr">
        <is>
          <t>nearest labels (40% agree)</t>
        </is>
      </c>
      <c r="D836" s="5" t="inlineStr">
        <is>
          <t>grade_beam</t>
        </is>
      </c>
      <c r="E836" s="5" t="inlineStr">
        <is>
          <t>grade_beam</t>
        </is>
      </c>
      <c r="F836" s="5" t="inlineStr">
        <is>
          <t>LG40x15</t>
        </is>
      </c>
      <c r="G836" s="5" t="inlineStr"/>
      <c r="H836" s="5" t="inlineStr">
        <is>
          <t>band width matches label</t>
        </is>
      </c>
      <c r="I836" s="5" t="n">
        <v>279</v>
      </c>
      <c r="J836" s="5" t="n">
        <v>40</v>
      </c>
      <c r="K836" s="9">
        <f>IF(AND(ISNUMBER(I836),ISNUMBER(J836),J836&gt;0),I836/J836,"")</f>
        <v/>
      </c>
      <c r="L836" s="5" t="n">
        <v>1.116</v>
      </c>
      <c r="M836" s="5" t="n">
        <v>2.79</v>
      </c>
      <c r="N836" s="5" t="n">
        <v>165.3</v>
      </c>
      <c r="O836" s="5" t="inlineStr">
        <is>
          <t>parallel line pair</t>
        </is>
      </c>
      <c r="P836" s="5" t="inlineStr">
        <is>
          <t>two parallel lines at the width written in the LG label, empty inside</t>
        </is>
      </c>
      <c r="Q836" s="5">
        <f>IF(OR(D836="column",D836="wall"),IF(I836&lt;='P vs V'!$B$3*J836,"column","wall"),"")</f>
        <v/>
      </c>
      <c r="R836" s="5" t="inlineStr"/>
      <c r="S836" s="5" t="inlineStr"/>
      <c r="T836" s="5" t="n"/>
      <c r="U836" s="5" t="inlineStr">
        <is>
          <t>no</t>
        </is>
      </c>
      <c r="V836" s="5" t="inlineStr">
        <is>
          <t>no</t>
        </is>
      </c>
      <c r="W836" s="5" t="inlineStr">
        <is>
          <t>yes</t>
        </is>
      </c>
      <c r="X836" s="5" t="inlineStr">
        <is>
          <t>no</t>
        </is>
      </c>
      <c r="Y836" s="5" t="inlineStr">
        <is>
          <t>no</t>
        </is>
      </c>
      <c r="Z836" s="5" t="inlineStr">
        <is>
          <t>no</t>
        </is>
      </c>
      <c r="AA836" s="5" t="n">
        <v>6.48</v>
      </c>
      <c r="AB836" s="5" t="n"/>
      <c r="AC836" s="5" t="n"/>
      <c r="AD836" s="5" t="n"/>
      <c r="AE836" s="5" t="n">
        <v>1322.4</v>
      </c>
      <c r="AF836" s="5" t="n">
        <v>1686.6</v>
      </c>
      <c r="AG836" s="5" t="n">
        <v>1405.1</v>
      </c>
      <c r="AH836" s="5" t="n">
        <v>1719</v>
      </c>
      <c r="AI836" s="5" t="inlineStr">
        <is>
          <t>n/a</t>
        </is>
      </c>
      <c r="AJ836" s="5" t="inlineStr"/>
      <c r="AK836" s="5" t="inlineStr"/>
      <c r="AL836" s="5" t="inlineStr"/>
      <c r="AM836" s="5" t="inlineStr"/>
    </row>
    <row r="837">
      <c r="A837" s="5" t="n">
        <v>836</v>
      </c>
      <c r="B837" s="5" t="inlineStr">
        <is>
          <t>130</t>
        </is>
      </c>
      <c r="C837" s="5" t="inlineStr">
        <is>
          <t>nearest labels (60% agree)</t>
        </is>
      </c>
      <c r="D837" s="5" t="inlineStr">
        <is>
          <t>grade_beam</t>
        </is>
      </c>
      <c r="E837" s="5" t="inlineStr">
        <is>
          <t>grade_beam</t>
        </is>
      </c>
      <c r="F837" s="5" t="inlineStr">
        <is>
          <t>LG40x15</t>
        </is>
      </c>
      <c r="G837" s="5" t="inlineStr"/>
      <c r="H837" s="5" t="inlineStr">
        <is>
          <t>band width matches label</t>
        </is>
      </c>
      <c r="I837" s="5" t="n">
        <v>369</v>
      </c>
      <c r="J837" s="5" t="n">
        <v>40</v>
      </c>
      <c r="K837" s="9">
        <f>IF(AND(ISNUMBER(I837),ISNUMBER(J837),J837&gt;0),I837/J837,"")</f>
        <v/>
      </c>
      <c r="L837" s="5" t="n">
        <v>1.475</v>
      </c>
      <c r="M837" s="5" t="n">
        <v>3.69</v>
      </c>
      <c r="N837" s="5" t="n">
        <v>165.3</v>
      </c>
      <c r="O837" s="5" t="inlineStr">
        <is>
          <t>parallel line pair</t>
        </is>
      </c>
      <c r="P837" s="5" t="inlineStr">
        <is>
          <t>two parallel lines at the width written in the LG label, empty inside</t>
        </is>
      </c>
      <c r="Q837" s="5">
        <f>IF(OR(D837="column",D837="wall"),IF(I837&lt;='P vs V'!$B$3*J837,"column","wall"),"")</f>
        <v/>
      </c>
      <c r="R837" s="5" t="inlineStr"/>
      <c r="S837" s="5" t="inlineStr"/>
      <c r="T837" s="5" t="n"/>
      <c r="U837" s="5" t="inlineStr">
        <is>
          <t>no</t>
        </is>
      </c>
      <c r="V837" s="5" t="inlineStr">
        <is>
          <t>no</t>
        </is>
      </c>
      <c r="W837" s="5" t="inlineStr">
        <is>
          <t>no</t>
        </is>
      </c>
      <c r="X837" s="5" t="inlineStr">
        <is>
          <t>no</t>
        </is>
      </c>
      <c r="Y837" s="5" t="inlineStr">
        <is>
          <t>no</t>
        </is>
      </c>
      <c r="Z837" s="5" t="inlineStr">
        <is>
          <t>no</t>
        </is>
      </c>
      <c r="AA837" s="5" t="n">
        <v>4.34</v>
      </c>
      <c r="AB837" s="5" t="n"/>
      <c r="AC837" s="5" t="n"/>
      <c r="AD837" s="5" t="n"/>
      <c r="AE837" s="5" t="n">
        <v>1117.1</v>
      </c>
      <c r="AF837" s="5" t="n">
        <v>1733.9</v>
      </c>
      <c r="AG837" s="5" t="n">
        <v>1225.4</v>
      </c>
      <c r="AH837" s="5" t="n">
        <v>1773.1</v>
      </c>
      <c r="AI837" s="5" t="inlineStr">
        <is>
          <t>n/a</t>
        </is>
      </c>
      <c r="AJ837" s="5" t="inlineStr"/>
      <c r="AK837" s="5" t="inlineStr"/>
      <c r="AL837" s="5" t="inlineStr"/>
      <c r="AM837" s="5" t="inlineStr"/>
    </row>
    <row r="838">
      <c r="A838" s="5" t="n">
        <v>837</v>
      </c>
      <c r="B838" s="5" t="inlineStr">
        <is>
          <t>130</t>
        </is>
      </c>
      <c r="C838" s="5" t="inlineStr">
        <is>
          <t>nearest labels (80% agree)</t>
        </is>
      </c>
      <c r="D838" s="5" t="inlineStr">
        <is>
          <t>grade_beam</t>
        </is>
      </c>
      <c r="E838" s="5" t="inlineStr">
        <is>
          <t>grade_beam</t>
        </is>
      </c>
      <c r="F838" s="5" t="inlineStr">
        <is>
          <t>LG40x15</t>
        </is>
      </c>
      <c r="G838" s="5" t="inlineStr"/>
      <c r="H838" s="5" t="inlineStr">
        <is>
          <t>band width matches label</t>
        </is>
      </c>
      <c r="I838" s="5" t="n">
        <v>337</v>
      </c>
      <c r="J838" s="5" t="n">
        <v>40</v>
      </c>
      <c r="K838" s="9">
        <f>IF(AND(ISNUMBER(I838),ISNUMBER(J838),J838&gt;0),I838/J838,"")</f>
        <v/>
      </c>
      <c r="L838" s="5" t="n">
        <v>1.347</v>
      </c>
      <c r="M838" s="5" t="n">
        <v>3.37</v>
      </c>
      <c r="N838" s="5" t="n">
        <v>165.3</v>
      </c>
      <c r="O838" s="5" t="inlineStr">
        <is>
          <t>parallel line pair</t>
        </is>
      </c>
      <c r="P838" s="5" t="inlineStr">
        <is>
          <t>two parallel lines at the width written in the LG label, empty inside</t>
        </is>
      </c>
      <c r="Q838" s="5">
        <f>IF(OR(D838="column",D838="wall"),IF(I838&lt;='P vs V'!$B$3*J838,"column","wall"),"")</f>
        <v/>
      </c>
      <c r="R838" s="5" t="inlineStr"/>
      <c r="S838" s="5" t="inlineStr"/>
      <c r="T838" s="5" t="n"/>
      <c r="U838" s="5" t="inlineStr">
        <is>
          <t>no</t>
        </is>
      </c>
      <c r="V838" s="5" t="inlineStr">
        <is>
          <t>no</t>
        </is>
      </c>
      <c r="W838" s="5" t="inlineStr">
        <is>
          <t>no</t>
        </is>
      </c>
      <c r="X838" s="5" t="inlineStr">
        <is>
          <t>no</t>
        </is>
      </c>
      <c r="Y838" s="5" t="inlineStr">
        <is>
          <t>no</t>
        </is>
      </c>
      <c r="Z838" s="5" t="inlineStr">
        <is>
          <t>no</t>
        </is>
      </c>
      <c r="AA838" s="5" t="n">
        <v>0.31</v>
      </c>
      <c r="AB838" s="5" t="n"/>
      <c r="AC838" s="5" t="n"/>
      <c r="AD838" s="5" t="n"/>
      <c r="AE838" s="5" t="n">
        <v>878.2</v>
      </c>
      <c r="AF838" s="5" t="n">
        <v>1799.2</v>
      </c>
      <c r="AG838" s="5" t="n">
        <v>977.3</v>
      </c>
      <c r="AH838" s="5" t="n">
        <v>1835.9</v>
      </c>
      <c r="AI838" s="5" t="inlineStr">
        <is>
          <t>n/a</t>
        </is>
      </c>
      <c r="AJ838" s="5" t="inlineStr"/>
      <c r="AK838" s="5" t="inlineStr"/>
      <c r="AL838" s="5" t="inlineStr"/>
      <c r="AM838" s="5" t="inlineStr"/>
    </row>
    <row r="839">
      <c r="A839" s="5" t="n">
        <v>838</v>
      </c>
      <c r="B839" s="5" t="inlineStr">
        <is>
          <t>130</t>
        </is>
      </c>
      <c r="C839" s="5" t="inlineStr">
        <is>
          <t>nearest labels (100% agree)</t>
        </is>
      </c>
      <c r="D839" s="5" t="inlineStr">
        <is>
          <t>grade_beam</t>
        </is>
      </c>
      <c r="E839" s="5" t="inlineStr">
        <is>
          <t>grade_beam</t>
        </is>
      </c>
      <c r="F839" s="5" t="inlineStr">
        <is>
          <t>LG40x15</t>
        </is>
      </c>
      <c r="G839" s="5" t="inlineStr"/>
      <c r="H839" s="5" t="inlineStr">
        <is>
          <t>band width matches label</t>
        </is>
      </c>
      <c r="I839" s="5" t="n">
        <v>485</v>
      </c>
      <c r="J839" s="5" t="n">
        <v>40</v>
      </c>
      <c r="K839" s="9">
        <f>IF(AND(ISNUMBER(I839),ISNUMBER(J839),J839&gt;0),I839/J839,"")</f>
        <v/>
      </c>
      <c r="L839" s="5" t="n">
        <v>1.942</v>
      </c>
      <c r="M839" s="5" t="n">
        <v>4.85</v>
      </c>
      <c r="N839" s="5" t="n">
        <v>75.09999999999999</v>
      </c>
      <c r="O839" s="5" t="inlineStr">
        <is>
          <t>parallel line pair</t>
        </is>
      </c>
      <c r="P839" s="5" t="inlineStr">
        <is>
          <t>two parallel lines at the width written in the LG label, empty inside</t>
        </is>
      </c>
      <c r="Q839" s="5">
        <f>IF(OR(D839="column",D839="wall"),IF(I839&lt;='P vs V'!$B$3*J839,"column","wall"),"")</f>
        <v/>
      </c>
      <c r="R839" s="5" t="inlineStr"/>
      <c r="S839" s="5" t="inlineStr"/>
      <c r="T839" s="5" t="n"/>
      <c r="U839" s="5" t="inlineStr">
        <is>
          <t>no</t>
        </is>
      </c>
      <c r="V839" s="5" t="inlineStr">
        <is>
          <t>no</t>
        </is>
      </c>
      <c r="W839" s="5" t="inlineStr">
        <is>
          <t>yes</t>
        </is>
      </c>
      <c r="X839" s="5" t="inlineStr">
        <is>
          <t>no</t>
        </is>
      </c>
      <c r="Y839" s="5" t="inlineStr">
        <is>
          <t>no</t>
        </is>
      </c>
      <c r="Z839" s="5" t="inlineStr">
        <is>
          <t>yes</t>
        </is>
      </c>
      <c r="AA839" s="5" t="n">
        <v>0.04</v>
      </c>
      <c r="AB839" s="5" t="n"/>
      <c r="AC839" s="5" t="n"/>
      <c r="AD839" s="5" t="n"/>
      <c r="AE839" s="5" t="n">
        <v>906.4</v>
      </c>
      <c r="AF839" s="5" t="n">
        <v>1275.8</v>
      </c>
      <c r="AG839" s="5" t="n">
        <v>954.6</v>
      </c>
      <c r="AH839" s="5" t="n">
        <v>1417.4</v>
      </c>
      <c r="AI839" s="5" t="inlineStr">
        <is>
          <t>n/a</t>
        </is>
      </c>
      <c r="AJ839" s="5" t="inlineStr"/>
      <c r="AK839" s="5" t="inlineStr"/>
      <c r="AL839" s="5" t="inlineStr"/>
      <c r="AM839" s="5" t="inlineStr"/>
    </row>
    <row r="840">
      <c r="A840" s="5" t="n">
        <v>839</v>
      </c>
      <c r="B840" s="5" t="inlineStr">
        <is>
          <t>130</t>
        </is>
      </c>
      <c r="C840" s="5" t="inlineStr">
        <is>
          <t>nearest labels (100% agree)</t>
        </is>
      </c>
      <c r="D840" s="5" t="inlineStr">
        <is>
          <t>grade_beam</t>
        </is>
      </c>
      <c r="E840" s="5" t="inlineStr">
        <is>
          <t>grade_beam</t>
        </is>
      </c>
      <c r="F840" s="5" t="inlineStr">
        <is>
          <t>LG40x15</t>
        </is>
      </c>
      <c r="G840" s="5" t="inlineStr"/>
      <c r="H840" s="5" t="inlineStr">
        <is>
          <t>band width matches label</t>
        </is>
      </c>
      <c r="I840" s="5" t="n">
        <v>445</v>
      </c>
      <c r="J840" s="5" t="n">
        <v>40</v>
      </c>
      <c r="K840" s="9">
        <f>IF(AND(ISNUMBER(I840),ISNUMBER(J840),J840&gt;0),I840/J840,"")</f>
        <v/>
      </c>
      <c r="L840" s="5" t="n">
        <v>1.779</v>
      </c>
      <c r="M840" s="5" t="n">
        <v>4.45</v>
      </c>
      <c r="N840" s="5" t="n">
        <v>75.09999999999999</v>
      </c>
      <c r="O840" s="5" t="inlineStr">
        <is>
          <t>parallel line pair</t>
        </is>
      </c>
      <c r="P840" s="5" t="inlineStr">
        <is>
          <t>two parallel lines at the width written in the LG label, empty inside</t>
        </is>
      </c>
      <c r="Q840" s="5">
        <f>IF(OR(D840="column",D840="wall"),IF(I840&lt;='P vs V'!$B$3*J840,"column","wall"),"")</f>
        <v/>
      </c>
      <c r="R840" s="5" t="inlineStr"/>
      <c r="S840" s="5" t="inlineStr"/>
      <c r="T840" s="5" t="n"/>
      <c r="U840" s="5" t="inlineStr">
        <is>
          <t>no</t>
        </is>
      </c>
      <c r="V840" s="5" t="inlineStr">
        <is>
          <t>no</t>
        </is>
      </c>
      <c r="W840" s="5" t="inlineStr">
        <is>
          <t>yes</t>
        </is>
      </c>
      <c r="X840" s="5" t="inlineStr">
        <is>
          <t>no</t>
        </is>
      </c>
      <c r="Y840" s="5" t="inlineStr">
        <is>
          <t>no</t>
        </is>
      </c>
      <c r="Z840" s="5" t="inlineStr">
        <is>
          <t>no</t>
        </is>
      </c>
      <c r="AA840" s="5" t="n">
        <v>0.03</v>
      </c>
      <c r="AB840" s="5" t="n"/>
      <c r="AC840" s="5" t="n"/>
      <c r="AD840" s="5" t="n"/>
      <c r="AE840" s="5" t="n">
        <v>945.5</v>
      </c>
      <c r="AF840" s="5" t="n">
        <v>1423</v>
      </c>
      <c r="AG840" s="5" t="n">
        <v>990.6</v>
      </c>
      <c r="AH840" s="5" t="n">
        <v>1552.9</v>
      </c>
      <c r="AI840" s="5" t="inlineStr">
        <is>
          <t>n/a</t>
        </is>
      </c>
      <c r="AJ840" s="5" t="inlineStr"/>
      <c r="AK840" s="5" t="inlineStr"/>
      <c r="AL840" s="5" t="inlineStr"/>
      <c r="AM840" s="5" t="inlineStr"/>
    </row>
    <row r="841">
      <c r="A841" s="5" t="n">
        <v>840</v>
      </c>
      <c r="B841" s="5" t="inlineStr">
        <is>
          <t>130</t>
        </is>
      </c>
      <c r="C841" s="5" t="inlineStr">
        <is>
          <t>nearest labels (80% agree)</t>
        </is>
      </c>
      <c r="D841" s="5" t="inlineStr">
        <is>
          <t>grade_beam</t>
        </is>
      </c>
      <c r="E841" s="5" t="inlineStr">
        <is>
          <t>grade_beam</t>
        </is>
      </c>
      <c r="F841" s="5" t="inlineStr">
        <is>
          <t>LG40x15</t>
        </is>
      </c>
      <c r="G841" s="5" t="inlineStr"/>
      <c r="H841" s="5" t="inlineStr">
        <is>
          <t>band width matches label</t>
        </is>
      </c>
      <c r="I841" s="5" t="n">
        <v>318</v>
      </c>
      <c r="J841" s="5" t="n">
        <v>40</v>
      </c>
      <c r="K841" s="9">
        <f>IF(AND(ISNUMBER(I841),ISNUMBER(J841),J841&gt;0),I841/J841,"")</f>
        <v/>
      </c>
      <c r="L841" s="5" t="n">
        <v>1.27</v>
      </c>
      <c r="M841" s="5" t="n">
        <v>3.18</v>
      </c>
      <c r="N841" s="5" t="n">
        <v>75.09999999999999</v>
      </c>
      <c r="O841" s="5" t="inlineStr">
        <is>
          <t>parallel line pair</t>
        </is>
      </c>
      <c r="P841" s="5" t="inlineStr">
        <is>
          <t>two parallel lines at the width written in the LG label, empty inside</t>
        </is>
      </c>
      <c r="Q841" s="5">
        <f>IF(OR(D841="column",D841="wall"),IF(I841&lt;='P vs V'!$B$3*J841,"column","wall"),"")</f>
        <v/>
      </c>
      <c r="R841" s="5" t="inlineStr"/>
      <c r="S841" s="5" t="inlineStr"/>
      <c r="T841" s="5" t="n"/>
      <c r="U841" s="5" t="inlineStr">
        <is>
          <t>no</t>
        </is>
      </c>
      <c r="V841" s="5" t="inlineStr">
        <is>
          <t>no</t>
        </is>
      </c>
      <c r="W841" s="5" t="inlineStr">
        <is>
          <t>no</t>
        </is>
      </c>
      <c r="X841" s="5" t="inlineStr">
        <is>
          <t>no</t>
        </is>
      </c>
      <c r="Y841" s="5" t="inlineStr">
        <is>
          <t>no</t>
        </is>
      </c>
      <c r="Z841" s="5" t="inlineStr">
        <is>
          <t>no</t>
        </is>
      </c>
      <c r="AA841" s="5" t="n">
        <v>0.01</v>
      </c>
      <c r="AB841" s="5" t="n"/>
      <c r="AC841" s="5" t="n"/>
      <c r="AD841" s="5" t="n"/>
      <c r="AE841" s="5" t="n">
        <v>1005.7</v>
      </c>
      <c r="AF841" s="5" t="n">
        <v>1649.8</v>
      </c>
      <c r="AG841" s="5" t="n">
        <v>1041.2</v>
      </c>
      <c r="AH841" s="5" t="n">
        <v>1743.4</v>
      </c>
      <c r="AI841" s="5" t="inlineStr">
        <is>
          <t>n/a</t>
        </is>
      </c>
      <c r="AJ841" s="5" t="inlineStr"/>
      <c r="AK841" s="5" t="inlineStr"/>
      <c r="AL841" s="5" t="inlineStr"/>
      <c r="AM841" s="5" t="inlineStr"/>
    </row>
    <row r="842">
      <c r="A842" s="5" t="n">
        <v>841</v>
      </c>
      <c r="B842" s="5" t="inlineStr">
        <is>
          <t>130</t>
        </is>
      </c>
      <c r="C842" s="5" t="inlineStr">
        <is>
          <t>nearest labels (100% agree)</t>
        </is>
      </c>
      <c r="D842" s="5" t="inlineStr">
        <is>
          <t>grade_beam</t>
        </is>
      </c>
      <c r="E842" s="5" t="inlineStr">
        <is>
          <t>grade_beam</t>
        </is>
      </c>
      <c r="F842" s="5" t="inlineStr">
        <is>
          <t>LG40x15</t>
        </is>
      </c>
      <c r="G842" s="5" t="inlineStr"/>
      <c r="H842" s="5" t="inlineStr">
        <is>
          <t>band width matches label</t>
        </is>
      </c>
      <c r="I842" s="5" t="n">
        <v>389</v>
      </c>
      <c r="J842" s="5" t="n">
        <v>40</v>
      </c>
      <c r="K842" s="9">
        <f>IF(AND(ISNUMBER(I842),ISNUMBER(J842),J842&gt;0),I842/J842,"")</f>
        <v/>
      </c>
      <c r="L842" s="5" t="n">
        <v>1.556</v>
      </c>
      <c r="M842" s="5" t="n">
        <v>3.89</v>
      </c>
      <c r="N842" s="5" t="n">
        <v>165.2</v>
      </c>
      <c r="O842" s="5" t="inlineStr">
        <is>
          <t>parallel line pair</t>
        </is>
      </c>
      <c r="P842" s="5" t="inlineStr">
        <is>
          <t>two parallel lines at the width written in the LG label, empty inside</t>
        </is>
      </c>
      <c r="Q842" s="5">
        <f>IF(OR(D842="column",D842="wall"),IF(I842&lt;='P vs V'!$B$3*J842,"column","wall"),"")</f>
        <v/>
      </c>
      <c r="R842" s="5" t="inlineStr"/>
      <c r="S842" s="5" t="inlineStr"/>
      <c r="T842" s="5" t="n"/>
      <c r="U842" s="5" t="inlineStr">
        <is>
          <t>no</t>
        </is>
      </c>
      <c r="V842" s="5" t="inlineStr">
        <is>
          <t>no</t>
        </is>
      </c>
      <c r="W842" s="5" t="inlineStr">
        <is>
          <t>yes</t>
        </is>
      </c>
      <c r="X842" s="5" t="inlineStr">
        <is>
          <t>no</t>
        </is>
      </c>
      <c r="Y842" s="5" t="inlineStr">
        <is>
          <t>no</t>
        </is>
      </c>
      <c r="Z842" s="5" t="inlineStr">
        <is>
          <t>no</t>
        </is>
      </c>
      <c r="AA842" s="5" t="n">
        <v>8.619999999999999</v>
      </c>
      <c r="AB842" s="5" t="n"/>
      <c r="AC842" s="5" t="n"/>
      <c r="AD842" s="5" t="n"/>
      <c r="AE842" s="5" t="n">
        <v>1177.3</v>
      </c>
      <c r="AF842" s="5" t="n">
        <v>1255.5</v>
      </c>
      <c r="AG842" s="5" t="n">
        <v>1291.3</v>
      </c>
      <c r="AH842" s="5" t="n">
        <v>1296.1</v>
      </c>
      <c r="AI842" s="5" t="inlineStr">
        <is>
          <t>n/a</t>
        </is>
      </c>
      <c r="AJ842" s="5" t="inlineStr"/>
      <c r="AK842" s="5" t="inlineStr"/>
      <c r="AL842" s="5" t="inlineStr"/>
      <c r="AM842" s="5" t="inlineStr"/>
    </row>
    <row r="843">
      <c r="A843" s="5" t="n">
        <v>842</v>
      </c>
      <c r="B843" s="5" t="inlineStr">
        <is>
          <t>130</t>
        </is>
      </c>
      <c r="C843" s="5" t="inlineStr">
        <is>
          <t>nearest labels (100% agree)</t>
        </is>
      </c>
      <c r="D843" s="5" t="inlineStr">
        <is>
          <t>grade_beam</t>
        </is>
      </c>
      <c r="E843" s="5" t="inlineStr">
        <is>
          <t>grade_beam</t>
        </is>
      </c>
      <c r="F843" s="5" t="inlineStr">
        <is>
          <t>LG40x15</t>
        </is>
      </c>
      <c r="G843" s="5" t="inlineStr"/>
      <c r="H843" s="5" t="inlineStr">
        <is>
          <t>band width matches label</t>
        </is>
      </c>
      <c r="I843" s="5" t="n">
        <v>717</v>
      </c>
      <c r="J843" s="5" t="n">
        <v>40</v>
      </c>
      <c r="K843" s="9">
        <f>IF(AND(ISNUMBER(I843),ISNUMBER(J843),J843&gt;0),I843/J843,"")</f>
        <v/>
      </c>
      <c r="L843" s="5" t="n">
        <v>2.866</v>
      </c>
      <c r="M843" s="5" t="n">
        <v>7.17</v>
      </c>
      <c r="N843" s="5" t="n">
        <v>165.2</v>
      </c>
      <c r="O843" s="5" t="inlineStr">
        <is>
          <t>parallel line pair</t>
        </is>
      </c>
      <c r="P843" s="5" t="inlineStr">
        <is>
          <t>two parallel lines at the width written in the LG label, empty inside</t>
        </is>
      </c>
      <c r="Q843" s="5">
        <f>IF(OR(D843="column",D843="wall"),IF(I843&lt;='P vs V'!$B$3*J843,"column","wall"),"")</f>
        <v/>
      </c>
      <c r="R843" s="5" t="inlineStr"/>
      <c r="S843" s="5" t="inlineStr"/>
      <c r="T843" s="5" t="n"/>
      <c r="U843" s="5" t="inlineStr">
        <is>
          <t>no</t>
        </is>
      </c>
      <c r="V843" s="5" t="inlineStr">
        <is>
          <t>no</t>
        </is>
      </c>
      <c r="W843" s="5" t="inlineStr">
        <is>
          <t>yes</t>
        </is>
      </c>
      <c r="X843" s="5" t="inlineStr">
        <is>
          <t>no</t>
        </is>
      </c>
      <c r="Y843" s="5" t="inlineStr">
        <is>
          <t>no</t>
        </is>
      </c>
      <c r="Z843" s="5" t="inlineStr">
        <is>
          <t>yes</t>
        </is>
      </c>
      <c r="AA843" s="5" t="n">
        <v>3.74</v>
      </c>
      <c r="AB843" s="5" t="n"/>
      <c r="AC843" s="5" t="n"/>
      <c r="AD843" s="5" t="n"/>
      <c r="AE843" s="5" t="n">
        <v>937</v>
      </c>
      <c r="AF843" s="5" t="n">
        <v>1294.1</v>
      </c>
      <c r="AG843" s="5" t="n">
        <v>1144.6</v>
      </c>
      <c r="AH843" s="5" t="n">
        <v>1359.5</v>
      </c>
      <c r="AI843" s="5" t="inlineStr">
        <is>
          <t>n/a</t>
        </is>
      </c>
      <c r="AJ843" s="5" t="inlineStr"/>
      <c r="AK843" s="5" t="inlineStr"/>
      <c r="AL843" s="5" t="inlineStr"/>
      <c r="AM843" s="5" t="inlineStr"/>
    </row>
    <row r="844">
      <c r="A844" s="5" t="n">
        <v>843</v>
      </c>
      <c r="B844" s="5" t="inlineStr">
        <is>
          <t>130</t>
        </is>
      </c>
      <c r="C844" s="5" t="inlineStr">
        <is>
          <t>nearest labels (100% agree)</t>
        </is>
      </c>
      <c r="D844" s="5" t="inlineStr">
        <is>
          <t>grade_beam</t>
        </is>
      </c>
      <c r="E844" s="5" t="inlineStr">
        <is>
          <t>grade_beam</t>
        </is>
      </c>
      <c r="F844" s="5" t="inlineStr">
        <is>
          <t>LG40x15</t>
        </is>
      </c>
      <c r="G844" s="5" t="inlineStr"/>
      <c r="H844" s="5" t="inlineStr">
        <is>
          <t>band width matches label</t>
        </is>
      </c>
      <c r="I844" s="5" t="n">
        <v>280</v>
      </c>
      <c r="J844" s="5" t="n">
        <v>40</v>
      </c>
      <c r="K844" s="9">
        <f>IF(AND(ISNUMBER(I844),ISNUMBER(J844),J844&gt;0),I844/J844,"")</f>
        <v/>
      </c>
      <c r="L844" s="5" t="n">
        <v>1.119</v>
      </c>
      <c r="M844" s="5" t="n">
        <v>2.8</v>
      </c>
      <c r="N844" s="5" t="n">
        <v>165.2</v>
      </c>
      <c r="O844" s="5" t="inlineStr">
        <is>
          <t>parallel line pair</t>
        </is>
      </c>
      <c r="P844" s="5" t="inlineStr">
        <is>
          <t>two parallel lines at the width written in the LG label, empty inside</t>
        </is>
      </c>
      <c r="Q844" s="5">
        <f>IF(OR(D844="column",D844="wall"),IF(I844&lt;='P vs V'!$B$3*J844,"column","wall"),"")</f>
        <v/>
      </c>
      <c r="R844" s="5" t="inlineStr"/>
      <c r="S844" s="5" t="inlineStr"/>
      <c r="T844" s="5" t="n"/>
      <c r="U844" s="5" t="inlineStr">
        <is>
          <t>no</t>
        </is>
      </c>
      <c r="V844" s="5" t="inlineStr">
        <is>
          <t>no</t>
        </is>
      </c>
      <c r="W844" s="5" t="inlineStr">
        <is>
          <t>yes</t>
        </is>
      </c>
      <c r="X844" s="5" t="inlineStr">
        <is>
          <t>no</t>
        </is>
      </c>
      <c r="Y844" s="5" t="inlineStr">
        <is>
          <t>no</t>
        </is>
      </c>
      <c r="Z844" s="5" t="inlineStr">
        <is>
          <t>no</t>
        </is>
      </c>
      <c r="AA844" s="5" t="n">
        <v>0.87</v>
      </c>
      <c r="AB844" s="5" t="n"/>
      <c r="AC844" s="5" t="n"/>
      <c r="AD844" s="5" t="n"/>
      <c r="AE844" s="5" t="n">
        <v>1266.9</v>
      </c>
      <c r="AF844" s="5" t="n">
        <v>1476.9</v>
      </c>
      <c r="AG844" s="5" t="n">
        <v>1349.8</v>
      </c>
      <c r="AH844" s="5" t="n">
        <v>1509.4</v>
      </c>
      <c r="AI844" s="5" t="inlineStr">
        <is>
          <t>n/a</t>
        </is>
      </c>
      <c r="AJ844" s="5" t="inlineStr"/>
      <c r="AK844" s="5" t="inlineStr"/>
      <c r="AL844" s="5" t="inlineStr"/>
      <c r="AM844" s="5" t="inlineStr"/>
    </row>
    <row r="845">
      <c r="A845" s="5" t="n">
        <v>844</v>
      </c>
      <c r="B845" s="5" t="inlineStr">
        <is>
          <t>130</t>
        </is>
      </c>
      <c r="C845" s="5" t="inlineStr">
        <is>
          <t>nearest labels (100% agree)</t>
        </is>
      </c>
      <c r="D845" s="5" t="inlineStr">
        <is>
          <t>grade_beam</t>
        </is>
      </c>
      <c r="E845" s="5" t="inlineStr">
        <is>
          <t>grade_beam</t>
        </is>
      </c>
      <c r="F845" s="5" t="inlineStr">
        <is>
          <t>LG40x15</t>
        </is>
      </c>
      <c r="G845" s="5" t="inlineStr"/>
      <c r="H845" s="5" t="inlineStr">
        <is>
          <t>band width matches label</t>
        </is>
      </c>
      <c r="I845" s="5" t="n">
        <v>429</v>
      </c>
      <c r="J845" s="5" t="n">
        <v>40</v>
      </c>
      <c r="K845" s="9">
        <f>IF(AND(ISNUMBER(I845),ISNUMBER(J845),J845&gt;0),I845/J845,"")</f>
        <v/>
      </c>
      <c r="L845" s="5" t="n">
        <v>1.716</v>
      </c>
      <c r="M845" s="5" t="n">
        <v>4.29</v>
      </c>
      <c r="N845" s="5" t="n">
        <v>165.2</v>
      </c>
      <c r="O845" s="5" t="inlineStr">
        <is>
          <t>parallel line pair</t>
        </is>
      </c>
      <c r="P845" s="5" t="inlineStr">
        <is>
          <t>two parallel lines at the width written in the LG label, empty inside</t>
        </is>
      </c>
      <c r="Q845" s="5">
        <f>IF(OR(D845="column",D845="wall"),IF(I845&lt;='P vs V'!$B$3*J845,"column","wall"),"")</f>
        <v/>
      </c>
      <c r="R845" s="5" t="inlineStr"/>
      <c r="S845" s="5" t="inlineStr"/>
      <c r="T845" s="5" t="n"/>
      <c r="U845" s="5" t="inlineStr">
        <is>
          <t>no</t>
        </is>
      </c>
      <c r="V845" s="5" t="inlineStr">
        <is>
          <t>no</t>
        </is>
      </c>
      <c r="W845" s="5" t="inlineStr">
        <is>
          <t>no</t>
        </is>
      </c>
      <c r="X845" s="5" t="inlineStr">
        <is>
          <t>no</t>
        </is>
      </c>
      <c r="Y845" s="5" t="inlineStr">
        <is>
          <t>no</t>
        </is>
      </c>
      <c r="Z845" s="5" t="inlineStr">
        <is>
          <t>no</t>
        </is>
      </c>
      <c r="AA845" s="5" t="n">
        <v>0.86</v>
      </c>
      <c r="AB845" s="5" t="n"/>
      <c r="AC845" s="5" t="n"/>
      <c r="AD845" s="5" t="n"/>
      <c r="AE845" s="5" t="n">
        <v>1044.4</v>
      </c>
      <c r="AF845" s="5" t="n">
        <v>1524.3</v>
      </c>
      <c r="AG845" s="5" t="n">
        <v>1170</v>
      </c>
      <c r="AH845" s="5" t="n">
        <v>1568</v>
      </c>
      <c r="AI845" s="5" t="inlineStr">
        <is>
          <t>n/a</t>
        </is>
      </c>
      <c r="AJ845" s="5" t="inlineStr"/>
      <c r="AK845" s="5" t="inlineStr"/>
      <c r="AL845" s="5" t="inlineStr"/>
      <c r="AM845" s="5" t="inlineStr"/>
    </row>
    <row r="846">
      <c r="A846" s="5" t="n">
        <v>845</v>
      </c>
      <c r="B846" s="5" t="inlineStr">
        <is>
          <t>130</t>
        </is>
      </c>
      <c r="C846" s="5" t="inlineStr">
        <is>
          <t>nearest labels (100% agree)</t>
        </is>
      </c>
      <c r="D846" s="5" t="inlineStr">
        <is>
          <t>grade_beam</t>
        </is>
      </c>
      <c r="E846" s="5" t="inlineStr">
        <is>
          <t>grade_beam</t>
        </is>
      </c>
      <c r="F846" s="5" t="inlineStr">
        <is>
          <t>LG40x15</t>
        </is>
      </c>
      <c r="G846" s="5" t="inlineStr"/>
      <c r="H846" s="5" t="inlineStr">
        <is>
          <t>band width matches label</t>
        </is>
      </c>
      <c r="I846" s="5" t="n">
        <v>301</v>
      </c>
      <c r="J846" s="5" t="n">
        <v>40</v>
      </c>
      <c r="K846" s="9">
        <f>IF(AND(ISNUMBER(I846),ISNUMBER(J846),J846&gt;0),I846/J846,"")</f>
        <v/>
      </c>
      <c r="L846" s="5" t="n">
        <v>1.205</v>
      </c>
      <c r="M846" s="5" t="n">
        <v>3.01</v>
      </c>
      <c r="N846" s="5" t="n">
        <v>165.3</v>
      </c>
      <c r="O846" s="5" t="inlineStr">
        <is>
          <t>parallel line pair</t>
        </is>
      </c>
      <c r="P846" s="5" t="inlineStr">
        <is>
          <t>two parallel lines at the width written in the LG label, empty inside</t>
        </is>
      </c>
      <c r="Q846" s="5">
        <f>IF(OR(D846="column",D846="wall"),IF(I846&lt;='P vs V'!$B$3*J846,"column","wall"),"")</f>
        <v/>
      </c>
      <c r="R846" s="5" t="inlineStr"/>
      <c r="S846" s="5" t="inlineStr"/>
      <c r="T846" s="5" t="n"/>
      <c r="U846" s="5" t="inlineStr">
        <is>
          <t>no</t>
        </is>
      </c>
      <c r="V846" s="5" t="inlineStr">
        <is>
          <t>no</t>
        </is>
      </c>
      <c r="W846" s="5" t="inlineStr">
        <is>
          <t>no</t>
        </is>
      </c>
      <c r="X846" s="5" t="inlineStr">
        <is>
          <t>no</t>
        </is>
      </c>
      <c r="Y846" s="5" t="inlineStr">
        <is>
          <t>no</t>
        </is>
      </c>
      <c r="Z846" s="5" t="inlineStr">
        <is>
          <t>no</t>
        </is>
      </c>
      <c r="AA846" s="5" t="n">
        <v>0.01</v>
      </c>
      <c r="AB846" s="5" t="n"/>
      <c r="AC846" s="5" t="n"/>
      <c r="AD846" s="5" t="n"/>
      <c r="AE846" s="5" t="n">
        <v>821.9</v>
      </c>
      <c r="AF846" s="5" t="n">
        <v>1618.1</v>
      </c>
      <c r="AG846" s="5" t="n">
        <v>910.9</v>
      </c>
      <c r="AH846" s="5" t="n">
        <v>1652.1</v>
      </c>
      <c r="AI846" s="5" t="inlineStr">
        <is>
          <t>n/a</t>
        </is>
      </c>
      <c r="AJ846" s="5" t="inlineStr"/>
      <c r="AK846" s="5" t="inlineStr"/>
      <c r="AL846" s="5" t="inlineStr"/>
      <c r="AM846" s="5" t="inlineStr"/>
    </row>
    <row r="847">
      <c r="A847" s="5" t="n">
        <v>846</v>
      </c>
      <c r="B847" s="5" t="inlineStr">
        <is>
          <t>130</t>
        </is>
      </c>
      <c r="C847" s="5" t="inlineStr">
        <is>
          <t>nearest labels (100% agree)</t>
        </is>
      </c>
      <c r="D847" s="5" t="inlineStr">
        <is>
          <t>grade_beam</t>
        </is>
      </c>
      <c r="E847" s="5" t="inlineStr">
        <is>
          <t>grade_beam</t>
        </is>
      </c>
      <c r="F847" s="5" t="inlineStr">
        <is>
          <t>LG40x15</t>
        </is>
      </c>
      <c r="G847" s="5" t="inlineStr"/>
      <c r="H847" s="5" t="inlineStr">
        <is>
          <t>band width matches label</t>
        </is>
      </c>
      <c r="I847" s="5" t="n">
        <v>103</v>
      </c>
      <c r="J847" s="5" t="n">
        <v>40</v>
      </c>
      <c r="K847" s="9">
        <f>IF(AND(ISNUMBER(I847),ISNUMBER(J847),J847&gt;0),I847/J847,"")</f>
        <v/>
      </c>
      <c r="L847" s="5" t="n">
        <v>0.414</v>
      </c>
      <c r="M847" s="5" t="n">
        <v>1.03</v>
      </c>
      <c r="N847" s="5" t="n">
        <v>75.3</v>
      </c>
      <c r="O847" s="5" t="inlineStr">
        <is>
          <t>parallel line pair</t>
        </is>
      </c>
      <c r="P847" s="5" t="inlineStr">
        <is>
          <t>two parallel lines at the width written in the LG label, empty inside</t>
        </is>
      </c>
      <c r="Q847" s="5">
        <f>IF(OR(D847="column",D847="wall"),IF(I847&lt;='P vs V'!$B$3*J847,"column","wall"),"")</f>
        <v/>
      </c>
      <c r="R847" s="5" t="inlineStr"/>
      <c r="S847" s="5" t="inlineStr"/>
      <c r="T847" s="5" t="n"/>
      <c r="U847" s="5" t="inlineStr">
        <is>
          <t>no</t>
        </is>
      </c>
      <c r="V847" s="5" t="inlineStr">
        <is>
          <t>no</t>
        </is>
      </c>
      <c r="W847" s="5" t="inlineStr">
        <is>
          <t>no</t>
        </is>
      </c>
      <c r="X847" s="5" t="inlineStr">
        <is>
          <t>no</t>
        </is>
      </c>
      <c r="Y847" s="5" t="inlineStr">
        <is>
          <t>no</t>
        </is>
      </c>
      <c r="Z847" s="5" t="inlineStr">
        <is>
          <t>no</t>
        </is>
      </c>
      <c r="AA847" s="5" t="n">
        <v>2.03</v>
      </c>
      <c r="AB847" s="5" t="n"/>
      <c r="AC847" s="5" t="n"/>
      <c r="AD847" s="5" t="n"/>
      <c r="AE847" s="5" t="n">
        <v>696.9</v>
      </c>
      <c r="AF847" s="5" t="n">
        <v>1231.2</v>
      </c>
      <c r="AG847" s="5" t="n">
        <v>716.1</v>
      </c>
      <c r="AH847" s="5" t="n">
        <v>1263.7</v>
      </c>
      <c r="AI847" s="5" t="inlineStr">
        <is>
          <t>n/a</t>
        </is>
      </c>
      <c r="AJ847" s="5" t="inlineStr"/>
      <c r="AK847" s="5" t="inlineStr"/>
      <c r="AL847" s="5" t="inlineStr"/>
      <c r="AM847" s="5" t="inlineStr"/>
    </row>
    <row r="848">
      <c r="A848" s="5" t="n">
        <v>847</v>
      </c>
      <c r="B848" s="5" t="inlineStr">
        <is>
          <t>130</t>
        </is>
      </c>
      <c r="C848" s="5" t="inlineStr">
        <is>
          <t>nearest labels (100% agree)</t>
        </is>
      </c>
      <c r="D848" s="5" t="inlineStr">
        <is>
          <t>grade_beam</t>
        </is>
      </c>
      <c r="E848" s="5" t="inlineStr">
        <is>
          <t>grade_beam</t>
        </is>
      </c>
      <c r="F848" s="5" t="inlineStr">
        <is>
          <t>LG40x15</t>
        </is>
      </c>
      <c r="G848" s="5" t="inlineStr"/>
      <c r="H848" s="5" t="inlineStr">
        <is>
          <t>band width matches label</t>
        </is>
      </c>
      <c r="I848" s="5" t="n">
        <v>149</v>
      </c>
      <c r="J848" s="5" t="n">
        <v>40</v>
      </c>
      <c r="K848" s="9">
        <f>IF(AND(ISNUMBER(I848),ISNUMBER(J848),J848&gt;0),I848/J848,"")</f>
        <v/>
      </c>
      <c r="L848" s="5" t="n">
        <v>0.595</v>
      </c>
      <c r="M848" s="5" t="n">
        <v>1.49</v>
      </c>
      <c r="N848" s="5" t="n">
        <v>75.3</v>
      </c>
      <c r="O848" s="5" t="inlineStr">
        <is>
          <t>parallel line pair</t>
        </is>
      </c>
      <c r="P848" s="5" t="inlineStr">
        <is>
          <t>two parallel lines at the width written in the LG label, empty inside</t>
        </is>
      </c>
      <c r="Q848" s="5">
        <f>IF(OR(D848="column",D848="wall"),IF(I848&lt;='P vs V'!$B$3*J848,"column","wall"),"")</f>
        <v/>
      </c>
      <c r="R848" s="5" t="inlineStr"/>
      <c r="S848" s="5" t="inlineStr"/>
      <c r="T848" s="5" t="n"/>
      <c r="U848" s="5" t="inlineStr">
        <is>
          <t>yes</t>
        </is>
      </c>
      <c r="V848" s="5" t="inlineStr">
        <is>
          <t>no</t>
        </is>
      </c>
      <c r="W848" s="5" t="inlineStr">
        <is>
          <t>yes</t>
        </is>
      </c>
      <c r="X848" s="5" t="inlineStr">
        <is>
          <t>no</t>
        </is>
      </c>
      <c r="Y848" s="5" t="inlineStr">
        <is>
          <t>no</t>
        </is>
      </c>
      <c r="Z848" s="5" t="inlineStr">
        <is>
          <t>no</t>
        </is>
      </c>
      <c r="AA848" s="5" t="n">
        <v>2.03</v>
      </c>
      <c r="AB848" s="5" t="n"/>
      <c r="AC848" s="5" t="n"/>
      <c r="AD848" s="5" t="n"/>
      <c r="AE848" s="5" t="n">
        <v>716</v>
      </c>
      <c r="AF848" s="5" t="n">
        <v>1303.5</v>
      </c>
      <c r="AG848" s="5" t="n">
        <v>738.6</v>
      </c>
      <c r="AH848" s="5" t="n">
        <v>1349</v>
      </c>
      <c r="AI848" s="5" t="inlineStr">
        <is>
          <t>n/a</t>
        </is>
      </c>
      <c r="AJ848" s="5" t="inlineStr"/>
      <c r="AK848" s="5" t="inlineStr"/>
      <c r="AL848" s="5" t="inlineStr"/>
      <c r="AM848" s="5" t="inlineStr"/>
    </row>
    <row r="849">
      <c r="A849" s="5" t="n">
        <v>848</v>
      </c>
      <c r="B849" s="5" t="inlineStr">
        <is>
          <t>130</t>
        </is>
      </c>
      <c r="C849" s="5" t="inlineStr">
        <is>
          <t>nearest labels (100% agree)</t>
        </is>
      </c>
      <c r="D849" s="5" t="inlineStr">
        <is>
          <t>grade_beam</t>
        </is>
      </c>
      <c r="E849" s="5" t="inlineStr">
        <is>
          <t>grade_beam</t>
        </is>
      </c>
      <c r="F849" s="5" t="inlineStr">
        <is>
          <t>LG40x15</t>
        </is>
      </c>
      <c r="G849" s="5" t="inlineStr"/>
      <c r="H849" s="5" t="inlineStr">
        <is>
          <t>band width matches label</t>
        </is>
      </c>
      <c r="I849" s="5" t="n">
        <v>194</v>
      </c>
      <c r="J849" s="5" t="n">
        <v>40</v>
      </c>
      <c r="K849" s="9">
        <f>IF(AND(ISNUMBER(I849),ISNUMBER(J849),J849&gt;0),I849/J849,"")</f>
        <v/>
      </c>
      <c r="L849" s="5" t="n">
        <v>0.778</v>
      </c>
      <c r="M849" s="5" t="n">
        <v>1.94</v>
      </c>
      <c r="N849" s="5" t="n">
        <v>165.2</v>
      </c>
      <c r="O849" s="5" t="inlineStr">
        <is>
          <t>parallel line pair</t>
        </is>
      </c>
      <c r="P849" s="5" t="inlineStr">
        <is>
          <t>two parallel lines at the width written in the LG label, empty inside</t>
        </is>
      </c>
      <c r="Q849" s="5">
        <f>IF(OR(D849="column",D849="wall"),IF(I849&lt;='P vs V'!$B$3*J849,"column","wall"),"")</f>
        <v/>
      </c>
      <c r="R849" s="5" t="inlineStr"/>
      <c r="S849" s="5" t="inlineStr"/>
      <c r="T849" s="5" t="n"/>
      <c r="U849" s="5" t="inlineStr">
        <is>
          <t>no</t>
        </is>
      </c>
      <c r="V849" s="5" t="inlineStr">
        <is>
          <t>no</t>
        </is>
      </c>
      <c r="W849" s="5" t="inlineStr">
        <is>
          <t>no</t>
        </is>
      </c>
      <c r="X849" s="5" t="inlineStr">
        <is>
          <t>no</t>
        </is>
      </c>
      <c r="Y849" s="5" t="inlineStr">
        <is>
          <t>no</t>
        </is>
      </c>
      <c r="Z849" s="5" t="inlineStr">
        <is>
          <t>no</t>
        </is>
      </c>
      <c r="AA849" s="5" t="n">
        <v>3.26</v>
      </c>
      <c r="AB849" s="5" t="n"/>
      <c r="AC849" s="5" t="n"/>
      <c r="AD849" s="5" t="n"/>
      <c r="AE849" s="5" t="n">
        <v>637.6</v>
      </c>
      <c r="AF849" s="5" t="n">
        <v>1283.6</v>
      </c>
      <c r="AG849" s="5" t="n">
        <v>696.1</v>
      </c>
      <c r="AH849" s="5" t="n">
        <v>1309.6</v>
      </c>
      <c r="AI849" s="5" t="inlineStr">
        <is>
          <t>n/a</t>
        </is>
      </c>
      <c r="AJ849" s="5" t="inlineStr"/>
      <c r="AK849" s="5" t="inlineStr"/>
      <c r="AL849" s="5" t="inlineStr"/>
      <c r="AM849" s="5" t="inlineStr"/>
    </row>
    <row r="850">
      <c r="A850" s="5" t="n">
        <v>849</v>
      </c>
      <c r="B850" s="5" t="inlineStr">
        <is>
          <t>130</t>
        </is>
      </c>
      <c r="C850" s="5" t="inlineStr">
        <is>
          <t>nearest labels (60% agree)</t>
        </is>
      </c>
      <c r="D850" s="5" t="inlineStr">
        <is>
          <t>strip_footing</t>
        </is>
      </c>
      <c r="E850" s="5" t="inlineStr">
        <is>
          <t>strip_footing</t>
        </is>
      </c>
      <c r="F850" s="5" t="inlineStr">
        <is>
          <t>SF1</t>
        </is>
      </c>
      <c r="G850" s="5" t="inlineStr"/>
      <c r="H850" s="5" t="inlineStr">
        <is>
          <t>band width matches label</t>
        </is>
      </c>
      <c r="I850" s="5" t="n">
        <v>3708</v>
      </c>
      <c r="J850" s="5" t="n">
        <v>80</v>
      </c>
      <c r="K850" s="9">
        <f>IF(AND(ISNUMBER(I850),ISNUMBER(J850),J850&gt;0),I850/J850,"")</f>
        <v/>
      </c>
      <c r="L850" s="5" t="n">
        <v>29.667</v>
      </c>
      <c r="M850" s="5" t="n">
        <v>37.08</v>
      </c>
      <c r="N850" s="5" t="n">
        <v>75.2</v>
      </c>
      <c r="O850" s="5" t="inlineStr">
        <is>
          <t>parallel line pair</t>
        </is>
      </c>
      <c r="P850" s="5" t="inlineStr">
        <is>
          <t>two parallel lines at the width written in the SF label, a wall inside</t>
        </is>
      </c>
      <c r="Q850" s="5">
        <f>IF(OR(D850="column",D850="wall"),IF(I850&lt;='P vs V'!$B$3*J850,"column","wall"),"")</f>
        <v/>
      </c>
      <c r="R850" s="5" t="inlineStr"/>
      <c r="S850" s="5" t="inlineStr"/>
      <c r="T850" s="5" t="n"/>
      <c r="U850" s="5" t="inlineStr">
        <is>
          <t>no</t>
        </is>
      </c>
      <c r="V850" s="5" t="inlineStr">
        <is>
          <t>no</t>
        </is>
      </c>
      <c r="W850" s="5" t="inlineStr">
        <is>
          <t>yes</t>
        </is>
      </c>
      <c r="X850" s="5" t="inlineStr">
        <is>
          <t>yes</t>
        </is>
      </c>
      <c r="Y850" s="5" t="inlineStr">
        <is>
          <t>yes</t>
        </is>
      </c>
      <c r="Z850" s="5" t="inlineStr">
        <is>
          <t>yes</t>
        </is>
      </c>
      <c r="AA850" s="5" t="n">
        <v>4.58</v>
      </c>
      <c r="AB850" s="5" t="n"/>
      <c r="AC850" s="5" t="n"/>
      <c r="AD850" s="5" t="n"/>
      <c r="AE850" s="5" t="n">
        <v>1241.2</v>
      </c>
      <c r="AF850" s="5" t="n">
        <v>1105</v>
      </c>
      <c r="AG850" s="5" t="n">
        <v>1543.1</v>
      </c>
      <c r="AH850" s="5" t="n">
        <v>2169.8</v>
      </c>
      <c r="AI850" s="5" t="inlineStr">
        <is>
          <t>n/a</t>
        </is>
      </c>
      <c r="AJ850" s="5" t="inlineStr"/>
      <c r="AK850" s="5" t="inlineStr"/>
      <c r="AL850" s="5" t="inlineStr"/>
      <c r="AM850" s="5" t="inlineStr"/>
    </row>
    <row r="851">
      <c r="A851" s="5" t="n">
        <v>850</v>
      </c>
      <c r="B851" s="5" t="inlineStr">
        <is>
          <t>130</t>
        </is>
      </c>
      <c r="C851" s="5" t="inlineStr">
        <is>
          <t>nearest labels (100% agree)</t>
        </is>
      </c>
      <c r="D851" s="5" t="inlineStr">
        <is>
          <t>strip_footing</t>
        </is>
      </c>
      <c r="E851" s="5" t="inlineStr">
        <is>
          <t>strip_footing</t>
        </is>
      </c>
      <c r="F851" s="5" t="inlineStr">
        <is>
          <t>SF1</t>
        </is>
      </c>
      <c r="G851" s="5" t="inlineStr"/>
      <c r="H851" s="5" t="inlineStr">
        <is>
          <t>band width matches label</t>
        </is>
      </c>
      <c r="I851" s="5" t="n">
        <v>798</v>
      </c>
      <c r="J851" s="5" t="n">
        <v>80</v>
      </c>
      <c r="K851" s="9">
        <f>IF(AND(ISNUMBER(I851),ISNUMBER(J851),J851&gt;0),I851/J851,"")</f>
        <v/>
      </c>
      <c r="L851" s="5" t="n">
        <v>6.387</v>
      </c>
      <c r="M851" s="5" t="n">
        <v>7.98</v>
      </c>
      <c r="N851" s="5" t="n">
        <v>5.7</v>
      </c>
      <c r="O851" s="5" t="inlineStr">
        <is>
          <t>parallel line pair</t>
        </is>
      </c>
      <c r="P851" s="5" t="inlineStr">
        <is>
          <t>two parallel lines at the width written in the SF label, a wall inside</t>
        </is>
      </c>
      <c r="Q851" s="5">
        <f>IF(OR(D851="column",D851="wall"),IF(I851&lt;='P vs V'!$B$3*J851,"column","wall"),"")</f>
        <v/>
      </c>
      <c r="R851" s="5" t="inlineStr"/>
      <c r="S851" s="5" t="inlineStr"/>
      <c r="T851" s="5" t="n"/>
      <c r="U851" s="5" t="inlineStr">
        <is>
          <t>no</t>
        </is>
      </c>
      <c r="V851" s="5" t="inlineStr">
        <is>
          <t>no</t>
        </is>
      </c>
      <c r="W851" s="5" t="inlineStr">
        <is>
          <t>yes</t>
        </is>
      </c>
      <c r="X851" s="5" t="inlineStr">
        <is>
          <t>yes</t>
        </is>
      </c>
      <c r="Y851" s="5" t="inlineStr">
        <is>
          <t>yes</t>
        </is>
      </c>
      <c r="Z851" s="5" t="inlineStr">
        <is>
          <t>yes</t>
        </is>
      </c>
      <c r="AA851" s="5" t="n">
        <v>8.56</v>
      </c>
      <c r="AB851" s="5" t="n"/>
      <c r="AC851" s="5" t="n"/>
      <c r="AD851" s="5" t="n"/>
      <c r="AE851" s="5" t="n">
        <v>1006.6</v>
      </c>
      <c r="AF851" s="5" t="n">
        <v>1064.2</v>
      </c>
      <c r="AG851" s="5" t="n">
        <v>1243.5</v>
      </c>
      <c r="AH851" s="5" t="n">
        <v>1111</v>
      </c>
      <c r="AI851" s="5" t="inlineStr">
        <is>
          <t>n/a</t>
        </is>
      </c>
      <c r="AJ851" s="5" t="inlineStr"/>
      <c r="AK851" s="5" t="inlineStr"/>
      <c r="AL851" s="5" t="inlineStr"/>
      <c r="AM851" s="5" t="inlineStr"/>
    </row>
    <row r="852">
      <c r="A852" s="5" t="n">
        <v>851</v>
      </c>
      <c r="B852" s="5" t="inlineStr">
        <is>
          <t>130</t>
        </is>
      </c>
      <c r="C852" s="5" t="inlineStr">
        <is>
          <t>nearest labels (100% agree)</t>
        </is>
      </c>
      <c r="D852" s="5" t="inlineStr">
        <is>
          <t>strip_footing</t>
        </is>
      </c>
      <c r="E852" s="5" t="inlineStr">
        <is>
          <t>strip_footing</t>
        </is>
      </c>
      <c r="F852" s="5" t="inlineStr">
        <is>
          <t>SF1</t>
        </is>
      </c>
      <c r="G852" s="5" t="inlineStr"/>
      <c r="H852" s="5" t="inlineStr">
        <is>
          <t>band width matches label</t>
        </is>
      </c>
      <c r="I852" s="5" t="n">
        <v>471</v>
      </c>
      <c r="J852" s="5" t="n">
        <v>80</v>
      </c>
      <c r="K852" s="9">
        <f>IF(AND(ISNUMBER(I852),ISNUMBER(J852),J852&gt;0),I852/J852,"")</f>
        <v/>
      </c>
      <c r="L852" s="5" t="n">
        <v>3.765</v>
      </c>
      <c r="M852" s="5" t="n">
        <v>4.71</v>
      </c>
      <c r="N852" s="5" t="n">
        <v>2.8</v>
      </c>
      <c r="O852" s="5" t="inlineStr">
        <is>
          <t>parallel line pair</t>
        </is>
      </c>
      <c r="P852" s="5" t="inlineStr">
        <is>
          <t>two parallel lines at the width written in the SF label, a wall inside</t>
        </is>
      </c>
      <c r="Q852" s="5">
        <f>IF(OR(D852="column",D852="wall"),IF(I852&lt;='P vs V'!$B$3*J852,"column","wall"),"")</f>
        <v/>
      </c>
      <c r="R852" s="5" t="inlineStr"/>
      <c r="S852" s="5" t="inlineStr"/>
      <c r="T852" s="5" t="n"/>
      <c r="U852" s="5" t="inlineStr">
        <is>
          <t>no</t>
        </is>
      </c>
      <c r="V852" s="5" t="inlineStr">
        <is>
          <t>no</t>
        </is>
      </c>
      <c r="W852" s="5" t="inlineStr">
        <is>
          <t>yes</t>
        </is>
      </c>
      <c r="X852" s="5" t="inlineStr">
        <is>
          <t>yes</t>
        </is>
      </c>
      <c r="Y852" s="5" t="inlineStr">
        <is>
          <t>yes</t>
        </is>
      </c>
      <c r="Z852" s="5" t="inlineStr">
        <is>
          <t>no</t>
        </is>
      </c>
      <c r="AA852" s="5" t="n">
        <v>0.33</v>
      </c>
      <c r="AB852" s="5" t="n"/>
      <c r="AC852" s="5" t="n"/>
      <c r="AD852" s="5" t="n"/>
      <c r="AE852" s="5" t="n">
        <v>702.6</v>
      </c>
      <c r="AF852" s="5" t="n">
        <v>1209.2</v>
      </c>
      <c r="AG852" s="5" t="n">
        <v>842.5</v>
      </c>
      <c r="AH852" s="5" t="n">
        <v>1239.6</v>
      </c>
      <c r="AI852" s="5" t="inlineStr">
        <is>
          <t>n/a</t>
        </is>
      </c>
      <c r="AJ852" s="5" t="inlineStr"/>
      <c r="AK852" s="5" t="inlineStr"/>
      <c r="AL852" s="5" t="inlineStr"/>
      <c r="AM852" s="5" t="inlineStr"/>
    </row>
    <row r="853">
      <c r="A853" s="5" t="n">
        <v>852</v>
      </c>
      <c r="B853" s="5" t="inlineStr">
        <is>
          <t>130</t>
        </is>
      </c>
      <c r="C853" s="5" t="inlineStr">
        <is>
          <t>nearest labels (100% agree)</t>
        </is>
      </c>
      <c r="D853" s="5" t="inlineStr">
        <is>
          <t>strip_footing</t>
        </is>
      </c>
      <c r="E853" s="5" t="inlineStr">
        <is>
          <t>strip_footing</t>
        </is>
      </c>
      <c r="F853" s="5" t="inlineStr">
        <is>
          <t>SF1</t>
        </is>
      </c>
      <c r="G853" s="5" t="inlineStr"/>
      <c r="H853" s="5" t="inlineStr">
        <is>
          <t>band width matches label</t>
        </is>
      </c>
      <c r="I853" s="5" t="n">
        <v>370</v>
      </c>
      <c r="J853" s="5" t="n">
        <v>80</v>
      </c>
      <c r="K853" s="9">
        <f>IF(AND(ISNUMBER(I853),ISNUMBER(J853),J853&gt;0),I853/J853,"")</f>
        <v/>
      </c>
      <c r="L853" s="5" t="n">
        <v>2.961</v>
      </c>
      <c r="M853" s="5" t="n">
        <v>3.7</v>
      </c>
      <c r="N853" s="5" t="n">
        <v>75.3</v>
      </c>
      <c r="O853" s="5" t="inlineStr">
        <is>
          <t>parallel line pair</t>
        </is>
      </c>
      <c r="P853" s="5" t="inlineStr">
        <is>
          <t>two parallel lines at the width written in the SF label, a wall inside</t>
        </is>
      </c>
      <c r="Q853" s="5">
        <f>IF(OR(D853="column",D853="wall"),IF(I853&lt;='P vs V'!$B$3*J853,"column","wall"),"")</f>
        <v/>
      </c>
      <c r="R853" s="5" t="inlineStr"/>
      <c r="S853" s="5" t="inlineStr"/>
      <c r="T853" s="5" t="n"/>
      <c r="U853" s="5" t="inlineStr">
        <is>
          <t>no</t>
        </is>
      </c>
      <c r="V853" s="5" t="inlineStr">
        <is>
          <t>no</t>
        </is>
      </c>
      <c r="W853" s="5" t="inlineStr">
        <is>
          <t>yes</t>
        </is>
      </c>
      <c r="X853" s="5" t="inlineStr">
        <is>
          <t>yes</t>
        </is>
      </c>
      <c r="Y853" s="5" t="inlineStr">
        <is>
          <t>no</t>
        </is>
      </c>
      <c r="Z853" s="5" t="inlineStr">
        <is>
          <t>yes</t>
        </is>
      </c>
      <c r="AA853" s="5" t="n">
        <v>0.46</v>
      </c>
      <c r="AB853" s="5" t="n"/>
      <c r="AC853" s="5" t="n"/>
      <c r="AD853" s="5" t="n"/>
      <c r="AE853" s="5" t="n">
        <v>864.2</v>
      </c>
      <c r="AF853" s="5" t="n">
        <v>1075.9</v>
      </c>
      <c r="AG853" s="5" t="n">
        <v>914.7</v>
      </c>
      <c r="AH853" s="5" t="n">
        <v>1187.5</v>
      </c>
      <c r="AI853" s="5" t="inlineStr">
        <is>
          <t>n/a</t>
        </is>
      </c>
      <c r="AJ853" s="5" t="inlineStr"/>
      <c r="AK853" s="5" t="inlineStr"/>
      <c r="AL853" s="5" t="inlineStr"/>
      <c r="AM853" s="5" t="inlineStr"/>
    </row>
    <row r="854">
      <c r="A854" s="5" t="n">
        <v>853</v>
      </c>
      <c r="B854" s="5" t="inlineStr">
        <is>
          <t>130</t>
        </is>
      </c>
      <c r="C854" s="5" t="inlineStr">
        <is>
          <t>nearest labels (100% agree)</t>
        </is>
      </c>
      <c r="D854" s="5" t="inlineStr">
        <is>
          <t>strip_footing</t>
        </is>
      </c>
      <c r="E854" s="5" t="inlineStr">
        <is>
          <t>strip_footing</t>
        </is>
      </c>
      <c r="F854" s="5" t="inlineStr">
        <is>
          <t>SF1</t>
        </is>
      </c>
      <c r="G854" s="5" t="inlineStr"/>
      <c r="H854" s="5" t="inlineStr">
        <is>
          <t>band width matches label</t>
        </is>
      </c>
      <c r="I854" s="5" t="n">
        <v>356</v>
      </c>
      <c r="J854" s="5" t="n">
        <v>80</v>
      </c>
      <c r="K854" s="9">
        <f>IF(AND(ISNUMBER(I854),ISNUMBER(J854),J854&gt;0),I854/J854,"")</f>
        <v/>
      </c>
      <c r="L854" s="5" t="n">
        <v>2.845</v>
      </c>
      <c r="M854" s="5" t="n">
        <v>3.56</v>
      </c>
      <c r="N854" s="5" t="n">
        <v>75.2</v>
      </c>
      <c r="O854" s="5" t="inlineStr">
        <is>
          <t>parallel line pair</t>
        </is>
      </c>
      <c r="P854" s="5" t="inlineStr">
        <is>
          <t>two parallel lines at the width written in the SF label, a wall inside</t>
        </is>
      </c>
      <c r="Q854" s="5">
        <f>IF(OR(D854="column",D854="wall"),IF(I854&lt;='P vs V'!$B$3*J854,"column","wall"),"")</f>
        <v/>
      </c>
      <c r="R854" s="5" t="inlineStr"/>
      <c r="S854" s="5" t="inlineStr"/>
      <c r="T854" s="5" t="n"/>
      <c r="U854" s="5" t="inlineStr">
        <is>
          <t>no</t>
        </is>
      </c>
      <c r="V854" s="5" t="inlineStr">
        <is>
          <t>no</t>
        </is>
      </c>
      <c r="W854" s="5" t="inlineStr">
        <is>
          <t>yes</t>
        </is>
      </c>
      <c r="X854" s="5" t="inlineStr">
        <is>
          <t>yes</t>
        </is>
      </c>
      <c r="Y854" s="5" t="inlineStr">
        <is>
          <t>no</t>
        </is>
      </c>
      <c r="Z854" s="5" t="inlineStr">
        <is>
          <t>no</t>
        </is>
      </c>
      <c r="AA854" s="5" t="n">
        <v>2.66</v>
      </c>
      <c r="AB854" s="5" t="n"/>
      <c r="AC854" s="5" t="n"/>
      <c r="AD854" s="5" t="n"/>
      <c r="AE854" s="5" t="n">
        <v>728.6</v>
      </c>
      <c r="AF854" s="5" t="n">
        <v>1530.2</v>
      </c>
      <c r="AG854" s="5" t="n">
        <v>778.2</v>
      </c>
      <c r="AH854" s="5" t="n">
        <v>1637.7</v>
      </c>
      <c r="AI854" s="5" t="inlineStr">
        <is>
          <t>n/a</t>
        </is>
      </c>
      <c r="AJ854" s="5" t="inlineStr"/>
      <c r="AK854" s="5" t="inlineStr"/>
      <c r="AL854" s="5" t="inlineStr"/>
      <c r="AM854" s="5" t="inlineStr"/>
    </row>
    <row r="855">
      <c r="A855" s="5" t="n">
        <v>854</v>
      </c>
      <c r="B855" s="5" t="inlineStr">
        <is>
          <t>130</t>
        </is>
      </c>
      <c r="C855" s="5" t="inlineStr">
        <is>
          <t>nearest labels (60% agree)</t>
        </is>
      </c>
      <c r="D855" s="5" t="inlineStr">
        <is>
          <t>strip_footing</t>
        </is>
      </c>
      <c r="E855" s="5" t="inlineStr">
        <is>
          <t>strip_footing</t>
        </is>
      </c>
      <c r="F855" s="5" t="inlineStr">
        <is>
          <t>SF1</t>
        </is>
      </c>
      <c r="G855" s="5" t="inlineStr"/>
      <c r="H855" s="5" t="inlineStr">
        <is>
          <t>band width matches label</t>
        </is>
      </c>
      <c r="I855" s="5" t="n">
        <v>170</v>
      </c>
      <c r="J855" s="5" t="n">
        <v>80</v>
      </c>
      <c r="K855" s="9">
        <f>IF(AND(ISNUMBER(I855),ISNUMBER(J855),J855&gt;0),I855/J855,"")</f>
        <v/>
      </c>
      <c r="L855" s="5" t="n">
        <v>1.36</v>
      </c>
      <c r="M855" s="5" t="n">
        <v>1.7</v>
      </c>
      <c r="N855" s="5" t="n">
        <v>75.2</v>
      </c>
      <c r="O855" s="5" t="inlineStr">
        <is>
          <t>parallel line pair</t>
        </is>
      </c>
      <c r="P855" s="5" t="inlineStr">
        <is>
          <t>two parallel lines at the width written in the SF label, a wall inside</t>
        </is>
      </c>
      <c r="Q855" s="5">
        <f>IF(OR(D855="column",D855="wall"),IF(I855&lt;='P vs V'!$B$3*J855,"column","wall"),"")</f>
        <v/>
      </c>
      <c r="R855" s="5" t="inlineStr"/>
      <c r="S855" s="5" t="inlineStr"/>
      <c r="T855" s="5" t="n"/>
      <c r="U855" s="5" t="inlineStr">
        <is>
          <t>no</t>
        </is>
      </c>
      <c r="V855" s="5" t="inlineStr">
        <is>
          <t>no</t>
        </is>
      </c>
      <c r="W855" s="5" t="inlineStr">
        <is>
          <t>yes</t>
        </is>
      </c>
      <c r="X855" s="5" t="inlineStr">
        <is>
          <t>yes</t>
        </is>
      </c>
      <c r="Y855" s="5" t="inlineStr">
        <is>
          <t>no</t>
        </is>
      </c>
      <c r="Z855" s="5" t="inlineStr">
        <is>
          <t>no</t>
        </is>
      </c>
      <c r="AA855" s="5" t="n">
        <v>0.88</v>
      </c>
      <c r="AB855" s="5" t="n"/>
      <c r="AC855" s="5" t="n"/>
      <c r="AD855" s="5" t="n"/>
      <c r="AE855" s="5" t="n">
        <v>823.6</v>
      </c>
      <c r="AF855" s="5" t="n">
        <v>1891</v>
      </c>
      <c r="AG855" s="5" t="n">
        <v>859.2</v>
      </c>
      <c r="AH855" s="5" t="n">
        <v>1945.5</v>
      </c>
      <c r="AI855" s="5" t="inlineStr">
        <is>
          <t>n/a</t>
        </is>
      </c>
      <c r="AJ855" s="5" t="inlineStr"/>
      <c r="AK855" s="5" t="inlineStr"/>
      <c r="AL855" s="5" t="inlineStr"/>
      <c r="AM855" s="5" t="inlineStr"/>
    </row>
    <row r="856">
      <c r="A856" s="5" t="n">
        <v>855</v>
      </c>
      <c r="B856" s="5" t="inlineStr">
        <is>
          <t>130</t>
        </is>
      </c>
      <c r="C856" s="5" t="inlineStr">
        <is>
          <t>nearest labels (100% agree)</t>
        </is>
      </c>
      <c r="D856" s="5" t="inlineStr">
        <is>
          <t>strip_footing</t>
        </is>
      </c>
      <c r="E856" s="5" t="inlineStr">
        <is>
          <t>strip_footing</t>
        </is>
      </c>
      <c r="F856" s="5" t="inlineStr">
        <is>
          <t>SF1</t>
        </is>
      </c>
      <c r="G856" s="5" t="inlineStr"/>
      <c r="H856" s="5" t="inlineStr">
        <is>
          <t>band width matches label</t>
        </is>
      </c>
      <c r="I856" s="5" t="n">
        <v>139</v>
      </c>
      <c r="J856" s="5" t="n">
        <v>80</v>
      </c>
      <c r="K856" s="9">
        <f>IF(AND(ISNUMBER(I856),ISNUMBER(J856),J856&gt;0),I856/J856,"")</f>
        <v/>
      </c>
      <c r="L856" s="5" t="n">
        <v>1.109</v>
      </c>
      <c r="M856" s="5" t="n">
        <v>1.39</v>
      </c>
      <c r="N856" s="5" t="n">
        <v>73.3</v>
      </c>
      <c r="O856" s="5" t="inlineStr">
        <is>
          <t>parallel line pair</t>
        </is>
      </c>
      <c r="P856" s="5" t="inlineStr">
        <is>
          <t>two parallel lines at the width written in the SF label, a wall inside</t>
        </is>
      </c>
      <c r="Q856" s="5">
        <f>IF(OR(D856="column",D856="wall"),IF(I856&lt;='P vs V'!$B$3*J856,"column","wall"),"")</f>
        <v/>
      </c>
      <c r="R856" s="5" t="inlineStr"/>
      <c r="S856" s="5" t="inlineStr"/>
      <c r="T856" s="5" t="n"/>
      <c r="U856" s="5" t="inlineStr">
        <is>
          <t>no</t>
        </is>
      </c>
      <c r="V856" s="5" t="inlineStr">
        <is>
          <t>no</t>
        </is>
      </c>
      <c r="W856" s="5" t="inlineStr">
        <is>
          <t>yes</t>
        </is>
      </c>
      <c r="X856" s="5" t="inlineStr">
        <is>
          <t>yes</t>
        </is>
      </c>
      <c r="Y856" s="5" t="inlineStr">
        <is>
          <t>no</t>
        </is>
      </c>
      <c r="Z856" s="5" t="inlineStr">
        <is>
          <t>no</t>
        </is>
      </c>
      <c r="AA856" s="5" t="n">
        <v>1.32</v>
      </c>
      <c r="AB856" s="5" t="n"/>
      <c r="AC856" s="5" t="n"/>
      <c r="AD856" s="5" t="n"/>
      <c r="AE856" s="5" t="n">
        <v>583.4</v>
      </c>
      <c r="AF856" s="5" t="n">
        <v>1246.5</v>
      </c>
      <c r="AG856" s="5" t="n">
        <v>617.8</v>
      </c>
      <c r="AH856" s="5" t="n">
        <v>1292.5</v>
      </c>
      <c r="AI856" s="5" t="inlineStr">
        <is>
          <t>n/a</t>
        </is>
      </c>
      <c r="AJ856" s="5" t="inlineStr"/>
      <c r="AK856" s="5" t="inlineStr"/>
      <c r="AL856" s="5" t="inlineStr"/>
      <c r="AM856" s="5" t="inlineStr"/>
    </row>
    <row r="857">
      <c r="A857" s="5" t="n">
        <v>856</v>
      </c>
      <c r="B857" s="5" t="inlineStr">
        <is>
          <t>130</t>
        </is>
      </c>
      <c r="C857" s="5" t="inlineStr">
        <is>
          <t>nearest labels (100% agree)</t>
        </is>
      </c>
      <c r="D857" s="5" t="inlineStr">
        <is>
          <t>strip_footing</t>
        </is>
      </c>
      <c r="E857" s="5" t="inlineStr">
        <is>
          <t>strip_footing</t>
        </is>
      </c>
      <c r="F857" s="5" t="inlineStr">
        <is>
          <t>SF1</t>
        </is>
      </c>
      <c r="G857" s="5" t="inlineStr"/>
      <c r="H857" s="5" t="inlineStr">
        <is>
          <t>band width matches label</t>
        </is>
      </c>
      <c r="I857" s="5" t="n">
        <v>117</v>
      </c>
      <c r="J857" s="5" t="n">
        <v>80</v>
      </c>
      <c r="K857" s="9">
        <f>IF(AND(ISNUMBER(I857),ISNUMBER(J857),J857&gt;0),I857/J857,"")</f>
        <v/>
      </c>
      <c r="L857" s="5" t="n">
        <v>0.9379999999999999</v>
      </c>
      <c r="M857" s="5" t="n">
        <v>1.17</v>
      </c>
      <c r="N857" s="5" t="n">
        <v>5.6</v>
      </c>
      <c r="O857" s="5" t="inlineStr">
        <is>
          <t>parallel line pair</t>
        </is>
      </c>
      <c r="P857" s="5" t="inlineStr">
        <is>
          <t>two parallel lines at the width written in the SF label, a wall inside</t>
        </is>
      </c>
      <c r="Q857" s="5">
        <f>IF(OR(D857="column",D857="wall"),IF(I857&lt;='P vs V'!$B$3*J857,"column","wall"),"")</f>
        <v/>
      </c>
      <c r="R857" s="5" t="inlineStr"/>
      <c r="S857" s="5" t="inlineStr"/>
      <c r="T857" s="5" t="n"/>
      <c r="U857" s="5" t="inlineStr">
        <is>
          <t>no</t>
        </is>
      </c>
      <c r="V857" s="5" t="inlineStr">
        <is>
          <t>no</t>
        </is>
      </c>
      <c r="W857" s="5" t="inlineStr">
        <is>
          <t>yes</t>
        </is>
      </c>
      <c r="X857" s="5" t="inlineStr">
        <is>
          <t>yes</t>
        </is>
      </c>
      <c r="Y857" s="5" t="inlineStr">
        <is>
          <t>no</t>
        </is>
      </c>
      <c r="Z857" s="5" t="inlineStr">
        <is>
          <t>yes</t>
        </is>
      </c>
      <c r="AA857" s="5" t="n">
        <v>1.55</v>
      </c>
      <c r="AB857" s="5" t="n"/>
      <c r="AC857" s="5" t="n"/>
      <c r="AD857" s="5" t="n"/>
      <c r="AE857" s="5" t="n">
        <v>887</v>
      </c>
      <c r="AF857" s="5" t="n">
        <v>1052.5</v>
      </c>
      <c r="AG857" s="5" t="n">
        <v>923.7</v>
      </c>
      <c r="AH857" s="5" t="n">
        <v>1079.3</v>
      </c>
      <c r="AI857" s="5" t="inlineStr">
        <is>
          <t>n/a</t>
        </is>
      </c>
      <c r="AJ857" s="5" t="inlineStr"/>
      <c r="AK857" s="5" t="inlineStr"/>
      <c r="AL857" s="5" t="inlineStr"/>
      <c r="AM857" s="5" t="inlineStr"/>
    </row>
    <row r="858">
      <c r="A858" s="5" t="n">
        <v>857</v>
      </c>
      <c r="B858" s="5" t="inlineStr">
        <is>
          <t>130</t>
        </is>
      </c>
      <c r="C858" s="5" t="inlineStr">
        <is>
          <t>nearest labels (100% agree)</t>
        </is>
      </c>
      <c r="D858" s="5" t="inlineStr">
        <is>
          <t>strip_footing</t>
        </is>
      </c>
      <c r="E858" s="5" t="inlineStr">
        <is>
          <t>strip_footing</t>
        </is>
      </c>
      <c r="F858" s="5" t="inlineStr">
        <is>
          <t>SF4</t>
        </is>
      </c>
      <c r="G858" s="5" t="inlineStr"/>
      <c r="H858" s="5" t="inlineStr">
        <is>
          <t>band width matches label</t>
        </is>
      </c>
      <c r="I858" s="5" t="n">
        <v>338</v>
      </c>
      <c r="J858" s="5" t="n">
        <v>120</v>
      </c>
      <c r="K858" s="9">
        <f>IF(AND(ISNUMBER(I858),ISNUMBER(J858),J858&gt;0),I858/J858,"")</f>
        <v/>
      </c>
      <c r="L858" s="5" t="n">
        <v>4.05</v>
      </c>
      <c r="M858" s="5" t="n">
        <v>3.38</v>
      </c>
      <c r="N858" s="5" t="n">
        <v>165.3</v>
      </c>
      <c r="O858" s="5" t="inlineStr">
        <is>
          <t>parallel line pair</t>
        </is>
      </c>
      <c r="P858" s="5" t="inlineStr">
        <is>
          <t>two parallel lines at the width written in the SF label, a wall inside</t>
        </is>
      </c>
      <c r="Q858" s="5">
        <f>IF(OR(D858="column",D858="wall"),IF(I858&lt;='P vs V'!$B$3*J858,"column","wall"),"")</f>
        <v/>
      </c>
      <c r="R858" s="5" t="inlineStr"/>
      <c r="S858" s="5" t="inlineStr"/>
      <c r="T858" s="5" t="n"/>
      <c r="U858" s="5" t="inlineStr">
        <is>
          <t>yes</t>
        </is>
      </c>
      <c r="V858" s="5" t="inlineStr">
        <is>
          <t>no</t>
        </is>
      </c>
      <c r="W858" s="5" t="inlineStr">
        <is>
          <t>yes</t>
        </is>
      </c>
      <c r="X858" s="5" t="inlineStr">
        <is>
          <t>yes</t>
        </is>
      </c>
      <c r="Y858" s="5" t="inlineStr">
        <is>
          <t>yes</t>
        </is>
      </c>
      <c r="Z858" s="5" t="inlineStr">
        <is>
          <t>no</t>
        </is>
      </c>
      <c r="AA858" s="5" t="n">
        <v>3.26</v>
      </c>
      <c r="AB858" s="5" t="n"/>
      <c r="AC858" s="5" t="n"/>
      <c r="AD858" s="5" t="n"/>
      <c r="AE858" s="5" t="n">
        <v>628.3</v>
      </c>
      <c r="AF858" s="5" t="n">
        <v>1320.6</v>
      </c>
      <c r="AG858" s="5" t="n">
        <v>733.7</v>
      </c>
      <c r="AH858" s="5" t="n">
        <v>1380.1</v>
      </c>
      <c r="AI858" s="5" t="inlineStr">
        <is>
          <t>n/a</t>
        </is>
      </c>
      <c r="AJ858" s="5" t="inlineStr"/>
      <c r="AK858" s="5" t="inlineStr"/>
      <c r="AL858" s="5" t="inlineStr"/>
      <c r="AM858" s="5" t="inlineStr"/>
    </row>
    <row r="859">
      <c r="A859" s="5" t="n">
        <v>858</v>
      </c>
      <c r="B859" s="5" t="inlineStr">
        <is>
          <t>130</t>
        </is>
      </c>
      <c r="C859" s="5" t="inlineStr">
        <is>
          <t>nearest labels (100% agree)</t>
        </is>
      </c>
      <c r="D859" s="5" t="inlineStr">
        <is>
          <t>strip_footing</t>
        </is>
      </c>
      <c r="E859" s="5" t="inlineStr">
        <is>
          <t>strip_footing</t>
        </is>
      </c>
      <c r="F859" s="5" t="inlineStr">
        <is>
          <t>SF4</t>
        </is>
      </c>
      <c r="G859" s="5" t="inlineStr"/>
      <c r="H859" s="5" t="inlineStr">
        <is>
          <t>band width matches label</t>
        </is>
      </c>
      <c r="I859" s="5" t="n">
        <v>280</v>
      </c>
      <c r="J859" s="5" t="n">
        <v>120</v>
      </c>
      <c r="K859" s="9">
        <f>IF(AND(ISNUMBER(I859),ISNUMBER(J859),J859&gt;0),I859/J859,"")</f>
        <v/>
      </c>
      <c r="L859" s="5" t="n">
        <v>3.361</v>
      </c>
      <c r="M859" s="5" t="n">
        <v>2.8</v>
      </c>
      <c r="N859" s="5" t="n">
        <v>75.3</v>
      </c>
      <c r="O859" s="5" t="inlineStr">
        <is>
          <t>parallel line pair</t>
        </is>
      </c>
      <c r="P859" s="5" t="inlineStr">
        <is>
          <t>two parallel lines at the width written in the SF label, a wall inside</t>
        </is>
      </c>
      <c r="Q859" s="5">
        <f>IF(OR(D859="column",D859="wall"),IF(I859&lt;='P vs V'!$B$3*J859,"column","wall"),"")</f>
        <v/>
      </c>
      <c r="R859" s="5" t="inlineStr"/>
      <c r="S859" s="5" t="inlineStr"/>
      <c r="T859" s="5" t="n"/>
      <c r="U859" s="5" t="inlineStr">
        <is>
          <t>yes</t>
        </is>
      </c>
      <c r="V859" s="5" t="inlineStr">
        <is>
          <t>no</t>
        </is>
      </c>
      <c r="W859" s="5" t="inlineStr">
        <is>
          <t>yes</t>
        </is>
      </c>
      <c r="X859" s="5" t="inlineStr">
        <is>
          <t>yes</t>
        </is>
      </c>
      <c r="Y859" s="5" t="inlineStr">
        <is>
          <t>no</t>
        </is>
      </c>
      <c r="Z859" s="5" t="inlineStr">
        <is>
          <t>no</t>
        </is>
      </c>
      <c r="AA859" s="5" t="n">
        <v>4.82</v>
      </c>
      <c r="AB859" s="5" t="n"/>
      <c r="AC859" s="5" t="n"/>
      <c r="AD859" s="5" t="n"/>
      <c r="AE859" s="5" t="n">
        <v>432.9</v>
      </c>
      <c r="AF859" s="5" t="n">
        <v>1458.7</v>
      </c>
      <c r="AG859" s="5" t="n">
        <v>488.1</v>
      </c>
      <c r="AH859" s="5" t="n">
        <v>1547.7</v>
      </c>
      <c r="AI859" s="5" t="inlineStr">
        <is>
          <t>n/a</t>
        </is>
      </c>
      <c r="AJ859" s="5" t="inlineStr"/>
      <c r="AK859" s="5" t="inlineStr"/>
      <c r="AL859" s="5" t="inlineStr"/>
      <c r="AM859" s="5" t="inlineStr"/>
    </row>
    <row r="860">
      <c r="A860" s="5" t="n">
        <v>859</v>
      </c>
      <c r="B860" s="5" t="inlineStr">
        <is>
          <t>130</t>
        </is>
      </c>
      <c r="C860" s="5" t="inlineStr">
        <is>
          <t>nearest labels (100% agree)</t>
        </is>
      </c>
      <c r="D860" s="5" t="inlineStr">
        <is>
          <t>raft</t>
        </is>
      </c>
      <c r="E860" s="5" t="inlineStr">
        <is>
          <t>crane_raft (probable)</t>
        </is>
      </c>
      <c r="F860" s="5" t="inlineStr">
        <is>
          <t>Radier 190</t>
        </is>
      </c>
      <c r="G860" s="5" t="inlineStr">
        <is>
          <t>RADIER 190CM</t>
        </is>
      </c>
      <c r="H860" s="5" t="inlineStr">
        <is>
          <t>printed</t>
        </is>
      </c>
      <c r="I860" s="5" t="n"/>
      <c r="J860" s="5" t="n"/>
      <c r="K860" s="9">
        <f>IF(AND(ISNUMBER(I860),ISNUMBER(J860),J860&gt;0),I860/J860,"")</f>
        <v/>
      </c>
      <c r="L860" s="5" t="n"/>
      <c r="M860" s="5" t="n"/>
      <c r="N860" s="5" t="n"/>
      <c r="O860" s="5" t="inlineStr">
        <is>
          <t>stamp + corner diagonals</t>
        </is>
      </c>
      <c r="P860" s="5" t="inlineStr">
        <is>
          <t>'Radier' stamp; extent not found (no corner diagonals)</t>
        </is>
      </c>
      <c r="Q860" s="5">
        <f>IF(OR(D860="column",D860="wall"),IF(I860&lt;='P vs V'!$B$3*J860,"column","wall"),"")</f>
        <v/>
      </c>
      <c r="R860" s="5" t="inlineStr"/>
      <c r="S860" s="5" t="inlineStr"/>
      <c r="T860" s="5" t="n"/>
      <c r="U860" s="5" t="inlineStr">
        <is>
          <t>no</t>
        </is>
      </c>
      <c r="V860" s="5" t="inlineStr">
        <is>
          <t>no</t>
        </is>
      </c>
      <c r="W860" s="5" t="inlineStr">
        <is>
          <t>no</t>
        </is>
      </c>
      <c r="X860" s="5" t="inlineStr">
        <is>
          <t>no</t>
        </is>
      </c>
      <c r="Y860" s="5" t="inlineStr">
        <is>
          <t>no</t>
        </is>
      </c>
      <c r="Z860" s="5" t="inlineStr">
        <is>
          <t>no</t>
        </is>
      </c>
      <c r="AA860" s="5" t="n">
        <v>4.22</v>
      </c>
      <c r="AB860" s="5" t="n"/>
      <c r="AC860" s="5" t="n"/>
      <c r="AD860" s="5" t="n">
        <v>190</v>
      </c>
      <c r="AE860" s="5" t="n">
        <v>1025.9</v>
      </c>
      <c r="AF860" s="5" t="n">
        <v>1255</v>
      </c>
      <c r="AG860" s="5" t="n">
        <v>1055.4</v>
      </c>
      <c r="AH860" s="5" t="n">
        <v>1284.6</v>
      </c>
      <c r="AI860" s="5" t="inlineStr">
        <is>
          <t>n/a</t>
        </is>
      </c>
      <c r="AJ860" s="5" t="inlineStr"/>
      <c r="AK860" s="5" t="inlineStr"/>
      <c r="AL860" s="5" t="inlineStr"/>
      <c r="AM860" s="5" t="inlineStr"/>
    </row>
    <row r="861">
      <c r="A861" s="5" t="n">
        <v>860</v>
      </c>
      <c r="B861" s="5" t="inlineStr">
        <is>
          <t>130</t>
        </is>
      </c>
      <c r="C861" s="5" t="inlineStr">
        <is>
          <t>nearest labels (100% agree)</t>
        </is>
      </c>
      <c r="D861" s="5" t="inlineStr">
        <is>
          <t>raft</t>
        </is>
      </c>
      <c r="E861" s="5" t="inlineStr">
        <is>
          <t>raft</t>
        </is>
      </c>
      <c r="F861" s="5" t="inlineStr">
        <is>
          <t>Radier 100</t>
        </is>
      </c>
      <c r="G861" s="5" t="inlineStr">
        <is>
          <t>Radier</t>
        </is>
      </c>
      <c r="H861" s="5" t="inlineStr">
        <is>
          <t>printed</t>
        </is>
      </c>
      <c r="I861" s="5" t="n">
        <v>1971</v>
      </c>
      <c r="J861" s="5" t="n">
        <v>693</v>
      </c>
      <c r="K861" s="9">
        <f>IF(AND(ISNUMBER(I861),ISNUMBER(J861),J861&gt;0),I861/J861,"")</f>
        <v/>
      </c>
      <c r="L861" s="5" t="n">
        <v>114.055</v>
      </c>
      <c r="M861" s="5" t="n"/>
      <c r="N861" s="5" t="n">
        <v>167.1</v>
      </c>
      <c r="O861" s="5" t="inlineStr">
        <is>
          <t>stamp + corner diagonals</t>
        </is>
      </c>
      <c r="P861" s="5" t="inlineStr">
        <is>
          <t>'Radier' stamp; extent from the corner diagonals that stop at the stamp</t>
        </is>
      </c>
      <c r="Q861" s="5">
        <f>IF(OR(D861="column",D861="wall"),IF(I861&lt;='P vs V'!$B$3*J861,"column","wall"),"")</f>
        <v/>
      </c>
      <c r="R861" s="5" t="inlineStr"/>
      <c r="S861" s="5" t="inlineStr"/>
      <c r="T861" s="5" t="n"/>
      <c r="U861" s="5" t="inlineStr">
        <is>
          <t>no</t>
        </is>
      </c>
      <c r="V861" s="5" t="inlineStr">
        <is>
          <t>yes</t>
        </is>
      </c>
      <c r="W861" s="5" t="inlineStr">
        <is>
          <t>yes</t>
        </is>
      </c>
      <c r="X861" s="5" t="inlineStr">
        <is>
          <t>no</t>
        </is>
      </c>
      <c r="Y861" s="5" t="inlineStr">
        <is>
          <t>yes</t>
        </is>
      </c>
      <c r="Z861" s="5" t="inlineStr">
        <is>
          <t>yes</t>
        </is>
      </c>
      <c r="AA861" s="5" t="n">
        <v>2.74</v>
      </c>
      <c r="AB861" s="5" t="n"/>
      <c r="AC861" s="5" t="n"/>
      <c r="AD861" s="5" t="n">
        <v>100</v>
      </c>
      <c r="AE861" s="5" t="n">
        <v>415.5</v>
      </c>
      <c r="AF861" s="5" t="n">
        <v>1294.4</v>
      </c>
      <c r="AG861" s="5" t="n">
        <v>1025.7</v>
      </c>
      <c r="AH861" s="5" t="n">
        <v>1587</v>
      </c>
      <c r="AI861" s="5" t="inlineStr">
        <is>
          <t>n/a</t>
        </is>
      </c>
      <c r="AJ861" s="5" t="inlineStr"/>
      <c r="AK861" s="5" t="inlineStr"/>
      <c r="AL861" s="5" t="inlineStr"/>
      <c r="AM861" s="5" t="inlineStr"/>
    </row>
    <row r="862">
      <c r="A862" s="5" t="n">
        <v>861</v>
      </c>
      <c r="B862" s="5" t="inlineStr">
        <is>
          <t>130</t>
        </is>
      </c>
      <c r="C862" s="5" t="inlineStr">
        <is>
          <t>nearest labels (100% agree)</t>
        </is>
      </c>
      <c r="D862" s="5" t="inlineStr">
        <is>
          <t>sump_pit</t>
        </is>
      </c>
      <c r="E862" s="5" t="inlineStr">
        <is>
          <t>sump_pit</t>
        </is>
      </c>
      <c r="F862" s="5" t="inlineStr">
        <is>
          <t>Fosse 2.00x1.50x1.50</t>
        </is>
      </c>
      <c r="G862" s="5" t="inlineStr">
        <is>
          <t>FOSSE DE RELEVAGE2.00x1.50x1.50</t>
        </is>
      </c>
      <c r="H862" s="5" t="inlineStr">
        <is>
          <t>printed</t>
        </is>
      </c>
      <c r="I862" s="5" t="n">
        <v>200</v>
      </c>
      <c r="J862" s="5" t="n">
        <v>150</v>
      </c>
      <c r="K862" s="9">
        <f>IF(AND(ISNUMBER(I862),ISNUMBER(J862),J862&gt;0),I862/J862,"")</f>
        <v/>
      </c>
      <c r="L862" s="5" t="n">
        <v>3</v>
      </c>
      <c r="M862" s="5" t="n"/>
      <c r="N862" s="5" t="n">
        <v>177.2</v>
      </c>
      <c r="O862" s="5" t="inlineStr">
        <is>
          <t>text</t>
        </is>
      </c>
      <c r="P862" s="5" t="inlineStr">
        <is>
          <t>'FOSSE DE RELEVAGE LxWxH' text (size read from the text)</t>
        </is>
      </c>
      <c r="Q862" s="5">
        <f>IF(OR(D862="column",D862="wall"),IF(I862&lt;='P vs V'!$B$3*J862,"column","wall"),"")</f>
        <v/>
      </c>
      <c r="R862" s="5" t="inlineStr"/>
      <c r="S862" s="5" t="inlineStr"/>
      <c r="T862" s="5" t="n"/>
      <c r="U862" s="5" t="inlineStr">
        <is>
          <t>no</t>
        </is>
      </c>
      <c r="V862" s="5" t="inlineStr">
        <is>
          <t>no</t>
        </is>
      </c>
      <c r="W862" s="5" t="inlineStr">
        <is>
          <t>no</t>
        </is>
      </c>
      <c r="X862" s="5" t="inlineStr">
        <is>
          <t>no</t>
        </is>
      </c>
      <c r="Y862" s="5" t="inlineStr">
        <is>
          <t>no</t>
        </is>
      </c>
      <c r="Z862" s="5" t="inlineStr">
        <is>
          <t>no</t>
        </is>
      </c>
      <c r="AA862" s="5" t="n">
        <v>2.86</v>
      </c>
      <c r="AB862" s="5" t="n"/>
      <c r="AC862" s="5" t="n"/>
      <c r="AD862" s="5" t="n"/>
      <c r="AE862" s="5" t="n">
        <v>955</v>
      </c>
      <c r="AF862" s="5" t="n">
        <v>1143.6</v>
      </c>
      <c r="AG862" s="5" t="n">
        <v>984.6</v>
      </c>
      <c r="AH862" s="5" t="n">
        <v>1173.1</v>
      </c>
      <c r="AI862" s="5" t="inlineStr">
        <is>
          <t>n/a</t>
        </is>
      </c>
      <c r="AJ862" s="5" t="inlineStr"/>
      <c r="AK862" s="5" t="inlineStr"/>
      <c r="AL862" s="5" t="inlineStr"/>
      <c r="AM862" s="5" t="inlineStr"/>
    </row>
  </sheetData>
  <autoFilter ref="A1:AM862"/>
  <pageMargins left="0.75" right="0.75" top="1" bottom="1" header="0.5" footer="0.5"/>
</worksheet>
</file>

<file path=xl/worksheets/sheet4.xml><?xml version="1.0" encoding="utf-8"?>
<worksheet xmlns="http://schemas.openxmlformats.org/spreadsheetml/2006/main">
  <sheetPr>
    <outlinePr summaryBelow="1" summaryRight="1"/>
    <pageSetUpPr/>
  </sheetPr>
  <dimension ref="A1:P16"/>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7" customWidth="1" min="1" max="1"/>
    <col width="19" customWidth="1" min="2" max="2"/>
    <col width="7" customWidth="1" min="3" max="3"/>
    <col width="10" customWidth="1" min="4" max="4"/>
    <col width="10" customWidth="1" min="5" max="5"/>
    <col width="10" customWidth="1" min="6" max="6"/>
    <col width="10" customWidth="1" min="7" max="7"/>
    <col width="10" customWidth="1" min="8" max="8"/>
    <col width="10" customWidth="1" min="9" max="9"/>
    <col width="10" customWidth="1" min="10" max="10"/>
    <col width="10" customWidth="1" min="11" max="11"/>
    <col width="10" customWidth="1" min="12" max="12"/>
    <col width="10" customWidth="1" min="13" max="13"/>
    <col width="10" customWidth="1" min="14" max="14"/>
    <col width="10" customWidth="1" min="15" max="15"/>
    <col width="90" customWidth="1" min="16" max="16"/>
  </cols>
  <sheetData>
    <row r="1" ht="32" customHeight="1">
      <c r="A1" s="4" t="inlineStr">
        <is>
          <t>Family</t>
        </is>
      </c>
      <c r="B1" s="4" t="inlineStr">
        <is>
          <t>Subclass</t>
        </is>
      </c>
      <c r="C1" s="4" t="inlineStr">
        <is>
          <t>Count</t>
        </is>
      </c>
      <c r="D1" s="4" t="inlineStr">
        <is>
          <t>On raft (share)</t>
        </is>
      </c>
      <c r="E1" s="4" t="inlineStr">
        <is>
          <t>Touches hatched wall (share)</t>
        </is>
      </c>
      <c r="F1" s="4" t="inlineStr">
        <is>
          <t>Touches solid element (share)</t>
        </is>
      </c>
      <c r="G1" s="4" t="inlineStr">
        <is>
          <t>In strip band (share)</t>
        </is>
      </c>
      <c r="H1" s="4" t="inlineStr">
        <is>
          <t>On grade beam (share)</t>
        </is>
      </c>
      <c r="I1" s="4" t="inlineStr">
        <is>
          <t>At LG junction (share)</t>
        </is>
      </c>
      <c r="J1" s="4" t="inlineStr">
        <is>
          <t>On raft (share in other families)</t>
        </is>
      </c>
      <c r="K1" s="4" t="inlineStr">
        <is>
          <t>Touches hatched wall (share in other families)</t>
        </is>
      </c>
      <c r="L1" s="4" t="inlineStr">
        <is>
          <t>Touches solid element (share in other families)</t>
        </is>
      </c>
      <c r="M1" s="4" t="inlineStr">
        <is>
          <t>In strip band (share in other families)</t>
        </is>
      </c>
      <c r="N1" s="4" t="inlineStr">
        <is>
          <t>On grade beam (share in other families)</t>
        </is>
      </c>
      <c r="O1" s="4" t="inlineStr">
        <is>
          <t>At LG junction (share in other families)</t>
        </is>
      </c>
      <c r="P1" s="4" t="inlineStr">
        <is>
          <t>Signature (colour-free)</t>
        </is>
      </c>
    </row>
    <row r="2">
      <c r="A2" s="5" t="inlineStr">
        <is>
          <t>column</t>
        </is>
      </c>
      <c r="B2" s="5" t="inlineStr">
        <is>
          <t>column</t>
        </is>
      </c>
      <c r="C2" s="5">
        <f>COUNTIFS(Elements!$D$2:$D$862,$A2,Elements!$E$2:$E$862,$B2)</f>
        <v/>
      </c>
      <c r="D2" s="10">
        <f>IFERROR(COUNTIFS(Elements!$D$2:$D$862,$A2,Elements!$E$2:$E$862,$B2,Elements!$U$2:$U$862,"yes")/$C2,0)</f>
        <v/>
      </c>
      <c r="E2" s="10">
        <f>IFERROR(COUNTIFS(Elements!$D$2:$D$862,$A2,Elements!$E$2:$E$862,$B2,Elements!$V$2:$V$862,"yes")/$C2,0)</f>
        <v/>
      </c>
      <c r="F2" s="10">
        <f>IFERROR(COUNTIFS(Elements!$D$2:$D$862,$A2,Elements!$E$2:$E$862,$B2,Elements!$W$2:$W$862,"yes")/$C2,0)</f>
        <v/>
      </c>
      <c r="G2" s="10">
        <f>IFERROR(COUNTIFS(Elements!$D$2:$D$862,$A2,Elements!$E$2:$E$862,$B2,Elements!$X$2:$X$862,"yes")/$C2,0)</f>
        <v/>
      </c>
      <c r="H2" s="10">
        <f>IFERROR(COUNTIFS(Elements!$D$2:$D$862,$A2,Elements!$E$2:$E$862,$B2,Elements!$Y$2:$Y$862,"yes")/$C2,0)</f>
        <v/>
      </c>
      <c r="I2" s="10">
        <f>IFERROR(COUNTIFS(Elements!$D$2:$D$862,$A2,Elements!$E$2:$E$862,$B2,Elements!$Z$2:$Z$862,"yes")/$C2,0)</f>
        <v/>
      </c>
      <c r="J2" s="10">
        <f>IFERROR((COUNTIFS(Elements!$U$2:$U$862,"yes")-COUNTIFS(Elements!$D$2:$D$862,$A2,Elements!$E$2:$E$862,$B2,Elements!$U$2:$U$862,"yes"))/(COUNTA(Elements!$A$2:$A$862)-$C2),0)</f>
        <v/>
      </c>
      <c r="K2" s="10">
        <f>IFERROR((COUNTIFS(Elements!$V$2:$V$862,"yes")-COUNTIFS(Elements!$D$2:$D$862,$A2,Elements!$E$2:$E$862,$B2,Elements!$V$2:$V$862,"yes"))/(COUNTA(Elements!$A$2:$A$862)-$C2),0)</f>
        <v/>
      </c>
      <c r="L2" s="10">
        <f>IFERROR((COUNTIFS(Elements!$W$2:$W$862,"yes")-COUNTIFS(Elements!$D$2:$D$862,$A2,Elements!$E$2:$E$862,$B2,Elements!$W$2:$W$862,"yes"))/(COUNTA(Elements!$A$2:$A$862)-$C2),0)</f>
        <v/>
      </c>
      <c r="M2" s="10">
        <f>IFERROR((COUNTIFS(Elements!$X$2:$X$862,"yes")-COUNTIFS(Elements!$D$2:$D$862,$A2,Elements!$E$2:$E$862,$B2,Elements!$X$2:$X$862,"yes"))/(COUNTA(Elements!$A$2:$A$862)-$C2),0)</f>
        <v/>
      </c>
      <c r="N2" s="10">
        <f>IFERROR((COUNTIFS(Elements!$Y$2:$Y$862,"yes")-COUNTIFS(Elements!$D$2:$D$862,$A2,Elements!$E$2:$E$862,$B2,Elements!$Y$2:$Y$862,"yes"))/(COUNTA(Elements!$A$2:$A$862)-$C2),0)</f>
        <v/>
      </c>
      <c r="O2" s="10">
        <f>IFERROR((COUNTIFS(Elements!$Z$2:$Z$862,"yes")-COUNTIFS(Elements!$D$2:$D$862,$A2,Elements!$E$2:$E$862,$B2,Elements!$Z$2:$Z$862,"yes"))/(COUNTA(Elements!$A$2:$A$862)-$C2),0)</f>
        <v/>
      </c>
      <c r="P2" s="2" t="inlineStr">
        <is>
          <t>solid fill; 40-120 x 25-50 cm; L/W 1.60-4.00; inside a footing outline 37%; on a raft 63%; touching a hatched core wall 26%; in a strip-footing band 0%; at a grade-beam junction 26%</t>
        </is>
      </c>
    </row>
    <row r="3">
      <c r="A3" s="5" t="inlineStr">
        <is>
          <t>crane_foundation</t>
        </is>
      </c>
      <c r="B3" s="5" t="inlineStr">
        <is>
          <t>crane_foundation</t>
        </is>
      </c>
      <c r="C3" s="5">
        <f>COUNTIFS(Elements!$D$2:$D$862,$A3,Elements!$E$2:$E$862,$B3)</f>
        <v/>
      </c>
      <c r="D3" s="10">
        <f>IFERROR(COUNTIFS(Elements!$D$2:$D$862,$A3,Elements!$E$2:$E$862,$B3,Elements!$U$2:$U$862,"yes")/$C3,0)</f>
        <v/>
      </c>
      <c r="E3" s="10">
        <f>IFERROR(COUNTIFS(Elements!$D$2:$D$862,$A3,Elements!$E$2:$E$862,$B3,Elements!$V$2:$V$862,"yes")/$C3,0)</f>
        <v/>
      </c>
      <c r="F3" s="10">
        <f>IFERROR(COUNTIFS(Elements!$D$2:$D$862,$A3,Elements!$E$2:$E$862,$B3,Elements!$W$2:$W$862,"yes")/$C3,0)</f>
        <v/>
      </c>
      <c r="G3" s="10">
        <f>IFERROR(COUNTIFS(Elements!$D$2:$D$862,$A3,Elements!$E$2:$E$862,$B3,Elements!$X$2:$X$862,"yes")/$C3,0)</f>
        <v/>
      </c>
      <c r="H3" s="10">
        <f>IFERROR(COUNTIFS(Elements!$D$2:$D$862,$A3,Elements!$E$2:$E$862,$B3,Elements!$Y$2:$Y$862,"yes")/$C3,0)</f>
        <v/>
      </c>
      <c r="I3" s="10">
        <f>IFERROR(COUNTIFS(Elements!$D$2:$D$862,$A3,Elements!$E$2:$E$862,$B3,Elements!$Z$2:$Z$862,"yes")/$C3,0)</f>
        <v/>
      </c>
      <c r="J3" s="10">
        <f>IFERROR((COUNTIFS(Elements!$U$2:$U$862,"yes")-COUNTIFS(Elements!$D$2:$D$862,$A3,Elements!$E$2:$E$862,$B3,Elements!$U$2:$U$862,"yes"))/(COUNTA(Elements!$A$2:$A$862)-$C3),0)</f>
        <v/>
      </c>
      <c r="K3" s="10">
        <f>IFERROR((COUNTIFS(Elements!$V$2:$V$862,"yes")-COUNTIFS(Elements!$D$2:$D$862,$A3,Elements!$E$2:$E$862,$B3,Elements!$V$2:$V$862,"yes"))/(COUNTA(Elements!$A$2:$A$862)-$C3),0)</f>
        <v/>
      </c>
      <c r="L3" s="10">
        <f>IFERROR((COUNTIFS(Elements!$W$2:$W$862,"yes")-COUNTIFS(Elements!$D$2:$D$862,$A3,Elements!$E$2:$E$862,$B3,Elements!$W$2:$W$862,"yes"))/(COUNTA(Elements!$A$2:$A$862)-$C3),0)</f>
        <v/>
      </c>
      <c r="M3" s="10">
        <f>IFERROR((COUNTIFS(Elements!$X$2:$X$862,"yes")-COUNTIFS(Elements!$D$2:$D$862,$A3,Elements!$E$2:$E$862,$B3,Elements!$X$2:$X$862,"yes"))/(COUNTA(Elements!$A$2:$A$862)-$C3),0)</f>
        <v/>
      </c>
      <c r="N3" s="10">
        <f>IFERROR((COUNTIFS(Elements!$Y$2:$Y$862,"yes")-COUNTIFS(Elements!$D$2:$D$862,$A3,Elements!$E$2:$E$862,$B3,Elements!$Y$2:$Y$862,"yes"))/(COUNTA(Elements!$A$2:$A$862)-$C3),0)</f>
        <v/>
      </c>
      <c r="O3" s="10">
        <f>IFERROR((COUNTIFS(Elements!$Z$2:$Z$862,"yes")-COUNTIFS(Elements!$D$2:$D$862,$A3,Elements!$E$2:$E$862,$B3,Elements!$Z$2:$Z$862,"yes"))/(COUNTA(Elements!$A$2:$A$862)-$C3),0)</f>
        <v/>
      </c>
      <c r="P3" s="2" t="inlineStr">
        <is>
          <t>group of footings; 840-840 x 840-840 cm</t>
        </is>
      </c>
    </row>
    <row r="4">
      <c r="A4" s="5" t="inlineStr">
        <is>
          <t>footing</t>
        </is>
      </c>
      <c r="B4" s="5" t="inlineStr">
        <is>
          <t>combined_footing</t>
        </is>
      </c>
      <c r="C4" s="5">
        <f>COUNTIFS(Elements!$D$2:$D$862,$A4,Elements!$E$2:$E$862,$B4)</f>
        <v/>
      </c>
      <c r="D4" s="10">
        <f>IFERROR(COUNTIFS(Elements!$D$2:$D$862,$A4,Elements!$E$2:$E$862,$B4,Elements!$U$2:$U$862,"yes")/$C4,0)</f>
        <v/>
      </c>
      <c r="E4" s="10">
        <f>IFERROR(COUNTIFS(Elements!$D$2:$D$862,$A4,Elements!$E$2:$E$862,$B4,Elements!$V$2:$V$862,"yes")/$C4,0)</f>
        <v/>
      </c>
      <c r="F4" s="10">
        <f>IFERROR(COUNTIFS(Elements!$D$2:$D$862,$A4,Elements!$E$2:$E$862,$B4,Elements!$W$2:$W$862,"yes")/$C4,0)</f>
        <v/>
      </c>
      <c r="G4" s="10">
        <f>IFERROR(COUNTIFS(Elements!$D$2:$D$862,$A4,Elements!$E$2:$E$862,$B4,Elements!$X$2:$X$862,"yes")/$C4,0)</f>
        <v/>
      </c>
      <c r="H4" s="10">
        <f>IFERROR(COUNTIFS(Elements!$D$2:$D$862,$A4,Elements!$E$2:$E$862,$B4,Elements!$Y$2:$Y$862,"yes")/$C4,0)</f>
        <v/>
      </c>
      <c r="I4" s="10">
        <f>IFERROR(COUNTIFS(Elements!$D$2:$D$862,$A4,Elements!$E$2:$E$862,$B4,Elements!$Z$2:$Z$862,"yes")/$C4,0)</f>
        <v/>
      </c>
      <c r="J4" s="10">
        <f>IFERROR((COUNTIFS(Elements!$U$2:$U$862,"yes")-COUNTIFS(Elements!$D$2:$D$862,$A4,Elements!$E$2:$E$862,$B4,Elements!$U$2:$U$862,"yes"))/(COUNTA(Elements!$A$2:$A$862)-$C4),0)</f>
        <v/>
      </c>
      <c r="K4" s="10">
        <f>IFERROR((COUNTIFS(Elements!$V$2:$V$862,"yes")-COUNTIFS(Elements!$D$2:$D$862,$A4,Elements!$E$2:$E$862,$B4,Elements!$V$2:$V$862,"yes"))/(COUNTA(Elements!$A$2:$A$862)-$C4),0)</f>
        <v/>
      </c>
      <c r="L4" s="10">
        <f>IFERROR((COUNTIFS(Elements!$W$2:$W$862,"yes")-COUNTIFS(Elements!$D$2:$D$862,$A4,Elements!$E$2:$E$862,$B4,Elements!$W$2:$W$862,"yes"))/(COUNTA(Elements!$A$2:$A$862)-$C4),0)</f>
        <v/>
      </c>
      <c r="M4" s="10">
        <f>IFERROR((COUNTIFS(Elements!$X$2:$X$862,"yes")-COUNTIFS(Elements!$D$2:$D$862,$A4,Elements!$E$2:$E$862,$B4,Elements!$X$2:$X$862,"yes"))/(COUNTA(Elements!$A$2:$A$862)-$C4),0)</f>
        <v/>
      </c>
      <c r="N4" s="10">
        <f>IFERROR((COUNTIFS(Elements!$Y$2:$Y$862,"yes")-COUNTIFS(Elements!$D$2:$D$862,$A4,Elements!$E$2:$E$862,$B4,Elements!$Y$2:$Y$862,"yes"))/(COUNTA(Elements!$A$2:$A$862)-$C4),0)</f>
        <v/>
      </c>
      <c r="O4" s="10">
        <f>IFERROR((COUNTIFS(Elements!$Z$2:$Z$862,"yes")-COUNTIFS(Elements!$D$2:$D$862,$A4,Elements!$E$2:$E$862,$B4,Elements!$Z$2:$Z$862,"yes"))/(COUNTA(Elements!$A$2:$A$862)-$C4),0)</f>
        <v/>
      </c>
      <c r="P4" s="2" t="inlineStr">
        <is>
          <t>closed outline; 350-600 x 200-450 cm; carries wall+wall (24), column+wall (3), wall+wall+wall+wall (1); grade beam crossing it 93%</t>
        </is>
      </c>
    </row>
    <row r="5">
      <c r="A5" s="5" t="inlineStr">
        <is>
          <t>footing</t>
        </is>
      </c>
      <c r="B5" s="5" t="inlineStr">
        <is>
          <t>crane_footing</t>
        </is>
      </c>
      <c r="C5" s="5">
        <f>COUNTIFS(Elements!$D$2:$D$862,$A5,Elements!$E$2:$E$862,$B5)</f>
        <v/>
      </c>
      <c r="D5" s="10">
        <f>IFERROR(COUNTIFS(Elements!$D$2:$D$862,$A5,Elements!$E$2:$E$862,$B5,Elements!$U$2:$U$862,"yes")/$C5,0)</f>
        <v/>
      </c>
      <c r="E5" s="10">
        <f>IFERROR(COUNTIFS(Elements!$D$2:$D$862,$A5,Elements!$E$2:$E$862,$B5,Elements!$V$2:$V$862,"yes")/$C5,0)</f>
        <v/>
      </c>
      <c r="F5" s="10">
        <f>IFERROR(COUNTIFS(Elements!$D$2:$D$862,$A5,Elements!$E$2:$E$862,$B5,Elements!$W$2:$W$862,"yes")/$C5,0)</f>
        <v/>
      </c>
      <c r="G5" s="10">
        <f>IFERROR(COUNTIFS(Elements!$D$2:$D$862,$A5,Elements!$E$2:$E$862,$B5,Elements!$X$2:$X$862,"yes")/$C5,0)</f>
        <v/>
      </c>
      <c r="H5" s="10">
        <f>IFERROR(COUNTIFS(Elements!$D$2:$D$862,$A5,Elements!$E$2:$E$862,$B5,Elements!$Y$2:$Y$862,"yes")/$C5,0)</f>
        <v/>
      </c>
      <c r="I5" s="10">
        <f>IFERROR(COUNTIFS(Elements!$D$2:$D$862,$A5,Elements!$E$2:$E$862,$B5,Elements!$Z$2:$Z$862,"yes")/$C5,0)</f>
        <v/>
      </c>
      <c r="J5" s="10">
        <f>IFERROR((COUNTIFS(Elements!$U$2:$U$862,"yes")-COUNTIFS(Elements!$D$2:$D$862,$A5,Elements!$E$2:$E$862,$B5,Elements!$U$2:$U$862,"yes"))/(COUNTA(Elements!$A$2:$A$862)-$C5),0)</f>
        <v/>
      </c>
      <c r="K5" s="10">
        <f>IFERROR((COUNTIFS(Elements!$V$2:$V$862,"yes")-COUNTIFS(Elements!$D$2:$D$862,$A5,Elements!$E$2:$E$862,$B5,Elements!$V$2:$V$862,"yes"))/(COUNTA(Elements!$A$2:$A$862)-$C5),0)</f>
        <v/>
      </c>
      <c r="L5" s="10">
        <f>IFERROR((COUNTIFS(Elements!$W$2:$W$862,"yes")-COUNTIFS(Elements!$D$2:$D$862,$A5,Elements!$E$2:$E$862,$B5,Elements!$W$2:$W$862,"yes"))/(COUNTA(Elements!$A$2:$A$862)-$C5),0)</f>
        <v/>
      </c>
      <c r="M5" s="10">
        <f>IFERROR((COUNTIFS(Elements!$X$2:$X$862,"yes")-COUNTIFS(Elements!$D$2:$D$862,$A5,Elements!$E$2:$E$862,$B5,Elements!$X$2:$X$862,"yes"))/(COUNTA(Elements!$A$2:$A$862)-$C5),0)</f>
        <v/>
      </c>
      <c r="N5" s="10">
        <f>IFERROR((COUNTIFS(Elements!$Y$2:$Y$862,"yes")-COUNTIFS(Elements!$D$2:$D$862,$A5,Elements!$E$2:$E$862,$B5,Elements!$Y$2:$Y$862,"yes"))/(COUNTA(Elements!$A$2:$A$862)-$C5),0)</f>
        <v/>
      </c>
      <c r="O5" s="10">
        <f>IFERROR((COUNTIFS(Elements!$Z$2:$Z$862,"yes")-COUNTIFS(Elements!$D$2:$D$862,$A5,Elements!$E$2:$E$862,$B5,Elements!$Z$2:$Z$862,"yes"))/(COUNTA(Elements!$A$2:$A$862)-$C5),0)</f>
        <v/>
      </c>
      <c r="P5" s="2" t="inlineStr">
        <is>
          <t>closed outline; 240-240 x 240-240 cm; carries none (4); grade beam crossing it 100%</t>
        </is>
      </c>
    </row>
    <row r="6">
      <c r="A6" s="5" t="inlineStr">
        <is>
          <t>footing</t>
        </is>
      </c>
      <c r="B6" s="5" t="inlineStr">
        <is>
          <t>isolated_footing</t>
        </is>
      </c>
      <c r="C6" s="5">
        <f>COUNTIFS(Elements!$D$2:$D$862,$A6,Elements!$E$2:$E$862,$B6)</f>
        <v/>
      </c>
      <c r="D6" s="10">
        <f>IFERROR(COUNTIFS(Elements!$D$2:$D$862,$A6,Elements!$E$2:$E$862,$B6,Elements!$U$2:$U$862,"yes")/$C6,0)</f>
        <v/>
      </c>
      <c r="E6" s="10">
        <f>IFERROR(COUNTIFS(Elements!$D$2:$D$862,$A6,Elements!$E$2:$E$862,$B6,Elements!$V$2:$V$862,"yes")/$C6,0)</f>
        <v/>
      </c>
      <c r="F6" s="10">
        <f>IFERROR(COUNTIFS(Elements!$D$2:$D$862,$A6,Elements!$E$2:$E$862,$B6,Elements!$W$2:$W$862,"yes")/$C6,0)</f>
        <v/>
      </c>
      <c r="G6" s="10">
        <f>IFERROR(COUNTIFS(Elements!$D$2:$D$862,$A6,Elements!$E$2:$E$862,$B6,Elements!$X$2:$X$862,"yes")/$C6,0)</f>
        <v/>
      </c>
      <c r="H6" s="10">
        <f>IFERROR(COUNTIFS(Elements!$D$2:$D$862,$A6,Elements!$E$2:$E$862,$B6,Elements!$Y$2:$Y$862,"yes")/$C6,0)</f>
        <v/>
      </c>
      <c r="I6" s="10">
        <f>IFERROR(COUNTIFS(Elements!$D$2:$D$862,$A6,Elements!$E$2:$E$862,$B6,Elements!$Z$2:$Z$862,"yes")/$C6,0)</f>
        <v/>
      </c>
      <c r="J6" s="10">
        <f>IFERROR((COUNTIFS(Elements!$U$2:$U$862,"yes")-COUNTIFS(Elements!$D$2:$D$862,$A6,Elements!$E$2:$E$862,$B6,Elements!$U$2:$U$862,"yes"))/(COUNTA(Elements!$A$2:$A$862)-$C6),0)</f>
        <v/>
      </c>
      <c r="K6" s="10">
        <f>IFERROR((COUNTIFS(Elements!$V$2:$V$862,"yes")-COUNTIFS(Elements!$D$2:$D$862,$A6,Elements!$E$2:$E$862,$B6,Elements!$V$2:$V$862,"yes"))/(COUNTA(Elements!$A$2:$A$862)-$C6),0)</f>
        <v/>
      </c>
      <c r="L6" s="10">
        <f>IFERROR((COUNTIFS(Elements!$W$2:$W$862,"yes")-COUNTIFS(Elements!$D$2:$D$862,$A6,Elements!$E$2:$E$862,$B6,Elements!$W$2:$W$862,"yes"))/(COUNTA(Elements!$A$2:$A$862)-$C6),0)</f>
        <v/>
      </c>
      <c r="M6" s="10">
        <f>IFERROR((COUNTIFS(Elements!$X$2:$X$862,"yes")-COUNTIFS(Elements!$D$2:$D$862,$A6,Elements!$E$2:$E$862,$B6,Elements!$X$2:$X$862,"yes"))/(COUNTA(Elements!$A$2:$A$862)-$C6),0)</f>
        <v/>
      </c>
      <c r="N6" s="10">
        <f>IFERROR((COUNTIFS(Elements!$Y$2:$Y$862,"yes")-COUNTIFS(Elements!$D$2:$D$862,$A6,Elements!$E$2:$E$862,$B6,Elements!$Y$2:$Y$862,"yes"))/(COUNTA(Elements!$A$2:$A$862)-$C6),0)</f>
        <v/>
      </c>
      <c r="O6" s="10">
        <f>IFERROR((COUNTIFS(Elements!$Z$2:$Z$862,"yes")-COUNTIFS(Elements!$D$2:$D$862,$A6,Elements!$E$2:$E$862,$B6,Elements!$Z$2:$Z$862,"yes"))/(COUNTA(Elements!$A$2:$A$862)-$C6),0)</f>
        <v/>
      </c>
      <c r="P6" s="2" t="inlineStr">
        <is>
          <t>closed outline; 150-600 x 150-450 cm; carries wall (64), column (9), wall+wall (1); grade beam crossing it 95%</t>
        </is>
      </c>
    </row>
    <row r="7">
      <c r="A7" s="5" t="inlineStr">
        <is>
          <t>grade_beam</t>
        </is>
      </c>
      <c r="B7" s="5" t="inlineStr">
        <is>
          <t>grade_beam</t>
        </is>
      </c>
      <c r="C7" s="5">
        <f>COUNTIFS(Elements!$D$2:$D$862,$A7,Elements!$E$2:$E$862,$B7)</f>
        <v/>
      </c>
      <c r="D7" s="10">
        <f>IFERROR(COUNTIFS(Elements!$D$2:$D$862,$A7,Elements!$E$2:$E$862,$B7,Elements!$U$2:$U$862,"yes")/$C7,0)</f>
        <v/>
      </c>
      <c r="E7" s="10">
        <f>IFERROR(COUNTIFS(Elements!$D$2:$D$862,$A7,Elements!$E$2:$E$862,$B7,Elements!$V$2:$V$862,"yes")/$C7,0)</f>
        <v/>
      </c>
      <c r="F7" s="10">
        <f>IFERROR(COUNTIFS(Elements!$D$2:$D$862,$A7,Elements!$E$2:$E$862,$B7,Elements!$W$2:$W$862,"yes")/$C7,0)</f>
        <v/>
      </c>
      <c r="G7" s="10">
        <f>IFERROR(COUNTIFS(Elements!$D$2:$D$862,$A7,Elements!$E$2:$E$862,$B7,Elements!$X$2:$X$862,"yes")/$C7,0)</f>
        <v/>
      </c>
      <c r="H7" s="10">
        <f>IFERROR(COUNTIFS(Elements!$D$2:$D$862,$A7,Elements!$E$2:$E$862,$B7,Elements!$Y$2:$Y$862,"yes")/$C7,0)</f>
        <v/>
      </c>
      <c r="I7" s="10">
        <f>IFERROR(COUNTIFS(Elements!$D$2:$D$862,$A7,Elements!$E$2:$E$862,$B7,Elements!$Z$2:$Z$862,"yes")/$C7,0)</f>
        <v/>
      </c>
      <c r="J7" s="10">
        <f>IFERROR((COUNTIFS(Elements!$U$2:$U$862,"yes")-COUNTIFS(Elements!$D$2:$D$862,$A7,Elements!$E$2:$E$862,$B7,Elements!$U$2:$U$862,"yes"))/(COUNTA(Elements!$A$2:$A$862)-$C7),0)</f>
        <v/>
      </c>
      <c r="K7" s="10">
        <f>IFERROR((COUNTIFS(Elements!$V$2:$V$862,"yes")-COUNTIFS(Elements!$D$2:$D$862,$A7,Elements!$E$2:$E$862,$B7,Elements!$V$2:$V$862,"yes"))/(COUNTA(Elements!$A$2:$A$862)-$C7),0)</f>
        <v/>
      </c>
      <c r="L7" s="10">
        <f>IFERROR((COUNTIFS(Elements!$W$2:$W$862,"yes")-COUNTIFS(Elements!$D$2:$D$862,$A7,Elements!$E$2:$E$862,$B7,Elements!$W$2:$W$862,"yes"))/(COUNTA(Elements!$A$2:$A$862)-$C7),0)</f>
        <v/>
      </c>
      <c r="M7" s="10">
        <f>IFERROR((COUNTIFS(Elements!$X$2:$X$862,"yes")-COUNTIFS(Elements!$D$2:$D$862,$A7,Elements!$E$2:$E$862,$B7,Elements!$X$2:$X$862,"yes"))/(COUNTA(Elements!$A$2:$A$862)-$C7),0)</f>
        <v/>
      </c>
      <c r="N7" s="10">
        <f>IFERROR((COUNTIFS(Elements!$Y$2:$Y$862,"yes")-COUNTIFS(Elements!$D$2:$D$862,$A7,Elements!$E$2:$E$862,$B7,Elements!$Y$2:$Y$862,"yes"))/(COUNTA(Elements!$A$2:$A$862)-$C7),0)</f>
        <v/>
      </c>
      <c r="O7" s="10">
        <f>IFERROR((COUNTIFS(Elements!$Z$2:$Z$862,"yes")-COUNTIFS(Elements!$D$2:$D$862,$A7,Elements!$E$2:$E$862,$B7,Elements!$Z$2:$Z$862,"yes"))/(COUNTA(Elements!$A$2:$A$862)-$C7),0)</f>
        <v/>
      </c>
      <c r="P7" s="2" t="inlineStr">
        <is>
          <t>parallel line pair; 30-2249 x 25-40 cm; width stated in its label</t>
        </is>
      </c>
    </row>
    <row r="8">
      <c r="A8" s="5" t="inlineStr">
        <is>
          <t>mass_concrete_pad</t>
        </is>
      </c>
      <c r="B8" s="5" t="inlineStr">
        <is>
          <t>mass_concrete_pad</t>
        </is>
      </c>
      <c r="C8" s="5">
        <f>COUNTIFS(Elements!$D$2:$D$862,$A8,Elements!$E$2:$E$862,$B8)</f>
        <v/>
      </c>
      <c r="D8" s="10">
        <f>IFERROR(COUNTIFS(Elements!$D$2:$D$862,$A8,Elements!$E$2:$E$862,$B8,Elements!$U$2:$U$862,"yes")/$C8,0)</f>
        <v/>
      </c>
      <c r="E8" s="10">
        <f>IFERROR(COUNTIFS(Elements!$D$2:$D$862,$A8,Elements!$E$2:$E$862,$B8,Elements!$V$2:$V$862,"yes")/$C8,0)</f>
        <v/>
      </c>
      <c r="F8" s="10">
        <f>IFERROR(COUNTIFS(Elements!$D$2:$D$862,$A8,Elements!$E$2:$E$862,$B8,Elements!$W$2:$W$862,"yes")/$C8,0)</f>
        <v/>
      </c>
      <c r="G8" s="10">
        <f>IFERROR(COUNTIFS(Elements!$D$2:$D$862,$A8,Elements!$E$2:$E$862,$B8,Elements!$X$2:$X$862,"yes")/$C8,0)</f>
        <v/>
      </c>
      <c r="H8" s="10">
        <f>IFERROR(COUNTIFS(Elements!$D$2:$D$862,$A8,Elements!$E$2:$E$862,$B8,Elements!$Y$2:$Y$862,"yes")/$C8,0)</f>
        <v/>
      </c>
      <c r="I8" s="10">
        <f>IFERROR(COUNTIFS(Elements!$D$2:$D$862,$A8,Elements!$E$2:$E$862,$B8,Elements!$Z$2:$Z$862,"yes")/$C8,0)</f>
        <v/>
      </c>
      <c r="J8" s="10">
        <f>IFERROR((COUNTIFS(Elements!$U$2:$U$862,"yes")-COUNTIFS(Elements!$D$2:$D$862,$A8,Elements!$E$2:$E$862,$B8,Elements!$U$2:$U$862,"yes"))/(COUNTA(Elements!$A$2:$A$862)-$C8),0)</f>
        <v/>
      </c>
      <c r="K8" s="10">
        <f>IFERROR((COUNTIFS(Elements!$V$2:$V$862,"yes")-COUNTIFS(Elements!$D$2:$D$862,$A8,Elements!$E$2:$E$862,$B8,Elements!$V$2:$V$862,"yes"))/(COUNTA(Elements!$A$2:$A$862)-$C8),0)</f>
        <v/>
      </c>
      <c r="L8" s="10">
        <f>IFERROR((COUNTIFS(Elements!$W$2:$W$862,"yes")-COUNTIFS(Elements!$D$2:$D$862,$A8,Elements!$E$2:$E$862,$B8,Elements!$W$2:$W$862,"yes"))/(COUNTA(Elements!$A$2:$A$862)-$C8),0)</f>
        <v/>
      </c>
      <c r="M8" s="10">
        <f>IFERROR((COUNTIFS(Elements!$X$2:$X$862,"yes")-COUNTIFS(Elements!$D$2:$D$862,$A8,Elements!$E$2:$E$862,$B8,Elements!$X$2:$X$862,"yes"))/(COUNTA(Elements!$A$2:$A$862)-$C8),0)</f>
        <v/>
      </c>
      <c r="N8" s="10">
        <f>IFERROR((COUNTIFS(Elements!$Y$2:$Y$862,"yes")-COUNTIFS(Elements!$D$2:$D$862,$A8,Elements!$E$2:$E$862,$B8,Elements!$Y$2:$Y$862,"yes"))/(COUNTA(Elements!$A$2:$A$862)-$C8),0)</f>
        <v/>
      </c>
      <c r="O8" s="10">
        <f>IFERROR((COUNTIFS(Elements!$Z$2:$Z$862,"yes")-COUNTIFS(Elements!$D$2:$D$862,$A8,Elements!$E$2:$E$862,$B8,Elements!$Z$2:$Z$862,"yes"))/(COUNTA(Elements!$A$2:$A$862)-$C8),0)</f>
        <v/>
      </c>
      <c r="P8" s="2" t="inlineStr">
        <is>
          <t>closed outline + stipple; 60-60 x 60-60 cm; 47-91 stipple dots inside; on a grade beam 100%; at a grade-beam junction 62%</t>
        </is>
      </c>
    </row>
    <row r="9">
      <c r="A9" s="5" t="inlineStr">
        <is>
          <t>raft</t>
        </is>
      </c>
      <c r="B9" s="5" t="inlineStr">
        <is>
          <t>crane_raft (probable)</t>
        </is>
      </c>
      <c r="C9" s="5">
        <f>COUNTIFS(Elements!$D$2:$D$862,$A9,Elements!$E$2:$E$862,$B9)</f>
        <v/>
      </c>
      <c r="D9" s="10">
        <f>IFERROR(COUNTIFS(Elements!$D$2:$D$862,$A9,Elements!$E$2:$E$862,$B9,Elements!$U$2:$U$862,"yes")/$C9,0)</f>
        <v/>
      </c>
      <c r="E9" s="10">
        <f>IFERROR(COUNTIFS(Elements!$D$2:$D$862,$A9,Elements!$E$2:$E$862,$B9,Elements!$V$2:$V$862,"yes")/$C9,0)</f>
        <v/>
      </c>
      <c r="F9" s="10">
        <f>IFERROR(COUNTIFS(Elements!$D$2:$D$862,$A9,Elements!$E$2:$E$862,$B9,Elements!$W$2:$W$862,"yes")/$C9,0)</f>
        <v/>
      </c>
      <c r="G9" s="10">
        <f>IFERROR(COUNTIFS(Elements!$D$2:$D$862,$A9,Elements!$E$2:$E$862,$B9,Elements!$X$2:$X$862,"yes")/$C9,0)</f>
        <v/>
      </c>
      <c r="H9" s="10">
        <f>IFERROR(COUNTIFS(Elements!$D$2:$D$862,$A9,Elements!$E$2:$E$862,$B9,Elements!$Y$2:$Y$862,"yes")/$C9,0)</f>
        <v/>
      </c>
      <c r="I9" s="10">
        <f>IFERROR(COUNTIFS(Elements!$D$2:$D$862,$A9,Elements!$E$2:$E$862,$B9,Elements!$Z$2:$Z$862,"yes")/$C9,0)</f>
        <v/>
      </c>
      <c r="J9" s="10">
        <f>IFERROR((COUNTIFS(Elements!$U$2:$U$862,"yes")-COUNTIFS(Elements!$D$2:$D$862,$A9,Elements!$E$2:$E$862,$B9,Elements!$U$2:$U$862,"yes"))/(COUNTA(Elements!$A$2:$A$862)-$C9),0)</f>
        <v/>
      </c>
      <c r="K9" s="10">
        <f>IFERROR((COUNTIFS(Elements!$V$2:$V$862,"yes")-COUNTIFS(Elements!$D$2:$D$862,$A9,Elements!$E$2:$E$862,$B9,Elements!$V$2:$V$862,"yes"))/(COUNTA(Elements!$A$2:$A$862)-$C9),0)</f>
        <v/>
      </c>
      <c r="L9" s="10">
        <f>IFERROR((COUNTIFS(Elements!$W$2:$W$862,"yes")-COUNTIFS(Elements!$D$2:$D$862,$A9,Elements!$E$2:$E$862,$B9,Elements!$W$2:$W$862,"yes"))/(COUNTA(Elements!$A$2:$A$862)-$C9),0)</f>
        <v/>
      </c>
      <c r="M9" s="10">
        <f>IFERROR((COUNTIFS(Elements!$X$2:$X$862,"yes")-COUNTIFS(Elements!$D$2:$D$862,$A9,Elements!$E$2:$E$862,$B9,Elements!$X$2:$X$862,"yes"))/(COUNTA(Elements!$A$2:$A$862)-$C9),0)</f>
        <v/>
      </c>
      <c r="N9" s="10">
        <f>IFERROR((COUNTIFS(Elements!$Y$2:$Y$862,"yes")-COUNTIFS(Elements!$D$2:$D$862,$A9,Elements!$E$2:$E$862,$B9,Elements!$Y$2:$Y$862,"yes"))/(COUNTA(Elements!$A$2:$A$862)-$C9),0)</f>
        <v/>
      </c>
      <c r="O9" s="10">
        <f>IFERROR((COUNTIFS(Elements!$Z$2:$Z$862,"yes")-COUNTIFS(Elements!$D$2:$D$862,$A9,Elements!$E$2:$E$862,$B9,Elements!$Z$2:$Z$862,"yes"))/(COUNTA(Elements!$A$2:$A$862)-$C9),0)</f>
        <v/>
      </c>
      <c r="P9" s="2" t="inlineStr">
        <is>
          <t>stamp + corner diagonals; 925-925 x 780-780 cm; circle stamp 'Radier' + thickness; diagonals from its corners to the stamp</t>
        </is>
      </c>
    </row>
    <row r="10">
      <c r="A10" s="5" t="inlineStr">
        <is>
          <t>raft</t>
        </is>
      </c>
      <c r="B10" s="5" t="inlineStr">
        <is>
          <t>raft</t>
        </is>
      </c>
      <c r="C10" s="5">
        <f>COUNTIFS(Elements!$D$2:$D$862,$A10,Elements!$E$2:$E$862,$B10)</f>
        <v/>
      </c>
      <c r="D10" s="10">
        <f>IFERROR(COUNTIFS(Elements!$D$2:$D$862,$A10,Elements!$E$2:$E$862,$B10,Elements!$U$2:$U$862,"yes")/$C10,0)</f>
        <v/>
      </c>
      <c r="E10" s="10">
        <f>IFERROR(COUNTIFS(Elements!$D$2:$D$862,$A10,Elements!$E$2:$E$862,$B10,Elements!$V$2:$V$862,"yes")/$C10,0)</f>
        <v/>
      </c>
      <c r="F10" s="10">
        <f>IFERROR(COUNTIFS(Elements!$D$2:$D$862,$A10,Elements!$E$2:$E$862,$B10,Elements!$W$2:$W$862,"yes")/$C10,0)</f>
        <v/>
      </c>
      <c r="G10" s="10">
        <f>IFERROR(COUNTIFS(Elements!$D$2:$D$862,$A10,Elements!$E$2:$E$862,$B10,Elements!$X$2:$X$862,"yes")/$C10,0)</f>
        <v/>
      </c>
      <c r="H10" s="10">
        <f>IFERROR(COUNTIFS(Elements!$D$2:$D$862,$A10,Elements!$E$2:$E$862,$B10,Elements!$Y$2:$Y$862,"yes")/$C10,0)</f>
        <v/>
      </c>
      <c r="I10" s="10">
        <f>IFERROR(COUNTIFS(Elements!$D$2:$D$862,$A10,Elements!$E$2:$E$862,$B10,Elements!$Z$2:$Z$862,"yes")/$C10,0)</f>
        <v/>
      </c>
      <c r="J10" s="10">
        <f>IFERROR((COUNTIFS(Elements!$U$2:$U$862,"yes")-COUNTIFS(Elements!$D$2:$D$862,$A10,Elements!$E$2:$E$862,$B10,Elements!$U$2:$U$862,"yes"))/(COUNTA(Elements!$A$2:$A$862)-$C10),0)</f>
        <v/>
      </c>
      <c r="K10" s="10">
        <f>IFERROR((COUNTIFS(Elements!$V$2:$V$862,"yes")-COUNTIFS(Elements!$D$2:$D$862,$A10,Elements!$E$2:$E$862,$B10,Elements!$V$2:$V$862,"yes"))/(COUNTA(Elements!$A$2:$A$862)-$C10),0)</f>
        <v/>
      </c>
      <c r="L10" s="10">
        <f>IFERROR((COUNTIFS(Elements!$W$2:$W$862,"yes")-COUNTIFS(Elements!$D$2:$D$862,$A10,Elements!$E$2:$E$862,$B10,Elements!$W$2:$W$862,"yes"))/(COUNTA(Elements!$A$2:$A$862)-$C10),0)</f>
        <v/>
      </c>
      <c r="M10" s="10">
        <f>IFERROR((COUNTIFS(Elements!$X$2:$X$862,"yes")-COUNTIFS(Elements!$D$2:$D$862,$A10,Elements!$E$2:$E$862,$B10,Elements!$X$2:$X$862,"yes"))/(COUNTA(Elements!$A$2:$A$862)-$C10),0)</f>
        <v/>
      </c>
      <c r="N10" s="10">
        <f>IFERROR((COUNTIFS(Elements!$Y$2:$Y$862,"yes")-COUNTIFS(Elements!$D$2:$D$862,$A10,Elements!$E$2:$E$862,$B10,Elements!$Y$2:$Y$862,"yes"))/(COUNTA(Elements!$A$2:$A$862)-$C10),0)</f>
        <v/>
      </c>
      <c r="O10" s="10">
        <f>IFERROR((COUNTIFS(Elements!$Z$2:$Z$862,"yes")-COUNTIFS(Elements!$D$2:$D$862,$A10,Elements!$E$2:$E$862,$B10,Elements!$Z$2:$Z$862,"yes"))/(COUNTA(Elements!$A$2:$A$862)-$C10),0)</f>
        <v/>
      </c>
      <c r="P10" s="2" t="inlineStr">
        <is>
          <t>stamp + corner diagonals; 693-1971 x 450-1020 cm; circle stamp 'Radier' + thickness; diagonals from its corners to the stamp</t>
        </is>
      </c>
    </row>
    <row r="11">
      <c r="A11" s="5" t="inlineStr">
        <is>
          <t>strip_footing</t>
        </is>
      </c>
      <c r="B11" s="5" t="inlineStr">
        <is>
          <t>strip_footing</t>
        </is>
      </c>
      <c r="C11" s="5">
        <f>COUNTIFS(Elements!$D$2:$D$862,$A11,Elements!$E$2:$E$862,$B11)</f>
        <v/>
      </c>
      <c r="D11" s="10">
        <f>IFERROR(COUNTIFS(Elements!$D$2:$D$862,$A11,Elements!$E$2:$E$862,$B11,Elements!$U$2:$U$862,"yes")/$C11,0)</f>
        <v/>
      </c>
      <c r="E11" s="10">
        <f>IFERROR(COUNTIFS(Elements!$D$2:$D$862,$A11,Elements!$E$2:$E$862,$B11,Elements!$V$2:$V$862,"yes")/$C11,0)</f>
        <v/>
      </c>
      <c r="F11" s="10">
        <f>IFERROR(COUNTIFS(Elements!$D$2:$D$862,$A11,Elements!$E$2:$E$862,$B11,Elements!$W$2:$W$862,"yes")/$C11,0)</f>
        <v/>
      </c>
      <c r="G11" s="10">
        <f>IFERROR(COUNTIFS(Elements!$D$2:$D$862,$A11,Elements!$E$2:$E$862,$B11,Elements!$X$2:$X$862,"yes")/$C11,0)</f>
        <v/>
      </c>
      <c r="H11" s="10">
        <f>IFERROR(COUNTIFS(Elements!$D$2:$D$862,$A11,Elements!$E$2:$E$862,$B11,Elements!$Y$2:$Y$862,"yes")/$C11,0)</f>
        <v/>
      </c>
      <c r="I11" s="10">
        <f>IFERROR(COUNTIFS(Elements!$D$2:$D$862,$A11,Elements!$E$2:$E$862,$B11,Elements!$Z$2:$Z$862,"yes")/$C11,0)</f>
        <v/>
      </c>
      <c r="J11" s="10">
        <f>IFERROR((COUNTIFS(Elements!$U$2:$U$862,"yes")-COUNTIFS(Elements!$D$2:$D$862,$A11,Elements!$E$2:$E$862,$B11,Elements!$U$2:$U$862,"yes"))/(COUNTA(Elements!$A$2:$A$862)-$C11),0)</f>
        <v/>
      </c>
      <c r="K11" s="10">
        <f>IFERROR((COUNTIFS(Elements!$V$2:$V$862,"yes")-COUNTIFS(Elements!$D$2:$D$862,$A11,Elements!$E$2:$E$862,$B11,Elements!$V$2:$V$862,"yes"))/(COUNTA(Elements!$A$2:$A$862)-$C11),0)</f>
        <v/>
      </c>
      <c r="L11" s="10">
        <f>IFERROR((COUNTIFS(Elements!$W$2:$W$862,"yes")-COUNTIFS(Elements!$D$2:$D$862,$A11,Elements!$E$2:$E$862,$B11,Elements!$W$2:$W$862,"yes"))/(COUNTA(Elements!$A$2:$A$862)-$C11),0)</f>
        <v/>
      </c>
      <c r="M11" s="10">
        <f>IFERROR((COUNTIFS(Elements!$X$2:$X$862,"yes")-COUNTIFS(Elements!$D$2:$D$862,$A11,Elements!$E$2:$E$862,$B11,Elements!$X$2:$X$862,"yes"))/(COUNTA(Elements!$A$2:$A$862)-$C11),0)</f>
        <v/>
      </c>
      <c r="N11" s="10">
        <f>IFERROR((COUNTIFS(Elements!$Y$2:$Y$862,"yes")-COUNTIFS(Elements!$D$2:$D$862,$A11,Elements!$E$2:$E$862,$B11,Elements!$Y$2:$Y$862,"yes"))/(COUNTA(Elements!$A$2:$A$862)-$C11),0)</f>
        <v/>
      </c>
      <c r="O11" s="10">
        <f>IFERROR((COUNTIFS(Elements!$Z$2:$Z$862,"yes")-COUNTIFS(Elements!$D$2:$D$862,$A11,Elements!$E$2:$E$862,$B11,Elements!$Z$2:$Z$862,"yes"))/(COUNTA(Elements!$A$2:$A$862)-$C11),0)</f>
        <v/>
      </c>
      <c r="P11" s="2" t="inlineStr">
        <is>
          <t>parallel line pair; 75-5798 x 80-120 cm; width stated in its label</t>
        </is>
      </c>
    </row>
    <row r="12">
      <c r="A12" s="5" t="inlineStr">
        <is>
          <t>sump_pit</t>
        </is>
      </c>
      <c r="B12" s="5" t="inlineStr">
        <is>
          <t>sump_pit</t>
        </is>
      </c>
      <c r="C12" s="5">
        <f>COUNTIFS(Elements!$D$2:$D$862,$A12,Elements!$E$2:$E$862,$B12)</f>
        <v/>
      </c>
      <c r="D12" s="10">
        <f>IFERROR(COUNTIFS(Elements!$D$2:$D$862,$A12,Elements!$E$2:$E$862,$B12,Elements!$U$2:$U$862,"yes")/$C12,0)</f>
        <v/>
      </c>
      <c r="E12" s="10">
        <f>IFERROR(COUNTIFS(Elements!$D$2:$D$862,$A12,Elements!$E$2:$E$862,$B12,Elements!$V$2:$V$862,"yes")/$C12,0)</f>
        <v/>
      </c>
      <c r="F12" s="10">
        <f>IFERROR(COUNTIFS(Elements!$D$2:$D$862,$A12,Elements!$E$2:$E$862,$B12,Elements!$W$2:$W$862,"yes")/$C12,0)</f>
        <v/>
      </c>
      <c r="G12" s="10">
        <f>IFERROR(COUNTIFS(Elements!$D$2:$D$862,$A12,Elements!$E$2:$E$862,$B12,Elements!$X$2:$X$862,"yes")/$C12,0)</f>
        <v/>
      </c>
      <c r="H12" s="10">
        <f>IFERROR(COUNTIFS(Elements!$D$2:$D$862,$A12,Elements!$E$2:$E$862,$B12,Elements!$Y$2:$Y$862,"yes")/$C12,0)</f>
        <v/>
      </c>
      <c r="I12" s="10">
        <f>IFERROR(COUNTIFS(Elements!$D$2:$D$862,$A12,Elements!$E$2:$E$862,$B12,Elements!$Z$2:$Z$862,"yes")/$C12,0)</f>
        <v/>
      </c>
      <c r="J12" s="10">
        <f>IFERROR((COUNTIFS(Elements!$U$2:$U$862,"yes")-COUNTIFS(Elements!$D$2:$D$862,$A12,Elements!$E$2:$E$862,$B12,Elements!$U$2:$U$862,"yes"))/(COUNTA(Elements!$A$2:$A$862)-$C12),0)</f>
        <v/>
      </c>
      <c r="K12" s="10">
        <f>IFERROR((COUNTIFS(Elements!$V$2:$V$862,"yes")-COUNTIFS(Elements!$D$2:$D$862,$A12,Elements!$E$2:$E$862,$B12,Elements!$V$2:$V$862,"yes"))/(COUNTA(Elements!$A$2:$A$862)-$C12),0)</f>
        <v/>
      </c>
      <c r="L12" s="10">
        <f>IFERROR((COUNTIFS(Elements!$W$2:$W$862,"yes")-COUNTIFS(Elements!$D$2:$D$862,$A12,Elements!$E$2:$E$862,$B12,Elements!$W$2:$W$862,"yes"))/(COUNTA(Elements!$A$2:$A$862)-$C12),0)</f>
        <v/>
      </c>
      <c r="M12" s="10">
        <f>IFERROR((COUNTIFS(Elements!$X$2:$X$862,"yes")-COUNTIFS(Elements!$D$2:$D$862,$A12,Elements!$E$2:$E$862,$B12,Elements!$X$2:$X$862,"yes"))/(COUNTA(Elements!$A$2:$A$862)-$C12),0)</f>
        <v/>
      </c>
      <c r="N12" s="10">
        <f>IFERROR((COUNTIFS(Elements!$Y$2:$Y$862,"yes")-COUNTIFS(Elements!$D$2:$D$862,$A12,Elements!$E$2:$E$862,$B12,Elements!$Y$2:$Y$862,"yes"))/(COUNTA(Elements!$A$2:$A$862)-$C12),0)</f>
        <v/>
      </c>
      <c r="O12" s="10">
        <f>IFERROR((COUNTIFS(Elements!$Z$2:$Z$862,"yes")-COUNTIFS(Elements!$D$2:$D$862,$A12,Elements!$E$2:$E$862,$B12,Elements!$Z$2:$Z$862,"yes"))/(COUNTA(Elements!$A$2:$A$862)-$C12),0)</f>
        <v/>
      </c>
      <c r="P12" s="2" t="inlineStr">
        <is>
          <t>text; 200-200 x 150-150 cm; 'FOSSE DE RELEVAGE' text with LxWxH, 'RADIER 25' stamp</t>
        </is>
      </c>
    </row>
    <row r="13">
      <c r="A13" s="5" t="inlineStr">
        <is>
          <t>wall</t>
        </is>
      </c>
      <c r="B13" s="5" t="inlineStr">
        <is>
          <t>core_wall_hatched</t>
        </is>
      </c>
      <c r="C13" s="5">
        <f>COUNTIFS(Elements!$D$2:$D$862,$A13,Elements!$E$2:$E$862,$B13)</f>
        <v/>
      </c>
      <c r="D13" s="10">
        <f>IFERROR(COUNTIFS(Elements!$D$2:$D$862,$A13,Elements!$E$2:$E$862,$B13,Elements!$U$2:$U$862,"yes")/$C13,0)</f>
        <v/>
      </c>
      <c r="E13" s="10">
        <f>IFERROR(COUNTIFS(Elements!$D$2:$D$862,$A13,Elements!$E$2:$E$862,$B13,Elements!$V$2:$V$862,"yes")/$C13,0)</f>
        <v/>
      </c>
      <c r="F13" s="10">
        <f>IFERROR(COUNTIFS(Elements!$D$2:$D$862,$A13,Elements!$E$2:$E$862,$B13,Elements!$W$2:$W$862,"yes")/$C13,0)</f>
        <v/>
      </c>
      <c r="G13" s="10">
        <f>IFERROR(COUNTIFS(Elements!$D$2:$D$862,$A13,Elements!$E$2:$E$862,$B13,Elements!$X$2:$X$862,"yes")/$C13,0)</f>
        <v/>
      </c>
      <c r="H13" s="10">
        <f>IFERROR(COUNTIFS(Elements!$D$2:$D$862,$A13,Elements!$E$2:$E$862,$B13,Elements!$Y$2:$Y$862,"yes")/$C13,0)</f>
        <v/>
      </c>
      <c r="I13" s="10">
        <f>IFERROR(COUNTIFS(Elements!$D$2:$D$862,$A13,Elements!$E$2:$E$862,$B13,Elements!$Z$2:$Z$862,"yes")/$C13,0)</f>
        <v/>
      </c>
      <c r="J13" s="10">
        <f>IFERROR((COUNTIFS(Elements!$U$2:$U$862,"yes")-COUNTIFS(Elements!$D$2:$D$862,$A13,Elements!$E$2:$E$862,$B13,Elements!$U$2:$U$862,"yes"))/(COUNTA(Elements!$A$2:$A$862)-$C13),0)</f>
        <v/>
      </c>
      <c r="K13" s="10">
        <f>IFERROR((COUNTIFS(Elements!$V$2:$V$862,"yes")-COUNTIFS(Elements!$D$2:$D$862,$A13,Elements!$E$2:$E$862,$B13,Elements!$V$2:$V$862,"yes"))/(COUNTA(Elements!$A$2:$A$862)-$C13),0)</f>
        <v/>
      </c>
      <c r="L13" s="10">
        <f>IFERROR((COUNTIFS(Elements!$W$2:$W$862,"yes")-COUNTIFS(Elements!$D$2:$D$862,$A13,Elements!$E$2:$E$862,$B13,Elements!$W$2:$W$862,"yes"))/(COUNTA(Elements!$A$2:$A$862)-$C13),0)</f>
        <v/>
      </c>
      <c r="M13" s="10">
        <f>IFERROR((COUNTIFS(Elements!$X$2:$X$862,"yes")-COUNTIFS(Elements!$D$2:$D$862,$A13,Elements!$E$2:$E$862,$B13,Elements!$X$2:$X$862,"yes"))/(COUNTA(Elements!$A$2:$A$862)-$C13),0)</f>
        <v/>
      </c>
      <c r="N13" s="10">
        <f>IFERROR((COUNTIFS(Elements!$Y$2:$Y$862,"yes")-COUNTIFS(Elements!$D$2:$D$862,$A13,Elements!$E$2:$E$862,$B13,Elements!$Y$2:$Y$862,"yes"))/(COUNTA(Elements!$A$2:$A$862)-$C13),0)</f>
        <v/>
      </c>
      <c r="O13" s="10">
        <f>IFERROR((COUNTIFS(Elements!$Z$2:$Z$862,"yes")-COUNTIFS(Elements!$D$2:$D$862,$A13,Elements!$E$2:$E$862,$B13,Elements!$Z$2:$Z$862,"yes"))/(COUNTA(Elements!$A$2:$A$862)-$C13),0)</f>
        <v/>
      </c>
      <c r="P13" s="2" t="inlineStr">
        <is>
          <t>cross-hatch; 94-1044 x 20-25 cm; L/W 4.70-52.20; hatch strokes [0.24, 0.25, 0.28] m at +/-45 deg; thickness = local spread of stroke ends; on a raft 100%; no V label</t>
        </is>
      </c>
    </row>
    <row r="14">
      <c r="A14" s="5" t="inlineStr">
        <is>
          <t>wall</t>
        </is>
      </c>
      <c r="B14" s="5" t="inlineStr">
        <is>
          <t>core_wall_solid</t>
        </is>
      </c>
      <c r="C14" s="5">
        <f>COUNTIFS(Elements!$D$2:$D$862,$A14,Elements!$E$2:$E$862,$B14)</f>
        <v/>
      </c>
      <c r="D14" s="10">
        <f>IFERROR(COUNTIFS(Elements!$D$2:$D$862,$A14,Elements!$E$2:$E$862,$B14,Elements!$U$2:$U$862,"yes")/$C14,0)</f>
        <v/>
      </c>
      <c r="E14" s="10">
        <f>IFERROR(COUNTIFS(Elements!$D$2:$D$862,$A14,Elements!$E$2:$E$862,$B14,Elements!$V$2:$V$862,"yes")/$C14,0)</f>
        <v/>
      </c>
      <c r="F14" s="10">
        <f>IFERROR(COUNTIFS(Elements!$D$2:$D$862,$A14,Elements!$E$2:$E$862,$B14,Elements!$W$2:$W$862,"yes")/$C14,0)</f>
        <v/>
      </c>
      <c r="G14" s="10">
        <f>IFERROR(COUNTIFS(Elements!$D$2:$D$862,$A14,Elements!$E$2:$E$862,$B14,Elements!$X$2:$X$862,"yes")/$C14,0)</f>
        <v/>
      </c>
      <c r="H14" s="10">
        <f>IFERROR(COUNTIFS(Elements!$D$2:$D$862,$A14,Elements!$E$2:$E$862,$B14,Elements!$Y$2:$Y$862,"yes")/$C14,0)</f>
        <v/>
      </c>
      <c r="I14" s="10">
        <f>IFERROR(COUNTIFS(Elements!$D$2:$D$862,$A14,Elements!$E$2:$E$862,$B14,Elements!$Z$2:$Z$862,"yes")/$C14,0)</f>
        <v/>
      </c>
      <c r="J14" s="10">
        <f>IFERROR((COUNTIFS(Elements!$U$2:$U$862,"yes")-COUNTIFS(Elements!$D$2:$D$862,$A14,Elements!$E$2:$E$862,$B14,Elements!$U$2:$U$862,"yes"))/(COUNTA(Elements!$A$2:$A$862)-$C14),0)</f>
        <v/>
      </c>
      <c r="K14" s="10">
        <f>IFERROR((COUNTIFS(Elements!$V$2:$V$862,"yes")-COUNTIFS(Elements!$D$2:$D$862,$A14,Elements!$E$2:$E$862,$B14,Elements!$V$2:$V$862,"yes"))/(COUNTA(Elements!$A$2:$A$862)-$C14),0)</f>
        <v/>
      </c>
      <c r="L14" s="10">
        <f>IFERROR((COUNTIFS(Elements!$W$2:$W$862,"yes")-COUNTIFS(Elements!$D$2:$D$862,$A14,Elements!$E$2:$E$862,$B14,Elements!$W$2:$W$862,"yes"))/(COUNTA(Elements!$A$2:$A$862)-$C14),0)</f>
        <v/>
      </c>
      <c r="M14" s="10">
        <f>IFERROR((COUNTIFS(Elements!$X$2:$X$862,"yes")-COUNTIFS(Elements!$D$2:$D$862,$A14,Elements!$E$2:$E$862,$B14,Elements!$X$2:$X$862,"yes"))/(COUNTA(Elements!$A$2:$A$862)-$C14),0)</f>
        <v/>
      </c>
      <c r="N14" s="10">
        <f>IFERROR((COUNTIFS(Elements!$Y$2:$Y$862,"yes")-COUNTIFS(Elements!$D$2:$D$862,$A14,Elements!$E$2:$E$862,$B14,Elements!$Y$2:$Y$862,"yes"))/(COUNTA(Elements!$A$2:$A$862)-$C14),0)</f>
        <v/>
      </c>
      <c r="O14" s="10">
        <f>IFERROR((COUNTIFS(Elements!$Z$2:$Z$862,"yes")-COUNTIFS(Elements!$D$2:$D$862,$A14,Elements!$E$2:$E$862,$B14,Elements!$Z$2:$Z$862,"yes"))/(COUNTA(Elements!$A$2:$A$862)-$C14),0)</f>
        <v/>
      </c>
      <c r="P14" s="2" t="inlineStr">
        <is>
          <t>solid fill; 39-816 x 20-30 cm; L/W 1.81-36.95; inside a footing outline 0%; on a raft 100%; touching a hatched core wall 24%; in a strip-footing band 0%; at a grade-beam junction 0%</t>
        </is>
      </c>
    </row>
    <row r="15">
      <c r="A15" s="5" t="inlineStr">
        <is>
          <t>wall</t>
        </is>
      </c>
      <c r="B15" s="5" t="inlineStr">
        <is>
          <t>retaining_wall</t>
        </is>
      </c>
      <c r="C15" s="5">
        <f>COUNTIFS(Elements!$D$2:$D$862,$A15,Elements!$E$2:$E$862,$B15)</f>
        <v/>
      </c>
      <c r="D15" s="10">
        <f>IFERROR(COUNTIFS(Elements!$D$2:$D$862,$A15,Elements!$E$2:$E$862,$B15,Elements!$U$2:$U$862,"yes")/$C15,0)</f>
        <v/>
      </c>
      <c r="E15" s="10">
        <f>IFERROR(COUNTIFS(Elements!$D$2:$D$862,$A15,Elements!$E$2:$E$862,$B15,Elements!$V$2:$V$862,"yes")/$C15,0)</f>
        <v/>
      </c>
      <c r="F15" s="10">
        <f>IFERROR(COUNTIFS(Elements!$D$2:$D$862,$A15,Elements!$E$2:$E$862,$B15,Elements!$W$2:$W$862,"yes")/$C15,0)</f>
        <v/>
      </c>
      <c r="G15" s="10">
        <f>IFERROR(COUNTIFS(Elements!$D$2:$D$862,$A15,Elements!$E$2:$E$862,$B15,Elements!$X$2:$X$862,"yes")/$C15,0)</f>
        <v/>
      </c>
      <c r="H15" s="10">
        <f>IFERROR(COUNTIFS(Elements!$D$2:$D$862,$A15,Elements!$E$2:$E$862,$B15,Elements!$Y$2:$Y$862,"yes")/$C15,0)</f>
        <v/>
      </c>
      <c r="I15" s="10">
        <f>IFERROR(COUNTIFS(Elements!$D$2:$D$862,$A15,Elements!$E$2:$E$862,$B15,Elements!$Z$2:$Z$862,"yes")/$C15,0)</f>
        <v/>
      </c>
      <c r="J15" s="10">
        <f>IFERROR((COUNTIFS(Elements!$U$2:$U$862,"yes")-COUNTIFS(Elements!$D$2:$D$862,$A15,Elements!$E$2:$E$862,$B15,Elements!$U$2:$U$862,"yes"))/(COUNTA(Elements!$A$2:$A$862)-$C15),0)</f>
        <v/>
      </c>
      <c r="K15" s="10">
        <f>IFERROR((COUNTIFS(Elements!$V$2:$V$862,"yes")-COUNTIFS(Elements!$D$2:$D$862,$A15,Elements!$E$2:$E$862,$B15,Elements!$V$2:$V$862,"yes"))/(COUNTA(Elements!$A$2:$A$862)-$C15),0)</f>
        <v/>
      </c>
      <c r="L15" s="10">
        <f>IFERROR((COUNTIFS(Elements!$W$2:$W$862,"yes")-COUNTIFS(Elements!$D$2:$D$862,$A15,Elements!$E$2:$E$862,$B15,Elements!$W$2:$W$862,"yes"))/(COUNTA(Elements!$A$2:$A$862)-$C15),0)</f>
        <v/>
      </c>
      <c r="M15" s="10">
        <f>IFERROR((COUNTIFS(Elements!$X$2:$X$862,"yes")-COUNTIFS(Elements!$D$2:$D$862,$A15,Elements!$E$2:$E$862,$B15,Elements!$X$2:$X$862,"yes"))/(COUNTA(Elements!$A$2:$A$862)-$C15),0)</f>
        <v/>
      </c>
      <c r="N15" s="10">
        <f>IFERROR((COUNTIFS(Elements!$Y$2:$Y$862,"yes")-COUNTIFS(Elements!$D$2:$D$862,$A15,Elements!$E$2:$E$862,$B15,Elements!$Y$2:$Y$862,"yes"))/(COUNTA(Elements!$A$2:$A$862)-$C15),0)</f>
        <v/>
      </c>
      <c r="O15" s="10">
        <f>IFERROR((COUNTIFS(Elements!$Z$2:$Z$862,"yes")-COUNTIFS(Elements!$D$2:$D$862,$A15,Elements!$E$2:$E$862,$B15,Elements!$Z$2:$Z$862,"yes"))/(COUNTA(Elements!$A$2:$A$862)-$C15),0)</f>
        <v/>
      </c>
      <c r="P15" s="2" t="inlineStr">
        <is>
          <t>solid fill; 34-2869 x 20-30 cm; L/W 1.70-143.45; inside a footing outline 5%; on a raft 29%; touching a hatched core wall 12%; in a strip-footing band 69%; at a grade-beam junction 20%</t>
        </is>
      </c>
    </row>
    <row r="16">
      <c r="A16" s="5" t="inlineStr">
        <is>
          <t>wall</t>
        </is>
      </c>
      <c r="B16" s="5" t="inlineStr">
        <is>
          <t>shear_wall</t>
        </is>
      </c>
      <c r="C16" s="5">
        <f>COUNTIFS(Elements!$D$2:$D$862,$A16,Elements!$E$2:$E$862,$B16)</f>
        <v/>
      </c>
      <c r="D16" s="10">
        <f>IFERROR(COUNTIFS(Elements!$D$2:$D$862,$A16,Elements!$E$2:$E$862,$B16,Elements!$U$2:$U$862,"yes")/$C16,0)</f>
        <v/>
      </c>
      <c r="E16" s="10">
        <f>IFERROR(COUNTIFS(Elements!$D$2:$D$862,$A16,Elements!$E$2:$E$862,$B16,Elements!$V$2:$V$862,"yes")/$C16,0)</f>
        <v/>
      </c>
      <c r="F16" s="10">
        <f>IFERROR(COUNTIFS(Elements!$D$2:$D$862,$A16,Elements!$E$2:$E$862,$B16,Elements!$W$2:$W$862,"yes")/$C16,0)</f>
        <v/>
      </c>
      <c r="G16" s="10">
        <f>IFERROR(COUNTIFS(Elements!$D$2:$D$862,$A16,Elements!$E$2:$E$862,$B16,Elements!$X$2:$X$862,"yes")/$C16,0)</f>
        <v/>
      </c>
      <c r="H16" s="10">
        <f>IFERROR(COUNTIFS(Elements!$D$2:$D$862,$A16,Elements!$E$2:$E$862,$B16,Elements!$Y$2:$Y$862,"yes")/$C16,0)</f>
        <v/>
      </c>
      <c r="I16" s="10">
        <f>IFERROR(COUNTIFS(Elements!$D$2:$D$862,$A16,Elements!$E$2:$E$862,$B16,Elements!$Z$2:$Z$862,"yes")/$C16,0)</f>
        <v/>
      </c>
      <c r="J16" s="10">
        <f>IFERROR((COUNTIFS(Elements!$U$2:$U$862,"yes")-COUNTIFS(Elements!$D$2:$D$862,$A16,Elements!$E$2:$E$862,$B16,Elements!$U$2:$U$862,"yes"))/(COUNTA(Elements!$A$2:$A$862)-$C16),0)</f>
        <v/>
      </c>
      <c r="K16" s="10">
        <f>IFERROR((COUNTIFS(Elements!$V$2:$V$862,"yes")-COUNTIFS(Elements!$D$2:$D$862,$A16,Elements!$E$2:$E$862,$B16,Elements!$V$2:$V$862,"yes"))/(COUNTA(Elements!$A$2:$A$862)-$C16),0)</f>
        <v/>
      </c>
      <c r="L16" s="10">
        <f>IFERROR((COUNTIFS(Elements!$W$2:$W$862,"yes")-COUNTIFS(Elements!$D$2:$D$862,$A16,Elements!$E$2:$E$862,$B16,Elements!$W$2:$W$862,"yes"))/(COUNTA(Elements!$A$2:$A$862)-$C16),0)</f>
        <v/>
      </c>
      <c r="M16" s="10">
        <f>IFERROR((COUNTIFS(Elements!$X$2:$X$862,"yes")-COUNTIFS(Elements!$D$2:$D$862,$A16,Elements!$E$2:$E$862,$B16,Elements!$X$2:$X$862,"yes"))/(COUNTA(Elements!$A$2:$A$862)-$C16),0)</f>
        <v/>
      </c>
      <c r="N16" s="10">
        <f>IFERROR((COUNTIFS(Elements!$Y$2:$Y$862,"yes")-COUNTIFS(Elements!$D$2:$D$862,$A16,Elements!$E$2:$E$862,$B16,Elements!$Y$2:$Y$862,"yes"))/(COUNTA(Elements!$A$2:$A$862)-$C16),0)</f>
        <v/>
      </c>
      <c r="O16" s="10">
        <f>IFERROR((COUNTIFS(Elements!$Z$2:$Z$862,"yes")-COUNTIFS(Elements!$D$2:$D$862,$A16,Elements!$E$2:$E$862,$B16,Elements!$Z$2:$Z$862,"yes"))/(COUNTA(Elements!$A$2:$A$862)-$C16),0)</f>
        <v/>
      </c>
      <c r="P16" s="2" t="inlineStr">
        <is>
          <t>solid fill; 87-1849 x 20-30 cm; L/W 4.17-92.45; inside a footing outline 72%; on a raft 10%; touching a hatched core wall 1%; in a strip-footing band 5%; at a grade-beam junction 51%</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24"/>
  <sheetViews>
    <sheetView workbookViewId="0">
      <selection activeCell="A1" sqref="A1"/>
    </sheetView>
  </sheetViews>
  <sheetFormatPr baseColWidth="8" defaultRowHeight="15"/>
  <cols>
    <col width="58" customWidth="1" min="1" max="1"/>
    <col width="16" customWidth="1" min="2" max="2"/>
    <col width="16" customWidth="1" min="3" max="3"/>
    <col width="16" customWidth="1" min="4" max="4"/>
    <col width="16" customWidth="1" min="5" max="5"/>
  </cols>
  <sheetData>
    <row r="1">
      <c r="A1" s="11" t="inlineStr">
        <is>
          <t>Column (P) vs wall (V) without colour: EN 1992-1-1 5.3.1(7) section test against the verified classes</t>
        </is>
      </c>
    </row>
    <row r="3">
      <c r="A3" s="7" t="inlineStr">
        <is>
          <t>Column if length &lt;= this x width</t>
        </is>
      </c>
      <c r="B3" s="12" t="n">
        <v>4</v>
      </c>
    </row>
    <row r="5">
      <c r="A5" s="7" t="inlineStr">
        <is>
          <t>Verified class (colour pipeline) vs EC2 test (colour-free)</t>
        </is>
      </c>
    </row>
    <row r="6">
      <c r="A6" s="13" t="inlineStr">
        <is>
          <t>Verified subclass</t>
        </is>
      </c>
      <c r="B6" s="13" t="inlineStr">
        <is>
          <t>EC2 says column</t>
        </is>
      </c>
      <c r="C6" s="13" t="inlineStr">
        <is>
          <t>EC2 says wall</t>
        </is>
      </c>
      <c r="D6" s="13" t="inlineStr">
        <is>
          <t>Total</t>
        </is>
      </c>
    </row>
    <row r="7">
      <c r="A7" s="5" t="inlineStr">
        <is>
          <t>column</t>
        </is>
      </c>
      <c r="B7" s="5">
        <f>COUNTIFS(Elements!$AJ$2:$AJ$862,$A7,Elements!$Q$2:$Q$862,"column")</f>
        <v/>
      </c>
      <c r="C7" s="5">
        <f>COUNTIFS(Elements!$AJ$2:$AJ$862,$A7,Elements!$Q$2:$Q$862,"wall")</f>
        <v/>
      </c>
      <c r="D7" s="5">
        <f>B7+C7</f>
        <v/>
      </c>
    </row>
    <row r="8">
      <c r="A8" s="5" t="inlineStr">
        <is>
          <t>shear_wall</t>
        </is>
      </c>
      <c r="B8" s="5">
        <f>COUNTIFS(Elements!$AJ$2:$AJ$862,$A8,Elements!$Q$2:$Q$862,"column")</f>
        <v/>
      </c>
      <c r="C8" s="5">
        <f>COUNTIFS(Elements!$AJ$2:$AJ$862,$A8,Elements!$Q$2:$Q$862,"wall")</f>
        <v/>
      </c>
      <c r="D8" s="5">
        <f>B8+C8</f>
        <v/>
      </c>
    </row>
    <row r="9">
      <c r="A9" s="5" t="inlineStr">
        <is>
          <t>retaining_wall</t>
        </is>
      </c>
      <c r="B9" s="5">
        <f>COUNTIFS(Elements!$AJ$2:$AJ$862,$A9,Elements!$Q$2:$Q$862,"column")</f>
        <v/>
      </c>
      <c r="C9" s="5">
        <f>COUNTIFS(Elements!$AJ$2:$AJ$862,$A9,Elements!$Q$2:$Q$862,"wall")</f>
        <v/>
      </c>
      <c r="D9" s="5">
        <f>B9+C9</f>
        <v/>
      </c>
    </row>
    <row r="11">
      <c r="A11" s="7" t="inlineStr">
        <is>
          <t>Agreement</t>
        </is>
      </c>
      <c r="B11" s="14">
        <f>(B7+C8+C9)/SUM(D7:D9)</f>
        <v/>
      </c>
    </row>
    <row r="13">
      <c r="A13" s="7" t="inlineStr">
        <is>
          <t>Section ratio L/W by verified class</t>
        </is>
      </c>
    </row>
    <row r="14">
      <c r="A14" s="13" t="inlineStr">
        <is>
          <t>Verified subclass</t>
        </is>
      </c>
      <c r="B14" s="13" t="inlineStr">
        <is>
          <t>Min L/W</t>
        </is>
      </c>
      <c r="C14" s="13" t="inlineStr">
        <is>
          <t>Max L/W</t>
        </is>
      </c>
      <c r="D14" s="13" t="inlineStr">
        <is>
          <t>Min length (cm)</t>
        </is>
      </c>
      <c r="E14" s="13" t="inlineStr">
        <is>
          <t>Max length (cm)</t>
        </is>
      </c>
    </row>
    <row r="15">
      <c r="A15" s="5" t="inlineStr">
        <is>
          <t>column</t>
        </is>
      </c>
      <c r="B15" s="9">
        <f>IFERROR(_xlfn.MINIFS(Elements!$K$2:$K$862,Elements!$AJ$2:$AJ$862,$A15),"")</f>
        <v/>
      </c>
      <c r="C15" s="9">
        <f>IFERROR(_xlfn.MAXIFS(Elements!$K$2:$K$862,Elements!$AJ$2:$AJ$862,$A15),"")</f>
        <v/>
      </c>
      <c r="D15" s="15">
        <f>IFERROR(_xlfn.MINIFS(Elements!$I$2:$I$862,Elements!$AJ$2:$AJ$862,$A15),"")</f>
        <v/>
      </c>
      <c r="E15" s="15">
        <f>IFERROR(_xlfn.MAXIFS(Elements!$I$2:$I$862,Elements!$AJ$2:$AJ$862,$A15),"")</f>
        <v/>
      </c>
    </row>
    <row r="16">
      <c r="A16" s="5" t="inlineStr">
        <is>
          <t>shear_wall</t>
        </is>
      </c>
      <c r="B16" s="9">
        <f>IFERROR(_xlfn.MINIFS(Elements!$K$2:$K$862,Elements!$AJ$2:$AJ$862,$A16),"")</f>
        <v/>
      </c>
      <c r="C16" s="9">
        <f>IFERROR(_xlfn.MAXIFS(Elements!$K$2:$K$862,Elements!$AJ$2:$AJ$862,$A16),"")</f>
        <v/>
      </c>
      <c r="D16" s="15">
        <f>IFERROR(_xlfn.MINIFS(Elements!$I$2:$I$862,Elements!$AJ$2:$AJ$862,$A16),"")</f>
        <v/>
      </c>
      <c r="E16" s="15">
        <f>IFERROR(_xlfn.MAXIFS(Elements!$I$2:$I$862,Elements!$AJ$2:$AJ$862,$A16),"")</f>
        <v/>
      </c>
    </row>
    <row r="17">
      <c r="A17" s="5" t="inlineStr">
        <is>
          <t>retaining_wall</t>
        </is>
      </c>
      <c r="B17" s="9">
        <f>IFERROR(_xlfn.MINIFS(Elements!$K$2:$K$862,Elements!$AJ$2:$AJ$862,$A17),"")</f>
        <v/>
      </c>
      <c r="C17" s="9">
        <f>IFERROR(_xlfn.MAXIFS(Elements!$K$2:$K$862,Elements!$AJ$2:$AJ$862,$A17),"")</f>
        <v/>
      </c>
      <c r="D17" s="15">
        <f>IFERROR(_xlfn.MINIFS(Elements!$I$2:$I$862,Elements!$AJ$2:$AJ$862,$A17),"")</f>
        <v/>
      </c>
      <c r="E17" s="15">
        <f>IFERROR(_xlfn.MAXIFS(Elements!$I$2:$I$862,Elements!$AJ$2:$AJ$862,$A17),"")</f>
        <v/>
      </c>
    </row>
    <row r="19">
      <c r="A19" s="7" t="inlineStr">
        <is>
          <t>Gap between the stubbiest wall and the most elongated column</t>
        </is>
      </c>
      <c r="B19" s="16">
        <f>B16-C15</f>
        <v/>
      </c>
    </row>
    <row r="21">
      <c r="A21" s="7" t="inlineStr">
        <is>
          <t>Colour-free families of all filled rectangles (including walls the colour pipeline missed or left unsplit)</t>
        </is>
      </c>
    </row>
    <row r="22">
      <c r="A22" s="13" t="inlineStr">
        <is>
          <t>Family</t>
        </is>
      </c>
      <c r="B22" s="13" t="inlineStr">
        <is>
          <t>Count</t>
        </is>
      </c>
      <c r="C22" s="13" t="inlineStr">
        <is>
          <t>of which verified</t>
        </is>
      </c>
      <c r="D22" s="13" t="inlineStr">
        <is>
          <t>new (not in verified set)</t>
        </is>
      </c>
    </row>
    <row r="23">
      <c r="A23" s="5" t="inlineStr">
        <is>
          <t>column</t>
        </is>
      </c>
      <c r="B23" s="5">
        <f>COUNTIFS(Elements!$D$2:$D$862,$A23)</f>
        <v/>
      </c>
      <c r="C23" s="5">
        <f>COUNTIFS(Elements!$D$2:$D$862,$A23,Elements!$AI$2:$AI$862,"yes")</f>
        <v/>
      </c>
      <c r="D23" s="5">
        <f>COUNTIFS(Elements!$D$2:$D$862,$A23,Elements!$AI$2:$AI$862,"new")</f>
        <v/>
      </c>
    </row>
    <row r="24">
      <c r="A24" s="5" t="inlineStr">
        <is>
          <t>wall</t>
        </is>
      </c>
      <c r="B24" s="5">
        <f>COUNTIFS(Elements!$D$2:$D$862,$A24)</f>
        <v/>
      </c>
      <c r="C24" s="5">
        <f>COUNTIFS(Elements!$D$2:$D$862,$A24,Elements!$AI$2:$AI$862,"yes")</f>
        <v/>
      </c>
      <c r="D24" s="5">
        <f>COUNTIFS(Elements!$D$2:$D$862,$A24,Elements!$AI$2:$AI$862,"new")</f>
        <v/>
      </c>
    </row>
  </sheetData>
  <pageMargins left="0.75" right="0.75" top="1" bottom="1" header="0.5" footer="0.5"/>
  <legacyDrawing xmlns:r="http://schemas.openxmlformats.org/officeDocument/2006/relationships" r:id="anysvml"/>
</worksheet>
</file>

<file path=xl/worksheets/sheet6.xml><?xml version="1.0" encoding="utf-8"?>
<worksheet xmlns="http://schemas.openxmlformats.org/spreadsheetml/2006/main">
  <sheetPr>
    <outlinePr summaryBelow="1" summaryRight="1"/>
    <pageSetUpPr/>
  </sheetPr>
  <dimension ref="A1:U163"/>
  <sheetViews>
    <sheetView workbookViewId="0">
      <pane ySplit="1" topLeftCell="A2" activePane="bottomLeft" state="frozen"/>
      <selection pane="bottomLeft" activeCell="A1" sqref="A1"/>
    </sheetView>
  </sheetViews>
  <sheetFormatPr baseColWidth="8" defaultRowHeight="15"/>
  <cols>
    <col width="9" customWidth="1" min="1" max="1"/>
    <col width="9" customWidth="1" min="2" max="2"/>
    <col width="22" customWidth="1" min="3" max="3"/>
    <col width="30" customWidth="1" min="4" max="4"/>
    <col width="12" customWidth="1" min="5" max="5"/>
    <col width="9" customWidth="1" min="6" max="6"/>
    <col width="9" customWidth="1" min="7" max="7"/>
    <col width="16" customWidth="1" min="8" max="8"/>
    <col width="10" customWidth="1" min="9" max="9"/>
    <col width="10" customWidth="1" min="11" max="11"/>
    <col width="11" customWidth="1" min="12" max="12"/>
    <col width="11" customWidth="1" min="13" max="13"/>
    <col width="11" customWidth="1" min="14" max="14"/>
    <col width="11" customWidth="1" min="15" max="15"/>
    <col width="11" customWidth="1" min="16" max="16"/>
    <col width="11" customWidth="1" min="17" max="17"/>
    <col width="11" customWidth="1" min="18" max="18"/>
    <col width="11" customWidth="1" min="19" max="19"/>
    <col width="11" customWidth="1" min="20" max="20"/>
    <col width="11" customWidth="1" min="21" max="21"/>
  </cols>
  <sheetData>
    <row r="1" ht="32" customHeight="1">
      <c r="A1" s="4" t="inlineStr">
        <is>
          <t>Junction</t>
        </is>
      </c>
      <c r="B1" s="4" t="inlineStr">
        <is>
          <t>Building</t>
        </is>
      </c>
      <c r="C1" s="4" t="inlineStr">
        <is>
          <t>What sits there</t>
        </is>
      </c>
      <c r="D1" s="4" t="inlineStr">
        <is>
          <t>Everything within 60 cm</t>
        </is>
      </c>
      <c r="E1" s="4" t="inlineStr">
        <is>
          <t>Wall type</t>
        </is>
      </c>
      <c r="F1" s="4" t="inlineStr">
        <is>
          <t>x (px)</t>
        </is>
      </c>
      <c r="G1" s="4" t="inlineStr">
        <is>
          <t>y (px)</t>
        </is>
      </c>
      <c r="H1" s="4" t="inlineStr">
        <is>
          <t>Nearest element</t>
        </is>
      </c>
      <c r="I1" s="4" t="inlineStr">
        <is>
          <t>Distance to it (m)</t>
        </is>
      </c>
      <c r="K1" s="13" t="inlineStr">
        <is>
          <t>Building</t>
        </is>
      </c>
      <c r="L1" s="13" t="inlineStr">
        <is>
          <t>wall</t>
        </is>
      </c>
      <c r="M1" s="13" t="inlineStr">
        <is>
          <t>footing carrying wall</t>
        </is>
      </c>
      <c r="N1" s="13" t="inlineStr">
        <is>
          <t>column</t>
        </is>
      </c>
      <c r="O1" s="13" t="inlineStr">
        <is>
          <t>footing carrying column</t>
        </is>
      </c>
      <c r="P1" s="13" t="inlineStr">
        <is>
          <t>core_wall</t>
        </is>
      </c>
      <c r="Q1" s="13" t="inlineStr">
        <is>
          <t>mass_concrete_pad</t>
        </is>
      </c>
      <c r="R1" s="13" t="inlineStr">
        <is>
          <t>footing carrying nothing</t>
        </is>
      </c>
      <c r="S1" s="13" t="inlineStr">
        <is>
          <t>raft</t>
        </is>
      </c>
      <c r="T1" s="13" t="inlineStr">
        <is>
          <t>nothing</t>
        </is>
      </c>
      <c r="U1" s="13" t="inlineStr">
        <is>
          <t>Total</t>
        </is>
      </c>
    </row>
    <row r="2">
      <c r="A2" s="5" t="n">
        <v>1</v>
      </c>
      <c r="B2" s="5" t="inlineStr">
        <is>
          <t>120</t>
        </is>
      </c>
      <c r="C2" s="5" t="inlineStr">
        <is>
          <t>footing carrying wall</t>
        </is>
      </c>
      <c r="D2" s="5" t="inlineStr">
        <is>
          <t>footing</t>
        </is>
      </c>
      <c r="E2" s="5" t="inlineStr"/>
      <c r="F2" s="5" t="n">
        <v>4547.3</v>
      </c>
      <c r="G2" s="5" t="n">
        <v>1098.1</v>
      </c>
      <c r="H2" s="5" t="inlineStr">
        <is>
          <t>wall</t>
        </is>
      </c>
      <c r="I2" s="5" t="n">
        <v>1.41</v>
      </c>
      <c r="K2" s="5" t="inlineStr">
        <is>
          <t>120</t>
        </is>
      </c>
      <c r="L2" s="5">
        <f>COUNTIFS($B$2:$B$163,$K2,$C$2:$C$163,L$1)</f>
        <v/>
      </c>
      <c r="M2" s="5">
        <f>COUNTIFS($B$2:$B$163,$K2,$C$2:$C$163,M$1)</f>
        <v/>
      </c>
      <c r="N2" s="5">
        <f>COUNTIFS($B$2:$B$163,$K2,$C$2:$C$163,N$1)</f>
        <v/>
      </c>
      <c r="O2" s="5">
        <f>COUNTIFS($B$2:$B$163,$K2,$C$2:$C$163,O$1)</f>
        <v/>
      </c>
      <c r="P2" s="5">
        <f>COUNTIFS($B$2:$B$163,$K2,$C$2:$C$163,P$1)</f>
        <v/>
      </c>
      <c r="Q2" s="5">
        <f>COUNTIFS($B$2:$B$163,$K2,$C$2:$C$163,Q$1)</f>
        <v/>
      </c>
      <c r="R2" s="5">
        <f>COUNTIFS($B$2:$B$163,$K2,$C$2:$C$163,R$1)</f>
        <v/>
      </c>
      <c r="S2" s="5">
        <f>COUNTIFS($B$2:$B$163,$K2,$C$2:$C$163,S$1)</f>
        <v/>
      </c>
      <c r="T2" s="5">
        <f>COUNTIFS($B$2:$B$163,$K2,$C$2:$C$163,T$1)</f>
        <v/>
      </c>
      <c r="U2" s="7">
        <f>SUM(L2:T2)</f>
        <v/>
      </c>
    </row>
    <row r="3">
      <c r="A3" s="5" t="n">
        <v>2</v>
      </c>
      <c r="B3" s="5" t="inlineStr">
        <is>
          <t>120</t>
        </is>
      </c>
      <c r="C3" s="5" t="inlineStr">
        <is>
          <t>footing carrying wall</t>
        </is>
      </c>
      <c r="D3" s="5" t="inlineStr">
        <is>
          <t>footing</t>
        </is>
      </c>
      <c r="E3" s="5" t="inlineStr"/>
      <c r="F3" s="5" t="n">
        <v>4546.5</v>
      </c>
      <c r="G3" s="5" t="n">
        <v>637.5</v>
      </c>
      <c r="H3" s="5" t="inlineStr">
        <is>
          <t>wall</t>
        </is>
      </c>
      <c r="I3" s="5" t="n">
        <v>1.49</v>
      </c>
      <c r="K3" s="5" t="inlineStr">
        <is>
          <t>121</t>
        </is>
      </c>
      <c r="L3" s="5">
        <f>COUNTIFS($B$2:$B$163,$K3,$C$2:$C$163,L$1)</f>
        <v/>
      </c>
      <c r="M3" s="5">
        <f>COUNTIFS($B$2:$B$163,$K3,$C$2:$C$163,M$1)</f>
        <v/>
      </c>
      <c r="N3" s="5">
        <f>COUNTIFS($B$2:$B$163,$K3,$C$2:$C$163,N$1)</f>
        <v/>
      </c>
      <c r="O3" s="5">
        <f>COUNTIFS($B$2:$B$163,$K3,$C$2:$C$163,O$1)</f>
        <v/>
      </c>
      <c r="P3" s="5">
        <f>COUNTIFS($B$2:$B$163,$K3,$C$2:$C$163,P$1)</f>
        <v/>
      </c>
      <c r="Q3" s="5">
        <f>COUNTIFS($B$2:$B$163,$K3,$C$2:$C$163,Q$1)</f>
        <v/>
      </c>
      <c r="R3" s="5">
        <f>COUNTIFS($B$2:$B$163,$K3,$C$2:$C$163,R$1)</f>
        <v/>
      </c>
      <c r="S3" s="5">
        <f>COUNTIFS($B$2:$B$163,$K3,$C$2:$C$163,S$1)</f>
        <v/>
      </c>
      <c r="T3" s="5">
        <f>COUNTIFS($B$2:$B$163,$K3,$C$2:$C$163,T$1)</f>
        <v/>
      </c>
      <c r="U3" s="7">
        <f>SUM(L3:T3)</f>
        <v/>
      </c>
    </row>
    <row r="4">
      <c r="A4" s="5" t="n">
        <v>3</v>
      </c>
      <c r="B4" s="5" t="inlineStr">
        <is>
          <t>120</t>
        </is>
      </c>
      <c r="C4" s="5" t="inlineStr">
        <is>
          <t>footing carrying wall</t>
        </is>
      </c>
      <c r="D4" s="5" t="inlineStr">
        <is>
          <t>footing</t>
        </is>
      </c>
      <c r="E4" s="5" t="inlineStr"/>
      <c r="F4" s="5" t="n">
        <v>4609.4</v>
      </c>
      <c r="G4" s="5" t="n">
        <v>1324.6</v>
      </c>
      <c r="H4" s="5" t="inlineStr">
        <is>
          <t>wall</t>
        </is>
      </c>
      <c r="I4" s="5" t="n">
        <v>1.09</v>
      </c>
      <c r="K4" s="5" t="inlineStr">
        <is>
          <t>122</t>
        </is>
      </c>
      <c r="L4" s="5">
        <f>COUNTIFS($B$2:$B$163,$K4,$C$2:$C$163,L$1)</f>
        <v/>
      </c>
      <c r="M4" s="5">
        <f>COUNTIFS($B$2:$B$163,$K4,$C$2:$C$163,M$1)</f>
        <v/>
      </c>
      <c r="N4" s="5">
        <f>COUNTIFS($B$2:$B$163,$K4,$C$2:$C$163,N$1)</f>
        <v/>
      </c>
      <c r="O4" s="5">
        <f>COUNTIFS($B$2:$B$163,$K4,$C$2:$C$163,O$1)</f>
        <v/>
      </c>
      <c r="P4" s="5">
        <f>COUNTIFS($B$2:$B$163,$K4,$C$2:$C$163,P$1)</f>
        <v/>
      </c>
      <c r="Q4" s="5">
        <f>COUNTIFS($B$2:$B$163,$K4,$C$2:$C$163,Q$1)</f>
        <v/>
      </c>
      <c r="R4" s="5">
        <f>COUNTIFS($B$2:$B$163,$K4,$C$2:$C$163,R$1)</f>
        <v/>
      </c>
      <c r="S4" s="5">
        <f>COUNTIFS($B$2:$B$163,$K4,$C$2:$C$163,S$1)</f>
        <v/>
      </c>
      <c r="T4" s="5">
        <f>COUNTIFS($B$2:$B$163,$K4,$C$2:$C$163,T$1)</f>
        <v/>
      </c>
      <c r="U4" s="7">
        <f>SUM(L4:T4)</f>
        <v/>
      </c>
    </row>
    <row r="5">
      <c r="A5" s="5" t="n">
        <v>4</v>
      </c>
      <c r="B5" s="5" t="inlineStr">
        <is>
          <t>120</t>
        </is>
      </c>
      <c r="C5" s="5" t="inlineStr">
        <is>
          <t>mass_concrete_pad</t>
        </is>
      </c>
      <c r="D5" s="5" t="inlineStr">
        <is>
          <t>mass_concrete_pad</t>
        </is>
      </c>
      <c r="E5" s="5" t="inlineStr"/>
      <c r="F5" s="5" t="n">
        <v>4299.7</v>
      </c>
      <c r="G5" s="5" t="n">
        <v>977.9</v>
      </c>
      <c r="H5" s="5" t="inlineStr">
        <is>
          <t>mass_concrete_pad</t>
        </is>
      </c>
      <c r="I5" s="5" t="n">
        <v>0</v>
      </c>
      <c r="K5" s="5" t="inlineStr">
        <is>
          <t>123</t>
        </is>
      </c>
      <c r="L5" s="5">
        <f>COUNTIFS($B$2:$B$163,$K5,$C$2:$C$163,L$1)</f>
        <v/>
      </c>
      <c r="M5" s="5">
        <f>COUNTIFS($B$2:$B$163,$K5,$C$2:$C$163,M$1)</f>
        <v/>
      </c>
      <c r="N5" s="5">
        <f>COUNTIFS($B$2:$B$163,$K5,$C$2:$C$163,N$1)</f>
        <v/>
      </c>
      <c r="O5" s="5">
        <f>COUNTIFS($B$2:$B$163,$K5,$C$2:$C$163,O$1)</f>
        <v/>
      </c>
      <c r="P5" s="5">
        <f>COUNTIFS($B$2:$B$163,$K5,$C$2:$C$163,P$1)</f>
        <v/>
      </c>
      <c r="Q5" s="5">
        <f>COUNTIFS($B$2:$B$163,$K5,$C$2:$C$163,Q$1)</f>
        <v/>
      </c>
      <c r="R5" s="5">
        <f>COUNTIFS($B$2:$B$163,$K5,$C$2:$C$163,R$1)</f>
        <v/>
      </c>
      <c r="S5" s="5">
        <f>COUNTIFS($B$2:$B$163,$K5,$C$2:$C$163,S$1)</f>
        <v/>
      </c>
      <c r="T5" s="5">
        <f>COUNTIFS($B$2:$B$163,$K5,$C$2:$C$163,T$1)</f>
        <v/>
      </c>
      <c r="U5" s="7">
        <f>SUM(L5:T5)</f>
        <v/>
      </c>
    </row>
    <row r="6">
      <c r="A6" s="5" t="n">
        <v>5</v>
      </c>
      <c r="B6" s="5" t="inlineStr">
        <is>
          <t>120</t>
        </is>
      </c>
      <c r="C6" s="5" t="inlineStr">
        <is>
          <t>mass_concrete_pad</t>
        </is>
      </c>
      <c r="D6" s="5" t="inlineStr">
        <is>
          <t>mass_concrete_pad</t>
        </is>
      </c>
      <c r="E6" s="5" t="inlineStr"/>
      <c r="F6" s="5" t="n">
        <v>4300</v>
      </c>
      <c r="G6" s="5" t="n">
        <v>521.5</v>
      </c>
      <c r="H6" s="5" t="inlineStr">
        <is>
          <t>mass_concrete_pad</t>
        </is>
      </c>
      <c r="I6" s="5" t="n">
        <v>0</v>
      </c>
      <c r="K6" s="5" t="inlineStr">
        <is>
          <t>124</t>
        </is>
      </c>
      <c r="L6" s="5">
        <f>COUNTIFS($B$2:$B$163,$K6,$C$2:$C$163,L$1)</f>
        <v/>
      </c>
      <c r="M6" s="5">
        <f>COUNTIFS($B$2:$B$163,$K6,$C$2:$C$163,M$1)</f>
        <v/>
      </c>
      <c r="N6" s="5">
        <f>COUNTIFS($B$2:$B$163,$K6,$C$2:$C$163,N$1)</f>
        <v/>
      </c>
      <c r="O6" s="5">
        <f>COUNTIFS($B$2:$B$163,$K6,$C$2:$C$163,O$1)</f>
        <v/>
      </c>
      <c r="P6" s="5">
        <f>COUNTIFS($B$2:$B$163,$K6,$C$2:$C$163,P$1)</f>
        <v/>
      </c>
      <c r="Q6" s="5">
        <f>COUNTIFS($B$2:$B$163,$K6,$C$2:$C$163,Q$1)</f>
        <v/>
      </c>
      <c r="R6" s="5">
        <f>COUNTIFS($B$2:$B$163,$K6,$C$2:$C$163,R$1)</f>
        <v/>
      </c>
      <c r="S6" s="5">
        <f>COUNTIFS($B$2:$B$163,$K6,$C$2:$C$163,S$1)</f>
        <v/>
      </c>
      <c r="T6" s="5">
        <f>COUNTIFS($B$2:$B$163,$K6,$C$2:$C$163,T$1)</f>
        <v/>
      </c>
      <c r="U6" s="7">
        <f>SUM(L6:T6)</f>
        <v/>
      </c>
    </row>
    <row r="7">
      <c r="A7" s="5" t="n">
        <v>6</v>
      </c>
      <c r="B7" s="5" t="inlineStr">
        <is>
          <t>120</t>
        </is>
      </c>
      <c r="C7" s="5" t="inlineStr">
        <is>
          <t>nothing</t>
        </is>
      </c>
      <c r="D7" s="5" t="inlineStr"/>
      <c r="E7" s="5" t="inlineStr"/>
      <c r="F7" s="5" t="n">
        <v>4299.8</v>
      </c>
      <c r="G7" s="5" t="n">
        <v>830.3</v>
      </c>
      <c r="H7" s="5" t="inlineStr">
        <is>
          <t>wall</t>
        </is>
      </c>
      <c r="I7" s="5" t="n">
        <v>1.16</v>
      </c>
      <c r="K7" s="5" t="inlineStr">
        <is>
          <t>125</t>
        </is>
      </c>
      <c r="L7" s="5">
        <f>COUNTIFS($B$2:$B$163,$K7,$C$2:$C$163,L$1)</f>
        <v/>
      </c>
      <c r="M7" s="5">
        <f>COUNTIFS($B$2:$B$163,$K7,$C$2:$C$163,M$1)</f>
        <v/>
      </c>
      <c r="N7" s="5">
        <f>COUNTIFS($B$2:$B$163,$K7,$C$2:$C$163,N$1)</f>
        <v/>
      </c>
      <c r="O7" s="5">
        <f>COUNTIFS($B$2:$B$163,$K7,$C$2:$C$163,O$1)</f>
        <v/>
      </c>
      <c r="P7" s="5">
        <f>COUNTIFS($B$2:$B$163,$K7,$C$2:$C$163,P$1)</f>
        <v/>
      </c>
      <c r="Q7" s="5">
        <f>COUNTIFS($B$2:$B$163,$K7,$C$2:$C$163,Q$1)</f>
        <v/>
      </c>
      <c r="R7" s="5">
        <f>COUNTIFS($B$2:$B$163,$K7,$C$2:$C$163,R$1)</f>
        <v/>
      </c>
      <c r="S7" s="5">
        <f>COUNTIFS($B$2:$B$163,$K7,$C$2:$C$163,S$1)</f>
        <v/>
      </c>
      <c r="T7" s="5">
        <f>COUNTIFS($B$2:$B$163,$K7,$C$2:$C$163,T$1)</f>
        <v/>
      </c>
      <c r="U7" s="7">
        <f>SUM(L7:T7)</f>
        <v/>
      </c>
    </row>
    <row r="8">
      <c r="A8" s="5" t="n">
        <v>7</v>
      </c>
      <c r="B8" s="5" t="inlineStr">
        <is>
          <t>120</t>
        </is>
      </c>
      <c r="C8" s="5" t="inlineStr">
        <is>
          <t>wall</t>
        </is>
      </c>
      <c r="D8" s="5" t="inlineStr">
        <is>
          <t>wall</t>
        </is>
      </c>
      <c r="E8" s="5" t="inlineStr">
        <is>
          <t>V3/120</t>
        </is>
      </c>
      <c r="F8" s="5" t="n">
        <v>4299.4</v>
      </c>
      <c r="G8" s="5" t="n">
        <v>1324.6</v>
      </c>
      <c r="H8" s="5" t="inlineStr">
        <is>
          <t>wall</t>
        </is>
      </c>
      <c r="I8" s="5" t="n">
        <v>0.3</v>
      </c>
      <c r="K8" s="5" t="inlineStr">
        <is>
          <t>126</t>
        </is>
      </c>
      <c r="L8" s="5">
        <f>COUNTIFS($B$2:$B$163,$K8,$C$2:$C$163,L$1)</f>
        <v/>
      </c>
      <c r="M8" s="5">
        <f>COUNTIFS($B$2:$B$163,$K8,$C$2:$C$163,M$1)</f>
        <v/>
      </c>
      <c r="N8" s="5">
        <f>COUNTIFS($B$2:$B$163,$K8,$C$2:$C$163,N$1)</f>
        <v/>
      </c>
      <c r="O8" s="5">
        <f>COUNTIFS($B$2:$B$163,$K8,$C$2:$C$163,O$1)</f>
        <v/>
      </c>
      <c r="P8" s="5">
        <f>COUNTIFS($B$2:$B$163,$K8,$C$2:$C$163,P$1)</f>
        <v/>
      </c>
      <c r="Q8" s="5">
        <f>COUNTIFS($B$2:$B$163,$K8,$C$2:$C$163,Q$1)</f>
        <v/>
      </c>
      <c r="R8" s="5">
        <f>COUNTIFS($B$2:$B$163,$K8,$C$2:$C$163,R$1)</f>
        <v/>
      </c>
      <c r="S8" s="5">
        <f>COUNTIFS($B$2:$B$163,$K8,$C$2:$C$163,S$1)</f>
        <v/>
      </c>
      <c r="T8" s="5">
        <f>COUNTIFS($B$2:$B$163,$K8,$C$2:$C$163,T$1)</f>
        <v/>
      </c>
      <c r="U8" s="7">
        <f>SUM(L8:T8)</f>
        <v/>
      </c>
    </row>
    <row r="9">
      <c r="A9" s="5" t="n">
        <v>8</v>
      </c>
      <c r="B9" s="5" t="inlineStr">
        <is>
          <t>120</t>
        </is>
      </c>
      <c r="C9" s="5" t="inlineStr">
        <is>
          <t>wall</t>
        </is>
      </c>
      <c r="D9" s="5" t="inlineStr">
        <is>
          <t>footing+wall</t>
        </is>
      </c>
      <c r="E9" s="5" t="inlineStr">
        <is>
          <t>V3/120</t>
        </is>
      </c>
      <c r="F9" s="5" t="n">
        <v>4299.6</v>
      </c>
      <c r="G9" s="5" t="n">
        <v>1097.9</v>
      </c>
      <c r="H9" s="5" t="inlineStr">
        <is>
          <t>wall</t>
        </is>
      </c>
      <c r="I9" s="5" t="n">
        <v>0</v>
      </c>
      <c r="K9" s="5" t="inlineStr">
        <is>
          <t>127</t>
        </is>
      </c>
      <c r="L9" s="5">
        <f>COUNTIFS($B$2:$B$163,$K9,$C$2:$C$163,L$1)</f>
        <v/>
      </c>
      <c r="M9" s="5">
        <f>COUNTIFS($B$2:$B$163,$K9,$C$2:$C$163,M$1)</f>
        <v/>
      </c>
      <c r="N9" s="5">
        <f>COUNTIFS($B$2:$B$163,$K9,$C$2:$C$163,N$1)</f>
        <v/>
      </c>
      <c r="O9" s="5">
        <f>COUNTIFS($B$2:$B$163,$K9,$C$2:$C$163,O$1)</f>
        <v/>
      </c>
      <c r="P9" s="5">
        <f>COUNTIFS($B$2:$B$163,$K9,$C$2:$C$163,P$1)</f>
        <v/>
      </c>
      <c r="Q9" s="5">
        <f>COUNTIFS($B$2:$B$163,$K9,$C$2:$C$163,Q$1)</f>
        <v/>
      </c>
      <c r="R9" s="5">
        <f>COUNTIFS($B$2:$B$163,$K9,$C$2:$C$163,R$1)</f>
        <v/>
      </c>
      <c r="S9" s="5">
        <f>COUNTIFS($B$2:$B$163,$K9,$C$2:$C$163,S$1)</f>
        <v/>
      </c>
      <c r="T9" s="5">
        <f>COUNTIFS($B$2:$B$163,$K9,$C$2:$C$163,T$1)</f>
        <v/>
      </c>
      <c r="U9" s="7">
        <f>SUM(L9:T9)</f>
        <v/>
      </c>
    </row>
    <row r="10">
      <c r="A10" s="5" t="n">
        <v>9</v>
      </c>
      <c r="B10" s="5" t="inlineStr">
        <is>
          <t>120</t>
        </is>
      </c>
      <c r="C10" s="5" t="inlineStr">
        <is>
          <t>wall</t>
        </is>
      </c>
      <c r="D10" s="5" t="inlineStr">
        <is>
          <t>footing+wall</t>
        </is>
      </c>
      <c r="E10" s="5" t="inlineStr">
        <is>
          <t>V3/120</t>
        </is>
      </c>
      <c r="F10" s="5" t="n">
        <v>4299.9</v>
      </c>
      <c r="G10" s="5" t="n">
        <v>639.5</v>
      </c>
      <c r="H10" s="5" t="inlineStr">
        <is>
          <t>wall</t>
        </is>
      </c>
      <c r="I10" s="5" t="n">
        <v>0</v>
      </c>
      <c r="K10" s="5" t="inlineStr">
        <is>
          <t>128</t>
        </is>
      </c>
      <c r="L10" s="5">
        <f>COUNTIFS($B$2:$B$163,$K10,$C$2:$C$163,L$1)</f>
        <v/>
      </c>
      <c r="M10" s="5">
        <f>COUNTIFS($B$2:$B$163,$K10,$C$2:$C$163,M$1)</f>
        <v/>
      </c>
      <c r="N10" s="5">
        <f>COUNTIFS($B$2:$B$163,$K10,$C$2:$C$163,N$1)</f>
        <v/>
      </c>
      <c r="O10" s="5">
        <f>COUNTIFS($B$2:$B$163,$K10,$C$2:$C$163,O$1)</f>
        <v/>
      </c>
      <c r="P10" s="5">
        <f>COUNTIFS($B$2:$B$163,$K10,$C$2:$C$163,P$1)</f>
        <v/>
      </c>
      <c r="Q10" s="5">
        <f>COUNTIFS($B$2:$B$163,$K10,$C$2:$C$163,Q$1)</f>
        <v/>
      </c>
      <c r="R10" s="5">
        <f>COUNTIFS($B$2:$B$163,$K10,$C$2:$C$163,R$1)</f>
        <v/>
      </c>
      <c r="S10" s="5">
        <f>COUNTIFS($B$2:$B$163,$K10,$C$2:$C$163,S$1)</f>
        <v/>
      </c>
      <c r="T10" s="5">
        <f>COUNTIFS($B$2:$B$163,$K10,$C$2:$C$163,T$1)</f>
        <v/>
      </c>
      <c r="U10" s="7">
        <f>SUM(L10:T10)</f>
        <v/>
      </c>
    </row>
    <row r="11">
      <c r="A11" s="5" t="n">
        <v>10</v>
      </c>
      <c r="B11" s="5" t="inlineStr">
        <is>
          <t>120</t>
        </is>
      </c>
      <c r="C11" s="5" t="inlineStr">
        <is>
          <t>wall</t>
        </is>
      </c>
      <c r="D11" s="5" t="inlineStr">
        <is>
          <t>footing+wall</t>
        </is>
      </c>
      <c r="E11" s="5" t="inlineStr">
        <is>
          <t>V3/120</t>
        </is>
      </c>
      <c r="F11" s="5" t="n">
        <v>4299.7</v>
      </c>
      <c r="G11" s="5" t="n">
        <v>868.4</v>
      </c>
      <c r="H11" s="5" t="inlineStr">
        <is>
          <t>wall</t>
        </is>
      </c>
      <c r="I11" s="5" t="n">
        <v>0</v>
      </c>
      <c r="K11" s="5" t="inlineStr">
        <is>
          <t>129</t>
        </is>
      </c>
      <c r="L11" s="5">
        <f>COUNTIFS($B$2:$B$163,$K11,$C$2:$C$163,L$1)</f>
        <v/>
      </c>
      <c r="M11" s="5">
        <f>COUNTIFS($B$2:$B$163,$K11,$C$2:$C$163,M$1)</f>
        <v/>
      </c>
      <c r="N11" s="5">
        <f>COUNTIFS($B$2:$B$163,$K11,$C$2:$C$163,N$1)</f>
        <v/>
      </c>
      <c r="O11" s="5">
        <f>COUNTIFS($B$2:$B$163,$K11,$C$2:$C$163,O$1)</f>
        <v/>
      </c>
      <c r="P11" s="5">
        <f>COUNTIFS($B$2:$B$163,$K11,$C$2:$C$163,P$1)</f>
        <v/>
      </c>
      <c r="Q11" s="5">
        <f>COUNTIFS($B$2:$B$163,$K11,$C$2:$C$163,Q$1)</f>
        <v/>
      </c>
      <c r="R11" s="5">
        <f>COUNTIFS($B$2:$B$163,$K11,$C$2:$C$163,R$1)</f>
        <v/>
      </c>
      <c r="S11" s="5">
        <f>COUNTIFS($B$2:$B$163,$K11,$C$2:$C$163,S$1)</f>
        <v/>
      </c>
      <c r="T11" s="5">
        <f>COUNTIFS($B$2:$B$163,$K11,$C$2:$C$163,T$1)</f>
        <v/>
      </c>
      <c r="U11" s="7">
        <f>SUM(L11:T11)</f>
        <v/>
      </c>
    </row>
    <row r="12">
      <c r="A12" s="5" t="n">
        <v>11</v>
      </c>
      <c r="B12" s="5" t="inlineStr">
        <is>
          <t>120</t>
        </is>
      </c>
      <c r="C12" s="5" t="inlineStr">
        <is>
          <t>wall</t>
        </is>
      </c>
      <c r="D12" s="5" t="inlineStr">
        <is>
          <t>wall</t>
        </is>
      </c>
      <c r="E12" s="5" t="inlineStr">
        <is>
          <t>V3/120</t>
        </is>
      </c>
      <c r="F12" s="5" t="n">
        <v>4298.6</v>
      </c>
      <c r="G12" s="5" t="n">
        <v>1339.5</v>
      </c>
      <c r="H12" s="5" t="inlineStr">
        <is>
          <t>wall</t>
        </is>
      </c>
      <c r="I12" s="5" t="n">
        <v>0.27</v>
      </c>
      <c r="K12" s="5" t="inlineStr">
        <is>
          <t>130</t>
        </is>
      </c>
      <c r="L12" s="5">
        <f>COUNTIFS($B$2:$B$163,$K12,$C$2:$C$163,L$1)</f>
        <v/>
      </c>
      <c r="M12" s="5">
        <f>COUNTIFS($B$2:$B$163,$K12,$C$2:$C$163,M$1)</f>
        <v/>
      </c>
      <c r="N12" s="5">
        <f>COUNTIFS($B$2:$B$163,$K12,$C$2:$C$163,N$1)</f>
        <v/>
      </c>
      <c r="O12" s="5">
        <f>COUNTIFS($B$2:$B$163,$K12,$C$2:$C$163,O$1)</f>
        <v/>
      </c>
      <c r="P12" s="5">
        <f>COUNTIFS($B$2:$B$163,$K12,$C$2:$C$163,P$1)</f>
        <v/>
      </c>
      <c r="Q12" s="5">
        <f>COUNTIFS($B$2:$B$163,$K12,$C$2:$C$163,Q$1)</f>
        <v/>
      </c>
      <c r="R12" s="5">
        <f>COUNTIFS($B$2:$B$163,$K12,$C$2:$C$163,R$1)</f>
        <v/>
      </c>
      <c r="S12" s="5">
        <f>COUNTIFS($B$2:$B$163,$K12,$C$2:$C$163,S$1)</f>
        <v/>
      </c>
      <c r="T12" s="5">
        <f>COUNTIFS($B$2:$B$163,$K12,$C$2:$C$163,T$1)</f>
        <v/>
      </c>
      <c r="U12" s="7">
        <f>SUM(L12:T12)</f>
        <v/>
      </c>
    </row>
    <row r="13">
      <c r="A13" s="5" t="n">
        <v>12</v>
      </c>
      <c r="B13" s="5" t="inlineStr">
        <is>
          <t>120</t>
        </is>
      </c>
      <c r="C13" s="5" t="inlineStr">
        <is>
          <t>wall</t>
        </is>
      </c>
      <c r="D13" s="5" t="inlineStr">
        <is>
          <t>footing+wall</t>
        </is>
      </c>
      <c r="E13" s="5" t="inlineStr">
        <is>
          <t>V1/121</t>
        </is>
      </c>
      <c r="F13" s="5" t="n">
        <v>4547.7</v>
      </c>
      <c r="G13" s="5" t="n">
        <v>1324.6</v>
      </c>
      <c r="H13" s="5" t="inlineStr">
        <is>
          <t>wall</t>
        </is>
      </c>
      <c r="I13" s="5" t="n">
        <v>0</v>
      </c>
      <c r="K13" s="7" t="inlineStr">
        <is>
          <t>All</t>
        </is>
      </c>
      <c r="L13" s="5">
        <f>COUNTIFS($C$2:$C$163,L$1)</f>
        <v/>
      </c>
      <c r="M13" s="5">
        <f>COUNTIFS($C$2:$C$163,M$1)</f>
        <v/>
      </c>
      <c r="N13" s="5">
        <f>COUNTIFS($C$2:$C$163,N$1)</f>
        <v/>
      </c>
      <c r="O13" s="5">
        <f>COUNTIFS($C$2:$C$163,O$1)</f>
        <v/>
      </c>
      <c r="P13" s="5">
        <f>COUNTIFS($C$2:$C$163,P$1)</f>
        <v/>
      </c>
      <c r="Q13" s="5">
        <f>COUNTIFS($C$2:$C$163,Q$1)</f>
        <v/>
      </c>
      <c r="R13" s="5">
        <f>COUNTIFS($C$2:$C$163,R$1)</f>
        <v/>
      </c>
      <c r="S13" s="5">
        <f>COUNTIFS($C$2:$C$163,S$1)</f>
        <v/>
      </c>
      <c r="T13" s="5">
        <f>COUNTIFS($C$2:$C$163,T$1)</f>
        <v/>
      </c>
      <c r="U13" s="7">
        <f>SUM(L13:T13)</f>
        <v/>
      </c>
    </row>
    <row r="14">
      <c r="A14" s="5" t="n">
        <v>13</v>
      </c>
      <c r="B14" s="5" t="inlineStr">
        <is>
          <t>120</t>
        </is>
      </c>
      <c r="C14" s="5" t="inlineStr">
        <is>
          <t>wall</t>
        </is>
      </c>
      <c r="D14" s="5" t="inlineStr">
        <is>
          <t>footing+wall</t>
        </is>
      </c>
      <c r="E14" s="5" t="inlineStr">
        <is>
          <t>V1/120</t>
        </is>
      </c>
      <c r="F14" s="5" t="n">
        <v>4547.1</v>
      </c>
      <c r="G14" s="5" t="n">
        <v>978</v>
      </c>
      <c r="H14" s="5" t="inlineStr">
        <is>
          <t>wall</t>
        </is>
      </c>
      <c r="I14" s="5" t="n">
        <v>0</v>
      </c>
      <c r="K14" s="7" t="inlineStr">
        <is>
          <t>Share</t>
        </is>
      </c>
      <c r="L14" s="10">
        <f>IFERROR(L13/U13,0)</f>
        <v/>
      </c>
      <c r="M14" s="10">
        <f>IFERROR(M13/U13,0)</f>
        <v/>
      </c>
      <c r="N14" s="10">
        <f>IFERROR(N13/U13,0)</f>
        <v/>
      </c>
      <c r="O14" s="10">
        <f>IFERROR(O13/U13,0)</f>
        <v/>
      </c>
      <c r="P14" s="10">
        <f>IFERROR(P13/U13,0)</f>
        <v/>
      </c>
      <c r="Q14" s="10">
        <f>IFERROR(Q13/U13,0)</f>
        <v/>
      </c>
      <c r="R14" s="10">
        <f>IFERROR(R13/U13,0)</f>
        <v/>
      </c>
      <c r="S14" s="10">
        <f>IFERROR(S13/U13,0)</f>
        <v/>
      </c>
      <c r="T14" s="10">
        <f>IFERROR(T13/U13,0)</f>
        <v/>
      </c>
    </row>
    <row r="15">
      <c r="A15" s="5" t="n">
        <v>14</v>
      </c>
      <c r="B15" s="5" t="inlineStr">
        <is>
          <t>120</t>
        </is>
      </c>
      <c r="C15" s="5" t="inlineStr">
        <is>
          <t>wall</t>
        </is>
      </c>
      <c r="D15" s="5" t="inlineStr">
        <is>
          <t>wall</t>
        </is>
      </c>
      <c r="E15" s="5" t="inlineStr">
        <is>
          <t>V1/120</t>
        </is>
      </c>
      <c r="F15" s="5" t="n">
        <v>4546.3</v>
      </c>
      <c r="G15" s="5" t="n">
        <v>521.1</v>
      </c>
      <c r="H15" s="5" t="inlineStr">
        <is>
          <t>wall</t>
        </is>
      </c>
      <c r="I15" s="5" t="n">
        <v>0</v>
      </c>
    </row>
    <row r="16">
      <c r="A16" s="5" t="n">
        <v>15</v>
      </c>
      <c r="B16" s="5" t="inlineStr">
        <is>
          <t>120</t>
        </is>
      </c>
      <c r="C16" s="5" t="inlineStr">
        <is>
          <t>wall</t>
        </is>
      </c>
      <c r="D16" s="5" t="inlineStr">
        <is>
          <t>wall</t>
        </is>
      </c>
      <c r="E16" s="5" t="inlineStr">
        <is>
          <t>V1/120</t>
        </is>
      </c>
      <c r="F16" s="5" t="n">
        <v>4546.8</v>
      </c>
      <c r="G16" s="5" t="n">
        <v>830.5</v>
      </c>
      <c r="H16" s="5" t="inlineStr">
        <is>
          <t>wall</t>
        </is>
      </c>
      <c r="I16" s="5" t="n">
        <v>0</v>
      </c>
      <c r="K16" s="7" t="inlineStr">
        <is>
          <t>Junctions with no element within 60 cm, by distance to the nearest one</t>
        </is>
      </c>
    </row>
    <row r="17">
      <c r="A17" s="5" t="n">
        <v>16</v>
      </c>
      <c r="B17" s="5" t="inlineStr">
        <is>
          <t>120</t>
        </is>
      </c>
      <c r="C17" s="5" t="inlineStr">
        <is>
          <t>wall</t>
        </is>
      </c>
      <c r="D17" s="5" t="inlineStr">
        <is>
          <t>footing+wall</t>
        </is>
      </c>
      <c r="E17" s="5" t="inlineStr">
        <is>
          <t>V1/120</t>
        </is>
      </c>
      <c r="F17" s="5" t="n">
        <v>4546.6</v>
      </c>
      <c r="G17" s="5" t="n">
        <v>685</v>
      </c>
      <c r="H17" s="5" t="inlineStr">
        <is>
          <t>wall</t>
        </is>
      </c>
      <c r="I17" s="5" t="n">
        <v>0</v>
      </c>
      <c r="K17" s="5" t="inlineStr">
        <is>
          <t>0.6-1.0 m</t>
        </is>
      </c>
      <c r="L17" s="5">
        <f>COUNTIFS($I$2:$I$163,"&gt;="&amp;0.6,$I$2:$I$163,"&lt;"&amp;1.0)</f>
        <v/>
      </c>
    </row>
    <row r="18">
      <c r="A18" s="5" t="n">
        <v>17</v>
      </c>
      <c r="B18" s="5" t="inlineStr">
        <is>
          <t>120</t>
        </is>
      </c>
      <c r="C18" s="5" t="inlineStr">
        <is>
          <t>wall</t>
        </is>
      </c>
      <c r="D18" s="5" t="inlineStr">
        <is>
          <t>footing+wall</t>
        </is>
      </c>
      <c r="E18" s="5" t="inlineStr">
        <is>
          <t>V9/120</t>
        </is>
      </c>
      <c r="F18" s="5" t="n">
        <v>4547.4</v>
      </c>
      <c r="G18" s="5" t="n">
        <v>1144.1</v>
      </c>
      <c r="H18" s="5" t="inlineStr">
        <is>
          <t>wall</t>
        </is>
      </c>
      <c r="I18" s="5" t="n">
        <v>0</v>
      </c>
      <c r="K18" s="5" t="inlineStr">
        <is>
          <t>1.0-2.0 m</t>
        </is>
      </c>
      <c r="L18" s="5">
        <f>COUNTIFS($I$2:$I$163,"&gt;="&amp;1.0,$I$2:$I$163,"&lt;"&amp;2.0)</f>
        <v/>
      </c>
    </row>
    <row r="19">
      <c r="A19" s="5" t="n">
        <v>18</v>
      </c>
      <c r="B19" s="5" t="inlineStr">
        <is>
          <t>121</t>
        </is>
      </c>
      <c r="C19" s="5" t="inlineStr">
        <is>
          <t>column</t>
        </is>
      </c>
      <c r="D19" s="5" t="inlineStr">
        <is>
          <t>column+footing</t>
        </is>
      </c>
      <c r="E19" s="5" t="inlineStr"/>
      <c r="F19" s="5" t="n">
        <v>4609.3</v>
      </c>
      <c r="G19" s="5" t="n">
        <v>1529.5</v>
      </c>
      <c r="H19" s="5" t="inlineStr">
        <is>
          <t>column</t>
        </is>
      </c>
      <c r="I19" s="5" t="n">
        <v>0</v>
      </c>
      <c r="K19" s="5" t="inlineStr">
        <is>
          <t>2.0-+ m</t>
        </is>
      </c>
      <c r="L19" s="5">
        <f>COUNTIFS($I$2:$I$163,"&gt;="&amp;2.0,$I$2:$I$163,"&lt;"&amp;99.0)</f>
        <v/>
      </c>
    </row>
    <row r="20">
      <c r="A20" s="5" t="n">
        <v>19</v>
      </c>
      <c r="B20" s="5" t="inlineStr">
        <is>
          <t>121</t>
        </is>
      </c>
      <c r="C20" s="5" t="inlineStr">
        <is>
          <t>column</t>
        </is>
      </c>
      <c r="D20" s="5" t="inlineStr">
        <is>
          <t>column+footing</t>
        </is>
      </c>
      <c r="E20" s="5" t="inlineStr"/>
      <c r="F20" s="5" t="n">
        <v>4609.2</v>
      </c>
      <c r="G20" s="5" t="n">
        <v>1616.6</v>
      </c>
      <c r="H20" s="5" t="inlineStr">
        <is>
          <t>column</t>
        </is>
      </c>
      <c r="I20" s="5" t="n">
        <v>0</v>
      </c>
    </row>
    <row r="21">
      <c r="A21" s="5" t="n">
        <v>20</v>
      </c>
      <c r="B21" s="5" t="inlineStr">
        <is>
          <t>121</t>
        </is>
      </c>
      <c r="C21" s="5" t="inlineStr">
        <is>
          <t>footing carrying wall</t>
        </is>
      </c>
      <c r="D21" s="5" t="inlineStr">
        <is>
          <t>footing</t>
        </is>
      </c>
      <c r="E21" s="5" t="inlineStr"/>
      <c r="F21" s="5" t="n">
        <v>4546.1</v>
      </c>
      <c r="G21" s="5" t="n">
        <v>1616.8</v>
      </c>
      <c r="H21" s="5" t="inlineStr">
        <is>
          <t>wall</t>
        </is>
      </c>
      <c r="I21" s="5" t="n">
        <v>1.33</v>
      </c>
    </row>
    <row r="22">
      <c r="A22" s="5" t="n">
        <v>21</v>
      </c>
      <c r="B22" s="5" t="inlineStr">
        <is>
          <t>121</t>
        </is>
      </c>
      <c r="C22" s="5" t="inlineStr">
        <is>
          <t>footing carrying wall</t>
        </is>
      </c>
      <c r="D22" s="5" t="inlineStr">
        <is>
          <t>footing</t>
        </is>
      </c>
      <c r="E22" s="5" t="inlineStr"/>
      <c r="F22" s="5" t="n">
        <v>4609.4</v>
      </c>
      <c r="G22" s="5" t="n">
        <v>1339.5</v>
      </c>
      <c r="H22" s="5" t="inlineStr">
        <is>
          <t>wall</t>
        </is>
      </c>
      <c r="I22" s="5" t="n">
        <v>1.04</v>
      </c>
    </row>
    <row r="23">
      <c r="A23" s="5" t="n">
        <v>22</v>
      </c>
      <c r="B23" s="5" t="inlineStr">
        <is>
          <t>121</t>
        </is>
      </c>
      <c r="C23" s="5" t="inlineStr">
        <is>
          <t>footing carrying wall</t>
        </is>
      </c>
      <c r="D23" s="5" t="inlineStr">
        <is>
          <t>footing</t>
        </is>
      </c>
      <c r="E23" s="5" t="inlineStr"/>
      <c r="F23" s="5" t="n">
        <v>4609.1</v>
      </c>
      <c r="G23" s="5" t="n">
        <v>1776.2</v>
      </c>
      <c r="H23" s="5" t="inlineStr">
        <is>
          <t>wall</t>
        </is>
      </c>
      <c r="I23" s="5" t="n">
        <v>1.1</v>
      </c>
    </row>
    <row r="24">
      <c r="A24" s="5" t="n">
        <v>23</v>
      </c>
      <c r="B24" s="5" t="inlineStr">
        <is>
          <t>121</t>
        </is>
      </c>
      <c r="C24" s="5" t="inlineStr">
        <is>
          <t>mass_concrete_pad</t>
        </is>
      </c>
      <c r="D24" s="5" t="inlineStr">
        <is>
          <t>mass_concrete_pad</t>
        </is>
      </c>
      <c r="E24" s="5" t="inlineStr"/>
      <c r="F24" s="5" t="n">
        <v>4298.9</v>
      </c>
      <c r="G24" s="5" t="n">
        <v>1659.5</v>
      </c>
      <c r="H24" s="5" t="inlineStr">
        <is>
          <t>mass_concrete_pad</t>
        </is>
      </c>
      <c r="I24" s="5" t="n">
        <v>0</v>
      </c>
    </row>
    <row r="25">
      <c r="A25" s="5" t="n">
        <v>24</v>
      </c>
      <c r="B25" s="5" t="inlineStr">
        <is>
          <t>121</t>
        </is>
      </c>
      <c r="C25" s="5" t="inlineStr">
        <is>
          <t>nothing</t>
        </is>
      </c>
      <c r="D25" s="5" t="inlineStr"/>
      <c r="E25" s="5" t="inlineStr"/>
      <c r="F25" s="5" t="n">
        <v>4546.2</v>
      </c>
      <c r="G25" s="5" t="n">
        <v>1564.8</v>
      </c>
      <c r="H25" s="5" t="inlineStr">
        <is>
          <t>column</t>
        </is>
      </c>
      <c r="I25" s="5" t="n">
        <v>1.95</v>
      </c>
    </row>
    <row r="26">
      <c r="A26" s="5" t="n">
        <v>25</v>
      </c>
      <c r="B26" s="5" t="inlineStr">
        <is>
          <t>121</t>
        </is>
      </c>
      <c r="C26" s="5" t="inlineStr">
        <is>
          <t>nothing</t>
        </is>
      </c>
      <c r="D26" s="5" t="inlineStr"/>
      <c r="E26" s="5" t="inlineStr"/>
      <c r="F26" s="5" t="n">
        <v>4546.2</v>
      </c>
      <c r="G26" s="5" t="n">
        <v>1529.6</v>
      </c>
      <c r="H26" s="5" t="inlineStr">
        <is>
          <t>column</t>
        </is>
      </c>
      <c r="I26" s="5" t="n">
        <v>1.64</v>
      </c>
    </row>
    <row r="27">
      <c r="A27" s="5" t="n">
        <v>26</v>
      </c>
      <c r="B27" s="5" t="inlineStr">
        <is>
          <t>121</t>
        </is>
      </c>
      <c r="C27" s="5" t="inlineStr">
        <is>
          <t>wall</t>
        </is>
      </c>
      <c r="D27" s="5" t="inlineStr">
        <is>
          <t>footing+wall</t>
        </is>
      </c>
      <c r="E27" s="5" t="inlineStr">
        <is>
          <t>V3/121</t>
        </is>
      </c>
      <c r="F27" s="5" t="n">
        <v>4299</v>
      </c>
      <c r="G27" s="5" t="n">
        <v>1794.5</v>
      </c>
      <c r="H27" s="5" t="inlineStr">
        <is>
          <t>wall</t>
        </is>
      </c>
      <c r="I27" s="5" t="n">
        <v>0</v>
      </c>
    </row>
    <row r="28">
      <c r="A28" s="5" t="n">
        <v>27</v>
      </c>
      <c r="B28" s="5" t="inlineStr">
        <is>
          <t>121</t>
        </is>
      </c>
      <c r="C28" s="5" t="inlineStr">
        <is>
          <t>wall</t>
        </is>
      </c>
      <c r="D28" s="5" t="inlineStr">
        <is>
          <t>footing+wall</t>
        </is>
      </c>
      <c r="E28" s="5" t="inlineStr">
        <is>
          <t>V3/121</t>
        </is>
      </c>
      <c r="F28" s="5" t="n">
        <v>4299.2</v>
      </c>
      <c r="G28" s="5" t="n">
        <v>2022.9</v>
      </c>
      <c r="H28" s="5" t="inlineStr">
        <is>
          <t>wall</t>
        </is>
      </c>
      <c r="I28" s="5" t="n">
        <v>0</v>
      </c>
    </row>
    <row r="29">
      <c r="A29" s="5" t="n">
        <v>28</v>
      </c>
      <c r="B29" s="5" t="inlineStr">
        <is>
          <t>121</t>
        </is>
      </c>
      <c r="C29" s="5" t="inlineStr">
        <is>
          <t>wall</t>
        </is>
      </c>
      <c r="D29" s="5" t="inlineStr">
        <is>
          <t>wall</t>
        </is>
      </c>
      <c r="E29" s="5" t="inlineStr">
        <is>
          <t>V3/121</t>
        </is>
      </c>
      <c r="F29" s="5" t="n">
        <v>4298.8</v>
      </c>
      <c r="G29" s="5" t="n">
        <v>1564.6</v>
      </c>
      <c r="H29" s="5" t="inlineStr">
        <is>
          <t>wall</t>
        </is>
      </c>
      <c r="I29" s="5" t="n">
        <v>0</v>
      </c>
    </row>
    <row r="30">
      <c r="A30" s="5" t="n">
        <v>29</v>
      </c>
      <c r="B30" s="5" t="inlineStr">
        <is>
          <t>121</t>
        </is>
      </c>
      <c r="C30" s="5" t="inlineStr">
        <is>
          <t>wall</t>
        </is>
      </c>
      <c r="D30" s="5" t="inlineStr">
        <is>
          <t>footing+wall</t>
        </is>
      </c>
      <c r="E30" s="5" t="inlineStr">
        <is>
          <t>V6/122</t>
        </is>
      </c>
      <c r="F30" s="5" t="n">
        <v>4299.3</v>
      </c>
      <c r="G30" s="5" t="n">
        <v>2132.6</v>
      </c>
      <c r="H30" s="5" t="inlineStr">
        <is>
          <t>wall</t>
        </is>
      </c>
      <c r="I30" s="5" t="n">
        <v>0</v>
      </c>
    </row>
    <row r="31">
      <c r="A31" s="5" t="n">
        <v>30</v>
      </c>
      <c r="B31" s="5" t="inlineStr">
        <is>
          <t>121</t>
        </is>
      </c>
      <c r="C31" s="5" t="inlineStr">
        <is>
          <t>wall</t>
        </is>
      </c>
      <c r="D31" s="5" t="inlineStr">
        <is>
          <t>footing+wall</t>
        </is>
      </c>
      <c r="E31" s="5" t="inlineStr">
        <is>
          <t>V1/121</t>
        </is>
      </c>
      <c r="F31" s="5" t="n">
        <v>4546.3</v>
      </c>
      <c r="G31" s="5" t="n">
        <v>1339.5</v>
      </c>
      <c r="H31" s="5" t="inlineStr">
        <is>
          <t>wall</t>
        </is>
      </c>
      <c r="I31" s="5" t="n">
        <v>0</v>
      </c>
    </row>
    <row r="32">
      <c r="A32" s="5" t="n">
        <v>31</v>
      </c>
      <c r="B32" s="5" t="inlineStr">
        <is>
          <t>121</t>
        </is>
      </c>
      <c r="C32" s="5" t="inlineStr">
        <is>
          <t>wall</t>
        </is>
      </c>
      <c r="D32" s="5" t="inlineStr">
        <is>
          <t>footing+wall</t>
        </is>
      </c>
      <c r="E32" s="5" t="inlineStr">
        <is>
          <t>V1/121</t>
        </is>
      </c>
      <c r="F32" s="5" t="n">
        <v>4546</v>
      </c>
      <c r="G32" s="5" t="n">
        <v>1794.7</v>
      </c>
      <c r="H32" s="5" t="inlineStr">
        <is>
          <t>wall</t>
        </is>
      </c>
      <c r="I32" s="5" t="n">
        <v>0.5</v>
      </c>
    </row>
    <row r="33">
      <c r="A33" s="5" t="n">
        <v>32</v>
      </c>
      <c r="B33" s="5" t="inlineStr">
        <is>
          <t>121</t>
        </is>
      </c>
      <c r="C33" s="5" t="inlineStr">
        <is>
          <t>wall</t>
        </is>
      </c>
      <c r="D33" s="5" t="inlineStr">
        <is>
          <t>wall</t>
        </is>
      </c>
      <c r="E33" s="5" t="inlineStr">
        <is>
          <t>VP20</t>
        </is>
      </c>
      <c r="F33" s="5" t="n">
        <v>4545.8</v>
      </c>
      <c r="G33" s="5" t="n">
        <v>2023.1</v>
      </c>
      <c r="H33" s="5" t="inlineStr">
        <is>
          <t>wall</t>
        </is>
      </c>
      <c r="I33" s="5" t="n">
        <v>0.36</v>
      </c>
    </row>
    <row r="34">
      <c r="A34" s="5" t="n">
        <v>33</v>
      </c>
      <c r="B34" s="5" t="inlineStr">
        <is>
          <t>121</t>
        </is>
      </c>
      <c r="C34" s="5" t="inlineStr">
        <is>
          <t>wall</t>
        </is>
      </c>
      <c r="D34" s="5" t="inlineStr">
        <is>
          <t>footing+wall</t>
        </is>
      </c>
      <c r="E34" s="5" t="inlineStr">
        <is>
          <t>V1/121</t>
        </is>
      </c>
      <c r="F34" s="5" t="n">
        <v>4546.1</v>
      </c>
      <c r="G34" s="5" t="n">
        <v>1659.6</v>
      </c>
      <c r="H34" s="5" t="inlineStr">
        <is>
          <t>wall</t>
        </is>
      </c>
      <c r="I34" s="5" t="n">
        <v>0</v>
      </c>
    </row>
    <row r="35">
      <c r="A35" s="5" t="n">
        <v>34</v>
      </c>
      <c r="B35" s="5" t="inlineStr">
        <is>
          <t>121</t>
        </is>
      </c>
      <c r="C35" s="5" t="inlineStr">
        <is>
          <t>wall</t>
        </is>
      </c>
      <c r="D35" s="5" t="inlineStr">
        <is>
          <t>footing+wall</t>
        </is>
      </c>
      <c r="E35" s="5" t="inlineStr">
        <is>
          <t>V8/121</t>
        </is>
      </c>
      <c r="F35" s="5" t="n">
        <v>4545.9</v>
      </c>
      <c r="G35" s="5" t="n">
        <v>1944.3</v>
      </c>
      <c r="H35" s="5" t="inlineStr">
        <is>
          <t>wall</t>
        </is>
      </c>
      <c r="I35" s="5" t="n">
        <v>0</v>
      </c>
    </row>
    <row r="36">
      <c r="A36" s="5" t="n">
        <v>35</v>
      </c>
      <c r="B36" s="5" t="inlineStr">
        <is>
          <t>121</t>
        </is>
      </c>
      <c r="C36" s="5" t="inlineStr">
        <is>
          <t>wall</t>
        </is>
      </c>
      <c r="D36" s="5" t="inlineStr">
        <is>
          <t>footing+wall</t>
        </is>
      </c>
      <c r="E36" s="5" t="inlineStr">
        <is>
          <t>V1/121</t>
        </is>
      </c>
      <c r="F36" s="5" t="n">
        <v>4546</v>
      </c>
      <c r="G36" s="5" t="n">
        <v>1776.1</v>
      </c>
      <c r="H36" s="5" t="inlineStr">
        <is>
          <t>wall</t>
        </is>
      </c>
      <c r="I36" s="5" t="n">
        <v>0</v>
      </c>
    </row>
    <row r="37">
      <c r="A37" s="5" t="n">
        <v>36</v>
      </c>
      <c r="B37" s="5" t="inlineStr">
        <is>
          <t>121</t>
        </is>
      </c>
      <c r="C37" s="5" t="inlineStr">
        <is>
          <t>wall</t>
        </is>
      </c>
      <c r="D37" s="5" t="inlineStr">
        <is>
          <t>wall</t>
        </is>
      </c>
      <c r="E37" s="5" t="inlineStr">
        <is>
          <t>VP20</t>
        </is>
      </c>
      <c r="F37" s="5" t="n">
        <v>4169.6</v>
      </c>
      <c r="G37" s="5" t="n">
        <v>2132.9</v>
      </c>
      <c r="H37" s="5" t="inlineStr">
        <is>
          <t>wall</t>
        </is>
      </c>
      <c r="I37" s="5" t="n">
        <v>0.18</v>
      </c>
    </row>
    <row r="38">
      <c r="A38" s="5" t="n">
        <v>37</v>
      </c>
      <c r="B38" s="5" t="inlineStr">
        <is>
          <t>121</t>
        </is>
      </c>
      <c r="C38" s="5" t="inlineStr">
        <is>
          <t>wall</t>
        </is>
      </c>
      <c r="D38" s="5" t="inlineStr">
        <is>
          <t>footing+wall</t>
        </is>
      </c>
      <c r="E38" s="5" t="inlineStr">
        <is>
          <t>V6/122</t>
        </is>
      </c>
      <c r="F38" s="5" t="n">
        <v>4322.2</v>
      </c>
      <c r="G38" s="5" t="n">
        <v>2143.3</v>
      </c>
      <c r="H38" s="5" t="inlineStr">
        <is>
          <t>wall</t>
        </is>
      </c>
      <c r="I38" s="5" t="n">
        <v>0</v>
      </c>
    </row>
    <row r="39">
      <c r="A39" s="5" t="n">
        <v>38</v>
      </c>
      <c r="B39" s="5" t="inlineStr">
        <is>
          <t>121</t>
        </is>
      </c>
      <c r="C39" s="5" t="inlineStr">
        <is>
          <t>wall</t>
        </is>
      </c>
      <c r="D39" s="5" t="inlineStr">
        <is>
          <t>wall</t>
        </is>
      </c>
      <c r="E39" s="5" t="inlineStr"/>
      <c r="F39" s="5" t="n">
        <v>4776.1</v>
      </c>
      <c r="G39" s="5" t="n">
        <v>1897</v>
      </c>
      <c r="H39" s="5" t="inlineStr">
        <is>
          <t>wall</t>
        </is>
      </c>
      <c r="I39" s="5" t="n">
        <v>0.12</v>
      </c>
    </row>
    <row r="40">
      <c r="A40" s="5" t="n">
        <v>39</v>
      </c>
      <c r="B40" s="5" t="inlineStr">
        <is>
          <t>121</t>
        </is>
      </c>
      <c r="C40" s="5" t="inlineStr">
        <is>
          <t>wall</t>
        </is>
      </c>
      <c r="D40" s="5" t="inlineStr">
        <is>
          <t>wall</t>
        </is>
      </c>
      <c r="E40" s="5" t="inlineStr"/>
      <c r="F40" s="5" t="n">
        <v>4776</v>
      </c>
      <c r="G40" s="5" t="n">
        <v>1818.7</v>
      </c>
      <c r="H40" s="5" t="inlineStr">
        <is>
          <t>wall</t>
        </is>
      </c>
      <c r="I40" s="5" t="n">
        <v>0.12</v>
      </c>
    </row>
    <row r="41">
      <c r="A41" s="5" t="n">
        <v>40</v>
      </c>
      <c r="B41" s="5" t="inlineStr">
        <is>
          <t>121</t>
        </is>
      </c>
      <c r="C41" s="5" t="inlineStr">
        <is>
          <t>wall</t>
        </is>
      </c>
      <c r="D41" s="5" t="inlineStr">
        <is>
          <t>wall</t>
        </is>
      </c>
      <c r="E41" s="5" t="inlineStr"/>
      <c r="F41" s="5" t="n">
        <v>4712.6</v>
      </c>
      <c r="G41" s="5" t="n">
        <v>1897.1</v>
      </c>
      <c r="H41" s="5" t="inlineStr">
        <is>
          <t>wall</t>
        </is>
      </c>
      <c r="I41" s="5" t="n">
        <v>0.35</v>
      </c>
    </row>
    <row r="42">
      <c r="A42" s="5" t="n">
        <v>41</v>
      </c>
      <c r="B42" s="5" t="inlineStr">
        <is>
          <t>121</t>
        </is>
      </c>
      <c r="C42" s="5" t="inlineStr">
        <is>
          <t>wall</t>
        </is>
      </c>
      <c r="D42" s="5" t="inlineStr">
        <is>
          <t>wall</t>
        </is>
      </c>
      <c r="E42" s="5" t="inlineStr"/>
      <c r="F42" s="5" t="n">
        <v>4712.5</v>
      </c>
      <c r="G42" s="5" t="n">
        <v>1818.8</v>
      </c>
      <c r="H42" s="5" t="inlineStr">
        <is>
          <t>wall</t>
        </is>
      </c>
      <c r="I42" s="5" t="n">
        <v>0.35</v>
      </c>
    </row>
    <row r="43">
      <c r="A43" s="5" t="n">
        <v>42</v>
      </c>
      <c r="B43" s="5" t="inlineStr">
        <is>
          <t>122</t>
        </is>
      </c>
      <c r="C43" s="5" t="inlineStr">
        <is>
          <t>column</t>
        </is>
      </c>
      <c r="D43" s="5" t="inlineStr">
        <is>
          <t>column+footing+wall</t>
        </is>
      </c>
      <c r="E43" s="5" t="inlineStr">
        <is>
          <t>V2/123</t>
        </is>
      </c>
      <c r="F43" s="5" t="n">
        <v>4417.4</v>
      </c>
      <c r="G43" s="5" t="n">
        <v>3065.7</v>
      </c>
      <c r="H43" s="5" t="inlineStr">
        <is>
          <t>wall</t>
        </is>
      </c>
      <c r="I43" s="5" t="n">
        <v>0</v>
      </c>
    </row>
    <row r="44">
      <c r="A44" s="5" t="n">
        <v>43</v>
      </c>
      <c r="B44" s="5" t="inlineStr">
        <is>
          <t>122</t>
        </is>
      </c>
      <c r="C44" s="5" t="inlineStr">
        <is>
          <t>column</t>
        </is>
      </c>
      <c r="D44" s="5" t="inlineStr">
        <is>
          <t>column+footing</t>
        </is>
      </c>
      <c r="E44" s="5" t="inlineStr"/>
      <c r="F44" s="5" t="n">
        <v>4306.3</v>
      </c>
      <c r="G44" s="5" t="n">
        <v>2894</v>
      </c>
      <c r="H44" s="5" t="inlineStr">
        <is>
          <t>column</t>
        </is>
      </c>
      <c r="I44" s="5" t="n">
        <v>0.07000000000000001</v>
      </c>
    </row>
    <row r="45">
      <c r="A45" s="5" t="n">
        <v>44</v>
      </c>
      <c r="B45" s="5" t="inlineStr">
        <is>
          <t>122</t>
        </is>
      </c>
      <c r="C45" s="5" t="inlineStr">
        <is>
          <t>column</t>
        </is>
      </c>
      <c r="D45" s="5" t="inlineStr">
        <is>
          <t>column+footing</t>
        </is>
      </c>
      <c r="E45" s="5" t="inlineStr"/>
      <c r="F45" s="5" t="n">
        <v>4588.4</v>
      </c>
      <c r="G45" s="5" t="n">
        <v>2701.1</v>
      </c>
      <c r="H45" s="5" t="inlineStr">
        <is>
          <t>column</t>
        </is>
      </c>
      <c r="I45" s="5" t="n">
        <v>0</v>
      </c>
    </row>
    <row r="46">
      <c r="A46" s="5" t="n">
        <v>45</v>
      </c>
      <c r="B46" s="5" t="inlineStr">
        <is>
          <t>122</t>
        </is>
      </c>
      <c r="C46" s="5" t="inlineStr">
        <is>
          <t>mass_concrete_pad</t>
        </is>
      </c>
      <c r="D46" s="5" t="inlineStr">
        <is>
          <t>mass_concrete_pad</t>
        </is>
      </c>
      <c r="E46" s="5" t="inlineStr"/>
      <c r="F46" s="5" t="n">
        <v>4322</v>
      </c>
      <c r="G46" s="5" t="n">
        <v>2329</v>
      </c>
      <c r="H46" s="5" t="inlineStr">
        <is>
          <t>mass_concrete_pad</t>
        </is>
      </c>
      <c r="I46" s="5" t="n">
        <v>0</v>
      </c>
    </row>
    <row r="47">
      <c r="A47" s="5" t="n">
        <v>46</v>
      </c>
      <c r="B47" s="5" t="inlineStr">
        <is>
          <t>122</t>
        </is>
      </c>
      <c r="C47" s="5" t="inlineStr">
        <is>
          <t>mass_concrete_pad</t>
        </is>
      </c>
      <c r="D47" s="5" t="inlineStr">
        <is>
          <t>mass_concrete_pad</t>
        </is>
      </c>
      <c r="E47" s="5" t="inlineStr"/>
      <c r="F47" s="5" t="n">
        <v>4321.7</v>
      </c>
      <c r="G47" s="5" t="n">
        <v>2615.3</v>
      </c>
      <c r="H47" s="5" t="inlineStr">
        <is>
          <t>mass_concrete_pad</t>
        </is>
      </c>
      <c r="I47" s="5" t="n">
        <v>0</v>
      </c>
    </row>
    <row r="48">
      <c r="A48" s="5" t="n">
        <v>47</v>
      </c>
      <c r="B48" s="5" t="inlineStr">
        <is>
          <t>122</t>
        </is>
      </c>
      <c r="C48" s="5" t="inlineStr">
        <is>
          <t>nothing</t>
        </is>
      </c>
      <c r="D48" s="5" t="inlineStr"/>
      <c r="E48" s="5" t="inlineStr"/>
      <c r="F48" s="5" t="n">
        <v>4547.8</v>
      </c>
      <c r="G48" s="5" t="n">
        <v>2720.1</v>
      </c>
      <c r="H48" s="5" t="inlineStr">
        <is>
          <t>column</t>
        </is>
      </c>
      <c r="I48" s="5" t="n">
        <v>1.25</v>
      </c>
    </row>
    <row r="49">
      <c r="A49" s="5" t="n">
        <v>48</v>
      </c>
      <c r="B49" s="5" t="inlineStr">
        <is>
          <t>122</t>
        </is>
      </c>
      <c r="C49" s="5" t="inlineStr">
        <is>
          <t>nothing</t>
        </is>
      </c>
      <c r="D49" s="5" t="inlineStr"/>
      <c r="E49" s="5" t="inlineStr"/>
      <c r="F49" s="5" t="n">
        <v>4547.8</v>
      </c>
      <c r="G49" s="5" t="n">
        <v>2701.1</v>
      </c>
      <c r="H49" s="5" t="inlineStr">
        <is>
          <t>column</t>
        </is>
      </c>
      <c r="I49" s="5" t="n">
        <v>1.17</v>
      </c>
    </row>
    <row r="50">
      <c r="A50" s="5" t="n">
        <v>49</v>
      </c>
      <c r="B50" s="5" t="inlineStr">
        <is>
          <t>122</t>
        </is>
      </c>
      <c r="C50" s="5" t="inlineStr">
        <is>
          <t>nothing</t>
        </is>
      </c>
      <c r="D50" s="5" t="inlineStr"/>
      <c r="E50" s="5" t="inlineStr"/>
      <c r="F50" s="5" t="n">
        <v>4772.7</v>
      </c>
      <c r="G50" s="5" t="n">
        <v>2816.3</v>
      </c>
      <c r="H50" s="5" t="inlineStr">
        <is>
          <t>wall</t>
        </is>
      </c>
      <c r="I50" s="5" t="n">
        <v>2.32</v>
      </c>
    </row>
    <row r="51">
      <c r="A51" s="5" t="n">
        <v>50</v>
      </c>
      <c r="B51" s="5" t="inlineStr">
        <is>
          <t>122</t>
        </is>
      </c>
      <c r="C51" s="5" t="inlineStr">
        <is>
          <t>wall</t>
        </is>
      </c>
      <c r="D51" s="5" t="inlineStr">
        <is>
          <t>footing+wall</t>
        </is>
      </c>
      <c r="E51" s="5" t="inlineStr">
        <is>
          <t>V2/122</t>
        </is>
      </c>
      <c r="F51" s="5" t="n">
        <v>4548.1</v>
      </c>
      <c r="G51" s="5" t="n">
        <v>2329.2</v>
      </c>
      <c r="H51" s="5" t="inlineStr">
        <is>
          <t>wall</t>
        </is>
      </c>
      <c r="I51" s="5" t="n">
        <v>0</v>
      </c>
    </row>
    <row r="52">
      <c r="A52" s="5" t="n">
        <v>51</v>
      </c>
      <c r="B52" s="5" t="inlineStr">
        <is>
          <t>122</t>
        </is>
      </c>
      <c r="C52" s="5" t="inlineStr">
        <is>
          <t>wall</t>
        </is>
      </c>
      <c r="D52" s="5" t="inlineStr">
        <is>
          <t>footing+wall</t>
        </is>
      </c>
      <c r="E52" s="5" t="inlineStr">
        <is>
          <t>V3/122</t>
        </is>
      </c>
      <c r="F52" s="5" t="n">
        <v>4547.9</v>
      </c>
      <c r="G52" s="5" t="n">
        <v>2498.9</v>
      </c>
      <c r="H52" s="5" t="inlineStr">
        <is>
          <t>wall</t>
        </is>
      </c>
      <c r="I52" s="5" t="n">
        <v>0</v>
      </c>
    </row>
    <row r="53">
      <c r="A53" s="5" t="n">
        <v>52</v>
      </c>
      <c r="B53" s="5" t="inlineStr">
        <is>
          <t>122</t>
        </is>
      </c>
      <c r="C53" s="5" t="inlineStr">
        <is>
          <t>wall</t>
        </is>
      </c>
      <c r="D53" s="5" t="inlineStr">
        <is>
          <t>footing+wall</t>
        </is>
      </c>
      <c r="E53" s="5" t="inlineStr">
        <is>
          <t>V4/122</t>
        </is>
      </c>
      <c r="F53" s="5" t="n">
        <v>4547.9</v>
      </c>
      <c r="G53" s="5" t="n">
        <v>2615.4</v>
      </c>
      <c r="H53" s="5" t="inlineStr">
        <is>
          <t>wall</t>
        </is>
      </c>
      <c r="I53" s="5" t="n">
        <v>0</v>
      </c>
    </row>
    <row r="54">
      <c r="A54" s="5" t="n">
        <v>53</v>
      </c>
      <c r="B54" s="5" t="inlineStr">
        <is>
          <t>122</t>
        </is>
      </c>
      <c r="C54" s="5" t="inlineStr">
        <is>
          <t>wall</t>
        </is>
      </c>
      <c r="D54" s="5" t="inlineStr">
        <is>
          <t>footing+wall</t>
        </is>
      </c>
      <c r="E54" s="5" t="inlineStr">
        <is>
          <t>V2/122</t>
        </is>
      </c>
      <c r="F54" s="5" t="n">
        <v>4547.7</v>
      </c>
      <c r="G54" s="5" t="n">
        <v>2816.2</v>
      </c>
      <c r="H54" s="5" t="inlineStr">
        <is>
          <t>wall</t>
        </is>
      </c>
      <c r="I54" s="5" t="n">
        <v>0</v>
      </c>
    </row>
    <row r="55">
      <c r="A55" s="5" t="n">
        <v>54</v>
      </c>
      <c r="B55" s="5" t="inlineStr">
        <is>
          <t>122</t>
        </is>
      </c>
      <c r="C55" s="5" t="inlineStr">
        <is>
          <t>wall</t>
        </is>
      </c>
      <c r="D55" s="5" t="inlineStr">
        <is>
          <t>footing+wall</t>
        </is>
      </c>
      <c r="E55" s="5" t="inlineStr">
        <is>
          <t>VP25</t>
        </is>
      </c>
      <c r="F55" s="5" t="n">
        <v>4174.8</v>
      </c>
      <c r="G55" s="5" t="n">
        <v>2743.7</v>
      </c>
      <c r="H55" s="5" t="inlineStr">
        <is>
          <t>wall</t>
        </is>
      </c>
      <c r="I55" s="5" t="n">
        <v>0.13</v>
      </c>
    </row>
    <row r="56">
      <c r="A56" s="5" t="n">
        <v>55</v>
      </c>
      <c r="B56" s="5" t="inlineStr">
        <is>
          <t>122</t>
        </is>
      </c>
      <c r="C56" s="5" t="inlineStr">
        <is>
          <t>wall</t>
        </is>
      </c>
      <c r="D56" s="5" t="inlineStr">
        <is>
          <t>footing+wall</t>
        </is>
      </c>
      <c r="E56" s="5" t="inlineStr">
        <is>
          <t>VP25</t>
        </is>
      </c>
      <c r="F56" s="5" t="n">
        <v>4169.1</v>
      </c>
      <c r="G56" s="5" t="n">
        <v>2719.9</v>
      </c>
      <c r="H56" s="5" t="inlineStr">
        <is>
          <t>wall</t>
        </is>
      </c>
      <c r="I56" s="5" t="n">
        <v>0.12</v>
      </c>
    </row>
    <row r="57">
      <c r="A57" s="5" t="n">
        <v>56</v>
      </c>
      <c r="B57" s="5" t="inlineStr">
        <is>
          <t>122</t>
        </is>
      </c>
      <c r="C57" s="5" t="inlineStr">
        <is>
          <t>wall</t>
        </is>
      </c>
      <c r="D57" s="5" t="inlineStr">
        <is>
          <t>wall</t>
        </is>
      </c>
      <c r="E57" s="5" t="inlineStr">
        <is>
          <t>VP25</t>
        </is>
      </c>
      <c r="F57" s="5" t="n">
        <v>4169.5</v>
      </c>
      <c r="G57" s="5" t="n">
        <v>2259.7</v>
      </c>
      <c r="H57" s="5" t="inlineStr">
        <is>
          <t>wall</t>
        </is>
      </c>
      <c r="I57" s="5" t="n">
        <v>0.12</v>
      </c>
    </row>
    <row r="58">
      <c r="A58" s="5" t="n">
        <v>57</v>
      </c>
      <c r="B58" s="5" t="inlineStr">
        <is>
          <t>122</t>
        </is>
      </c>
      <c r="C58" s="5" t="inlineStr">
        <is>
          <t>wall</t>
        </is>
      </c>
      <c r="D58" s="5" t="inlineStr">
        <is>
          <t>wall</t>
        </is>
      </c>
      <c r="E58" s="5" t="inlineStr">
        <is>
          <t>VP25</t>
        </is>
      </c>
      <c r="F58" s="5" t="n">
        <v>4169.3</v>
      </c>
      <c r="G58" s="5" t="n">
        <v>2490.1</v>
      </c>
      <c r="H58" s="5" t="inlineStr">
        <is>
          <t>wall</t>
        </is>
      </c>
      <c r="I58" s="5" t="n">
        <v>0.12</v>
      </c>
    </row>
    <row r="59">
      <c r="A59" s="5" t="n">
        <v>58</v>
      </c>
      <c r="B59" s="5" t="inlineStr">
        <is>
          <t>122</t>
        </is>
      </c>
      <c r="C59" s="5" t="inlineStr">
        <is>
          <t>wall</t>
        </is>
      </c>
      <c r="D59" s="5" t="inlineStr">
        <is>
          <t>footing+wall</t>
        </is>
      </c>
      <c r="E59" s="5" t="inlineStr">
        <is>
          <t>V6/122</t>
        </is>
      </c>
      <c r="F59" s="5" t="n">
        <v>4321.8</v>
      </c>
      <c r="G59" s="5" t="n">
        <v>2498.8</v>
      </c>
      <c r="H59" s="5" t="inlineStr">
        <is>
          <t>wall</t>
        </is>
      </c>
      <c r="I59" s="5" t="n">
        <v>0.14</v>
      </c>
    </row>
    <row r="60">
      <c r="A60" s="5" t="n">
        <v>59</v>
      </c>
      <c r="B60" s="5" t="inlineStr">
        <is>
          <t>122</t>
        </is>
      </c>
      <c r="C60" s="5" t="inlineStr">
        <is>
          <t>wall</t>
        </is>
      </c>
      <c r="D60" s="5" t="inlineStr">
        <is>
          <t>footing+wall</t>
        </is>
      </c>
      <c r="E60" s="5" t="inlineStr">
        <is>
          <t>V6/122</t>
        </is>
      </c>
      <c r="F60" s="5" t="n">
        <v>4321.6</v>
      </c>
      <c r="G60" s="5" t="n">
        <v>2720</v>
      </c>
      <c r="H60" s="5" t="inlineStr">
        <is>
          <t>wall</t>
        </is>
      </c>
      <c r="I60" s="5" t="n">
        <v>0</v>
      </c>
    </row>
    <row r="61">
      <c r="A61" s="5" t="n">
        <v>60</v>
      </c>
      <c r="B61" s="5" t="inlineStr">
        <is>
          <t>122</t>
        </is>
      </c>
      <c r="C61" s="5" t="inlineStr">
        <is>
          <t>wall</t>
        </is>
      </c>
      <c r="D61" s="5" t="inlineStr">
        <is>
          <t>footing+wall</t>
        </is>
      </c>
      <c r="E61" s="5" t="inlineStr">
        <is>
          <t>V6/122</t>
        </is>
      </c>
      <c r="F61" s="5" t="n">
        <v>4322</v>
      </c>
      <c r="G61" s="5" t="n">
        <v>2259.8</v>
      </c>
      <c r="H61" s="5" t="inlineStr">
        <is>
          <t>wall</t>
        </is>
      </c>
      <c r="I61" s="5" t="n">
        <v>0</v>
      </c>
    </row>
    <row r="62">
      <c r="A62" s="5" t="n">
        <v>61</v>
      </c>
      <c r="B62" s="5" t="inlineStr">
        <is>
          <t>122</t>
        </is>
      </c>
      <c r="C62" s="5" t="inlineStr">
        <is>
          <t>wall</t>
        </is>
      </c>
      <c r="D62" s="5" t="inlineStr">
        <is>
          <t>footing+wall</t>
        </is>
      </c>
      <c r="E62" s="5" t="inlineStr">
        <is>
          <t>VP25</t>
        </is>
      </c>
      <c r="F62" s="5" t="n">
        <v>4185.3</v>
      </c>
      <c r="G62" s="5" t="n">
        <v>2719.9</v>
      </c>
      <c r="H62" s="5" t="inlineStr">
        <is>
          <t>wall</t>
        </is>
      </c>
      <c r="I62" s="5" t="n">
        <v>0.26</v>
      </c>
    </row>
    <row r="63">
      <c r="A63" s="5" t="n">
        <v>62</v>
      </c>
      <c r="B63" s="5" t="inlineStr">
        <is>
          <t>122</t>
        </is>
      </c>
      <c r="C63" s="5" t="inlineStr">
        <is>
          <t>wall</t>
        </is>
      </c>
      <c r="D63" s="5" t="inlineStr">
        <is>
          <t>footing+wall</t>
        </is>
      </c>
      <c r="E63" s="5" t="inlineStr">
        <is>
          <t>V6/122</t>
        </is>
      </c>
      <c r="F63" s="5" t="n">
        <v>4220</v>
      </c>
      <c r="G63" s="5" t="n">
        <v>2903.6</v>
      </c>
      <c r="H63" s="5" t="inlineStr">
        <is>
          <t>wall</t>
        </is>
      </c>
      <c r="I63" s="5" t="n">
        <v>0</v>
      </c>
    </row>
    <row r="64">
      <c r="A64" s="5" t="n">
        <v>63</v>
      </c>
      <c r="B64" s="5" t="inlineStr">
        <is>
          <t>122</t>
        </is>
      </c>
      <c r="C64" s="5" t="inlineStr">
        <is>
          <t>wall</t>
        </is>
      </c>
      <c r="D64" s="5" t="inlineStr">
        <is>
          <t>footing+wall</t>
        </is>
      </c>
      <c r="E64" s="5" t="inlineStr">
        <is>
          <t>V6/122</t>
        </is>
      </c>
      <c r="F64" s="5" t="n">
        <v>4202.5</v>
      </c>
      <c r="G64" s="5" t="n">
        <v>2891</v>
      </c>
      <c r="H64" s="5" t="inlineStr">
        <is>
          <t>wall</t>
        </is>
      </c>
      <c r="I64" s="5" t="n">
        <v>0</v>
      </c>
    </row>
    <row r="65">
      <c r="A65" s="5" t="n">
        <v>64</v>
      </c>
      <c r="B65" s="5" t="inlineStr">
        <is>
          <t>122</t>
        </is>
      </c>
      <c r="C65" s="5" t="inlineStr">
        <is>
          <t>wall</t>
        </is>
      </c>
      <c r="D65" s="5" t="inlineStr">
        <is>
          <t>footing+wall</t>
        </is>
      </c>
      <c r="E65" s="5" t="inlineStr">
        <is>
          <t>V2/122</t>
        </is>
      </c>
      <c r="F65" s="5" t="n">
        <v>4588.3</v>
      </c>
      <c r="G65" s="5" t="n">
        <v>2816.2</v>
      </c>
      <c r="H65" s="5" t="inlineStr">
        <is>
          <t>wall</t>
        </is>
      </c>
      <c r="I65" s="5" t="n">
        <v>0</v>
      </c>
    </row>
    <row r="66">
      <c r="A66" s="5" t="n">
        <v>65</v>
      </c>
      <c r="B66" s="5" t="inlineStr">
        <is>
          <t>123</t>
        </is>
      </c>
      <c r="C66" s="5" t="inlineStr">
        <is>
          <t>footing carrying wall</t>
        </is>
      </c>
      <c r="D66" s="5" t="inlineStr">
        <is>
          <t>footing</t>
        </is>
      </c>
      <c r="E66" s="5" t="inlineStr"/>
      <c r="F66" s="5" t="n">
        <v>4462.7</v>
      </c>
      <c r="G66" s="5" t="n">
        <v>3308</v>
      </c>
      <c r="H66" s="5" t="inlineStr">
        <is>
          <t>wall</t>
        </is>
      </c>
      <c r="I66" s="5" t="n">
        <v>0.76</v>
      </c>
    </row>
    <row r="67">
      <c r="A67" s="5" t="n">
        <v>66</v>
      </c>
      <c r="B67" s="5" t="inlineStr">
        <is>
          <t>123</t>
        </is>
      </c>
      <c r="C67" s="5" t="inlineStr">
        <is>
          <t>mass_concrete_pad</t>
        </is>
      </c>
      <c r="D67" s="5" t="inlineStr">
        <is>
          <t>mass_concrete_pad</t>
        </is>
      </c>
      <c r="E67" s="5" t="inlineStr"/>
      <c r="F67" s="5" t="n">
        <v>4882.2</v>
      </c>
      <c r="G67" s="5" t="n">
        <v>3349</v>
      </c>
      <c r="H67" s="5" t="inlineStr">
        <is>
          <t>mass_concrete_pad</t>
        </is>
      </c>
      <c r="I67" s="5" t="n">
        <v>0</v>
      </c>
    </row>
    <row r="68">
      <c r="A68" s="5" t="n">
        <v>67</v>
      </c>
      <c r="B68" s="5" t="inlineStr">
        <is>
          <t>123</t>
        </is>
      </c>
      <c r="C68" s="5" t="inlineStr">
        <is>
          <t>wall</t>
        </is>
      </c>
      <c r="D68" s="5" t="inlineStr">
        <is>
          <t>footing+wall</t>
        </is>
      </c>
      <c r="E68" s="5" t="inlineStr">
        <is>
          <t>V2/123</t>
        </is>
      </c>
      <c r="F68" s="5" t="n">
        <v>4712.1</v>
      </c>
      <c r="G68" s="5" t="n">
        <v>3459.6</v>
      </c>
      <c r="H68" s="5" t="inlineStr">
        <is>
          <t>wall</t>
        </is>
      </c>
      <c r="I68" s="5" t="n">
        <v>0</v>
      </c>
    </row>
    <row r="69">
      <c r="A69" s="5" t="n">
        <v>68</v>
      </c>
      <c r="B69" s="5" t="inlineStr">
        <is>
          <t>123</t>
        </is>
      </c>
      <c r="C69" s="5" t="inlineStr">
        <is>
          <t>wall</t>
        </is>
      </c>
      <c r="D69" s="5" t="inlineStr">
        <is>
          <t>wall</t>
        </is>
      </c>
      <c r="E69" s="5" t="inlineStr">
        <is>
          <t>V5/123</t>
        </is>
      </c>
      <c r="F69" s="5" t="n">
        <v>5025.1</v>
      </c>
      <c r="G69" s="5" t="n">
        <v>3207.3</v>
      </c>
      <c r="H69" s="5" t="inlineStr">
        <is>
          <t>wall</t>
        </is>
      </c>
      <c r="I69" s="5" t="n">
        <v>0.13</v>
      </c>
    </row>
    <row r="70">
      <c r="A70" s="5" t="n">
        <v>69</v>
      </c>
      <c r="B70" s="5" t="inlineStr">
        <is>
          <t>123</t>
        </is>
      </c>
      <c r="C70" s="5" t="inlineStr">
        <is>
          <t>wall</t>
        </is>
      </c>
      <c r="D70" s="5" t="inlineStr">
        <is>
          <t>footing+wall</t>
        </is>
      </c>
      <c r="E70" s="5" t="inlineStr">
        <is>
          <t>V5/123</t>
        </is>
      </c>
      <c r="F70" s="5" t="n">
        <v>5025.1</v>
      </c>
      <c r="G70" s="5" t="n">
        <v>3270.9</v>
      </c>
      <c r="H70" s="5" t="inlineStr">
        <is>
          <t>wall</t>
        </is>
      </c>
      <c r="I70" s="5" t="n">
        <v>0.13</v>
      </c>
    </row>
    <row r="71">
      <c r="A71" s="5" t="n">
        <v>70</v>
      </c>
      <c r="B71" s="5" t="inlineStr">
        <is>
          <t>124</t>
        </is>
      </c>
      <c r="C71" s="5" t="inlineStr">
        <is>
          <t>column</t>
        </is>
      </c>
      <c r="D71" s="5" t="inlineStr">
        <is>
          <t>column+footing+wall</t>
        </is>
      </c>
      <c r="E71" s="5" t="inlineStr">
        <is>
          <t>V3/124</t>
        </is>
      </c>
      <c r="F71" s="5" t="n">
        <v>4256.2</v>
      </c>
      <c r="G71" s="5" t="n">
        <v>3096</v>
      </c>
      <c r="H71" s="5" t="inlineStr">
        <is>
          <t>wall</t>
        </is>
      </c>
      <c r="I71" s="5" t="n">
        <v>0</v>
      </c>
    </row>
    <row r="72">
      <c r="A72" s="5" t="n">
        <v>71</v>
      </c>
      <c r="B72" s="5" t="inlineStr">
        <is>
          <t>124</t>
        </is>
      </c>
      <c r="C72" s="5" t="inlineStr">
        <is>
          <t>column</t>
        </is>
      </c>
      <c r="D72" s="5" t="inlineStr">
        <is>
          <t>column+footing+wall</t>
        </is>
      </c>
      <c r="E72" s="5" t="inlineStr">
        <is>
          <t>V3/124</t>
        </is>
      </c>
      <c r="F72" s="5" t="n">
        <v>4241.7</v>
      </c>
      <c r="G72" s="5" t="n">
        <v>3098.8</v>
      </c>
      <c r="H72" s="5" t="inlineStr">
        <is>
          <t>wall</t>
        </is>
      </c>
      <c r="I72" s="5" t="n">
        <v>0</v>
      </c>
    </row>
    <row r="73">
      <c r="A73" s="5" t="n">
        <v>72</v>
      </c>
      <c r="B73" s="5" t="inlineStr">
        <is>
          <t>124</t>
        </is>
      </c>
      <c r="C73" s="5" t="inlineStr">
        <is>
          <t>column</t>
        </is>
      </c>
      <c r="D73" s="5" t="inlineStr">
        <is>
          <t>column+footing</t>
        </is>
      </c>
      <c r="E73" s="5" t="inlineStr"/>
      <c r="F73" s="5" t="n">
        <v>4074.3</v>
      </c>
      <c r="G73" s="5" t="n">
        <v>3206.2</v>
      </c>
      <c r="H73" s="5" t="inlineStr">
        <is>
          <t>column</t>
        </is>
      </c>
      <c r="I73" s="5" t="n">
        <v>0</v>
      </c>
    </row>
    <row r="74">
      <c r="A74" s="5" t="n">
        <v>73</v>
      </c>
      <c r="B74" s="5" t="inlineStr">
        <is>
          <t>124</t>
        </is>
      </c>
      <c r="C74" s="5" t="inlineStr">
        <is>
          <t>column</t>
        </is>
      </c>
      <c r="D74" s="5" t="inlineStr">
        <is>
          <t>column+footing</t>
        </is>
      </c>
      <c r="E74" s="5" t="inlineStr"/>
      <c r="F74" s="5" t="n">
        <v>3990.2</v>
      </c>
      <c r="G74" s="5" t="n">
        <v>3222.1</v>
      </c>
      <c r="H74" s="5" t="inlineStr">
        <is>
          <t>column</t>
        </is>
      </c>
      <c r="I74" s="5" t="n">
        <v>0</v>
      </c>
    </row>
    <row r="75">
      <c r="A75" s="5" t="n">
        <v>74</v>
      </c>
      <c r="B75" s="5" t="inlineStr">
        <is>
          <t>124</t>
        </is>
      </c>
      <c r="C75" s="5" t="inlineStr">
        <is>
          <t>column</t>
        </is>
      </c>
      <c r="D75" s="5" t="inlineStr">
        <is>
          <t>column</t>
        </is>
      </c>
      <c r="E75" s="5" t="inlineStr"/>
      <c r="F75" s="5" t="n">
        <v>4010.9</v>
      </c>
      <c r="G75" s="5" t="n">
        <v>3332.3</v>
      </c>
      <c r="H75" s="5" t="inlineStr">
        <is>
          <t>column</t>
        </is>
      </c>
      <c r="I75" s="5" t="n">
        <v>0</v>
      </c>
    </row>
    <row r="76">
      <c r="A76" s="5" t="n">
        <v>75</v>
      </c>
      <c r="B76" s="5" t="inlineStr">
        <is>
          <t>124</t>
        </is>
      </c>
      <c r="C76" s="5" t="inlineStr">
        <is>
          <t>footing carrying wall</t>
        </is>
      </c>
      <c r="D76" s="5" t="inlineStr">
        <is>
          <t>footing</t>
        </is>
      </c>
      <c r="E76" s="5" t="inlineStr"/>
      <c r="F76" s="5" t="n">
        <v>4255.5</v>
      </c>
      <c r="G76" s="5" t="n">
        <v>3171.9</v>
      </c>
      <c r="H76" s="5" t="inlineStr">
        <is>
          <t>wall</t>
        </is>
      </c>
      <c r="I76" s="5" t="n">
        <v>0.77</v>
      </c>
    </row>
    <row r="77">
      <c r="A77" s="5" t="n">
        <v>76</v>
      </c>
      <c r="B77" s="5" t="inlineStr">
        <is>
          <t>124</t>
        </is>
      </c>
      <c r="C77" s="5" t="inlineStr">
        <is>
          <t>mass_concrete_pad</t>
        </is>
      </c>
      <c r="D77" s="5" t="inlineStr">
        <is>
          <t>mass_concrete_pad</t>
        </is>
      </c>
      <c r="E77" s="5" t="inlineStr"/>
      <c r="F77" s="5" t="n">
        <v>3895.4</v>
      </c>
      <c r="G77" s="5" t="n">
        <v>2948.9</v>
      </c>
      <c r="H77" s="5" t="inlineStr">
        <is>
          <t>mass_concrete_pad</t>
        </is>
      </c>
      <c r="I77" s="5" t="n">
        <v>0</v>
      </c>
    </row>
    <row r="78">
      <c r="A78" s="5" t="n">
        <v>77</v>
      </c>
      <c r="B78" s="5" t="inlineStr">
        <is>
          <t>124</t>
        </is>
      </c>
      <c r="C78" s="5" t="inlineStr">
        <is>
          <t>nothing</t>
        </is>
      </c>
      <c r="D78" s="5" t="inlineStr"/>
      <c r="E78" s="5" t="inlineStr"/>
      <c r="F78" s="5" t="n">
        <v>3782.3</v>
      </c>
      <c r="G78" s="5" t="n">
        <v>3375.4</v>
      </c>
      <c r="H78" s="5" t="inlineStr">
        <is>
          <t>wall</t>
        </is>
      </c>
      <c r="I78" s="5" t="n">
        <v>1.77</v>
      </c>
    </row>
    <row r="79">
      <c r="A79" s="5" t="n">
        <v>78</v>
      </c>
      <c r="B79" s="5" t="inlineStr">
        <is>
          <t>124</t>
        </is>
      </c>
      <c r="C79" s="5" t="inlineStr">
        <is>
          <t>nothing</t>
        </is>
      </c>
      <c r="D79" s="5" t="inlineStr"/>
      <c r="E79" s="5" t="inlineStr"/>
      <c r="F79" s="5" t="n">
        <v>3706.2</v>
      </c>
      <c r="G79" s="5" t="n">
        <v>2971.8</v>
      </c>
      <c r="H79" s="5" t="inlineStr">
        <is>
          <t>wall</t>
        </is>
      </c>
      <c r="I79" s="5" t="n">
        <v>1.76</v>
      </c>
    </row>
    <row r="80">
      <c r="A80" s="5" t="n">
        <v>79</v>
      </c>
      <c r="B80" s="5" t="inlineStr">
        <is>
          <t>124</t>
        </is>
      </c>
      <c r="C80" s="5" t="inlineStr">
        <is>
          <t>raft</t>
        </is>
      </c>
      <c r="D80" s="5" t="inlineStr"/>
      <c r="E80" s="5" t="inlineStr"/>
      <c r="F80" s="5" t="n">
        <v>3968.5</v>
      </c>
      <c r="G80" s="5" t="n">
        <v>3340.3</v>
      </c>
      <c r="H80" s="5" t="inlineStr">
        <is>
          <t>column</t>
        </is>
      </c>
      <c r="I80" s="5" t="n">
        <v>1.27</v>
      </c>
    </row>
    <row r="81">
      <c r="A81" s="5" t="n">
        <v>80</v>
      </c>
      <c r="B81" s="5" t="inlineStr">
        <is>
          <t>124</t>
        </is>
      </c>
      <c r="C81" s="5" t="inlineStr">
        <is>
          <t>wall</t>
        </is>
      </c>
      <c r="D81" s="5" t="inlineStr">
        <is>
          <t>footing+wall</t>
        </is>
      </c>
      <c r="E81" s="5" t="inlineStr">
        <is>
          <t>V7/124</t>
        </is>
      </c>
      <c r="F81" s="5" t="n">
        <v>3829.6</v>
      </c>
      <c r="G81" s="5" t="n">
        <v>3625.8</v>
      </c>
      <c r="H81" s="5" t="inlineStr">
        <is>
          <t>wall</t>
        </is>
      </c>
      <c r="I81" s="5" t="n">
        <v>0</v>
      </c>
    </row>
    <row r="82">
      <c r="A82" s="5" t="n">
        <v>81</v>
      </c>
      <c r="B82" s="5" t="inlineStr">
        <is>
          <t>124</t>
        </is>
      </c>
      <c r="C82" s="5" t="inlineStr">
        <is>
          <t>wall</t>
        </is>
      </c>
      <c r="D82" s="5" t="inlineStr">
        <is>
          <t>footing+wall</t>
        </is>
      </c>
      <c r="E82" s="5" t="inlineStr">
        <is>
          <t>V7/124</t>
        </is>
      </c>
      <c r="F82" s="5" t="n">
        <v>3751.9</v>
      </c>
      <c r="G82" s="5" t="n">
        <v>3214</v>
      </c>
      <c r="H82" s="5" t="inlineStr">
        <is>
          <t>wall</t>
        </is>
      </c>
      <c r="I82" s="5" t="n">
        <v>0</v>
      </c>
    </row>
    <row r="83">
      <c r="A83" s="5" t="n">
        <v>82</v>
      </c>
      <c r="B83" s="5" t="inlineStr">
        <is>
          <t>124</t>
        </is>
      </c>
      <c r="C83" s="5" t="inlineStr">
        <is>
          <t>wall</t>
        </is>
      </c>
      <c r="D83" s="5" t="inlineStr">
        <is>
          <t>footing+wall</t>
        </is>
      </c>
      <c r="E83" s="5" t="inlineStr">
        <is>
          <t>V5/124</t>
        </is>
      </c>
      <c r="F83" s="5" t="n">
        <v>3792.9</v>
      </c>
      <c r="G83" s="5" t="n">
        <v>3431.2</v>
      </c>
      <c r="H83" s="5" t="inlineStr">
        <is>
          <t>wall</t>
        </is>
      </c>
      <c r="I83" s="5" t="n">
        <v>0</v>
      </c>
    </row>
    <row r="84">
      <c r="A84" s="5" t="n">
        <v>83</v>
      </c>
      <c r="B84" s="5" t="inlineStr">
        <is>
          <t>124</t>
        </is>
      </c>
      <c r="C84" s="5" t="inlineStr">
        <is>
          <t>wall</t>
        </is>
      </c>
      <c r="D84" s="5" t="inlineStr">
        <is>
          <t>wall</t>
        </is>
      </c>
      <c r="E84" s="5" t="inlineStr">
        <is>
          <t>VP25</t>
        </is>
      </c>
      <c r="F84" s="5" t="n">
        <v>3959.3</v>
      </c>
      <c r="G84" s="5" t="n">
        <v>2784</v>
      </c>
      <c r="H84" s="5" t="inlineStr">
        <is>
          <t>wall</t>
        </is>
      </c>
      <c r="I84" s="5" t="n">
        <v>0.13</v>
      </c>
    </row>
    <row r="85">
      <c r="A85" s="5" t="n">
        <v>84</v>
      </c>
      <c r="B85" s="5" t="inlineStr">
        <is>
          <t>124</t>
        </is>
      </c>
      <c r="C85" s="5" t="inlineStr">
        <is>
          <t>wall</t>
        </is>
      </c>
      <c r="D85" s="5" t="inlineStr">
        <is>
          <t>footing+wall</t>
        </is>
      </c>
      <c r="E85" s="5" t="inlineStr">
        <is>
          <t>V8/124</t>
        </is>
      </c>
      <c r="F85" s="5" t="n">
        <v>3583.1</v>
      </c>
      <c r="G85" s="5" t="n">
        <v>3245.5</v>
      </c>
      <c r="H85" s="5" t="inlineStr">
        <is>
          <t>wall</t>
        </is>
      </c>
      <c r="I85" s="5" t="n">
        <v>0</v>
      </c>
    </row>
    <row r="86">
      <c r="A86" s="5" t="n">
        <v>85</v>
      </c>
      <c r="B86" s="5" t="inlineStr">
        <is>
          <t>124</t>
        </is>
      </c>
      <c r="C86" s="5" t="inlineStr">
        <is>
          <t>wall</t>
        </is>
      </c>
      <c r="D86" s="5" t="inlineStr">
        <is>
          <t>footing+wall</t>
        </is>
      </c>
      <c r="E86" s="5" t="inlineStr">
        <is>
          <t>V8/125</t>
        </is>
      </c>
      <c r="F86" s="5" t="n">
        <v>3537.5</v>
      </c>
      <c r="G86" s="5" t="n">
        <v>3003.6</v>
      </c>
      <c r="H86" s="5" t="inlineStr">
        <is>
          <t>wall</t>
        </is>
      </c>
      <c r="I86" s="5" t="n">
        <v>0</v>
      </c>
    </row>
    <row r="87">
      <c r="A87" s="5" t="n">
        <v>86</v>
      </c>
      <c r="B87" s="5" t="inlineStr">
        <is>
          <t>124</t>
        </is>
      </c>
      <c r="C87" s="5" t="inlineStr">
        <is>
          <t>wall</t>
        </is>
      </c>
      <c r="D87" s="5" t="inlineStr">
        <is>
          <t>footing+wall</t>
        </is>
      </c>
      <c r="E87" s="5" t="inlineStr">
        <is>
          <t>V8/124</t>
        </is>
      </c>
      <c r="F87" s="5" t="n">
        <v>3565.9</v>
      </c>
      <c r="G87" s="5" t="n">
        <v>3234</v>
      </c>
      <c r="H87" s="5" t="inlineStr">
        <is>
          <t>wall</t>
        </is>
      </c>
      <c r="I87" s="5" t="n">
        <v>0</v>
      </c>
    </row>
    <row r="88">
      <c r="A88" s="5" t="n">
        <v>87</v>
      </c>
      <c r="B88" s="5" t="inlineStr">
        <is>
          <t>124</t>
        </is>
      </c>
      <c r="C88" s="5" t="inlineStr">
        <is>
          <t>wall</t>
        </is>
      </c>
      <c r="D88" s="5" t="inlineStr">
        <is>
          <t>footing+wall</t>
        </is>
      </c>
      <c r="E88" s="5" t="inlineStr">
        <is>
          <t>V8/125</t>
        </is>
      </c>
      <c r="F88" s="5" t="n">
        <v>3521.3</v>
      </c>
      <c r="G88" s="5" t="n">
        <v>2997.7</v>
      </c>
      <c r="H88" s="5" t="inlineStr">
        <is>
          <t>wall</t>
        </is>
      </c>
      <c r="I88" s="5" t="n">
        <v>0</v>
      </c>
    </row>
    <row r="89">
      <c r="A89" s="5" t="n">
        <v>88</v>
      </c>
      <c r="B89" s="5" t="inlineStr">
        <is>
          <t>124</t>
        </is>
      </c>
      <c r="C89" s="5" t="inlineStr">
        <is>
          <t>wall</t>
        </is>
      </c>
      <c r="D89" s="5" t="inlineStr">
        <is>
          <t>footing+wall</t>
        </is>
      </c>
      <c r="E89" s="5" t="inlineStr">
        <is>
          <t>V6/124</t>
        </is>
      </c>
      <c r="F89" s="5" t="n">
        <v>3987.5</v>
      </c>
      <c r="G89" s="5" t="n">
        <v>2931.6</v>
      </c>
      <c r="H89" s="5" t="inlineStr">
        <is>
          <t>wall</t>
        </is>
      </c>
      <c r="I89" s="5" t="n">
        <v>0</v>
      </c>
    </row>
    <row r="90">
      <c r="A90" s="5" t="n">
        <v>89</v>
      </c>
      <c r="B90" s="5" t="inlineStr">
        <is>
          <t>124</t>
        </is>
      </c>
      <c r="C90" s="5" t="inlineStr">
        <is>
          <t>wall</t>
        </is>
      </c>
      <c r="D90" s="5" t="inlineStr">
        <is>
          <t>footing+wall</t>
        </is>
      </c>
      <c r="E90" s="5" t="inlineStr">
        <is>
          <t>V4/124</t>
        </is>
      </c>
      <c r="F90" s="5" t="n">
        <v>3938.4</v>
      </c>
      <c r="G90" s="5" t="n">
        <v>3179.2</v>
      </c>
      <c r="H90" s="5" t="inlineStr">
        <is>
          <t>wall</t>
        </is>
      </c>
      <c r="I90" s="5" t="n">
        <v>0</v>
      </c>
    </row>
    <row r="91">
      <c r="A91" s="5" t="n">
        <v>90</v>
      </c>
      <c r="B91" s="5" t="inlineStr">
        <is>
          <t>124</t>
        </is>
      </c>
      <c r="C91" s="5" t="inlineStr">
        <is>
          <t>wall</t>
        </is>
      </c>
      <c r="D91" s="5" t="inlineStr">
        <is>
          <t>footing+wall</t>
        </is>
      </c>
      <c r="E91" s="5" t="inlineStr">
        <is>
          <t>V4/124</t>
        </is>
      </c>
      <c r="F91" s="5" t="n">
        <v>3947.9</v>
      </c>
      <c r="G91" s="5" t="n">
        <v>3230.1</v>
      </c>
      <c r="H91" s="5" t="inlineStr">
        <is>
          <t>wall</t>
        </is>
      </c>
      <c r="I91" s="5" t="n">
        <v>0.5600000000000001</v>
      </c>
    </row>
    <row r="92">
      <c r="A92" s="5" t="n">
        <v>91</v>
      </c>
      <c r="B92" s="5" t="inlineStr">
        <is>
          <t>125</t>
        </is>
      </c>
      <c r="C92" s="5" t="inlineStr">
        <is>
          <t>nothing</t>
        </is>
      </c>
      <c r="D92" s="5" t="inlineStr"/>
      <c r="E92" s="5" t="inlineStr"/>
      <c r="F92" s="5" t="n">
        <v>3341.8</v>
      </c>
      <c r="G92" s="5" t="n">
        <v>3031.1</v>
      </c>
      <c r="H92" s="5" t="inlineStr">
        <is>
          <t>wall</t>
        </is>
      </c>
      <c r="I92" s="5" t="n">
        <v>1.42</v>
      </c>
    </row>
    <row r="93">
      <c r="A93" s="5" t="n">
        <v>92</v>
      </c>
      <c r="B93" s="5" t="inlineStr">
        <is>
          <t>125</t>
        </is>
      </c>
      <c r="C93" s="5" t="inlineStr">
        <is>
          <t>nothing</t>
        </is>
      </c>
      <c r="D93" s="5" t="inlineStr"/>
      <c r="E93" s="5" t="inlineStr"/>
      <c r="F93" s="5" t="n">
        <v>3168</v>
      </c>
      <c r="G93" s="5" t="n">
        <v>3065.3</v>
      </c>
      <c r="H93" s="5" t="inlineStr">
        <is>
          <t>wall</t>
        </is>
      </c>
      <c r="I93" s="5" t="n">
        <v>3.58</v>
      </c>
    </row>
    <row r="94">
      <c r="A94" s="5" t="n">
        <v>93</v>
      </c>
      <c r="B94" s="5" t="inlineStr">
        <is>
          <t>125</t>
        </is>
      </c>
      <c r="C94" s="5" t="inlineStr">
        <is>
          <t>wall</t>
        </is>
      </c>
      <c r="D94" s="5" t="inlineStr">
        <is>
          <t>wall</t>
        </is>
      </c>
      <c r="E94" s="5" t="inlineStr">
        <is>
          <t>VP25</t>
        </is>
      </c>
      <c r="F94" s="5" t="n">
        <v>3512</v>
      </c>
      <c r="G94" s="5" t="n">
        <v>2867.8</v>
      </c>
      <c r="H94" s="5" t="inlineStr">
        <is>
          <t>wall</t>
        </is>
      </c>
      <c r="I94" s="5" t="n">
        <v>0.13</v>
      </c>
    </row>
    <row r="95">
      <c r="A95" s="5" t="n">
        <v>94</v>
      </c>
      <c r="B95" s="5" t="inlineStr">
        <is>
          <t>125</t>
        </is>
      </c>
      <c r="C95" s="5" t="inlineStr">
        <is>
          <t>wall</t>
        </is>
      </c>
      <c r="D95" s="5" t="inlineStr">
        <is>
          <t>wall</t>
        </is>
      </c>
      <c r="E95" s="5" t="inlineStr">
        <is>
          <t>VP25</t>
        </is>
      </c>
      <c r="F95" s="5" t="n">
        <v>3497.4</v>
      </c>
      <c r="G95" s="5" t="n">
        <v>2870.5</v>
      </c>
      <c r="H95" s="5" t="inlineStr">
        <is>
          <t>wall</t>
        </is>
      </c>
      <c r="I95" s="5" t="n">
        <v>0.18</v>
      </c>
    </row>
    <row r="96">
      <c r="A96" s="5" t="n">
        <v>95</v>
      </c>
      <c r="B96" s="5" t="inlineStr">
        <is>
          <t>125</t>
        </is>
      </c>
      <c r="C96" s="5" t="inlineStr">
        <is>
          <t>wall</t>
        </is>
      </c>
      <c r="D96" s="5" t="inlineStr">
        <is>
          <t>footing+wall</t>
        </is>
      </c>
      <c r="E96" s="5" t="inlineStr">
        <is>
          <t>V8/125</t>
        </is>
      </c>
      <c r="F96" s="5" t="n">
        <v>3054.1</v>
      </c>
      <c r="G96" s="5" t="n">
        <v>3088</v>
      </c>
      <c r="H96" s="5" t="inlineStr">
        <is>
          <t>wall</t>
        </is>
      </c>
      <c r="I96" s="5" t="n">
        <v>0</v>
      </c>
    </row>
    <row r="97">
      <c r="A97" s="5" t="n">
        <v>96</v>
      </c>
      <c r="B97" s="5" t="inlineStr">
        <is>
          <t>125</t>
        </is>
      </c>
      <c r="C97" s="5" t="inlineStr">
        <is>
          <t>wall</t>
        </is>
      </c>
      <c r="D97" s="5" t="inlineStr">
        <is>
          <t>footing+wall</t>
        </is>
      </c>
      <c r="E97" s="5" t="inlineStr">
        <is>
          <t>V4/125</t>
        </is>
      </c>
      <c r="F97" s="5" t="n">
        <v>2998</v>
      </c>
      <c r="G97" s="5" t="n">
        <v>3501</v>
      </c>
      <c r="H97" s="5" t="inlineStr">
        <is>
          <t>wall</t>
        </is>
      </c>
      <c r="I97" s="5" t="n">
        <v>0</v>
      </c>
    </row>
    <row r="98">
      <c r="A98" s="5" t="n">
        <v>97</v>
      </c>
      <c r="B98" s="5" t="inlineStr">
        <is>
          <t>125</t>
        </is>
      </c>
      <c r="C98" s="5" t="inlineStr">
        <is>
          <t>wall</t>
        </is>
      </c>
      <c r="D98" s="5" t="inlineStr">
        <is>
          <t>footing+wall</t>
        </is>
      </c>
      <c r="E98" s="5" t="inlineStr">
        <is>
          <t>V1/125</t>
        </is>
      </c>
      <c r="F98" s="5" t="n">
        <v>3624</v>
      </c>
      <c r="G98" s="5" t="n">
        <v>3462.8</v>
      </c>
      <c r="H98" s="5" t="inlineStr">
        <is>
          <t>wall</t>
        </is>
      </c>
      <c r="I98" s="5" t="n">
        <v>0</v>
      </c>
    </row>
    <row r="99">
      <c r="A99" s="5" t="n">
        <v>98</v>
      </c>
      <c r="B99" s="5" t="inlineStr">
        <is>
          <t>125</t>
        </is>
      </c>
      <c r="C99" s="5" t="inlineStr">
        <is>
          <t>wall</t>
        </is>
      </c>
      <c r="D99" s="5" t="inlineStr">
        <is>
          <t>footing+wall</t>
        </is>
      </c>
      <c r="E99" s="5" t="inlineStr">
        <is>
          <t>V3/125</t>
        </is>
      </c>
      <c r="F99" s="5" t="n">
        <v>3386</v>
      </c>
      <c r="G99" s="5" t="n">
        <v>3267.9</v>
      </c>
      <c r="H99" s="5" t="inlineStr">
        <is>
          <t>wall</t>
        </is>
      </c>
      <c r="I99" s="5" t="n">
        <v>0</v>
      </c>
    </row>
    <row r="100">
      <c r="A100" s="5" t="n">
        <v>99</v>
      </c>
      <c r="B100" s="5" t="inlineStr">
        <is>
          <t>125</t>
        </is>
      </c>
      <c r="C100" s="5" t="inlineStr">
        <is>
          <t>wall</t>
        </is>
      </c>
      <c r="D100" s="5" t="inlineStr">
        <is>
          <t>footing+wall</t>
        </is>
      </c>
      <c r="E100" s="5" t="inlineStr">
        <is>
          <t>V4/125</t>
        </is>
      </c>
      <c r="F100" s="5" t="n">
        <v>3205</v>
      </c>
      <c r="G100" s="5" t="n">
        <v>3302</v>
      </c>
      <c r="H100" s="5" t="inlineStr">
        <is>
          <t>wall</t>
        </is>
      </c>
      <c r="I100" s="5" t="n">
        <v>0</v>
      </c>
    </row>
    <row r="101">
      <c r="A101" s="5" t="n">
        <v>100</v>
      </c>
      <c r="B101" s="5" t="inlineStr">
        <is>
          <t>125</t>
        </is>
      </c>
      <c r="C101" s="5" t="inlineStr">
        <is>
          <t>wall</t>
        </is>
      </c>
      <c r="D101" s="5" t="inlineStr">
        <is>
          <t>footing+wall</t>
        </is>
      </c>
      <c r="E101" s="5" t="inlineStr">
        <is>
          <t>V8/125</t>
        </is>
      </c>
      <c r="F101" s="5" t="n">
        <v>3296.9</v>
      </c>
      <c r="G101" s="5" t="n">
        <v>3039.6</v>
      </c>
      <c r="H101" s="5" t="inlineStr">
        <is>
          <t>wall</t>
        </is>
      </c>
      <c r="I101" s="5" t="n">
        <v>0</v>
      </c>
    </row>
    <row r="102">
      <c r="A102" s="5" t="n">
        <v>101</v>
      </c>
      <c r="B102" s="5" t="inlineStr">
        <is>
          <t>126</t>
        </is>
      </c>
      <c r="C102" s="5" t="inlineStr">
        <is>
          <t>mass_concrete_pad</t>
        </is>
      </c>
      <c r="D102" s="5" t="inlineStr">
        <is>
          <t>mass_concrete_pad</t>
        </is>
      </c>
      <c r="E102" s="5" t="inlineStr"/>
      <c r="F102" s="5" t="n">
        <v>2953.4</v>
      </c>
      <c r="G102" s="5" t="n">
        <v>3047.6</v>
      </c>
      <c r="H102" s="5" t="inlineStr">
        <is>
          <t>mass_concrete_pad</t>
        </is>
      </c>
      <c r="I102" s="5" t="n">
        <v>0</v>
      </c>
    </row>
    <row r="103">
      <c r="A103" s="5" t="n">
        <v>102</v>
      </c>
      <c r="B103" s="5" t="inlineStr">
        <is>
          <t>126</t>
        </is>
      </c>
      <c r="C103" s="5" t="inlineStr">
        <is>
          <t>nothing</t>
        </is>
      </c>
      <c r="D103" s="5" t="inlineStr"/>
      <c r="E103" s="5" t="inlineStr"/>
      <c r="F103" s="5" t="n">
        <v>2790.2</v>
      </c>
      <c r="G103" s="5" t="n">
        <v>2966.5</v>
      </c>
      <c r="H103" s="5" t="inlineStr">
        <is>
          <t>wall</t>
        </is>
      </c>
      <c r="I103" s="5" t="n">
        <v>1.51</v>
      </c>
    </row>
    <row r="104">
      <c r="A104" s="5" t="n">
        <v>103</v>
      </c>
      <c r="B104" s="5" t="inlineStr">
        <is>
          <t>126</t>
        </is>
      </c>
      <c r="C104" s="5" t="inlineStr">
        <is>
          <t>wall</t>
        </is>
      </c>
      <c r="D104" s="5" t="inlineStr">
        <is>
          <t>footing+wall</t>
        </is>
      </c>
      <c r="E104" s="5" t="inlineStr">
        <is>
          <t>V6/127</t>
        </is>
      </c>
      <c r="F104" s="5" t="n">
        <v>2620.1</v>
      </c>
      <c r="G104" s="5" t="n">
        <v>2862.9</v>
      </c>
      <c r="H104" s="5" t="inlineStr">
        <is>
          <t>wall</t>
        </is>
      </c>
      <c r="I104" s="5" t="n">
        <v>0</v>
      </c>
    </row>
    <row r="105">
      <c r="A105" s="5" t="n">
        <v>104</v>
      </c>
      <c r="B105" s="5" t="inlineStr">
        <is>
          <t>126</t>
        </is>
      </c>
      <c r="C105" s="5" t="inlineStr">
        <is>
          <t>wall</t>
        </is>
      </c>
      <c r="D105" s="5" t="inlineStr">
        <is>
          <t>footing+wall</t>
        </is>
      </c>
      <c r="E105" s="5" t="inlineStr">
        <is>
          <t>V4/125</t>
        </is>
      </c>
      <c r="F105" s="5" t="n">
        <v>3017.9</v>
      </c>
      <c r="G105" s="5" t="n">
        <v>3354.6</v>
      </c>
      <c r="H105" s="5" t="inlineStr">
        <is>
          <t>wall</t>
        </is>
      </c>
      <c r="I105" s="5" t="n">
        <v>0</v>
      </c>
    </row>
    <row r="106">
      <c r="A106" s="5" t="n">
        <v>105</v>
      </c>
      <c r="B106" s="5" t="inlineStr">
        <is>
          <t>126</t>
        </is>
      </c>
      <c r="C106" s="5" t="inlineStr">
        <is>
          <t>wall</t>
        </is>
      </c>
      <c r="D106" s="5" t="inlineStr">
        <is>
          <t>footing+wall</t>
        </is>
      </c>
      <c r="E106" s="5" t="inlineStr">
        <is>
          <t>V4/125</t>
        </is>
      </c>
      <c r="F106" s="5" t="n">
        <v>3020.3</v>
      </c>
      <c r="G106" s="5" t="n">
        <v>3336.9</v>
      </c>
      <c r="H106" s="5" t="inlineStr">
        <is>
          <t>wall</t>
        </is>
      </c>
      <c r="I106" s="5" t="n">
        <v>0</v>
      </c>
    </row>
    <row r="107">
      <c r="A107" s="5" t="n">
        <v>106</v>
      </c>
      <c r="B107" s="5" t="inlineStr">
        <is>
          <t>126</t>
        </is>
      </c>
      <c r="C107" s="5" t="inlineStr">
        <is>
          <t>wall</t>
        </is>
      </c>
      <c r="D107" s="5" t="inlineStr">
        <is>
          <t>footing+wall</t>
        </is>
      </c>
      <c r="E107" s="5" t="inlineStr">
        <is>
          <t>V3/127</t>
        </is>
      </c>
      <c r="F107" s="5" t="n">
        <v>2516.2</v>
      </c>
      <c r="G107" s="5" t="n">
        <v>3103</v>
      </c>
      <c r="H107" s="5" t="inlineStr">
        <is>
          <t>wall</t>
        </is>
      </c>
      <c r="I107" s="5" t="n">
        <v>0</v>
      </c>
    </row>
    <row r="108">
      <c r="A108" s="5" t="n">
        <v>107</v>
      </c>
      <c r="B108" s="5" t="inlineStr">
        <is>
          <t>126</t>
        </is>
      </c>
      <c r="C108" s="5" t="inlineStr">
        <is>
          <t>wall</t>
        </is>
      </c>
      <c r="D108" s="5" t="inlineStr">
        <is>
          <t>footing+wall</t>
        </is>
      </c>
      <c r="E108" s="5" t="inlineStr">
        <is>
          <t>V6/127</t>
        </is>
      </c>
      <c r="F108" s="5" t="n">
        <v>2625.9</v>
      </c>
      <c r="G108" s="5" t="n">
        <v>2884.2</v>
      </c>
      <c r="H108" s="5" t="inlineStr">
        <is>
          <t>wall</t>
        </is>
      </c>
      <c r="I108" s="5" t="n">
        <v>0</v>
      </c>
    </row>
    <row r="109">
      <c r="A109" s="5" t="n">
        <v>108</v>
      </c>
      <c r="B109" s="5" t="inlineStr">
        <is>
          <t>126</t>
        </is>
      </c>
      <c r="C109" s="5" t="inlineStr">
        <is>
          <t>wall</t>
        </is>
      </c>
      <c r="D109" s="5" t="inlineStr">
        <is>
          <t>footing+wall</t>
        </is>
      </c>
      <c r="E109" s="5" t="inlineStr">
        <is>
          <t>V3/126</t>
        </is>
      </c>
      <c r="F109" s="5" t="n">
        <v>2680.4</v>
      </c>
      <c r="G109" s="5" t="n">
        <v>3185.3</v>
      </c>
      <c r="H109" s="5" t="inlineStr">
        <is>
          <t>wall</t>
        </is>
      </c>
      <c r="I109" s="5" t="n">
        <v>0</v>
      </c>
    </row>
    <row r="110">
      <c r="A110" s="5" t="n">
        <v>109</v>
      </c>
      <c r="B110" s="5" t="inlineStr">
        <is>
          <t>126</t>
        </is>
      </c>
      <c r="C110" s="5" t="inlineStr">
        <is>
          <t>wall</t>
        </is>
      </c>
      <c r="D110" s="5" t="inlineStr">
        <is>
          <t>footing+wall</t>
        </is>
      </c>
      <c r="E110" s="5" t="inlineStr">
        <is>
          <t>V4/126</t>
        </is>
      </c>
      <c r="F110" s="5" t="n">
        <v>2843.4</v>
      </c>
      <c r="G110" s="5" t="n">
        <v>3267.1</v>
      </c>
      <c r="H110" s="5" t="inlineStr">
        <is>
          <t>wall</t>
        </is>
      </c>
      <c r="I110" s="5" t="n">
        <v>0</v>
      </c>
    </row>
    <row r="111">
      <c r="A111" s="5" t="n">
        <v>110</v>
      </c>
      <c r="B111" s="5" t="inlineStr">
        <is>
          <t>126</t>
        </is>
      </c>
      <c r="C111" s="5" t="inlineStr">
        <is>
          <t>wall</t>
        </is>
      </c>
      <c r="D111" s="5" t="inlineStr">
        <is>
          <t>footing+wall</t>
        </is>
      </c>
      <c r="E111" s="5" t="inlineStr">
        <is>
          <t>V5/126</t>
        </is>
      </c>
      <c r="F111" s="5" t="n">
        <v>2579.2</v>
      </c>
      <c r="G111" s="5" t="n">
        <v>3387.2</v>
      </c>
      <c r="H111" s="5" t="inlineStr">
        <is>
          <t>wall</t>
        </is>
      </c>
      <c r="I111" s="5" t="n">
        <v>0.12</v>
      </c>
    </row>
    <row r="112">
      <c r="A112" s="5" t="n">
        <v>111</v>
      </c>
      <c r="B112" s="5" t="inlineStr">
        <is>
          <t>126</t>
        </is>
      </c>
      <c r="C112" s="5" t="inlineStr">
        <is>
          <t>wall</t>
        </is>
      </c>
      <c r="D112" s="5" t="inlineStr">
        <is>
          <t>footing+wall</t>
        </is>
      </c>
      <c r="E112" s="5" t="inlineStr">
        <is>
          <t>V8/126</t>
        </is>
      </c>
      <c r="F112" s="5" t="n">
        <v>2828.2</v>
      </c>
      <c r="G112" s="5" t="n">
        <v>2998.3</v>
      </c>
      <c r="H112" s="5" t="inlineStr">
        <is>
          <t>wall</t>
        </is>
      </c>
      <c r="I112" s="5" t="n">
        <v>0</v>
      </c>
    </row>
    <row r="113">
      <c r="A113" s="5" t="n">
        <v>112</v>
      </c>
      <c r="B113" s="5" t="inlineStr">
        <is>
          <t>126</t>
        </is>
      </c>
      <c r="C113" s="5" t="inlineStr">
        <is>
          <t>wall</t>
        </is>
      </c>
      <c r="D113" s="5" t="inlineStr">
        <is>
          <t>footing+wall</t>
        </is>
      </c>
      <c r="E113" s="5" t="inlineStr">
        <is>
          <t>VP20</t>
        </is>
      </c>
      <c r="F113" s="5" t="n">
        <v>2593</v>
      </c>
      <c r="G113" s="5" t="n">
        <v>3394.2</v>
      </c>
      <c r="H113" s="5" t="inlineStr">
        <is>
          <t>wall</t>
        </is>
      </c>
      <c r="I113" s="5" t="n">
        <v>0.12</v>
      </c>
    </row>
    <row r="114">
      <c r="A114" s="5" t="n">
        <v>113</v>
      </c>
      <c r="B114" s="5" t="inlineStr">
        <is>
          <t>126</t>
        </is>
      </c>
      <c r="C114" s="5" t="inlineStr">
        <is>
          <t>wall</t>
        </is>
      </c>
      <c r="D114" s="5" t="inlineStr">
        <is>
          <t>wall</t>
        </is>
      </c>
      <c r="E114" s="5" t="inlineStr">
        <is>
          <t>VP20</t>
        </is>
      </c>
      <c r="F114" s="5" t="n">
        <v>2662.9</v>
      </c>
      <c r="G114" s="5" t="n">
        <v>3429.3</v>
      </c>
      <c r="H114" s="5" t="inlineStr">
        <is>
          <t>wall</t>
        </is>
      </c>
      <c r="I114" s="5" t="n">
        <v>0.12</v>
      </c>
    </row>
    <row r="115">
      <c r="A115" s="5" t="n">
        <v>114</v>
      </c>
      <c r="B115" s="5" t="inlineStr">
        <is>
          <t>127</t>
        </is>
      </c>
      <c r="C115" s="5" t="inlineStr">
        <is>
          <t>footing carrying nothing</t>
        </is>
      </c>
      <c r="D115" s="5" t="inlineStr">
        <is>
          <t>footing</t>
        </is>
      </c>
      <c r="E115" s="5" t="inlineStr"/>
      <c r="F115" s="5" t="n">
        <v>2343.5</v>
      </c>
      <c r="G115" s="5" t="n">
        <v>2840.7</v>
      </c>
      <c r="H115" s="5" t="inlineStr">
        <is>
          <t>wall</t>
        </is>
      </c>
      <c r="I115" s="5" t="n">
        <v>2.78</v>
      </c>
    </row>
    <row r="116">
      <c r="A116" s="5" t="n">
        <v>115</v>
      </c>
      <c r="B116" s="5" t="inlineStr">
        <is>
          <t>127</t>
        </is>
      </c>
      <c r="C116" s="5" t="inlineStr">
        <is>
          <t>footing carrying nothing</t>
        </is>
      </c>
      <c r="D116" s="5" t="inlineStr">
        <is>
          <t>footing</t>
        </is>
      </c>
      <c r="E116" s="5" t="inlineStr"/>
      <c r="F116" s="5" t="n">
        <v>2426.2</v>
      </c>
      <c r="G116" s="5" t="n">
        <v>2675.7</v>
      </c>
      <c r="H116" s="5" t="inlineStr">
        <is>
          <t>wall</t>
        </is>
      </c>
      <c r="I116" s="5" t="n">
        <v>1.63</v>
      </c>
    </row>
    <row r="117">
      <c r="A117" s="5" t="n">
        <v>116</v>
      </c>
      <c r="B117" s="5" t="inlineStr">
        <is>
          <t>127</t>
        </is>
      </c>
      <c r="C117" s="5" t="inlineStr">
        <is>
          <t>footing carrying nothing</t>
        </is>
      </c>
      <c r="D117" s="5" t="inlineStr">
        <is>
          <t>footing</t>
        </is>
      </c>
      <c r="E117" s="5" t="inlineStr"/>
      <c r="F117" s="5" t="n">
        <v>2327.4</v>
      </c>
      <c r="G117" s="5" t="n">
        <v>2832.6</v>
      </c>
      <c r="H117" s="5" t="inlineStr">
        <is>
          <t>wall</t>
        </is>
      </c>
      <c r="I117" s="5" t="n">
        <v>2.82</v>
      </c>
    </row>
    <row r="118">
      <c r="A118" s="5" t="n">
        <v>117</v>
      </c>
      <c r="B118" s="5" t="inlineStr">
        <is>
          <t>127</t>
        </is>
      </c>
      <c r="C118" s="5" t="inlineStr">
        <is>
          <t>footing carrying nothing</t>
        </is>
      </c>
      <c r="D118" s="5" t="inlineStr">
        <is>
          <t>footing</t>
        </is>
      </c>
      <c r="E118" s="5" t="inlineStr"/>
      <c r="F118" s="5" t="n">
        <v>2410.1</v>
      </c>
      <c r="G118" s="5" t="n">
        <v>2667.7</v>
      </c>
      <c r="H118" s="5" t="inlineStr">
        <is>
          <t>wall</t>
        </is>
      </c>
      <c r="I118" s="5" t="n">
        <v>1.63</v>
      </c>
    </row>
    <row r="119">
      <c r="A119" s="5" t="n">
        <v>118</v>
      </c>
      <c r="B119" s="5" t="inlineStr">
        <is>
          <t>127</t>
        </is>
      </c>
      <c r="C119" s="5" t="inlineStr">
        <is>
          <t>footing carrying nothing</t>
        </is>
      </c>
      <c r="D119" s="5" t="inlineStr">
        <is>
          <t>footing</t>
        </is>
      </c>
      <c r="E119" s="5" t="inlineStr"/>
      <c r="F119" s="5" t="n">
        <v>2162.4</v>
      </c>
      <c r="G119" s="5" t="n">
        <v>2749.9</v>
      </c>
      <c r="H119" s="5" t="inlineStr">
        <is>
          <t>wall</t>
        </is>
      </c>
      <c r="I119" s="5" t="n">
        <v>2.91</v>
      </c>
    </row>
    <row r="120">
      <c r="A120" s="5" t="n">
        <v>119</v>
      </c>
      <c r="B120" s="5" t="inlineStr">
        <is>
          <t>127</t>
        </is>
      </c>
      <c r="C120" s="5" t="inlineStr">
        <is>
          <t>footing carrying nothing</t>
        </is>
      </c>
      <c r="D120" s="5" t="inlineStr">
        <is>
          <t>footing</t>
        </is>
      </c>
      <c r="E120" s="5" t="inlineStr"/>
      <c r="F120" s="5" t="n">
        <v>2245.1</v>
      </c>
      <c r="G120" s="5" t="n">
        <v>2584.9</v>
      </c>
      <c r="H120" s="5" t="inlineStr">
        <is>
          <t>wall</t>
        </is>
      </c>
      <c r="I120" s="5" t="n">
        <v>1.62</v>
      </c>
    </row>
    <row r="121">
      <c r="A121" s="5" t="n">
        <v>120</v>
      </c>
      <c r="B121" s="5" t="inlineStr">
        <is>
          <t>127</t>
        </is>
      </c>
      <c r="C121" s="5" t="inlineStr">
        <is>
          <t>footing carrying wall</t>
        </is>
      </c>
      <c r="D121" s="5" t="inlineStr">
        <is>
          <t>footing</t>
        </is>
      </c>
      <c r="E121" s="5" t="inlineStr"/>
      <c r="F121" s="5" t="n">
        <v>2274.4</v>
      </c>
      <c r="G121" s="5" t="n">
        <v>2978.4</v>
      </c>
      <c r="H121" s="5" t="inlineStr">
        <is>
          <t>wall</t>
        </is>
      </c>
      <c r="I121" s="5" t="n">
        <v>0.91</v>
      </c>
    </row>
    <row r="122">
      <c r="A122" s="5" t="n">
        <v>121</v>
      </c>
      <c r="B122" s="5" t="inlineStr">
        <is>
          <t>127</t>
        </is>
      </c>
      <c r="C122" s="5" t="inlineStr">
        <is>
          <t>footing carrying wall</t>
        </is>
      </c>
      <c r="D122" s="5" t="inlineStr">
        <is>
          <t>footing</t>
        </is>
      </c>
      <c r="E122" s="5" t="inlineStr"/>
      <c r="F122" s="5" t="n">
        <v>2068.2</v>
      </c>
      <c r="G122" s="5" t="n">
        <v>2875</v>
      </c>
      <c r="H122" s="5" t="inlineStr">
        <is>
          <t>wall</t>
        </is>
      </c>
      <c r="I122" s="5" t="n">
        <v>1.44</v>
      </c>
    </row>
    <row r="123">
      <c r="A123" s="5" t="n">
        <v>122</v>
      </c>
      <c r="B123" s="5" t="inlineStr">
        <is>
          <t>127</t>
        </is>
      </c>
      <c r="C123" s="5" t="inlineStr">
        <is>
          <t>nothing</t>
        </is>
      </c>
      <c r="D123" s="5" t="inlineStr"/>
      <c r="E123" s="5" t="inlineStr"/>
      <c r="F123" s="5" t="n">
        <v>1948.1</v>
      </c>
      <c r="G123" s="5" t="n">
        <v>2814.8</v>
      </c>
      <c r="H123" s="5" t="inlineStr">
        <is>
          <t>wall</t>
        </is>
      </c>
      <c r="I123" s="5" t="n">
        <v>2.82</v>
      </c>
    </row>
    <row r="124">
      <c r="A124" s="5" t="n">
        <v>123</v>
      </c>
      <c r="B124" s="5" t="inlineStr">
        <is>
          <t>127</t>
        </is>
      </c>
      <c r="C124" s="5" t="inlineStr">
        <is>
          <t>nothing</t>
        </is>
      </c>
      <c r="D124" s="5" t="inlineStr"/>
      <c r="E124" s="5" t="inlineStr"/>
      <c r="F124" s="5" t="n">
        <v>2324.9</v>
      </c>
      <c r="G124" s="5" t="n">
        <v>3003.8</v>
      </c>
      <c r="H124" s="5" t="inlineStr">
        <is>
          <t>column</t>
        </is>
      </c>
      <c r="I124" s="5" t="n">
        <v>1.62</v>
      </c>
    </row>
    <row r="125">
      <c r="A125" s="5" t="n">
        <v>124</v>
      </c>
      <c r="B125" s="5" t="inlineStr">
        <is>
          <t>127</t>
        </is>
      </c>
      <c r="C125" s="5" t="inlineStr">
        <is>
          <t>nothing</t>
        </is>
      </c>
      <c r="D125" s="5" t="inlineStr"/>
      <c r="E125" s="5" t="inlineStr"/>
      <c r="F125" s="5" t="n">
        <v>2209.1</v>
      </c>
      <c r="G125" s="5" t="n">
        <v>2656.8</v>
      </c>
      <c r="H125" s="5" t="inlineStr">
        <is>
          <t>wall</t>
        </is>
      </c>
      <c r="I125" s="5" t="n">
        <v>0.8100000000000001</v>
      </c>
    </row>
    <row r="126">
      <c r="A126" s="5" t="n">
        <v>125</v>
      </c>
      <c r="B126" s="5" t="inlineStr">
        <is>
          <t>127</t>
        </is>
      </c>
      <c r="C126" s="5" t="inlineStr">
        <is>
          <t>wall</t>
        </is>
      </c>
      <c r="D126" s="5" t="inlineStr">
        <is>
          <t>wall</t>
        </is>
      </c>
      <c r="E126" s="5" t="inlineStr">
        <is>
          <t>V3/127</t>
        </is>
      </c>
      <c r="F126" s="5" t="n">
        <v>1851.7</v>
      </c>
      <c r="G126" s="5" t="n">
        <v>2766.5</v>
      </c>
      <c r="H126" s="5" t="inlineStr">
        <is>
          <t>wall</t>
        </is>
      </c>
      <c r="I126" s="5" t="n">
        <v>0</v>
      </c>
    </row>
    <row r="127">
      <c r="A127" s="5" t="n">
        <v>126</v>
      </c>
      <c r="B127" s="5" t="inlineStr">
        <is>
          <t>127</t>
        </is>
      </c>
      <c r="C127" s="5" t="inlineStr">
        <is>
          <t>wall</t>
        </is>
      </c>
      <c r="D127" s="5" t="inlineStr">
        <is>
          <t>footing+wall</t>
        </is>
      </c>
      <c r="E127" s="5" t="inlineStr">
        <is>
          <t>V3/127</t>
        </is>
      </c>
      <c r="F127" s="5" t="n">
        <v>2504.3</v>
      </c>
      <c r="G127" s="5" t="n">
        <v>3093.8</v>
      </c>
      <c r="H127" s="5" t="inlineStr">
        <is>
          <t>wall</t>
        </is>
      </c>
      <c r="I127" s="5" t="n">
        <v>0</v>
      </c>
    </row>
    <row r="128">
      <c r="A128" s="5" t="n">
        <v>127</v>
      </c>
      <c r="B128" s="5" t="inlineStr">
        <is>
          <t>127</t>
        </is>
      </c>
      <c r="C128" s="5" t="inlineStr">
        <is>
          <t>wall</t>
        </is>
      </c>
      <c r="D128" s="5" t="inlineStr">
        <is>
          <t>footing+wall</t>
        </is>
      </c>
      <c r="E128" s="5" t="inlineStr">
        <is>
          <t>V5/127</t>
        </is>
      </c>
      <c r="F128" s="5" t="n">
        <v>2026.6</v>
      </c>
      <c r="G128" s="5" t="n">
        <v>2854.2</v>
      </c>
      <c r="H128" s="5" t="inlineStr">
        <is>
          <t>wall</t>
        </is>
      </c>
      <c r="I128" s="5" t="n">
        <v>0</v>
      </c>
    </row>
    <row r="129">
      <c r="A129" s="5" t="n">
        <v>128</v>
      </c>
      <c r="B129" s="5" t="inlineStr">
        <is>
          <t>127</t>
        </is>
      </c>
      <c r="C129" s="5" t="inlineStr">
        <is>
          <t>wall</t>
        </is>
      </c>
      <c r="D129" s="5" t="inlineStr">
        <is>
          <t>footing+wall</t>
        </is>
      </c>
      <c r="E129" s="5" t="inlineStr">
        <is>
          <t>V5/127</t>
        </is>
      </c>
      <c r="F129" s="5" t="n">
        <v>2247</v>
      </c>
      <c r="G129" s="5" t="n">
        <v>2964.7</v>
      </c>
      <c r="H129" s="5" t="inlineStr">
        <is>
          <t>wall</t>
        </is>
      </c>
      <c r="I129" s="5" t="n">
        <v>0</v>
      </c>
    </row>
    <row r="130">
      <c r="A130" s="5" t="n">
        <v>129</v>
      </c>
      <c r="B130" s="5" t="inlineStr">
        <is>
          <t>127</t>
        </is>
      </c>
      <c r="C130" s="5" t="inlineStr">
        <is>
          <t>wall</t>
        </is>
      </c>
      <c r="D130" s="5" t="inlineStr">
        <is>
          <t>footing+wall</t>
        </is>
      </c>
      <c r="E130" s="5" t="inlineStr">
        <is>
          <t>V6/127</t>
        </is>
      </c>
      <c r="F130" s="5" t="n">
        <v>1967.5</v>
      </c>
      <c r="G130" s="5" t="n">
        <v>2535.6</v>
      </c>
      <c r="H130" s="5" t="inlineStr">
        <is>
          <t>wall</t>
        </is>
      </c>
      <c r="I130" s="5" t="n">
        <v>0</v>
      </c>
    </row>
    <row r="131">
      <c r="A131" s="5" t="n">
        <v>130</v>
      </c>
      <c r="B131" s="5" t="inlineStr">
        <is>
          <t>127</t>
        </is>
      </c>
      <c r="C131" s="5" t="inlineStr">
        <is>
          <t>wall</t>
        </is>
      </c>
      <c r="D131" s="5" t="inlineStr">
        <is>
          <t>footing+wall</t>
        </is>
      </c>
      <c r="E131" s="5" t="inlineStr">
        <is>
          <t>V6/127</t>
        </is>
      </c>
      <c r="F131" s="5" t="n">
        <v>2390.2</v>
      </c>
      <c r="G131" s="5" t="n">
        <v>2747.6</v>
      </c>
      <c r="H131" s="5" t="inlineStr">
        <is>
          <t>wall</t>
        </is>
      </c>
      <c r="I131" s="5" t="n">
        <v>0</v>
      </c>
    </row>
    <row r="132">
      <c r="A132" s="5" t="n">
        <v>131</v>
      </c>
      <c r="B132" s="5" t="inlineStr">
        <is>
          <t>127</t>
        </is>
      </c>
      <c r="C132" s="5" t="inlineStr">
        <is>
          <t>wall</t>
        </is>
      </c>
      <c r="D132" s="5" t="inlineStr">
        <is>
          <t>footing+wall</t>
        </is>
      </c>
      <c r="E132" s="5" t="inlineStr">
        <is>
          <t>V6/127</t>
        </is>
      </c>
      <c r="F132" s="5" t="n">
        <v>2184</v>
      </c>
      <c r="G132" s="5" t="n">
        <v>2644.2</v>
      </c>
      <c r="H132" s="5" t="inlineStr">
        <is>
          <t>wall</t>
        </is>
      </c>
      <c r="I132" s="5" t="n">
        <v>0</v>
      </c>
    </row>
    <row r="133">
      <c r="A133" s="5" t="n">
        <v>132</v>
      </c>
      <c r="B133" s="5" t="inlineStr">
        <is>
          <t>127</t>
        </is>
      </c>
      <c r="C133" s="5" t="inlineStr">
        <is>
          <t>wall</t>
        </is>
      </c>
      <c r="D133" s="5" t="inlineStr">
        <is>
          <t>wall</t>
        </is>
      </c>
      <c r="E133" s="5" t="inlineStr">
        <is>
          <t>V6/127</t>
        </is>
      </c>
      <c r="F133" s="5" t="n">
        <v>2374.1</v>
      </c>
      <c r="G133" s="5" t="n">
        <v>2739.5</v>
      </c>
      <c r="H133" s="5" t="inlineStr">
        <is>
          <t>wall</t>
        </is>
      </c>
      <c r="I133" s="5" t="n">
        <v>0.49</v>
      </c>
    </row>
    <row r="134">
      <c r="A134" s="5" t="n">
        <v>133</v>
      </c>
      <c r="B134" s="5" t="inlineStr">
        <is>
          <t>128</t>
        </is>
      </c>
      <c r="C134" s="5" t="inlineStr">
        <is>
          <t>footing carrying wall</t>
        </is>
      </c>
      <c r="D134" s="5" t="inlineStr">
        <is>
          <t>footing</t>
        </is>
      </c>
      <c r="E134" s="5" t="inlineStr"/>
      <c r="F134" s="5" t="n">
        <v>1433.1</v>
      </c>
      <c r="G134" s="5" t="n">
        <v>2271</v>
      </c>
      <c r="H134" s="5" t="inlineStr">
        <is>
          <t>wall</t>
        </is>
      </c>
      <c r="I134" s="5" t="n">
        <v>0.63</v>
      </c>
    </row>
    <row r="135">
      <c r="A135" s="5" t="n">
        <v>134</v>
      </c>
      <c r="B135" s="5" t="inlineStr">
        <is>
          <t>128</t>
        </is>
      </c>
      <c r="C135" s="5" t="inlineStr">
        <is>
          <t>footing carrying wall</t>
        </is>
      </c>
      <c r="D135" s="5" t="inlineStr">
        <is>
          <t>footing</t>
        </is>
      </c>
      <c r="E135" s="5" t="inlineStr"/>
      <c r="F135" s="5" t="n">
        <v>1271.5</v>
      </c>
      <c r="G135" s="5" t="n">
        <v>2471.7</v>
      </c>
      <c r="H135" s="5" t="inlineStr">
        <is>
          <t>wall</t>
        </is>
      </c>
      <c r="I135" s="5" t="n">
        <v>1.73</v>
      </c>
    </row>
    <row r="136">
      <c r="A136" s="5" t="n">
        <v>135</v>
      </c>
      <c r="B136" s="5" t="inlineStr">
        <is>
          <t>128</t>
        </is>
      </c>
      <c r="C136" s="5" t="inlineStr">
        <is>
          <t>nothing</t>
        </is>
      </c>
      <c r="D136" s="5" t="inlineStr"/>
      <c r="E136" s="5" t="inlineStr"/>
      <c r="F136" s="5" t="n">
        <v>1318.4</v>
      </c>
      <c r="G136" s="5" t="n">
        <v>1922</v>
      </c>
      <c r="H136" s="5" t="inlineStr">
        <is>
          <t>wall</t>
        </is>
      </c>
      <c r="I136" s="5" t="n">
        <v>3.21</v>
      </c>
    </row>
    <row r="137">
      <c r="A137" s="5" t="n">
        <v>136</v>
      </c>
      <c r="B137" s="5" t="inlineStr">
        <is>
          <t>128</t>
        </is>
      </c>
      <c r="C137" s="5" t="inlineStr">
        <is>
          <t>nothing</t>
        </is>
      </c>
      <c r="D137" s="5" t="inlineStr"/>
      <c r="E137" s="5" t="inlineStr"/>
      <c r="F137" s="5" t="n">
        <v>1408.7</v>
      </c>
      <c r="G137" s="5" t="n">
        <v>2271.7</v>
      </c>
      <c r="H137" s="5" t="inlineStr">
        <is>
          <t>wall</t>
        </is>
      </c>
      <c r="I137" s="5" t="n">
        <v>1.29</v>
      </c>
    </row>
    <row r="138">
      <c r="A138" s="5" t="n">
        <v>137</v>
      </c>
      <c r="B138" s="5" t="inlineStr">
        <is>
          <t>128</t>
        </is>
      </c>
      <c r="C138" s="5" t="inlineStr">
        <is>
          <t>raft</t>
        </is>
      </c>
      <c r="D138" s="5" t="inlineStr"/>
      <c r="E138" s="5" t="inlineStr"/>
      <c r="F138" s="5" t="n">
        <v>1635.4</v>
      </c>
      <c r="G138" s="5" t="n">
        <v>2658.8</v>
      </c>
      <c r="H138" s="5" t="inlineStr">
        <is>
          <t>wall</t>
        </is>
      </c>
      <c r="I138" s="5" t="n">
        <v>0.93</v>
      </c>
    </row>
    <row r="139">
      <c r="A139" s="5" t="n">
        <v>138</v>
      </c>
      <c r="B139" s="5" t="inlineStr">
        <is>
          <t>128</t>
        </is>
      </c>
      <c r="C139" s="5" t="inlineStr">
        <is>
          <t>wall</t>
        </is>
      </c>
      <c r="D139" s="5" t="inlineStr">
        <is>
          <t>footing+wall</t>
        </is>
      </c>
      <c r="E139" s="5" t="inlineStr">
        <is>
          <t>V6/127</t>
        </is>
      </c>
      <c r="F139" s="5" t="n">
        <v>1953</v>
      </c>
      <c r="G139" s="5" t="n">
        <v>2531.7</v>
      </c>
      <c r="H139" s="5" t="inlineStr">
        <is>
          <t>wall</t>
        </is>
      </c>
      <c r="I139" s="5" t="n">
        <v>0</v>
      </c>
    </row>
    <row r="140">
      <c r="A140" s="5" t="n">
        <v>139</v>
      </c>
      <c r="B140" s="5" t="inlineStr">
        <is>
          <t>128</t>
        </is>
      </c>
      <c r="C140" s="5" t="inlineStr">
        <is>
          <t>wall</t>
        </is>
      </c>
      <c r="D140" s="5" t="inlineStr">
        <is>
          <t>footing+wall</t>
        </is>
      </c>
      <c r="E140" s="5" t="inlineStr">
        <is>
          <t>V6/130</t>
        </is>
      </c>
      <c r="F140" s="5" t="n">
        <v>1271.9</v>
      </c>
      <c r="G140" s="5" t="n">
        <v>1742.3</v>
      </c>
      <c r="H140" s="5" t="inlineStr">
        <is>
          <t>wall</t>
        </is>
      </c>
      <c r="I140" s="5" t="n">
        <v>0</v>
      </c>
    </row>
    <row r="141">
      <c r="A141" s="5" t="n">
        <v>140</v>
      </c>
      <c r="B141" s="5" t="inlineStr">
        <is>
          <t>128</t>
        </is>
      </c>
      <c r="C141" s="5" t="inlineStr">
        <is>
          <t>wall</t>
        </is>
      </c>
      <c r="D141" s="5" t="inlineStr">
        <is>
          <t>footing+wall</t>
        </is>
      </c>
      <c r="E141" s="5" t="inlineStr">
        <is>
          <t>V6/128</t>
        </is>
      </c>
      <c r="F141" s="5" t="n">
        <v>1750.2</v>
      </c>
      <c r="G141" s="5" t="n">
        <v>2430</v>
      </c>
      <c r="H141" s="5" t="inlineStr">
        <is>
          <t>wall</t>
        </is>
      </c>
      <c r="I141" s="5" t="n">
        <v>0</v>
      </c>
    </row>
    <row r="142">
      <c r="A142" s="5" t="n">
        <v>141</v>
      </c>
      <c r="B142" s="5" t="inlineStr">
        <is>
          <t>128</t>
        </is>
      </c>
      <c r="C142" s="5" t="inlineStr">
        <is>
          <t>wall</t>
        </is>
      </c>
      <c r="D142" s="5" t="inlineStr">
        <is>
          <t>footing+wall</t>
        </is>
      </c>
      <c r="E142" s="5" t="inlineStr">
        <is>
          <t>V9/128</t>
        </is>
      </c>
      <c r="F142" s="5" t="n">
        <v>1350.9</v>
      </c>
      <c r="G142" s="5" t="n">
        <v>2047.9</v>
      </c>
      <c r="H142" s="5" t="inlineStr">
        <is>
          <t>wall</t>
        </is>
      </c>
      <c r="I142" s="5" t="n">
        <v>0</v>
      </c>
    </row>
    <row r="143">
      <c r="A143" s="5" t="n">
        <v>142</v>
      </c>
      <c r="B143" s="5" t="inlineStr">
        <is>
          <t>128</t>
        </is>
      </c>
      <c r="C143" s="5" t="inlineStr">
        <is>
          <t>wall</t>
        </is>
      </c>
      <c r="D143" s="5" t="inlineStr">
        <is>
          <t>footing+wall</t>
        </is>
      </c>
      <c r="E143" s="5" t="inlineStr">
        <is>
          <t>V9/128</t>
        </is>
      </c>
      <c r="F143" s="5" t="n">
        <v>1293.7</v>
      </c>
      <c r="G143" s="5" t="n">
        <v>1826.6</v>
      </c>
      <c r="H143" s="5" t="inlineStr">
        <is>
          <t>wall</t>
        </is>
      </c>
      <c r="I143" s="5" t="n">
        <v>0</v>
      </c>
    </row>
    <row r="144">
      <c r="A144" s="5" t="n">
        <v>143</v>
      </c>
      <c r="B144" s="5" t="inlineStr">
        <is>
          <t>128</t>
        </is>
      </c>
      <c r="C144" s="5" t="inlineStr">
        <is>
          <t>wall</t>
        </is>
      </c>
      <c r="D144" s="5" t="inlineStr">
        <is>
          <t>footing+wall</t>
        </is>
      </c>
      <c r="E144" s="5" t="inlineStr">
        <is>
          <t>V4/128</t>
        </is>
      </c>
      <c r="F144" s="5" t="n">
        <v>1237.6</v>
      </c>
      <c r="G144" s="5" t="n">
        <v>2429.9</v>
      </c>
      <c r="H144" s="5" t="inlineStr">
        <is>
          <t>wall</t>
        </is>
      </c>
      <c r="I144" s="5" t="n">
        <v>0</v>
      </c>
    </row>
    <row r="145">
      <c r="A145" s="5" t="n">
        <v>144</v>
      </c>
      <c r="B145" s="5" t="inlineStr">
        <is>
          <t>128</t>
        </is>
      </c>
      <c r="C145" s="5" t="inlineStr">
        <is>
          <t>wall</t>
        </is>
      </c>
      <c r="D145" s="5" t="inlineStr">
        <is>
          <t>footing+wall</t>
        </is>
      </c>
      <c r="E145" s="5" t="inlineStr">
        <is>
          <t>V4/128</t>
        </is>
      </c>
      <c r="F145" s="5" t="n">
        <v>1228.3</v>
      </c>
      <c r="G145" s="5" t="n">
        <v>2418.4</v>
      </c>
      <c r="H145" s="5" t="inlineStr">
        <is>
          <t>wall</t>
        </is>
      </c>
      <c r="I145" s="5" t="n">
        <v>0</v>
      </c>
    </row>
    <row r="146">
      <c r="A146" s="5" t="n">
        <v>145</v>
      </c>
      <c r="B146" s="5" t="inlineStr">
        <is>
          <t>128</t>
        </is>
      </c>
      <c r="C146" s="5" t="inlineStr">
        <is>
          <t>wall</t>
        </is>
      </c>
      <c r="D146" s="5" t="inlineStr">
        <is>
          <t>wall</t>
        </is>
      </c>
      <c r="E146" s="5" t="inlineStr">
        <is>
          <t>VP20</t>
        </is>
      </c>
      <c r="F146" s="5" t="n">
        <v>1448.6</v>
      </c>
      <c r="G146" s="5" t="n">
        <v>2819.8</v>
      </c>
      <c r="H146" s="5" t="inlineStr">
        <is>
          <t>wall</t>
        </is>
      </c>
      <c r="I146" s="5" t="n">
        <v>0.13</v>
      </c>
    </row>
    <row r="147">
      <c r="A147" s="5" t="n">
        <v>146</v>
      </c>
      <c r="B147" s="5" t="inlineStr">
        <is>
          <t>128</t>
        </is>
      </c>
      <c r="C147" s="5" t="inlineStr">
        <is>
          <t>wall</t>
        </is>
      </c>
      <c r="D147" s="5" t="inlineStr">
        <is>
          <t>wall</t>
        </is>
      </c>
      <c r="E147" s="5" t="inlineStr">
        <is>
          <t>VP20</t>
        </is>
      </c>
      <c r="F147" s="5" t="n">
        <v>1518.5</v>
      </c>
      <c r="G147" s="5" t="n">
        <v>2854.9</v>
      </c>
      <c r="H147" s="5" t="inlineStr">
        <is>
          <t>wall</t>
        </is>
      </c>
      <c r="I147" s="5" t="n">
        <v>0.13</v>
      </c>
    </row>
    <row r="148">
      <c r="A148" s="5" t="n">
        <v>147</v>
      </c>
      <c r="B148" s="5" t="inlineStr">
        <is>
          <t>129</t>
        </is>
      </c>
      <c r="C148" s="5" t="inlineStr">
        <is>
          <t>nothing</t>
        </is>
      </c>
      <c r="D148" s="5" t="inlineStr"/>
      <c r="E148" s="5" t="inlineStr"/>
      <c r="F148" s="5" t="n">
        <v>1119.8</v>
      </c>
      <c r="G148" s="5" t="n">
        <v>2108.5</v>
      </c>
      <c r="H148" s="5" t="inlineStr">
        <is>
          <t>wall</t>
        </is>
      </c>
      <c r="I148" s="5" t="n">
        <v>1.77</v>
      </c>
    </row>
    <row r="149">
      <c r="A149" s="5" t="n">
        <v>148</v>
      </c>
      <c r="B149" s="5" t="inlineStr">
        <is>
          <t>129</t>
        </is>
      </c>
      <c r="C149" s="5" t="inlineStr">
        <is>
          <t>wall</t>
        </is>
      </c>
      <c r="D149" s="5" t="inlineStr">
        <is>
          <t>footing+wall</t>
        </is>
      </c>
      <c r="E149" s="5" t="inlineStr">
        <is>
          <t>V3/129</t>
        </is>
      </c>
      <c r="F149" s="5" t="n">
        <v>1086.4</v>
      </c>
      <c r="G149" s="5" t="n">
        <v>1982.8</v>
      </c>
      <c r="H149" s="5" t="inlineStr">
        <is>
          <t>wall</t>
        </is>
      </c>
      <c r="I149" s="5" t="n">
        <v>0</v>
      </c>
    </row>
    <row r="150">
      <c r="A150" s="5" t="n">
        <v>149</v>
      </c>
      <c r="B150" s="5" t="inlineStr">
        <is>
          <t>130</t>
        </is>
      </c>
      <c r="C150" s="5" t="inlineStr">
        <is>
          <t>column</t>
        </is>
      </c>
      <c r="D150" s="5" t="inlineStr">
        <is>
          <t>column+footing</t>
        </is>
      </c>
      <c r="E150" s="5" t="inlineStr"/>
      <c r="F150" s="5" t="n">
        <v>716</v>
      </c>
      <c r="G150" s="5" t="n">
        <v>1283.6</v>
      </c>
      <c r="H150" s="5" t="inlineStr">
        <is>
          <t>column</t>
        </is>
      </c>
      <c r="I150" s="5" t="n">
        <v>0</v>
      </c>
    </row>
    <row r="151">
      <c r="A151" s="5" t="n">
        <v>150</v>
      </c>
      <c r="B151" s="5" t="inlineStr">
        <is>
          <t>130</t>
        </is>
      </c>
      <c r="C151" s="5" t="inlineStr">
        <is>
          <t>footing carrying wall</t>
        </is>
      </c>
      <c r="D151" s="5" t="inlineStr">
        <is>
          <t>footing</t>
        </is>
      </c>
      <c r="E151" s="5" t="inlineStr"/>
      <c r="F151" s="5" t="n">
        <v>991.6</v>
      </c>
      <c r="G151" s="5" t="n">
        <v>1576.6</v>
      </c>
      <c r="H151" s="5" t="inlineStr">
        <is>
          <t>wall</t>
        </is>
      </c>
      <c r="I151" s="5" t="n">
        <v>0.72</v>
      </c>
    </row>
    <row r="152">
      <c r="A152" s="5" t="n">
        <v>151</v>
      </c>
      <c r="B152" s="5" t="inlineStr">
        <is>
          <t>130</t>
        </is>
      </c>
      <c r="C152" s="5" t="inlineStr">
        <is>
          <t>nothing</t>
        </is>
      </c>
      <c r="D152" s="5" t="inlineStr"/>
      <c r="E152" s="5" t="inlineStr"/>
      <c r="F152" s="5" t="n">
        <v>932.8</v>
      </c>
      <c r="G152" s="5" t="n">
        <v>1355.3</v>
      </c>
      <c r="H152" s="5" t="inlineStr">
        <is>
          <t>wall</t>
        </is>
      </c>
      <c r="I152" s="5" t="n">
        <v>2.12</v>
      </c>
    </row>
    <row r="153">
      <c r="A153" s="5" t="n">
        <v>152</v>
      </c>
      <c r="B153" s="5" t="inlineStr">
        <is>
          <t>130</t>
        </is>
      </c>
      <c r="C153" s="5" t="inlineStr">
        <is>
          <t>wall</t>
        </is>
      </c>
      <c r="D153" s="5" t="inlineStr">
        <is>
          <t>footing+wall</t>
        </is>
      </c>
      <c r="E153" s="5" t="inlineStr">
        <is>
          <t>V6/130</t>
        </is>
      </c>
      <c r="F153" s="5" t="n">
        <v>1271.8</v>
      </c>
      <c r="G153" s="5" t="n">
        <v>1727</v>
      </c>
      <c r="H153" s="5" t="inlineStr">
        <is>
          <t>wall</t>
        </is>
      </c>
      <c r="I153" s="5" t="n">
        <v>0</v>
      </c>
    </row>
    <row r="154">
      <c r="A154" s="5" t="n">
        <v>153</v>
      </c>
      <c r="B154" s="5" t="inlineStr">
        <is>
          <t>130</t>
        </is>
      </c>
      <c r="C154" s="5" t="inlineStr">
        <is>
          <t>wall</t>
        </is>
      </c>
      <c r="D154" s="5" t="inlineStr">
        <is>
          <t>wall</t>
        </is>
      </c>
      <c r="E154" s="5" t="inlineStr">
        <is>
          <t>V6/130</t>
        </is>
      </c>
      <c r="F154" s="5" t="n">
        <v>1161</v>
      </c>
      <c r="G154" s="5" t="n">
        <v>1295.1</v>
      </c>
      <c r="H154" s="5" t="inlineStr">
        <is>
          <t>wall</t>
        </is>
      </c>
      <c r="I154" s="5" t="n">
        <v>0</v>
      </c>
    </row>
    <row r="155">
      <c r="A155" s="5" t="n">
        <v>154</v>
      </c>
      <c r="B155" s="5" t="inlineStr">
        <is>
          <t>130</t>
        </is>
      </c>
      <c r="C155" s="5" t="inlineStr">
        <is>
          <t>wall</t>
        </is>
      </c>
      <c r="D155" s="5" t="inlineStr">
        <is>
          <t>footing+wall</t>
        </is>
      </c>
      <c r="E155" s="5" t="inlineStr">
        <is>
          <t>V6/130</t>
        </is>
      </c>
      <c r="F155" s="5" t="n">
        <v>1217.9</v>
      </c>
      <c r="G155" s="5" t="n">
        <v>1517</v>
      </c>
      <c r="H155" s="5" t="inlineStr">
        <is>
          <t>wall</t>
        </is>
      </c>
      <c r="I155" s="5" t="n">
        <v>0</v>
      </c>
    </row>
    <row r="156">
      <c r="A156" s="5" t="n">
        <v>155</v>
      </c>
      <c r="B156" s="5" t="inlineStr">
        <is>
          <t>130</t>
        </is>
      </c>
      <c r="C156" s="5" t="inlineStr">
        <is>
          <t>wall</t>
        </is>
      </c>
      <c r="D156" s="5" t="inlineStr">
        <is>
          <t>wall</t>
        </is>
      </c>
      <c r="E156" s="5" t="inlineStr">
        <is>
          <t>VP20</t>
        </is>
      </c>
      <c r="F156" s="5" t="n">
        <v>1105.5</v>
      </c>
      <c r="G156" s="5" t="n">
        <v>1079</v>
      </c>
      <c r="H156" s="5" t="inlineStr">
        <is>
          <t>wall</t>
        </is>
      </c>
      <c r="I156" s="5" t="n">
        <v>0.13</v>
      </c>
    </row>
    <row r="157">
      <c r="A157" s="5" t="n">
        <v>156</v>
      </c>
      <c r="B157" s="5" t="inlineStr">
        <is>
          <t>130</t>
        </is>
      </c>
      <c r="C157" s="5" t="inlineStr">
        <is>
          <t>wall</t>
        </is>
      </c>
      <c r="D157" s="5" t="inlineStr">
        <is>
          <t>footing+wall</t>
        </is>
      </c>
      <c r="E157" s="5" t="inlineStr">
        <is>
          <t>V1/130</t>
        </is>
      </c>
      <c r="F157" s="5" t="n">
        <v>1038.9</v>
      </c>
      <c r="G157" s="5" t="n">
        <v>1803.7</v>
      </c>
      <c r="H157" s="5" t="inlineStr">
        <is>
          <t>wall</t>
        </is>
      </c>
      <c r="I157" s="5" t="n">
        <v>0</v>
      </c>
    </row>
    <row r="158">
      <c r="A158" s="5" t="n">
        <v>157</v>
      </c>
      <c r="B158" s="5" t="inlineStr">
        <is>
          <t>130</t>
        </is>
      </c>
      <c r="C158" s="5" t="inlineStr">
        <is>
          <t>wall</t>
        </is>
      </c>
      <c r="D158" s="5" t="inlineStr">
        <is>
          <t>footing+wall</t>
        </is>
      </c>
      <c r="E158" s="5" t="inlineStr">
        <is>
          <t>V1/130</t>
        </is>
      </c>
      <c r="F158" s="5" t="n">
        <v>1047.2</v>
      </c>
      <c r="G158" s="5" t="n">
        <v>1786.1</v>
      </c>
      <c r="H158" s="5" t="inlineStr">
        <is>
          <t>wall</t>
        </is>
      </c>
      <c r="I158" s="5" t="n">
        <v>0</v>
      </c>
    </row>
    <row r="159">
      <c r="A159" s="5" t="n">
        <v>158</v>
      </c>
      <c r="B159" s="5" t="inlineStr">
        <is>
          <t>130</t>
        </is>
      </c>
      <c r="C159" s="5" t="inlineStr">
        <is>
          <t>wall</t>
        </is>
      </c>
      <c r="D159" s="5" t="inlineStr">
        <is>
          <t>footing+wall</t>
        </is>
      </c>
      <c r="E159" s="5" t="inlineStr">
        <is>
          <t>V3/130</t>
        </is>
      </c>
      <c r="F159" s="5" t="n">
        <v>998</v>
      </c>
      <c r="G159" s="5" t="n">
        <v>1600.6</v>
      </c>
      <c r="H159" s="5" t="inlineStr">
        <is>
          <t>wall</t>
        </is>
      </c>
      <c r="I159" s="5" t="n">
        <v>0</v>
      </c>
    </row>
    <row r="160">
      <c r="A160" s="5" t="n">
        <v>159</v>
      </c>
      <c r="B160" s="5" t="inlineStr">
        <is>
          <t>130</t>
        </is>
      </c>
      <c r="C160" s="5" t="inlineStr">
        <is>
          <t>wall</t>
        </is>
      </c>
      <c r="D160" s="5" t="inlineStr">
        <is>
          <t>wall</t>
        </is>
      </c>
      <c r="E160" s="5" t="inlineStr">
        <is>
          <t>VP20</t>
        </is>
      </c>
      <c r="F160" s="5" t="n">
        <v>926.9</v>
      </c>
      <c r="G160" s="5" t="n">
        <v>1061.3</v>
      </c>
      <c r="H160" s="5" t="inlineStr">
        <is>
          <t>wall</t>
        </is>
      </c>
      <c r="I160" s="5" t="n">
        <v>0.12</v>
      </c>
    </row>
    <row r="161">
      <c r="A161" s="5" t="n">
        <v>160</v>
      </c>
      <c r="B161" s="5" t="inlineStr">
        <is>
          <t>130</t>
        </is>
      </c>
      <c r="C161" s="5" t="inlineStr">
        <is>
          <t>wall</t>
        </is>
      </c>
      <c r="D161" s="5" t="inlineStr">
        <is>
          <t>wall</t>
        </is>
      </c>
      <c r="E161" s="5" t="inlineStr">
        <is>
          <t>VP20</t>
        </is>
      </c>
      <c r="F161" s="5" t="n">
        <v>1004.8</v>
      </c>
      <c r="G161" s="5" t="n">
        <v>1069</v>
      </c>
      <c r="H161" s="5" t="inlineStr">
        <is>
          <t>wall</t>
        </is>
      </c>
      <c r="I161" s="5" t="n">
        <v>0.12</v>
      </c>
    </row>
    <row r="162">
      <c r="A162" s="5" t="n">
        <v>161</v>
      </c>
      <c r="B162" s="5" t="inlineStr">
        <is>
          <t>130</t>
        </is>
      </c>
      <c r="C162" s="5" t="inlineStr">
        <is>
          <t>wall</t>
        </is>
      </c>
      <c r="D162" s="5" t="inlineStr">
        <is>
          <t>wall</t>
        </is>
      </c>
      <c r="E162" s="5" t="inlineStr"/>
      <c r="F162" s="5" t="n">
        <v>920.6</v>
      </c>
      <c r="G162" s="5" t="n">
        <v>1124.4</v>
      </c>
      <c r="H162" s="5" t="inlineStr">
        <is>
          <t>wall</t>
        </is>
      </c>
      <c r="I162" s="5" t="n">
        <v>0.35</v>
      </c>
    </row>
    <row r="163">
      <c r="A163" s="5" t="n">
        <v>162</v>
      </c>
      <c r="B163" s="5" t="inlineStr">
        <is>
          <t>130</t>
        </is>
      </c>
      <c r="C163" s="5" t="inlineStr">
        <is>
          <t>wall</t>
        </is>
      </c>
      <c r="D163" s="5" t="inlineStr">
        <is>
          <t>wall</t>
        </is>
      </c>
      <c r="E163" s="5" t="inlineStr"/>
      <c r="F163" s="5" t="n">
        <v>998.5</v>
      </c>
      <c r="G163" s="5" t="n">
        <v>1132.2</v>
      </c>
      <c r="H163" s="5" t="inlineStr">
        <is>
          <t>wall</t>
        </is>
      </c>
      <c r="I163" s="5" t="n">
        <v>0.36</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36"/>
  <sheetViews>
    <sheetView workbookViewId="0">
      <selection activeCell="A1" sqref="A1"/>
    </sheetView>
  </sheetViews>
  <sheetFormatPr baseColWidth="8" defaultRowHeight="15"/>
  <cols>
    <col width="52" customWidth="1" min="1" max="1"/>
    <col width="16" customWidth="1" min="2" max="2"/>
    <col width="16" customWidth="1" min="3" max="3"/>
    <col width="16" customWidth="1" min="4" max="4"/>
    <col width="16" customWidth="1" min="5" max="5"/>
    <col width="16" customWidth="1" min="6" max="6"/>
    <col width="16" customWidth="1" min="7" max="7"/>
  </cols>
  <sheetData>
    <row r="1">
      <c r="A1" s="11" t="inlineStr">
        <is>
          <t>Colour-free detection graded against the verified (colour-based) detections</t>
        </is>
      </c>
    </row>
    <row r="3">
      <c r="A3" s="17" t="inlineStr">
        <is>
          <t>Family</t>
        </is>
      </c>
      <c r="B3" s="17" t="inlineStr">
        <is>
          <t>Verified elements</t>
        </is>
      </c>
      <c r="C3" s="17" t="inlineStr">
        <is>
          <t>Found colour-free</t>
        </is>
      </c>
      <c r="D3" s="17" t="inlineStr">
        <is>
          <t>Recall</t>
        </is>
      </c>
      <c r="E3" s="17" t="inlineStr">
        <is>
          <t>Found but as another family</t>
        </is>
      </c>
      <c r="F3" s="17" t="inlineStr">
        <is>
          <t>Colour-free total</t>
        </is>
      </c>
      <c r="G3" s="17" t="inlineStr">
        <is>
          <t>Not in verified set</t>
        </is>
      </c>
    </row>
    <row r="4">
      <c r="A4" s="5" t="inlineStr">
        <is>
          <t>column</t>
        </is>
      </c>
      <c r="B4" s="5" t="n">
        <v>35</v>
      </c>
      <c r="C4" s="5" t="n">
        <v>35</v>
      </c>
      <c r="D4" s="18">
        <f>IFERROR(C4/B4,0)</f>
        <v/>
      </c>
      <c r="E4" s="5" t="n">
        <v>0</v>
      </c>
      <c r="F4" s="5" t="n">
        <v>35</v>
      </c>
      <c r="G4" s="5" t="n">
        <v>0</v>
      </c>
    </row>
    <row r="5">
      <c r="A5" s="5" t="inlineStr">
        <is>
          <t>wall</t>
        </is>
      </c>
      <c r="B5" s="5" t="n">
        <v>93</v>
      </c>
      <c r="C5" s="5" t="n">
        <v>93</v>
      </c>
      <c r="D5" s="18">
        <f>IFERROR(C5/B5,0)</f>
        <v/>
      </c>
      <c r="E5" s="5" t="n">
        <v>0</v>
      </c>
      <c r="F5" s="5" t="n">
        <v>311</v>
      </c>
      <c r="G5" s="5" t="n">
        <v>218</v>
      </c>
    </row>
    <row r="6">
      <c r="A6" s="5" t="inlineStr">
        <is>
          <t>footing</t>
        </is>
      </c>
      <c r="B6" s="5" t="n">
        <v>106</v>
      </c>
      <c r="C6" s="5" t="n">
        <v>106</v>
      </c>
      <c r="D6" s="18">
        <f>IFERROR(C6/B6,0)</f>
        <v/>
      </c>
      <c r="E6" s="5" t="n">
        <v>0</v>
      </c>
      <c r="F6" s="5" t="n">
        <v>107</v>
      </c>
      <c r="G6" s="5" t="n">
        <v>1</v>
      </c>
    </row>
    <row r="7">
      <c r="A7" s="5" t="inlineStr">
        <is>
          <t>mass_concrete_pad</t>
        </is>
      </c>
      <c r="B7" s="5" t="n">
        <v>12</v>
      </c>
      <c r="C7" s="5" t="n">
        <v>12</v>
      </c>
      <c r="D7" s="18">
        <f>IFERROR(C7/B7,0)</f>
        <v/>
      </c>
      <c r="E7" s="5" t="n">
        <v>0</v>
      </c>
      <c r="F7" s="5" t="n">
        <v>13</v>
      </c>
      <c r="G7" s="5" t="n">
        <v>1</v>
      </c>
    </row>
    <row r="9">
      <c r="A9" s="8" t="inlineStr">
        <is>
          <t>Numbers above are program output (counts), not spreadsheet calculations; 'Not in verified set' lists elements the colour pipeline missed or did not split (see the Note column on Elements).</t>
        </is>
      </c>
    </row>
    <row r="11">
      <c r="A11" s="7" t="inlineStr">
        <is>
          <t>How band widths were read from the labels</t>
        </is>
      </c>
    </row>
    <row r="12">
      <c r="A12" s="13" t="inlineStr">
        <is>
          <t>Label type</t>
        </is>
      </c>
      <c r="B12" s="13" t="inlineStr">
        <is>
          <t>Labels</t>
        </is>
      </c>
      <c r="C12" s="13" t="inlineStr">
        <is>
          <t>Width chosen (m)</t>
        </is>
      </c>
      <c r="D12" s="13" t="inlineStr">
        <is>
          <t>Labels with such a band within 1.5 m</t>
        </is>
      </c>
      <c r="E12" s="13" t="inlineStr">
        <is>
          <t>Share</t>
        </is>
      </c>
    </row>
    <row r="13">
      <c r="A13" s="5" t="inlineStr">
        <is>
          <t>LG25x40</t>
        </is>
      </c>
      <c r="B13" s="5" t="n">
        <v>10</v>
      </c>
      <c r="C13" s="5" t="n">
        <v>0.25</v>
      </c>
      <c r="D13" s="5" t="n">
        <v>8</v>
      </c>
      <c r="E13" s="10">
        <f>IFERROR(D13/B13,0)</f>
        <v/>
      </c>
    </row>
    <row r="14">
      <c r="A14" s="5" t="inlineStr">
        <is>
          <t>LG40x15</t>
        </is>
      </c>
      <c r="B14" s="5" t="n">
        <v>200</v>
      </c>
      <c r="C14" s="5" t="n">
        <v>0.4</v>
      </c>
      <c r="D14" s="5" t="n">
        <v>199</v>
      </c>
      <c r="E14" s="10">
        <f>IFERROR(D14/B14,0)</f>
        <v/>
      </c>
    </row>
    <row r="15">
      <c r="A15" s="5" t="inlineStr">
        <is>
          <t>SF1</t>
        </is>
      </c>
      <c r="B15" s="5" t="n">
        <v>74</v>
      </c>
      <c r="C15" s="5" t="n">
        <v>0.8</v>
      </c>
      <c r="D15" s="5" t="n">
        <v>64</v>
      </c>
      <c r="E15" s="10">
        <f>IFERROR(D15/B15,0)</f>
        <v/>
      </c>
    </row>
    <row r="16">
      <c r="A16" s="5" t="inlineStr">
        <is>
          <t>SF4</t>
        </is>
      </c>
      <c r="B16" s="5" t="n">
        <v>3</v>
      </c>
      <c r="C16" s="5" t="n">
        <v>1.2</v>
      </c>
      <c r="D16" s="5" t="n">
        <v>2</v>
      </c>
      <c r="E16" s="10">
        <f>IFERROR(D16/B16,0)</f>
        <v/>
      </c>
    </row>
    <row r="18">
      <c r="A18" s="7" t="inlineStr">
        <is>
          <t>Band lines by CAD layer (validation only: the detector never reads layers)</t>
        </is>
      </c>
    </row>
    <row r="19">
      <c r="A19" s="5" t="inlineStr">
        <is>
          <t>grade_beam: 170 runs, 1819.1 m, 312 lines</t>
        </is>
      </c>
      <c r="B19" s="5" t="inlineStr">
        <is>
          <t>DM-LG 227, DM-VOILE 22, DM-SEMELLES 19, 0 13</t>
        </is>
      </c>
    </row>
    <row r="20">
      <c r="A20" s="5" t="inlineStr">
        <is>
          <t>strip_footing: 80 runs, 441.6 m, 135 lines</t>
        </is>
      </c>
      <c r="B20" s="5" t="inlineStr">
        <is>
          <t>DM-SEMELLES 90, DM-VOILE 27, DM-LG 5, DM-RADIER 5</t>
        </is>
      </c>
    </row>
    <row r="22">
      <c r="A22" s="7" t="inlineStr">
        <is>
          <t>Other counts</t>
        </is>
      </c>
    </row>
    <row r="23">
      <c r="A23" s="5" t="inlineStr">
        <is>
          <t>Filled rectangular objects (paint-order groups)</t>
        </is>
      </c>
      <c r="B23" s="5" t="n">
        <v>226</v>
      </c>
    </row>
    <row r="24">
      <c r="A24" s="5" t="inlineStr">
        <is>
          <t>Filled objects drawn twice (removed)</t>
        </is>
      </c>
      <c r="B24" s="5" t="n">
        <v>4</v>
      </c>
    </row>
    <row r="25">
      <c r="A25" s="5" t="inlineStr">
        <is>
          <t>Wall stretches cut from thin bent fills</t>
        </is>
      </c>
      <c r="B25" s="5" t="n">
        <v>120</v>
      </c>
    </row>
    <row r="26">
      <c r="A26" s="5" t="inlineStr">
        <is>
          <t>Cross-hatched regions (walls)</t>
        </is>
      </c>
      <c r="B26" s="5" t="n">
        <v>32</v>
      </c>
    </row>
    <row r="27">
      <c r="A27" s="5" t="inlineStr">
        <is>
          <t>Other hatch patterns (stairs, ramps; not walls)</t>
        </is>
      </c>
      <c r="B27" s="5" t="n">
        <v>9</v>
      </c>
    </row>
    <row r="28">
      <c r="A28" s="5" t="inlineStr">
        <is>
          <t>Grid axes found (dash chain + named bubble)</t>
        </is>
      </c>
      <c r="B28" s="5" t="n">
        <v>59</v>
      </c>
    </row>
    <row r="29">
      <c r="A29" s="5" t="inlineStr">
        <is>
          <t>VP labels next to a retaining wall of the stated thickness</t>
        </is>
      </c>
      <c r="B29" s="5" t="n">
        <v>50</v>
      </c>
    </row>
    <row r="30">
      <c r="A30" s="5" t="inlineStr">
        <is>
          <t>VP labels next to a retaining wall of another thickness</t>
        </is>
      </c>
      <c r="B30" s="5" t="n">
        <v>0</v>
      </c>
    </row>
    <row r="31">
      <c r="A31" s="5" t="inlineStr">
        <is>
          <t>VP labels with no retaining wall within 1.5 m</t>
        </is>
      </c>
      <c r="B31" s="5" t="n">
        <v>2</v>
      </c>
    </row>
    <row r="32">
      <c r="A32" s="5" t="inlineStr">
        <is>
          <t>Found outside the drawing area (no labelled element within 25 m; title block, legend): 8 grade_beam</t>
        </is>
      </c>
      <c r="B32" s="5" t="n">
        <v>8</v>
      </c>
    </row>
    <row r="33">
      <c r="A33" s="5" t="inlineStr">
        <is>
          <t>Dashed-line pieces ignored as element edges</t>
        </is>
      </c>
      <c r="B33" s="5" t="n">
        <v>5880</v>
      </c>
    </row>
    <row r="34">
      <c r="A34" s="5" t="inlineStr">
        <is>
          <t>Axis pen width learned from the dashed lines (pt); lines in this pen are not element edges</t>
        </is>
      </c>
      <c r="B34" s="5" t="n">
        <v>0.36</v>
      </c>
    </row>
    <row r="35">
      <c r="A35" s="5" t="inlineStr">
        <is>
          <t>Labels repeating a type already on the element next to them</t>
        </is>
      </c>
      <c r="B35" s="5" t="n">
        <v>0</v>
      </c>
    </row>
    <row r="36">
      <c r="A36" s="5" t="inlineStr">
        <is>
          <t>Labels with no element of their type nearby: V4/120/120, V4/120/120, V1/126/126, V1/126/126, V1/127/127, V1/127/127, V1/128/128, V1/128/128, V7/128/128, V7/128/128, S2-130130</t>
        </is>
      </c>
      <c r="B36" s="5" t="n">
        <v>11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2026-09-26T15:59:11Z</dcterms:created>
  <dcterms:modified xsi:type="dcterms:W3CDTF">2026-09-26T15:59:12Z</dcterms:modified>
</cp:coreProperties>
</file>